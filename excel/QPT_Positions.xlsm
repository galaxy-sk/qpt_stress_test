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13_ncr:1_{191E5B84-8DC1-450E-9394-2CCA89D02DAB}" xr6:coauthVersionLast="47" xr6:coauthVersionMax="47" xr10:uidLastSave="{00000000-0000-0000-0000-000000000000}"/>
  <bookViews>
    <workbookView xWindow="390" yWindow="390" windowWidth="32925" windowHeight="19845" tabRatio="928" firstSheet="1" activeTab="4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Exchange-Positions Day-On-Day" sheetId="47" r:id="rId5"/>
    <sheet name="Exchange-Positions" sheetId="34" r:id="rId6"/>
    <sheet name="Futures &amp; Perps Shifted" sheetId="38" r:id="rId7"/>
    <sheet name="asset_&amp;_open_positions" sheetId="12" r:id="rId8"/>
    <sheet name="net_open_positions" sheetId="40" r:id="rId9"/>
    <sheet name="Databricks NAVX Recon" sheetId="46" r:id="rId10"/>
    <sheet name="Summary_Exchange_Balances_00UTC" sheetId="45" r:id="rId11"/>
    <sheet name="Mappings" sheetId="13" r:id="rId12"/>
  </sheets>
  <definedNames>
    <definedName name="_xlnm._FilterDatabase" localSheetId="7" hidden="1">'asset_&amp;_open_positions'!$A$1:$Y$554</definedName>
    <definedName name="_xlnm._FilterDatabase" localSheetId="8" hidden="1">net_open_positions!$A$1:$Z$123</definedName>
    <definedName name="_xlnm._FilterDatabase" localSheetId="2" hidden="1">NetAssets!$AE$1:$BB$97</definedName>
    <definedName name="_xlnm._FilterDatabase" localSheetId="10" hidden="1">Summary_Exchange_Balances_00UTC!$B$1:$AL$581</definedName>
    <definedName name="_xlnm._FilterDatabase" localSheetId="1" hidden="1">'Trading Positions'!$C$1:$AA$168</definedName>
    <definedName name="Default_Exchange">'asset_&amp;_open_positions'!$AE$3</definedName>
    <definedName name="DefaultScenario">'asset_&amp;_open_positions'!$AE$2</definedName>
    <definedName name="LatestGrandTotal">'Exchange-Positions Day-On-Day'!$O$5:$AA$5</definedName>
    <definedName name="LGD">'asset_&amp;_open_positions'!$AE$4</definedName>
    <definedName name="RunningTotalHeader">'Exchange-Positions Day-On-Day'!$O$4:$AA$4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Mappings!$P:$Q</definedName>
    <definedName name="summary_source">#REF!</definedName>
    <definedName name="TodaysExchangePosition">'Exchange-Positions Day-On-Day'!$B$11:$M$35</definedName>
    <definedName name="TodaysReportDate">'Exchange-Positions Day-On-Day'!$A$12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603" r:id="rId13"/>
    <pivotCache cacheId="604" r:id="rId14"/>
    <pivotCache cacheId="605" r:id="rId15"/>
    <pivotCache cacheId="606" r:id="rId16"/>
    <pivotCache cacheId="607" r:id="rId17"/>
    <pivotCache cacheId="608" r:id="rId18"/>
    <pivotCache cacheId="609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47" l="1" a="1"/>
  <c r="A6" i="47" s="1"/>
  <c r="A12" i="47" l="1"/>
  <c r="A2" i="34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W58" i="40"/>
  <c r="AA5" i="47" l="1"/>
  <c r="S5" i="47"/>
  <c r="Z5" i="47"/>
  <c r="R5" i="47"/>
  <c r="Y5" i="47"/>
  <c r="Q5" i="47"/>
  <c r="X5" i="47"/>
  <c r="W5" i="47"/>
  <c r="V5" i="47"/>
  <c r="U5" i="47"/>
  <c r="T5" i="47"/>
  <c r="O5" i="47"/>
  <c r="AH34" i="38"/>
  <c r="AJ34" i="38"/>
  <c r="AH36" i="38"/>
  <c r="AJ36" i="38"/>
  <c r="AH38" i="38"/>
  <c r="AJ38" i="38"/>
  <c r="AH40" i="38"/>
  <c r="AJ40" i="38"/>
  <c r="AH42" i="38"/>
  <c r="AJ42" i="38"/>
  <c r="AG44" i="38"/>
  <c r="AH44" i="38"/>
  <c r="AJ45" i="38"/>
  <c r="AG46" i="38"/>
  <c r="AH46" i="38"/>
  <c r="AJ47" i="38"/>
  <c r="AG48" i="38"/>
  <c r="AH49" i="38"/>
  <c r="AG32" i="38"/>
  <c r="AH32" i="38"/>
  <c r="AG31" i="38"/>
  <c r="AG33" i="38" s="1"/>
  <c r="AH31" i="38"/>
  <c r="AH48" i="38" s="1"/>
  <c r="AI31" i="38"/>
  <c r="AI34" i="38" s="1"/>
  <c r="AJ31" i="38"/>
  <c r="AJ44" i="38" s="1"/>
  <c r="AK31" i="38"/>
  <c r="AK35" i="38" s="1"/>
  <c r="AF31" i="38"/>
  <c r="AF33" i="38" s="1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P513" i="12"/>
  <c r="O513" i="12"/>
  <c r="P512" i="12"/>
  <c r="O512" i="12"/>
  <c r="P511" i="12"/>
  <c r="O511" i="12"/>
  <c r="P510" i="12"/>
  <c r="O510" i="12"/>
  <c r="P509" i="12"/>
  <c r="O509" i="12"/>
  <c r="P508" i="12"/>
  <c r="O508" i="12"/>
  <c r="P507" i="12"/>
  <c r="O507" i="12"/>
  <c r="P506" i="12"/>
  <c r="O506" i="12"/>
  <c r="P505" i="12"/>
  <c r="O505" i="12"/>
  <c r="P504" i="12"/>
  <c r="O504" i="12"/>
  <c r="P503" i="12"/>
  <c r="O503" i="12"/>
  <c r="P502" i="12"/>
  <c r="O502" i="12"/>
  <c r="P501" i="12"/>
  <c r="O501" i="12"/>
  <c r="P500" i="12"/>
  <c r="O500" i="12"/>
  <c r="P499" i="12"/>
  <c r="O499" i="12"/>
  <c r="P498" i="12"/>
  <c r="O498" i="12"/>
  <c r="P497" i="12"/>
  <c r="O497" i="12"/>
  <c r="P496" i="12"/>
  <c r="O496" i="12"/>
  <c r="P495" i="12"/>
  <c r="O495" i="12"/>
  <c r="P494" i="12"/>
  <c r="O494" i="12"/>
  <c r="P493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Q499" i="36" s="1"/>
  <c r="W498" i="36"/>
  <c r="V498" i="36"/>
  <c r="P498" i="36"/>
  <c r="O498" i="36"/>
  <c r="W497" i="36"/>
  <c r="V497" i="36"/>
  <c r="P497" i="36"/>
  <c r="O497" i="36"/>
  <c r="Q497" i="36" s="1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W469" i="36"/>
  <c r="V469" i="36"/>
  <c r="P469" i="36"/>
  <c r="O469" i="36"/>
  <c r="V468" i="36"/>
  <c r="P468" i="36"/>
  <c r="O468" i="36"/>
  <c r="V467" i="36"/>
  <c r="P467" i="36"/>
  <c r="O467" i="36"/>
  <c r="V466" i="36"/>
  <c r="P466" i="36"/>
  <c r="Q466" i="36" s="1"/>
  <c r="W466" i="36" s="1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W461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W453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W445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560" i="46"/>
  <c r="C560" i="46"/>
  <c r="A560" i="46"/>
  <c r="E559" i="46"/>
  <c r="C559" i="46"/>
  <c r="A559" i="46"/>
  <c r="E558" i="46"/>
  <c r="C558" i="46"/>
  <c r="A558" i="46"/>
  <c r="E557" i="46"/>
  <c r="C557" i="46"/>
  <c r="A557" i="46"/>
  <c r="E556" i="46"/>
  <c r="C556" i="46"/>
  <c r="A556" i="46"/>
  <c r="E555" i="46"/>
  <c r="C555" i="46"/>
  <c r="A555" i="46"/>
  <c r="E554" i="46"/>
  <c r="C554" i="46"/>
  <c r="A554" i="46"/>
  <c r="E553" i="46"/>
  <c r="C553" i="46"/>
  <c r="A553" i="46"/>
  <c r="E552" i="46"/>
  <c r="C552" i="46"/>
  <c r="A552" i="46"/>
  <c r="E551" i="46"/>
  <c r="C551" i="46"/>
  <c r="A551" i="46"/>
  <c r="E550" i="46"/>
  <c r="C550" i="46"/>
  <c r="A550" i="46"/>
  <c r="E549" i="46"/>
  <c r="C549" i="46"/>
  <c r="A549" i="46"/>
  <c r="E548" i="46"/>
  <c r="C548" i="46"/>
  <c r="A548" i="46"/>
  <c r="E547" i="46"/>
  <c r="C547" i="46"/>
  <c r="A547" i="46"/>
  <c r="E546" i="46"/>
  <c r="C546" i="46"/>
  <c r="A546" i="46"/>
  <c r="E545" i="46"/>
  <c r="C545" i="46"/>
  <c r="A545" i="46"/>
  <c r="E544" i="46"/>
  <c r="C544" i="46"/>
  <c r="A544" i="46"/>
  <c r="E543" i="46"/>
  <c r="C543" i="46"/>
  <c r="A543" i="46"/>
  <c r="E542" i="46"/>
  <c r="C542" i="46"/>
  <c r="A542" i="46"/>
  <c r="E541" i="46"/>
  <c r="C541" i="46"/>
  <c r="A541" i="46"/>
  <c r="E540" i="46"/>
  <c r="C540" i="46"/>
  <c r="A540" i="46"/>
  <c r="E539" i="46"/>
  <c r="C539" i="46"/>
  <c r="A539" i="46"/>
  <c r="E538" i="46"/>
  <c r="C538" i="46"/>
  <c r="A538" i="46"/>
  <c r="E537" i="46"/>
  <c r="C537" i="46"/>
  <c r="A537" i="46"/>
  <c r="E536" i="46"/>
  <c r="C536" i="46"/>
  <c r="A536" i="46"/>
  <c r="E535" i="46"/>
  <c r="C535" i="46"/>
  <c r="A535" i="46"/>
  <c r="E534" i="46"/>
  <c r="C534" i="46"/>
  <c r="A534" i="46"/>
  <c r="E533" i="46"/>
  <c r="C533" i="46"/>
  <c r="A533" i="46"/>
  <c r="E532" i="46"/>
  <c r="C532" i="46"/>
  <c r="A532" i="46"/>
  <c r="E531" i="46"/>
  <c r="C531" i="46"/>
  <c r="A531" i="46"/>
  <c r="E530" i="46"/>
  <c r="C530" i="46"/>
  <c r="A530" i="46"/>
  <c r="E529" i="46"/>
  <c r="C529" i="46"/>
  <c r="A529" i="46"/>
  <c r="E528" i="46"/>
  <c r="C528" i="46"/>
  <c r="A528" i="46"/>
  <c r="E527" i="46"/>
  <c r="C527" i="46"/>
  <c r="A527" i="46"/>
  <c r="E526" i="46"/>
  <c r="C526" i="46"/>
  <c r="A526" i="46"/>
  <c r="E525" i="46"/>
  <c r="C525" i="46"/>
  <c r="A525" i="46"/>
  <c r="E524" i="46"/>
  <c r="C524" i="46"/>
  <c r="A524" i="46"/>
  <c r="E523" i="46"/>
  <c r="C523" i="46"/>
  <c r="A523" i="46"/>
  <c r="E522" i="46"/>
  <c r="C522" i="46"/>
  <c r="A522" i="46"/>
  <c r="E521" i="46"/>
  <c r="C521" i="46"/>
  <c r="A521" i="46"/>
  <c r="E520" i="46"/>
  <c r="C520" i="46"/>
  <c r="A520" i="46"/>
  <c r="E519" i="46"/>
  <c r="C519" i="46"/>
  <c r="A519" i="46"/>
  <c r="E518" i="46"/>
  <c r="C518" i="46"/>
  <c r="A518" i="46"/>
  <c r="E517" i="46"/>
  <c r="C517" i="46"/>
  <c r="A517" i="46"/>
  <c r="E516" i="46"/>
  <c r="C516" i="46"/>
  <c r="A516" i="46"/>
  <c r="E515" i="46"/>
  <c r="C515" i="46"/>
  <c r="A515" i="46"/>
  <c r="E514" i="46"/>
  <c r="C514" i="46"/>
  <c r="A514" i="46"/>
  <c r="E513" i="46"/>
  <c r="C513" i="46"/>
  <c r="A513" i="46"/>
  <c r="E512" i="46"/>
  <c r="C512" i="46"/>
  <c r="A512" i="46"/>
  <c r="E511" i="46"/>
  <c r="C511" i="46"/>
  <c r="A511" i="46"/>
  <c r="E510" i="46"/>
  <c r="C510" i="46"/>
  <c r="A510" i="46"/>
  <c r="E509" i="46"/>
  <c r="C509" i="46"/>
  <c r="A509" i="46"/>
  <c r="E508" i="46"/>
  <c r="C508" i="46"/>
  <c r="A508" i="46"/>
  <c r="E507" i="46"/>
  <c r="C507" i="46"/>
  <c r="A507" i="46"/>
  <c r="E506" i="46"/>
  <c r="C506" i="46"/>
  <c r="A506" i="46"/>
  <c r="E505" i="46"/>
  <c r="C505" i="46"/>
  <c r="A505" i="46"/>
  <c r="E504" i="46"/>
  <c r="C504" i="46"/>
  <c r="A504" i="46"/>
  <c r="E503" i="46"/>
  <c r="C503" i="46"/>
  <c r="A503" i="46"/>
  <c r="E502" i="46"/>
  <c r="C502" i="46"/>
  <c r="A502" i="46"/>
  <c r="E501" i="46"/>
  <c r="C501" i="46"/>
  <c r="A501" i="46"/>
  <c r="E500" i="46"/>
  <c r="C500" i="46"/>
  <c r="A500" i="46"/>
  <c r="E499" i="46"/>
  <c r="C499" i="46"/>
  <c r="A499" i="46"/>
  <c r="E498" i="46"/>
  <c r="C498" i="46"/>
  <c r="A498" i="46"/>
  <c r="E497" i="46"/>
  <c r="C497" i="46"/>
  <c r="A497" i="46"/>
  <c r="E496" i="46"/>
  <c r="C496" i="46"/>
  <c r="A496" i="46"/>
  <c r="E495" i="46"/>
  <c r="C495" i="46"/>
  <c r="A495" i="46"/>
  <c r="E494" i="46"/>
  <c r="C494" i="46"/>
  <c r="A494" i="46"/>
  <c r="E493" i="46"/>
  <c r="C493" i="46"/>
  <c r="A493" i="46"/>
  <c r="E492" i="46"/>
  <c r="C492" i="46"/>
  <c r="A492" i="46"/>
  <c r="E491" i="46"/>
  <c r="C491" i="46"/>
  <c r="A491" i="46"/>
  <c r="E490" i="46"/>
  <c r="C490" i="46"/>
  <c r="A490" i="46"/>
  <c r="E489" i="46"/>
  <c r="C489" i="46"/>
  <c r="A489" i="46"/>
  <c r="E488" i="46"/>
  <c r="C488" i="46"/>
  <c r="A488" i="46"/>
  <c r="E487" i="46"/>
  <c r="C487" i="46"/>
  <c r="A487" i="46"/>
  <c r="E486" i="46"/>
  <c r="C486" i="46"/>
  <c r="A486" i="46"/>
  <c r="E485" i="46"/>
  <c r="C485" i="46"/>
  <c r="A485" i="46"/>
  <c r="E484" i="46"/>
  <c r="C484" i="46"/>
  <c r="A484" i="46"/>
  <c r="E483" i="46"/>
  <c r="C483" i="46"/>
  <c r="A483" i="46"/>
  <c r="E482" i="46"/>
  <c r="C482" i="46"/>
  <c r="A482" i="46"/>
  <c r="E481" i="46"/>
  <c r="C481" i="46"/>
  <c r="A481" i="46"/>
  <c r="E480" i="46"/>
  <c r="C480" i="46"/>
  <c r="A480" i="46"/>
  <c r="E479" i="46"/>
  <c r="C479" i="46"/>
  <c r="A479" i="46"/>
  <c r="E478" i="46"/>
  <c r="C478" i="46"/>
  <c r="A478" i="46"/>
  <c r="E477" i="46"/>
  <c r="C477" i="46"/>
  <c r="A477" i="46"/>
  <c r="E476" i="46"/>
  <c r="C476" i="46"/>
  <c r="A476" i="46"/>
  <c r="E475" i="46"/>
  <c r="C475" i="46"/>
  <c r="A475" i="46"/>
  <c r="H474" i="46"/>
  <c r="F474" i="46"/>
  <c r="E474" i="46"/>
  <c r="C474" i="46"/>
  <c r="A474" i="46"/>
  <c r="H473" i="46"/>
  <c r="F473" i="46"/>
  <c r="E473" i="46"/>
  <c r="C473" i="46"/>
  <c r="A473" i="46"/>
  <c r="H472" i="46"/>
  <c r="F472" i="46"/>
  <c r="E472" i="46"/>
  <c r="C472" i="46"/>
  <c r="A472" i="46"/>
  <c r="H471" i="46"/>
  <c r="F471" i="46"/>
  <c r="E471" i="46"/>
  <c r="C471" i="46"/>
  <c r="A471" i="46"/>
  <c r="H470" i="46"/>
  <c r="F470" i="46"/>
  <c r="E470" i="46"/>
  <c r="C470" i="46"/>
  <c r="A470" i="46"/>
  <c r="H469" i="46"/>
  <c r="F469" i="46"/>
  <c r="E469" i="46"/>
  <c r="C469" i="46"/>
  <c r="A469" i="46"/>
  <c r="H468" i="46"/>
  <c r="F468" i="46"/>
  <c r="E468" i="46"/>
  <c r="C468" i="46"/>
  <c r="A468" i="46"/>
  <c r="H467" i="46"/>
  <c r="F467" i="46"/>
  <c r="E467" i="46"/>
  <c r="C467" i="46"/>
  <c r="A467" i="46"/>
  <c r="H466" i="46"/>
  <c r="F466" i="46"/>
  <c r="E466" i="46"/>
  <c r="C466" i="46"/>
  <c r="A466" i="46"/>
  <c r="H465" i="46"/>
  <c r="F465" i="46"/>
  <c r="E465" i="46"/>
  <c r="C465" i="46"/>
  <c r="A465" i="46"/>
  <c r="H464" i="46"/>
  <c r="F464" i="46"/>
  <c r="E464" i="46"/>
  <c r="C464" i="46"/>
  <c r="A464" i="46"/>
  <c r="H463" i="46"/>
  <c r="F463" i="46"/>
  <c r="E463" i="46"/>
  <c r="C463" i="46"/>
  <c r="A463" i="46"/>
  <c r="H462" i="46"/>
  <c r="F462" i="46"/>
  <c r="E462" i="46"/>
  <c r="C462" i="46"/>
  <c r="A462" i="46"/>
  <c r="H461" i="46"/>
  <c r="F461" i="46"/>
  <c r="E461" i="46"/>
  <c r="C461" i="46"/>
  <c r="A461" i="46"/>
  <c r="H460" i="46"/>
  <c r="F460" i="46"/>
  <c r="E460" i="46"/>
  <c r="C460" i="46"/>
  <c r="A460" i="46"/>
  <c r="H459" i="46"/>
  <c r="F459" i="46"/>
  <c r="E459" i="46"/>
  <c r="C459" i="46"/>
  <c r="A459" i="46"/>
  <c r="H458" i="46"/>
  <c r="F458" i="46"/>
  <c r="E458" i="46"/>
  <c r="C458" i="46"/>
  <c r="A458" i="46"/>
  <c r="H457" i="46"/>
  <c r="F457" i="46"/>
  <c r="E457" i="46"/>
  <c r="C457" i="46"/>
  <c r="A457" i="46"/>
  <c r="H456" i="46"/>
  <c r="F456" i="46"/>
  <c r="E456" i="46"/>
  <c r="C456" i="46"/>
  <c r="A456" i="46"/>
  <c r="H455" i="46"/>
  <c r="F455" i="46"/>
  <c r="E455" i="46"/>
  <c r="C455" i="46"/>
  <c r="A455" i="46"/>
  <c r="H454" i="46"/>
  <c r="F454" i="46"/>
  <c r="E454" i="46"/>
  <c r="C454" i="46"/>
  <c r="A454" i="46"/>
  <c r="H453" i="46"/>
  <c r="F453" i="46"/>
  <c r="E453" i="46"/>
  <c r="C453" i="46"/>
  <c r="A453" i="46"/>
  <c r="H452" i="46"/>
  <c r="F452" i="46"/>
  <c r="E452" i="46"/>
  <c r="C452" i="46"/>
  <c r="A452" i="46"/>
  <c r="H451" i="46"/>
  <c r="F451" i="46"/>
  <c r="E451" i="46"/>
  <c r="C451" i="46"/>
  <c r="A451" i="46"/>
  <c r="H450" i="46"/>
  <c r="F450" i="46"/>
  <c r="E450" i="46"/>
  <c r="C450" i="46"/>
  <c r="A450" i="46"/>
  <c r="H449" i="46"/>
  <c r="F449" i="46"/>
  <c r="E449" i="46"/>
  <c r="C449" i="46"/>
  <c r="A449" i="46"/>
  <c r="H448" i="46"/>
  <c r="F448" i="46"/>
  <c r="E448" i="46"/>
  <c r="C448" i="46"/>
  <c r="A448" i="46"/>
  <c r="H447" i="46"/>
  <c r="F447" i="46"/>
  <c r="E447" i="46"/>
  <c r="C447" i="46"/>
  <c r="A447" i="46"/>
  <c r="H446" i="46"/>
  <c r="F446" i="46"/>
  <c r="E446" i="46"/>
  <c r="C446" i="46"/>
  <c r="A446" i="46"/>
  <c r="H445" i="46"/>
  <c r="F445" i="46"/>
  <c r="E445" i="46"/>
  <c r="C445" i="46"/>
  <c r="A445" i="46"/>
  <c r="H444" i="46"/>
  <c r="F444" i="46"/>
  <c r="E444" i="46"/>
  <c r="C444" i="46"/>
  <c r="A444" i="46"/>
  <c r="H443" i="46"/>
  <c r="F443" i="46"/>
  <c r="E443" i="46"/>
  <c r="C443" i="46"/>
  <c r="A443" i="46"/>
  <c r="H442" i="46"/>
  <c r="F442" i="46"/>
  <c r="E442" i="46"/>
  <c r="C442" i="46"/>
  <c r="A442" i="46"/>
  <c r="H441" i="46"/>
  <c r="F441" i="46"/>
  <c r="E441" i="46"/>
  <c r="C441" i="46"/>
  <c r="A441" i="46"/>
  <c r="H440" i="46"/>
  <c r="F440" i="46"/>
  <c r="E440" i="46"/>
  <c r="C440" i="46"/>
  <c r="A440" i="46"/>
  <c r="H439" i="46"/>
  <c r="F439" i="46"/>
  <c r="E439" i="46"/>
  <c r="C439" i="46"/>
  <c r="A439" i="46"/>
  <c r="H438" i="46"/>
  <c r="E438" i="46"/>
  <c r="C438" i="46"/>
  <c r="A438" i="46"/>
  <c r="F438" i="46" s="1"/>
  <c r="H437" i="46"/>
  <c r="F437" i="46"/>
  <c r="E437" i="46"/>
  <c r="C437" i="46"/>
  <c r="A437" i="46"/>
  <c r="H436" i="46"/>
  <c r="E436" i="46"/>
  <c r="C436" i="46"/>
  <c r="A436" i="46"/>
  <c r="H435" i="46"/>
  <c r="E435" i="46"/>
  <c r="C435" i="46"/>
  <c r="A435" i="46"/>
  <c r="F435" i="46" s="1"/>
  <c r="H434" i="46"/>
  <c r="E434" i="46"/>
  <c r="C434" i="46"/>
  <c r="A434" i="46"/>
  <c r="H433" i="46"/>
  <c r="E433" i="46"/>
  <c r="C433" i="46"/>
  <c r="A433" i="46"/>
  <c r="H432" i="46"/>
  <c r="E432" i="46"/>
  <c r="C432" i="46"/>
  <c r="A432" i="46"/>
  <c r="F432" i="46" s="1"/>
  <c r="H431" i="46"/>
  <c r="E431" i="46"/>
  <c r="C431" i="46"/>
  <c r="A431" i="46"/>
  <c r="H430" i="46"/>
  <c r="E430" i="46"/>
  <c r="C430" i="46"/>
  <c r="A430" i="46"/>
  <c r="H429" i="46"/>
  <c r="E429" i="46"/>
  <c r="C429" i="46"/>
  <c r="A429" i="46"/>
  <c r="H428" i="46"/>
  <c r="E428" i="46"/>
  <c r="C428" i="46"/>
  <c r="A428" i="46"/>
  <c r="H427" i="46"/>
  <c r="E427" i="46"/>
  <c r="C427" i="46"/>
  <c r="A427" i="46"/>
  <c r="H426" i="46"/>
  <c r="E426" i="46"/>
  <c r="C426" i="46"/>
  <c r="A426" i="46"/>
  <c r="H425" i="46"/>
  <c r="E425" i="46"/>
  <c r="C425" i="46"/>
  <c r="A425" i="46"/>
  <c r="H424" i="46"/>
  <c r="E424" i="46"/>
  <c r="C424" i="46"/>
  <c r="A424" i="46"/>
  <c r="H423" i="46"/>
  <c r="E423" i="46"/>
  <c r="C423" i="46"/>
  <c r="A423" i="46"/>
  <c r="H422" i="46"/>
  <c r="E422" i="46"/>
  <c r="C422" i="46"/>
  <c r="A422" i="46"/>
  <c r="H421" i="46"/>
  <c r="E421" i="46"/>
  <c r="C421" i="46"/>
  <c r="A421" i="46"/>
  <c r="H420" i="46"/>
  <c r="E420" i="46"/>
  <c r="C420" i="46"/>
  <c r="A420" i="46"/>
  <c r="H419" i="46"/>
  <c r="E419" i="46"/>
  <c r="C419" i="46"/>
  <c r="A419" i="46"/>
  <c r="H418" i="46"/>
  <c r="E418" i="46"/>
  <c r="C418" i="46"/>
  <c r="A418" i="46"/>
  <c r="H417" i="46"/>
  <c r="E417" i="46"/>
  <c r="C417" i="46"/>
  <c r="A417" i="46"/>
  <c r="H416" i="46"/>
  <c r="E416" i="46"/>
  <c r="C416" i="46"/>
  <c r="A416" i="46"/>
  <c r="H415" i="46"/>
  <c r="E415" i="46"/>
  <c r="C415" i="46"/>
  <c r="A415" i="46"/>
  <c r="H414" i="46"/>
  <c r="E414" i="46"/>
  <c r="C414" i="46"/>
  <c r="A414" i="46"/>
  <c r="H413" i="46"/>
  <c r="E413" i="46"/>
  <c r="C413" i="46"/>
  <c r="A413" i="46"/>
  <c r="H412" i="46"/>
  <c r="E412" i="46"/>
  <c r="C412" i="46"/>
  <c r="A412" i="46"/>
  <c r="E411" i="46"/>
  <c r="C411" i="46"/>
  <c r="A411" i="46"/>
  <c r="E410" i="46"/>
  <c r="C410" i="46"/>
  <c r="A410" i="46"/>
  <c r="E409" i="46"/>
  <c r="C409" i="46"/>
  <c r="A409" i="46"/>
  <c r="E408" i="46"/>
  <c r="D408" i="46"/>
  <c r="C408" i="46"/>
  <c r="A408" i="46"/>
  <c r="E407" i="46"/>
  <c r="D407" i="46"/>
  <c r="C407" i="46"/>
  <c r="B407" i="46"/>
  <c r="A407" i="46"/>
  <c r="E406" i="46"/>
  <c r="D406" i="46"/>
  <c r="C406" i="46"/>
  <c r="A406" i="46"/>
  <c r="E405" i="46"/>
  <c r="D405" i="46"/>
  <c r="C405" i="46"/>
  <c r="B405" i="46"/>
  <c r="A405" i="46"/>
  <c r="E404" i="46"/>
  <c r="D404" i="46"/>
  <c r="C404" i="46"/>
  <c r="B404" i="46"/>
  <c r="A404" i="46"/>
  <c r="E403" i="46"/>
  <c r="D403" i="46"/>
  <c r="C403" i="46"/>
  <c r="B403" i="46"/>
  <c r="A403" i="46"/>
  <c r="E402" i="46"/>
  <c r="D402" i="46"/>
  <c r="C402" i="46"/>
  <c r="B402" i="46"/>
  <c r="A402" i="46"/>
  <c r="E401" i="46"/>
  <c r="D401" i="46"/>
  <c r="C401" i="46"/>
  <c r="B401" i="46"/>
  <c r="A401" i="46"/>
  <c r="E400" i="46"/>
  <c r="D400" i="46"/>
  <c r="C400" i="46"/>
  <c r="B400" i="46"/>
  <c r="A400" i="46"/>
  <c r="E399" i="46"/>
  <c r="D399" i="46"/>
  <c r="C399" i="46"/>
  <c r="B399" i="46"/>
  <c r="A399" i="46"/>
  <c r="E398" i="46"/>
  <c r="D398" i="46"/>
  <c r="C398" i="46"/>
  <c r="B398" i="46"/>
  <c r="A398" i="46"/>
  <c r="E397" i="46"/>
  <c r="D397" i="46"/>
  <c r="C397" i="46"/>
  <c r="B397" i="46"/>
  <c r="A397" i="46"/>
  <c r="E396" i="46"/>
  <c r="D396" i="46"/>
  <c r="C396" i="46"/>
  <c r="B396" i="46"/>
  <c r="A396" i="46"/>
  <c r="E395" i="46"/>
  <c r="D395" i="46"/>
  <c r="C395" i="46"/>
  <c r="B395" i="46"/>
  <c r="A395" i="46"/>
  <c r="E394" i="46"/>
  <c r="D394" i="46"/>
  <c r="C394" i="46"/>
  <c r="B394" i="46"/>
  <c r="A394" i="46"/>
  <c r="E393" i="46"/>
  <c r="D393" i="46"/>
  <c r="C393" i="46"/>
  <c r="B393" i="46"/>
  <c r="A393" i="46"/>
  <c r="E392" i="46"/>
  <c r="D392" i="46"/>
  <c r="C392" i="46"/>
  <c r="AT392" i="46" s="1"/>
  <c r="B392" i="46"/>
  <c r="A392" i="46"/>
  <c r="E391" i="46"/>
  <c r="D391" i="46"/>
  <c r="C391" i="46"/>
  <c r="B391" i="46"/>
  <c r="A391" i="46"/>
  <c r="E390" i="46"/>
  <c r="D390" i="46"/>
  <c r="C390" i="46"/>
  <c r="AT390" i="46" s="1"/>
  <c r="B390" i="46"/>
  <c r="A390" i="46"/>
  <c r="E389" i="46"/>
  <c r="D389" i="46"/>
  <c r="C389" i="46"/>
  <c r="B389" i="46"/>
  <c r="A389" i="46"/>
  <c r="E388" i="46"/>
  <c r="D388" i="46"/>
  <c r="C388" i="46"/>
  <c r="AT388" i="46" s="1"/>
  <c r="B388" i="46"/>
  <c r="A388" i="46"/>
  <c r="E387" i="46"/>
  <c r="D387" i="46"/>
  <c r="C387" i="46"/>
  <c r="AT387" i="46" s="1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AS384" i="46" s="1"/>
  <c r="B384" i="46"/>
  <c r="A384" i="46"/>
  <c r="E383" i="46"/>
  <c r="D383" i="46"/>
  <c r="C383" i="46"/>
  <c r="B383" i="46"/>
  <c r="A383" i="46"/>
  <c r="M382" i="46"/>
  <c r="L382" i="46"/>
  <c r="E382" i="46"/>
  <c r="D382" i="46"/>
  <c r="C382" i="46"/>
  <c r="B382" i="46"/>
  <c r="A382" i="46"/>
  <c r="M381" i="46"/>
  <c r="L381" i="46"/>
  <c r="E381" i="46"/>
  <c r="D381" i="46"/>
  <c r="C381" i="46"/>
  <c r="AS381" i="46" s="1"/>
  <c r="B381" i="46"/>
  <c r="A381" i="46"/>
  <c r="M380" i="46"/>
  <c r="L380" i="46"/>
  <c r="E380" i="46"/>
  <c r="D380" i="46"/>
  <c r="C380" i="46"/>
  <c r="B380" i="46"/>
  <c r="A380" i="46"/>
  <c r="M379" i="46"/>
  <c r="L379" i="46"/>
  <c r="E379" i="46"/>
  <c r="D379" i="46"/>
  <c r="C379" i="46"/>
  <c r="AT379" i="46" s="1"/>
  <c r="B379" i="46"/>
  <c r="A379" i="46"/>
  <c r="M378" i="46"/>
  <c r="L378" i="46"/>
  <c r="E378" i="46"/>
  <c r="D378" i="46"/>
  <c r="C378" i="46"/>
  <c r="AT378" i="46" s="1"/>
  <c r="B378" i="46"/>
  <c r="A378" i="46"/>
  <c r="M377" i="46"/>
  <c r="L377" i="46"/>
  <c r="E377" i="46"/>
  <c r="D377" i="46"/>
  <c r="C377" i="46"/>
  <c r="B377" i="46"/>
  <c r="A377" i="46"/>
  <c r="M376" i="46"/>
  <c r="L376" i="46"/>
  <c r="E376" i="46"/>
  <c r="D376" i="46"/>
  <c r="C376" i="46"/>
  <c r="AS376" i="46" s="1"/>
  <c r="B376" i="46"/>
  <c r="A376" i="46"/>
  <c r="M375" i="46"/>
  <c r="L375" i="46"/>
  <c r="E375" i="46"/>
  <c r="D375" i="46"/>
  <c r="C375" i="46"/>
  <c r="AS375" i="46" s="1"/>
  <c r="B375" i="46"/>
  <c r="A375" i="46"/>
  <c r="M374" i="46"/>
  <c r="L374" i="46"/>
  <c r="E374" i="46"/>
  <c r="D374" i="46"/>
  <c r="C374" i="46"/>
  <c r="AT374" i="46" s="1"/>
  <c r="B374" i="46"/>
  <c r="A374" i="46"/>
  <c r="M373" i="46"/>
  <c r="L373" i="46"/>
  <c r="E373" i="46"/>
  <c r="D373" i="46"/>
  <c r="C373" i="46"/>
  <c r="B373" i="46"/>
  <c r="A373" i="46"/>
  <c r="M372" i="46"/>
  <c r="L372" i="46"/>
  <c r="E372" i="46"/>
  <c r="D372" i="46"/>
  <c r="C372" i="46"/>
  <c r="B372" i="46"/>
  <c r="A372" i="46"/>
  <c r="M371" i="46"/>
  <c r="L371" i="46"/>
  <c r="E371" i="46"/>
  <c r="D371" i="46"/>
  <c r="C371" i="46"/>
  <c r="B371" i="46"/>
  <c r="A371" i="46"/>
  <c r="M370" i="46"/>
  <c r="L370" i="46"/>
  <c r="E370" i="46"/>
  <c r="D370" i="46"/>
  <c r="C370" i="46"/>
  <c r="B370" i="46"/>
  <c r="A370" i="46"/>
  <c r="M369" i="46"/>
  <c r="L369" i="46"/>
  <c r="E369" i="46"/>
  <c r="D369" i="46"/>
  <c r="C369" i="46"/>
  <c r="B369" i="46"/>
  <c r="A369" i="46"/>
  <c r="M368" i="46"/>
  <c r="L368" i="46"/>
  <c r="E368" i="46"/>
  <c r="D368" i="46"/>
  <c r="C368" i="46"/>
  <c r="B368" i="46"/>
  <c r="A368" i="46"/>
  <c r="M367" i="46"/>
  <c r="L367" i="46"/>
  <c r="E367" i="46"/>
  <c r="D367" i="46"/>
  <c r="C367" i="46"/>
  <c r="B367" i="46"/>
  <c r="A367" i="46"/>
  <c r="M366" i="46"/>
  <c r="L366" i="46"/>
  <c r="E366" i="46"/>
  <c r="D366" i="46"/>
  <c r="C366" i="46"/>
  <c r="B366" i="46"/>
  <c r="A366" i="46"/>
  <c r="M365" i="46"/>
  <c r="L365" i="46"/>
  <c r="E365" i="46"/>
  <c r="D365" i="46"/>
  <c r="C365" i="46"/>
  <c r="AT365" i="46" s="1"/>
  <c r="B365" i="46"/>
  <c r="A365" i="46"/>
  <c r="M364" i="46"/>
  <c r="L364" i="46"/>
  <c r="E364" i="46"/>
  <c r="D364" i="46"/>
  <c r="C364" i="46"/>
  <c r="B364" i="46"/>
  <c r="A364" i="46"/>
  <c r="M363" i="46"/>
  <c r="L363" i="46"/>
  <c r="E363" i="46"/>
  <c r="D363" i="46"/>
  <c r="C363" i="46"/>
  <c r="AS363" i="46" s="1"/>
  <c r="B363" i="46"/>
  <c r="A363" i="46"/>
  <c r="M362" i="46"/>
  <c r="L362" i="46"/>
  <c r="E362" i="46"/>
  <c r="D362" i="46"/>
  <c r="C362" i="46"/>
  <c r="AS362" i="46" s="1"/>
  <c r="B362" i="46"/>
  <c r="A362" i="46"/>
  <c r="M361" i="46"/>
  <c r="L361" i="46"/>
  <c r="E361" i="46"/>
  <c r="D361" i="46"/>
  <c r="C361" i="46"/>
  <c r="B361" i="46"/>
  <c r="A361" i="46"/>
  <c r="M360" i="46"/>
  <c r="L360" i="46"/>
  <c r="E360" i="46"/>
  <c r="D360" i="46"/>
  <c r="C360" i="46"/>
  <c r="AS360" i="46" s="1"/>
  <c r="B360" i="46"/>
  <c r="A360" i="46"/>
  <c r="M359" i="46"/>
  <c r="L359" i="46"/>
  <c r="E359" i="46"/>
  <c r="D359" i="46"/>
  <c r="C359" i="46"/>
  <c r="AT359" i="46" s="1"/>
  <c r="B359" i="46"/>
  <c r="A359" i="46"/>
  <c r="M358" i="46"/>
  <c r="L358" i="46"/>
  <c r="E358" i="46"/>
  <c r="D358" i="46"/>
  <c r="C358" i="46"/>
  <c r="AT358" i="46" s="1"/>
  <c r="B358" i="46"/>
  <c r="A358" i="46"/>
  <c r="M357" i="46"/>
  <c r="L357" i="46"/>
  <c r="E357" i="46"/>
  <c r="D357" i="46"/>
  <c r="C357" i="46"/>
  <c r="B357" i="46"/>
  <c r="A357" i="46"/>
  <c r="M356" i="46"/>
  <c r="L356" i="46"/>
  <c r="E356" i="46"/>
  <c r="D356" i="46"/>
  <c r="C356" i="46"/>
  <c r="B356" i="46"/>
  <c r="A356" i="46"/>
  <c r="M355" i="46"/>
  <c r="L355" i="46"/>
  <c r="E355" i="46"/>
  <c r="D355" i="46"/>
  <c r="C355" i="46"/>
  <c r="B355" i="46"/>
  <c r="A355" i="46"/>
  <c r="M354" i="46"/>
  <c r="L354" i="46"/>
  <c r="E354" i="46"/>
  <c r="D354" i="46"/>
  <c r="C354" i="46"/>
  <c r="B354" i="46"/>
  <c r="A354" i="46"/>
  <c r="M353" i="46"/>
  <c r="L353" i="46"/>
  <c r="E353" i="46"/>
  <c r="D353" i="46"/>
  <c r="C353" i="46"/>
  <c r="B353" i="46"/>
  <c r="A353" i="46"/>
  <c r="M352" i="46"/>
  <c r="L352" i="46"/>
  <c r="E352" i="46"/>
  <c r="D352" i="46"/>
  <c r="C352" i="46"/>
  <c r="B352" i="46"/>
  <c r="A352" i="46"/>
  <c r="M351" i="46"/>
  <c r="L351" i="46"/>
  <c r="E351" i="46"/>
  <c r="D351" i="46"/>
  <c r="C351" i="46"/>
  <c r="B351" i="46"/>
  <c r="A351" i="46"/>
  <c r="M350" i="46"/>
  <c r="L350" i="46"/>
  <c r="E350" i="46"/>
  <c r="D350" i="46"/>
  <c r="C350" i="46"/>
  <c r="B350" i="46"/>
  <c r="A350" i="46"/>
  <c r="M349" i="46"/>
  <c r="L349" i="46"/>
  <c r="E349" i="46"/>
  <c r="D349" i="46"/>
  <c r="C349" i="46"/>
  <c r="B349" i="46"/>
  <c r="A349" i="46"/>
  <c r="M348" i="46"/>
  <c r="L348" i="46"/>
  <c r="E348" i="46"/>
  <c r="D348" i="46"/>
  <c r="C348" i="46"/>
  <c r="B348" i="46"/>
  <c r="A348" i="46"/>
  <c r="M347" i="46"/>
  <c r="L347" i="46"/>
  <c r="E347" i="46"/>
  <c r="D347" i="46"/>
  <c r="C347" i="46"/>
  <c r="AS347" i="46" s="1"/>
  <c r="B347" i="46"/>
  <c r="A347" i="46"/>
  <c r="M346" i="46"/>
  <c r="L346" i="46"/>
  <c r="E346" i="46"/>
  <c r="D346" i="46"/>
  <c r="C346" i="46"/>
  <c r="B346" i="46"/>
  <c r="A346" i="46"/>
  <c r="M345" i="46"/>
  <c r="L345" i="46"/>
  <c r="E345" i="46"/>
  <c r="D345" i="46"/>
  <c r="C345" i="46"/>
  <c r="B345" i="46"/>
  <c r="A345" i="46"/>
  <c r="M344" i="46"/>
  <c r="L344" i="46"/>
  <c r="E344" i="46"/>
  <c r="D344" i="46"/>
  <c r="C344" i="46"/>
  <c r="AS344" i="46" s="1"/>
  <c r="B344" i="46"/>
  <c r="A344" i="46"/>
  <c r="M343" i="46"/>
  <c r="L343" i="46"/>
  <c r="E343" i="46"/>
  <c r="D343" i="46"/>
  <c r="C343" i="46"/>
  <c r="AS343" i="46" s="1"/>
  <c r="B343" i="46"/>
  <c r="A343" i="46"/>
  <c r="M342" i="46"/>
  <c r="L342" i="46"/>
  <c r="E342" i="46"/>
  <c r="D342" i="46"/>
  <c r="C342" i="46"/>
  <c r="AT342" i="46" s="1"/>
  <c r="B342" i="46"/>
  <c r="A342" i="46"/>
  <c r="M341" i="46"/>
  <c r="L341" i="46"/>
  <c r="E341" i="46"/>
  <c r="D341" i="46"/>
  <c r="C341" i="46"/>
  <c r="AT341" i="46" s="1"/>
  <c r="B341" i="46"/>
  <c r="A341" i="46"/>
  <c r="M340" i="46"/>
  <c r="L340" i="46"/>
  <c r="E340" i="46"/>
  <c r="D340" i="46"/>
  <c r="C340" i="46"/>
  <c r="B340" i="46"/>
  <c r="A340" i="46"/>
  <c r="M339" i="46"/>
  <c r="L339" i="46"/>
  <c r="E339" i="46"/>
  <c r="D339" i="46"/>
  <c r="C339" i="46"/>
  <c r="AS339" i="46" s="1"/>
  <c r="B339" i="46"/>
  <c r="A339" i="46"/>
  <c r="M338" i="46"/>
  <c r="L338" i="46"/>
  <c r="E338" i="46"/>
  <c r="D338" i="46"/>
  <c r="C338" i="46"/>
  <c r="B338" i="46"/>
  <c r="A338" i="46"/>
  <c r="M337" i="46"/>
  <c r="L337" i="46"/>
  <c r="E337" i="46"/>
  <c r="D337" i="46"/>
  <c r="C337" i="46"/>
  <c r="B337" i="46"/>
  <c r="A337" i="46"/>
  <c r="M336" i="46"/>
  <c r="L336" i="46"/>
  <c r="E336" i="46"/>
  <c r="D336" i="46"/>
  <c r="C336" i="46"/>
  <c r="AS336" i="46" s="1"/>
  <c r="B336" i="46"/>
  <c r="A336" i="46"/>
  <c r="M335" i="46"/>
  <c r="L335" i="46"/>
  <c r="E335" i="46"/>
  <c r="D335" i="46"/>
  <c r="C335" i="46"/>
  <c r="AS335" i="46" s="1"/>
  <c r="B335" i="46"/>
  <c r="A335" i="46"/>
  <c r="M334" i="46"/>
  <c r="L334" i="46"/>
  <c r="E334" i="46"/>
  <c r="D334" i="46"/>
  <c r="C334" i="46"/>
  <c r="B334" i="46"/>
  <c r="A334" i="46"/>
  <c r="M333" i="46"/>
  <c r="L333" i="46"/>
  <c r="E333" i="46"/>
  <c r="D333" i="46"/>
  <c r="C333" i="46"/>
  <c r="B333" i="46"/>
  <c r="A333" i="46"/>
  <c r="M332" i="46"/>
  <c r="L332" i="46"/>
  <c r="E332" i="46"/>
  <c r="D332" i="46"/>
  <c r="C332" i="46"/>
  <c r="B332" i="46"/>
  <c r="A332" i="46"/>
  <c r="M331" i="46"/>
  <c r="L331" i="46"/>
  <c r="E331" i="46"/>
  <c r="D331" i="46"/>
  <c r="C331" i="46"/>
  <c r="AS331" i="46" s="1"/>
  <c r="B331" i="46"/>
  <c r="A331" i="46"/>
  <c r="M330" i="46"/>
  <c r="L330" i="46"/>
  <c r="E330" i="46"/>
  <c r="D330" i="46"/>
  <c r="C330" i="46"/>
  <c r="AS330" i="46" s="1"/>
  <c r="B330" i="46"/>
  <c r="A330" i="46"/>
  <c r="M329" i="46"/>
  <c r="L329" i="46"/>
  <c r="E329" i="46"/>
  <c r="D329" i="46"/>
  <c r="C329" i="46"/>
  <c r="B329" i="46"/>
  <c r="A329" i="46"/>
  <c r="M328" i="46"/>
  <c r="L328" i="46"/>
  <c r="E328" i="46"/>
  <c r="D328" i="46"/>
  <c r="C328" i="46"/>
  <c r="AS328" i="46" s="1"/>
  <c r="B328" i="46"/>
  <c r="A328" i="46"/>
  <c r="M327" i="46"/>
  <c r="L327" i="46"/>
  <c r="E327" i="46"/>
  <c r="D327" i="46"/>
  <c r="C327" i="46"/>
  <c r="AS327" i="46" s="1"/>
  <c r="B327" i="46"/>
  <c r="A327" i="46"/>
  <c r="M326" i="46"/>
  <c r="L326" i="46"/>
  <c r="E326" i="46"/>
  <c r="D326" i="46"/>
  <c r="C326" i="46"/>
  <c r="B326" i="46"/>
  <c r="A326" i="46"/>
  <c r="M325" i="46"/>
  <c r="L325" i="46"/>
  <c r="E325" i="46"/>
  <c r="D325" i="46"/>
  <c r="C325" i="46"/>
  <c r="AS325" i="46" s="1"/>
  <c r="B325" i="46"/>
  <c r="A325" i="46"/>
  <c r="M324" i="46"/>
  <c r="L324" i="46"/>
  <c r="E324" i="46"/>
  <c r="D324" i="46"/>
  <c r="C324" i="46"/>
  <c r="B324" i="46"/>
  <c r="A324" i="46"/>
  <c r="M323" i="46"/>
  <c r="L323" i="46"/>
  <c r="E323" i="46"/>
  <c r="D323" i="46"/>
  <c r="C323" i="46"/>
  <c r="AS323" i="46" s="1"/>
  <c r="B323" i="46"/>
  <c r="A323" i="46"/>
  <c r="M322" i="46"/>
  <c r="L322" i="46"/>
  <c r="E322" i="46"/>
  <c r="D322" i="46"/>
  <c r="C322" i="46"/>
  <c r="B322" i="46"/>
  <c r="A322" i="46"/>
  <c r="M321" i="46"/>
  <c r="L321" i="46"/>
  <c r="E321" i="46"/>
  <c r="D321" i="46"/>
  <c r="C321" i="46"/>
  <c r="B321" i="46"/>
  <c r="A321" i="46"/>
  <c r="M320" i="46"/>
  <c r="L320" i="46"/>
  <c r="E320" i="46"/>
  <c r="D320" i="46"/>
  <c r="C320" i="46"/>
  <c r="B320" i="46"/>
  <c r="A320" i="46"/>
  <c r="M319" i="46"/>
  <c r="L319" i="46"/>
  <c r="E319" i="46"/>
  <c r="D319" i="46"/>
  <c r="C319" i="46"/>
  <c r="B319" i="46"/>
  <c r="A319" i="46"/>
  <c r="M318" i="46"/>
  <c r="L318" i="46"/>
  <c r="E318" i="46"/>
  <c r="D318" i="46"/>
  <c r="C318" i="46"/>
  <c r="B318" i="46"/>
  <c r="A318" i="46"/>
  <c r="M317" i="46"/>
  <c r="L317" i="46"/>
  <c r="E317" i="46"/>
  <c r="D317" i="46"/>
  <c r="C317" i="46"/>
  <c r="B317" i="46"/>
  <c r="A317" i="46"/>
  <c r="M316" i="46"/>
  <c r="L316" i="46"/>
  <c r="E316" i="46"/>
  <c r="D316" i="46"/>
  <c r="C316" i="46"/>
  <c r="B316" i="46"/>
  <c r="A316" i="46"/>
  <c r="M315" i="46"/>
  <c r="L315" i="46"/>
  <c r="E315" i="46"/>
  <c r="D315" i="46"/>
  <c r="C315" i="46"/>
  <c r="B315" i="46"/>
  <c r="A315" i="46"/>
  <c r="M314" i="46"/>
  <c r="L314" i="46"/>
  <c r="E314" i="46"/>
  <c r="D314" i="46"/>
  <c r="C314" i="46"/>
  <c r="B314" i="46"/>
  <c r="A314" i="46"/>
  <c r="M313" i="46"/>
  <c r="L313" i="46"/>
  <c r="E313" i="46"/>
  <c r="D313" i="46"/>
  <c r="C313" i="46"/>
  <c r="B313" i="46"/>
  <c r="A313" i="46"/>
  <c r="M312" i="46"/>
  <c r="L312" i="46"/>
  <c r="E312" i="46"/>
  <c r="D312" i="46"/>
  <c r="C312" i="46"/>
  <c r="AS312" i="46" s="1"/>
  <c r="B312" i="46"/>
  <c r="A312" i="46"/>
  <c r="M311" i="46"/>
  <c r="L311" i="46"/>
  <c r="E311" i="46"/>
  <c r="D311" i="46"/>
  <c r="C311" i="46"/>
  <c r="B311" i="46"/>
  <c r="A311" i="46"/>
  <c r="M310" i="46"/>
  <c r="L310" i="46"/>
  <c r="E310" i="46"/>
  <c r="D310" i="46"/>
  <c r="C310" i="46"/>
  <c r="B310" i="46"/>
  <c r="A310" i="46"/>
  <c r="M309" i="46"/>
  <c r="L309" i="46"/>
  <c r="E309" i="46"/>
  <c r="D309" i="46"/>
  <c r="C309" i="46"/>
  <c r="AS309" i="46" s="1"/>
  <c r="B309" i="46"/>
  <c r="A309" i="46"/>
  <c r="M308" i="46"/>
  <c r="L308" i="46"/>
  <c r="E308" i="46"/>
  <c r="D308" i="46"/>
  <c r="C308" i="46"/>
  <c r="B308" i="46"/>
  <c r="A308" i="46"/>
  <c r="M307" i="46"/>
  <c r="L307" i="46"/>
  <c r="E307" i="46"/>
  <c r="D307" i="46"/>
  <c r="C307" i="46"/>
  <c r="AS307" i="46" s="1"/>
  <c r="B307" i="46"/>
  <c r="A307" i="46"/>
  <c r="M306" i="46"/>
  <c r="L306" i="46"/>
  <c r="E306" i="46"/>
  <c r="D306" i="46"/>
  <c r="C306" i="46"/>
  <c r="B306" i="46"/>
  <c r="A306" i="46"/>
  <c r="M305" i="46"/>
  <c r="L305" i="46"/>
  <c r="E305" i="46"/>
  <c r="D305" i="46"/>
  <c r="C305" i="46"/>
  <c r="B305" i="46"/>
  <c r="A305" i="46"/>
  <c r="M304" i="46"/>
  <c r="L304" i="46"/>
  <c r="E304" i="46"/>
  <c r="D304" i="46"/>
  <c r="C304" i="46"/>
  <c r="AS304" i="46" s="1"/>
  <c r="B304" i="46"/>
  <c r="A304" i="46"/>
  <c r="M303" i="46"/>
  <c r="L303" i="46"/>
  <c r="E303" i="46"/>
  <c r="D303" i="46"/>
  <c r="C303" i="46"/>
  <c r="B303" i="46"/>
  <c r="A303" i="46"/>
  <c r="M302" i="46"/>
  <c r="L302" i="46"/>
  <c r="E302" i="46"/>
  <c r="D302" i="46"/>
  <c r="C302" i="46"/>
  <c r="AS302" i="46" s="1"/>
  <c r="B302" i="46"/>
  <c r="A302" i="46"/>
  <c r="M301" i="46"/>
  <c r="L301" i="46"/>
  <c r="E301" i="46"/>
  <c r="D301" i="46"/>
  <c r="C301" i="46"/>
  <c r="AS301" i="46" s="1"/>
  <c r="B301" i="46"/>
  <c r="A301" i="46"/>
  <c r="M300" i="46"/>
  <c r="L300" i="46"/>
  <c r="E300" i="46"/>
  <c r="D300" i="46"/>
  <c r="C300" i="46"/>
  <c r="B300" i="46"/>
  <c r="A300" i="46"/>
  <c r="M299" i="46"/>
  <c r="L299" i="46"/>
  <c r="E299" i="46"/>
  <c r="D299" i="46"/>
  <c r="C299" i="46"/>
  <c r="B299" i="46"/>
  <c r="A299" i="46"/>
  <c r="M298" i="46"/>
  <c r="L298" i="46"/>
  <c r="E298" i="46"/>
  <c r="D298" i="46"/>
  <c r="C298" i="46"/>
  <c r="AS298" i="46" s="1"/>
  <c r="B298" i="46"/>
  <c r="A298" i="46"/>
  <c r="M297" i="46"/>
  <c r="L297" i="46"/>
  <c r="E297" i="46"/>
  <c r="D297" i="46"/>
  <c r="C297" i="46"/>
  <c r="B297" i="46"/>
  <c r="A297" i="46"/>
  <c r="M296" i="46"/>
  <c r="L296" i="46"/>
  <c r="E296" i="46"/>
  <c r="D296" i="46"/>
  <c r="C296" i="46"/>
  <c r="AS296" i="46" s="1"/>
  <c r="B296" i="46"/>
  <c r="A296" i="46"/>
  <c r="M295" i="46"/>
  <c r="L295" i="46"/>
  <c r="E295" i="46"/>
  <c r="D295" i="46"/>
  <c r="C295" i="46"/>
  <c r="B295" i="46"/>
  <c r="A295" i="46"/>
  <c r="M294" i="46"/>
  <c r="L294" i="46"/>
  <c r="E294" i="46"/>
  <c r="D294" i="46"/>
  <c r="C294" i="46"/>
  <c r="B294" i="46"/>
  <c r="A294" i="46"/>
  <c r="M293" i="46"/>
  <c r="L293" i="46"/>
  <c r="E293" i="46"/>
  <c r="D293" i="46"/>
  <c r="C293" i="46"/>
  <c r="B293" i="46"/>
  <c r="A293" i="46"/>
  <c r="M292" i="46"/>
  <c r="L292" i="46"/>
  <c r="E292" i="46"/>
  <c r="D292" i="46"/>
  <c r="C292" i="46"/>
  <c r="AS292" i="46" s="1"/>
  <c r="B292" i="46"/>
  <c r="A292" i="46"/>
  <c r="M291" i="46"/>
  <c r="L291" i="46"/>
  <c r="E291" i="46"/>
  <c r="D291" i="46"/>
  <c r="C291" i="46"/>
  <c r="AS291" i="46" s="1"/>
  <c r="B291" i="46"/>
  <c r="A291" i="46"/>
  <c r="M290" i="46"/>
  <c r="L290" i="46"/>
  <c r="E290" i="46"/>
  <c r="D290" i="46"/>
  <c r="C290" i="46"/>
  <c r="AS290" i="46" s="1"/>
  <c r="B290" i="46"/>
  <c r="A290" i="46"/>
  <c r="M289" i="46"/>
  <c r="L289" i="46"/>
  <c r="E289" i="46"/>
  <c r="D289" i="46"/>
  <c r="C289" i="46"/>
  <c r="B289" i="46"/>
  <c r="A289" i="46"/>
  <c r="M288" i="46"/>
  <c r="L288" i="46"/>
  <c r="E288" i="46"/>
  <c r="D288" i="46"/>
  <c r="C288" i="46"/>
  <c r="B288" i="46"/>
  <c r="A288" i="46"/>
  <c r="M287" i="46"/>
  <c r="L287" i="46"/>
  <c r="E287" i="46"/>
  <c r="D287" i="46"/>
  <c r="C287" i="46"/>
  <c r="B287" i="46"/>
  <c r="A287" i="46"/>
  <c r="M286" i="46"/>
  <c r="L286" i="46"/>
  <c r="E286" i="46"/>
  <c r="D286" i="46"/>
  <c r="C286" i="46"/>
  <c r="AS286" i="46" s="1"/>
  <c r="B286" i="46"/>
  <c r="A286" i="46"/>
  <c r="M285" i="46"/>
  <c r="L285" i="46"/>
  <c r="E285" i="46"/>
  <c r="D285" i="46"/>
  <c r="C285" i="46"/>
  <c r="AS285" i="46" s="1"/>
  <c r="B285" i="46"/>
  <c r="A285" i="46"/>
  <c r="M284" i="46"/>
  <c r="L284" i="46"/>
  <c r="E284" i="46"/>
  <c r="D284" i="46"/>
  <c r="C284" i="46"/>
  <c r="AS284" i="46" s="1"/>
  <c r="B284" i="46"/>
  <c r="A284" i="46"/>
  <c r="M283" i="46"/>
  <c r="L283" i="46"/>
  <c r="E283" i="46"/>
  <c r="D283" i="46"/>
  <c r="C283" i="46"/>
  <c r="AS283" i="46" s="1"/>
  <c r="B283" i="46"/>
  <c r="A283" i="46"/>
  <c r="M282" i="46"/>
  <c r="L282" i="46"/>
  <c r="E282" i="46"/>
  <c r="D282" i="46"/>
  <c r="C282" i="46"/>
  <c r="AT282" i="46" s="1"/>
  <c r="B282" i="46"/>
  <c r="A282" i="46"/>
  <c r="M281" i="46"/>
  <c r="L281" i="46"/>
  <c r="E281" i="46"/>
  <c r="D281" i="46"/>
  <c r="C281" i="46"/>
  <c r="AS281" i="46" s="1"/>
  <c r="B281" i="46"/>
  <c r="A281" i="46"/>
  <c r="M280" i="46"/>
  <c r="L280" i="46"/>
  <c r="E280" i="46"/>
  <c r="D280" i="46"/>
  <c r="C280" i="46"/>
  <c r="AS280" i="46" s="1"/>
  <c r="B280" i="46"/>
  <c r="A280" i="46"/>
  <c r="M279" i="46"/>
  <c r="L279" i="46"/>
  <c r="E279" i="46"/>
  <c r="D279" i="46"/>
  <c r="C279" i="46"/>
  <c r="B279" i="46"/>
  <c r="A279" i="46"/>
  <c r="M278" i="46"/>
  <c r="L278" i="46"/>
  <c r="E278" i="46"/>
  <c r="D278" i="46"/>
  <c r="C278" i="46"/>
  <c r="B278" i="46"/>
  <c r="A278" i="46"/>
  <c r="M277" i="46"/>
  <c r="L277" i="46"/>
  <c r="E277" i="46"/>
  <c r="D277" i="46"/>
  <c r="C277" i="46"/>
  <c r="B277" i="46"/>
  <c r="A277" i="46"/>
  <c r="M276" i="46"/>
  <c r="L276" i="46"/>
  <c r="E276" i="46"/>
  <c r="D276" i="46"/>
  <c r="C276" i="46"/>
  <c r="AS276" i="46" s="1"/>
  <c r="B276" i="46"/>
  <c r="A276" i="46"/>
  <c r="M275" i="46"/>
  <c r="L275" i="46"/>
  <c r="E275" i="46"/>
  <c r="D275" i="46"/>
  <c r="C275" i="46"/>
  <c r="AS275" i="46" s="1"/>
  <c r="B275" i="46"/>
  <c r="A275" i="46"/>
  <c r="M274" i="46"/>
  <c r="L274" i="46"/>
  <c r="E274" i="46"/>
  <c r="D274" i="46"/>
  <c r="C274" i="46"/>
  <c r="AS274" i="46" s="1"/>
  <c r="B274" i="46"/>
  <c r="A274" i="46"/>
  <c r="M273" i="46"/>
  <c r="L273" i="46"/>
  <c r="E273" i="46"/>
  <c r="D273" i="46"/>
  <c r="C273" i="46"/>
  <c r="B273" i="46"/>
  <c r="A273" i="46"/>
  <c r="M272" i="46"/>
  <c r="L272" i="46"/>
  <c r="E272" i="46"/>
  <c r="D272" i="46"/>
  <c r="C272" i="46"/>
  <c r="B272" i="46"/>
  <c r="A272" i="46"/>
  <c r="M271" i="46"/>
  <c r="L271" i="46"/>
  <c r="E271" i="46"/>
  <c r="D271" i="46"/>
  <c r="C271" i="46"/>
  <c r="AS271" i="46" s="1"/>
  <c r="B271" i="46"/>
  <c r="A271" i="46"/>
  <c r="M270" i="46"/>
  <c r="L270" i="46"/>
  <c r="E270" i="46"/>
  <c r="D270" i="46"/>
  <c r="C270" i="46"/>
  <c r="AS270" i="46" s="1"/>
  <c r="B270" i="46"/>
  <c r="A270" i="46"/>
  <c r="M269" i="46"/>
  <c r="L269" i="46"/>
  <c r="E269" i="46"/>
  <c r="D269" i="46"/>
  <c r="C269" i="46"/>
  <c r="B269" i="46"/>
  <c r="A269" i="46"/>
  <c r="M268" i="46"/>
  <c r="L268" i="46"/>
  <c r="E268" i="46"/>
  <c r="D268" i="46"/>
  <c r="C268" i="46"/>
  <c r="AS268" i="46" s="1"/>
  <c r="B268" i="46"/>
  <c r="A268" i="46"/>
  <c r="M267" i="46"/>
  <c r="L267" i="46"/>
  <c r="E267" i="46"/>
  <c r="D267" i="46"/>
  <c r="C267" i="46"/>
  <c r="B267" i="46"/>
  <c r="A267" i="46"/>
  <c r="M266" i="46"/>
  <c r="L266" i="46"/>
  <c r="E266" i="46"/>
  <c r="D266" i="46"/>
  <c r="C266" i="46"/>
  <c r="AS266" i="46" s="1"/>
  <c r="B266" i="46"/>
  <c r="A266" i="46"/>
  <c r="M265" i="46"/>
  <c r="L265" i="46"/>
  <c r="E265" i="46"/>
  <c r="D265" i="46"/>
  <c r="C265" i="46"/>
  <c r="AS265" i="46" s="1"/>
  <c r="B265" i="46"/>
  <c r="A265" i="46"/>
  <c r="M264" i="46"/>
  <c r="L264" i="46"/>
  <c r="E264" i="46"/>
  <c r="D264" i="46"/>
  <c r="C264" i="46"/>
  <c r="B264" i="46"/>
  <c r="A264" i="46"/>
  <c r="M263" i="46"/>
  <c r="L263" i="46"/>
  <c r="E263" i="46"/>
  <c r="D263" i="46"/>
  <c r="C263" i="46"/>
  <c r="AS263" i="46" s="1"/>
  <c r="B263" i="46"/>
  <c r="A263" i="46"/>
  <c r="M262" i="46"/>
  <c r="L262" i="46"/>
  <c r="E262" i="46"/>
  <c r="D262" i="46"/>
  <c r="C262" i="46"/>
  <c r="B262" i="46"/>
  <c r="A262" i="46"/>
  <c r="M261" i="46"/>
  <c r="L261" i="46"/>
  <c r="E261" i="46"/>
  <c r="D261" i="46"/>
  <c r="C261" i="46"/>
  <c r="AS261" i="46" s="1"/>
  <c r="B261" i="46"/>
  <c r="A261" i="46"/>
  <c r="M260" i="46"/>
  <c r="L260" i="46"/>
  <c r="E260" i="46"/>
  <c r="D260" i="46"/>
  <c r="C260" i="46"/>
  <c r="AS260" i="46" s="1"/>
  <c r="B260" i="46"/>
  <c r="A260" i="46"/>
  <c r="M259" i="46"/>
  <c r="L259" i="46"/>
  <c r="E259" i="46"/>
  <c r="D259" i="46"/>
  <c r="C259" i="46"/>
  <c r="AS259" i="46" s="1"/>
  <c r="B259" i="46"/>
  <c r="A259" i="46"/>
  <c r="M258" i="46"/>
  <c r="L258" i="46"/>
  <c r="E258" i="46"/>
  <c r="D258" i="46"/>
  <c r="C258" i="46"/>
  <c r="AS258" i="46" s="1"/>
  <c r="B258" i="46"/>
  <c r="A258" i="46"/>
  <c r="M257" i="46"/>
  <c r="L257" i="46"/>
  <c r="E257" i="46"/>
  <c r="D257" i="46"/>
  <c r="C257" i="46"/>
  <c r="B257" i="46"/>
  <c r="A257" i="46"/>
  <c r="M256" i="46"/>
  <c r="L256" i="46"/>
  <c r="E256" i="46"/>
  <c r="D256" i="46"/>
  <c r="C256" i="46"/>
  <c r="B256" i="46"/>
  <c r="A256" i="46"/>
  <c r="M255" i="46"/>
  <c r="L255" i="46"/>
  <c r="E255" i="46"/>
  <c r="D255" i="46"/>
  <c r="C255" i="46"/>
  <c r="B255" i="46"/>
  <c r="A255" i="46"/>
  <c r="M254" i="46"/>
  <c r="L254" i="46"/>
  <c r="E254" i="46"/>
  <c r="D254" i="46"/>
  <c r="C254" i="46"/>
  <c r="AS254" i="46" s="1"/>
  <c r="B254" i="46"/>
  <c r="A254" i="46"/>
  <c r="M253" i="46"/>
  <c r="L253" i="46"/>
  <c r="E253" i="46"/>
  <c r="D253" i="46"/>
  <c r="C253" i="46"/>
  <c r="AS253" i="46" s="1"/>
  <c r="B253" i="46"/>
  <c r="A253" i="46"/>
  <c r="M252" i="46"/>
  <c r="L252" i="46"/>
  <c r="E252" i="46"/>
  <c r="D252" i="46"/>
  <c r="C252" i="46"/>
  <c r="B252" i="46"/>
  <c r="A252" i="46"/>
  <c r="M251" i="46"/>
  <c r="L251" i="46"/>
  <c r="E251" i="46"/>
  <c r="D251" i="46"/>
  <c r="C251" i="46"/>
  <c r="B251" i="46"/>
  <c r="A251" i="46"/>
  <c r="M250" i="46"/>
  <c r="L250" i="46"/>
  <c r="E250" i="46"/>
  <c r="D250" i="46"/>
  <c r="C250" i="46"/>
  <c r="AS250" i="46" s="1"/>
  <c r="B250" i="46"/>
  <c r="A250" i="46"/>
  <c r="M249" i="46"/>
  <c r="L249" i="46"/>
  <c r="E249" i="46"/>
  <c r="D249" i="46"/>
  <c r="C249" i="46"/>
  <c r="B249" i="46"/>
  <c r="A249" i="46"/>
  <c r="M248" i="46"/>
  <c r="L248" i="46"/>
  <c r="E248" i="46"/>
  <c r="D248" i="46"/>
  <c r="C248" i="46"/>
  <c r="B248" i="46"/>
  <c r="A248" i="46"/>
  <c r="M247" i="46"/>
  <c r="L247" i="46"/>
  <c r="E247" i="46"/>
  <c r="D247" i="46"/>
  <c r="C247" i="46"/>
  <c r="B247" i="46"/>
  <c r="A247" i="46"/>
  <c r="M246" i="46"/>
  <c r="L246" i="46"/>
  <c r="E246" i="46"/>
  <c r="D246" i="46"/>
  <c r="C246" i="46"/>
  <c r="B246" i="46"/>
  <c r="A246" i="46"/>
  <c r="M245" i="46"/>
  <c r="L245" i="46"/>
  <c r="E245" i="46"/>
  <c r="D245" i="46"/>
  <c r="C245" i="46"/>
  <c r="AS245" i="46" s="1"/>
  <c r="B245" i="46"/>
  <c r="A245" i="46"/>
  <c r="M244" i="46"/>
  <c r="L244" i="46"/>
  <c r="E244" i="46"/>
  <c r="D244" i="46"/>
  <c r="C244" i="46"/>
  <c r="B244" i="46"/>
  <c r="A244" i="46"/>
  <c r="M243" i="46"/>
  <c r="L243" i="46"/>
  <c r="E243" i="46"/>
  <c r="D243" i="46"/>
  <c r="C243" i="46"/>
  <c r="B243" i="46"/>
  <c r="A243" i="46"/>
  <c r="M242" i="46"/>
  <c r="L242" i="46"/>
  <c r="E242" i="46"/>
  <c r="D242" i="46"/>
  <c r="C242" i="46"/>
  <c r="AS242" i="46" s="1"/>
  <c r="B242" i="46"/>
  <c r="A242" i="46"/>
  <c r="M241" i="46"/>
  <c r="L241" i="46"/>
  <c r="E241" i="46"/>
  <c r="D241" i="46"/>
  <c r="C241" i="46"/>
  <c r="B241" i="46"/>
  <c r="A241" i="46"/>
  <c r="M240" i="46"/>
  <c r="L240" i="46"/>
  <c r="E240" i="46"/>
  <c r="D240" i="46"/>
  <c r="C240" i="46"/>
  <c r="B240" i="46"/>
  <c r="A240" i="46"/>
  <c r="M239" i="46"/>
  <c r="L239" i="46"/>
  <c r="E239" i="46"/>
  <c r="D239" i="46"/>
  <c r="C239" i="46"/>
  <c r="B239" i="46"/>
  <c r="A239" i="46"/>
  <c r="M238" i="46"/>
  <c r="L238" i="46"/>
  <c r="E238" i="46"/>
  <c r="D238" i="46"/>
  <c r="C238" i="46"/>
  <c r="AS238" i="46" s="1"/>
  <c r="B238" i="46"/>
  <c r="A238" i="46"/>
  <c r="M237" i="46"/>
  <c r="L237" i="46"/>
  <c r="E237" i="46"/>
  <c r="D237" i="46"/>
  <c r="C237" i="46"/>
  <c r="AS237" i="46" s="1"/>
  <c r="B237" i="46"/>
  <c r="A237" i="46"/>
  <c r="M236" i="46"/>
  <c r="L236" i="46"/>
  <c r="E236" i="46"/>
  <c r="D236" i="46"/>
  <c r="C236" i="46"/>
  <c r="AS236" i="46" s="1"/>
  <c r="B236" i="46"/>
  <c r="A236" i="46"/>
  <c r="M235" i="46"/>
  <c r="L235" i="46"/>
  <c r="E235" i="46"/>
  <c r="D235" i="46"/>
  <c r="C235" i="46"/>
  <c r="B235" i="46"/>
  <c r="A235" i="46"/>
  <c r="M234" i="46"/>
  <c r="L234" i="46"/>
  <c r="E234" i="46"/>
  <c r="D234" i="46"/>
  <c r="C234" i="46"/>
  <c r="AS234" i="46" s="1"/>
  <c r="B234" i="46"/>
  <c r="A234" i="46"/>
  <c r="M233" i="46"/>
  <c r="L233" i="46"/>
  <c r="E233" i="46"/>
  <c r="D233" i="46"/>
  <c r="C233" i="46"/>
  <c r="AS233" i="46" s="1"/>
  <c r="B233" i="46"/>
  <c r="A233" i="46"/>
  <c r="M232" i="46"/>
  <c r="L232" i="46"/>
  <c r="E232" i="46"/>
  <c r="D232" i="46"/>
  <c r="C232" i="46"/>
  <c r="B232" i="46"/>
  <c r="A232" i="46"/>
  <c r="M231" i="46"/>
  <c r="L231" i="46"/>
  <c r="E231" i="46"/>
  <c r="D231" i="46"/>
  <c r="C231" i="46"/>
  <c r="AS231" i="46" s="1"/>
  <c r="B231" i="46"/>
  <c r="A231" i="46"/>
  <c r="M230" i="46"/>
  <c r="L230" i="46"/>
  <c r="E230" i="46"/>
  <c r="D230" i="46"/>
  <c r="C230" i="46"/>
  <c r="AS230" i="46" s="1"/>
  <c r="B230" i="46"/>
  <c r="A230" i="46"/>
  <c r="M229" i="46"/>
  <c r="L229" i="46"/>
  <c r="E229" i="46"/>
  <c r="D229" i="46"/>
  <c r="C229" i="46"/>
  <c r="AS229" i="46" s="1"/>
  <c r="B229" i="46"/>
  <c r="A229" i="46"/>
  <c r="M228" i="46"/>
  <c r="L228" i="46"/>
  <c r="E228" i="46"/>
  <c r="D228" i="46"/>
  <c r="C228" i="46"/>
  <c r="B228" i="46"/>
  <c r="A228" i="46"/>
  <c r="M227" i="46"/>
  <c r="L227" i="46"/>
  <c r="E227" i="46"/>
  <c r="D227" i="46"/>
  <c r="C227" i="46"/>
  <c r="AS227" i="46" s="1"/>
  <c r="B227" i="46"/>
  <c r="A227" i="46"/>
  <c r="M226" i="46"/>
  <c r="L226" i="46"/>
  <c r="E226" i="46"/>
  <c r="D226" i="46"/>
  <c r="C226" i="46"/>
  <c r="AS226" i="46" s="1"/>
  <c r="B226" i="46"/>
  <c r="A226" i="46"/>
  <c r="M225" i="46"/>
  <c r="L225" i="46"/>
  <c r="E225" i="46"/>
  <c r="D225" i="46"/>
  <c r="C225" i="46"/>
  <c r="B225" i="46"/>
  <c r="A225" i="46"/>
  <c r="M224" i="46"/>
  <c r="L224" i="46"/>
  <c r="E224" i="46"/>
  <c r="D224" i="46"/>
  <c r="C224" i="46"/>
  <c r="AS224" i="46" s="1"/>
  <c r="B224" i="46"/>
  <c r="A224" i="46"/>
  <c r="M223" i="46"/>
  <c r="L223" i="46"/>
  <c r="E223" i="46"/>
  <c r="D223" i="46"/>
  <c r="C223" i="46"/>
  <c r="B223" i="46"/>
  <c r="A223" i="46"/>
  <c r="M222" i="46"/>
  <c r="L222" i="46"/>
  <c r="E222" i="46"/>
  <c r="D222" i="46"/>
  <c r="C222" i="46"/>
  <c r="AS222" i="46" s="1"/>
  <c r="B222" i="46"/>
  <c r="A222" i="46"/>
  <c r="M221" i="46"/>
  <c r="L221" i="46"/>
  <c r="E221" i="46"/>
  <c r="D221" i="46"/>
  <c r="C221" i="46"/>
  <c r="AS221" i="46" s="1"/>
  <c r="B221" i="46"/>
  <c r="A221" i="46"/>
  <c r="M220" i="46"/>
  <c r="L220" i="46"/>
  <c r="E220" i="46"/>
  <c r="D220" i="46"/>
  <c r="C220" i="46"/>
  <c r="AS220" i="46" s="1"/>
  <c r="B220" i="46"/>
  <c r="A220" i="46"/>
  <c r="M219" i="46"/>
  <c r="L219" i="46"/>
  <c r="E219" i="46"/>
  <c r="D219" i="46"/>
  <c r="C219" i="46"/>
  <c r="AS219" i="46" s="1"/>
  <c r="B219" i="46"/>
  <c r="A219" i="46"/>
  <c r="M218" i="46"/>
  <c r="L218" i="46"/>
  <c r="E218" i="46"/>
  <c r="D218" i="46"/>
  <c r="C218" i="46"/>
  <c r="AS218" i="46" s="1"/>
  <c r="B218" i="46"/>
  <c r="A218" i="46"/>
  <c r="M217" i="46"/>
  <c r="L217" i="46"/>
  <c r="E217" i="46"/>
  <c r="D217" i="46"/>
  <c r="C217" i="46"/>
  <c r="AS217" i="46" s="1"/>
  <c r="B217" i="46"/>
  <c r="A217" i="46"/>
  <c r="M216" i="46"/>
  <c r="L216" i="46"/>
  <c r="E216" i="46"/>
  <c r="D216" i="46"/>
  <c r="C216" i="46"/>
  <c r="B216" i="46"/>
  <c r="A216" i="46"/>
  <c r="M215" i="46"/>
  <c r="L215" i="46"/>
  <c r="E215" i="46"/>
  <c r="D215" i="46"/>
  <c r="C215" i="46"/>
  <c r="B215" i="46"/>
  <c r="A215" i="46"/>
  <c r="M214" i="46"/>
  <c r="L214" i="46"/>
  <c r="E214" i="46"/>
  <c r="D214" i="46"/>
  <c r="C214" i="46"/>
  <c r="AS214" i="46" s="1"/>
  <c r="B214" i="46"/>
  <c r="A214" i="46"/>
  <c r="M213" i="46"/>
  <c r="L213" i="46"/>
  <c r="E213" i="46"/>
  <c r="D213" i="46"/>
  <c r="C213" i="46"/>
  <c r="AS213" i="46" s="1"/>
  <c r="B213" i="46"/>
  <c r="A213" i="46"/>
  <c r="M212" i="46"/>
  <c r="L212" i="46"/>
  <c r="E212" i="46"/>
  <c r="D212" i="46"/>
  <c r="C212" i="46"/>
  <c r="AS212" i="46" s="1"/>
  <c r="B212" i="46"/>
  <c r="A212" i="46"/>
  <c r="M211" i="46"/>
  <c r="L211" i="46"/>
  <c r="E211" i="46"/>
  <c r="D211" i="46"/>
  <c r="C211" i="46"/>
  <c r="B211" i="46"/>
  <c r="A211" i="46"/>
  <c r="M210" i="46"/>
  <c r="L210" i="46"/>
  <c r="E210" i="46"/>
  <c r="D210" i="46"/>
  <c r="C210" i="46"/>
  <c r="AS210" i="46" s="1"/>
  <c r="B210" i="46"/>
  <c r="A210" i="46"/>
  <c r="M209" i="46"/>
  <c r="L209" i="46"/>
  <c r="E209" i="46"/>
  <c r="D209" i="46"/>
  <c r="C209" i="46"/>
  <c r="B209" i="46"/>
  <c r="A209" i="46"/>
  <c r="M208" i="46"/>
  <c r="L208" i="46"/>
  <c r="E208" i="46"/>
  <c r="D208" i="46"/>
  <c r="C208" i="46"/>
  <c r="B208" i="46"/>
  <c r="A208" i="46"/>
  <c r="M207" i="46"/>
  <c r="L207" i="46"/>
  <c r="E207" i="46"/>
  <c r="D207" i="46"/>
  <c r="C207" i="46"/>
  <c r="AS207" i="46" s="1"/>
  <c r="B207" i="46"/>
  <c r="A207" i="46"/>
  <c r="M206" i="46"/>
  <c r="L206" i="46"/>
  <c r="E206" i="46"/>
  <c r="D206" i="46"/>
  <c r="C206" i="46"/>
  <c r="B206" i="46"/>
  <c r="A206" i="46"/>
  <c r="M205" i="46"/>
  <c r="L205" i="46"/>
  <c r="E205" i="46"/>
  <c r="D205" i="46"/>
  <c r="C205" i="46"/>
  <c r="AS205" i="46" s="1"/>
  <c r="B205" i="46"/>
  <c r="A205" i="46"/>
  <c r="M204" i="46"/>
  <c r="L204" i="46"/>
  <c r="E204" i="46"/>
  <c r="D204" i="46"/>
  <c r="C204" i="46"/>
  <c r="B204" i="46"/>
  <c r="A204" i="46"/>
  <c r="M203" i="46"/>
  <c r="L203" i="46"/>
  <c r="E203" i="46"/>
  <c r="D203" i="46"/>
  <c r="C203" i="46"/>
  <c r="B203" i="46"/>
  <c r="A203" i="46"/>
  <c r="M202" i="46"/>
  <c r="L202" i="46"/>
  <c r="E202" i="46"/>
  <c r="D202" i="46"/>
  <c r="C202" i="46"/>
  <c r="AS202" i="46" s="1"/>
  <c r="B202" i="46"/>
  <c r="A202" i="46"/>
  <c r="M201" i="46"/>
  <c r="L201" i="46"/>
  <c r="E201" i="46"/>
  <c r="D201" i="46"/>
  <c r="C201" i="46"/>
  <c r="AS201" i="46" s="1"/>
  <c r="B201" i="46"/>
  <c r="A201" i="46"/>
  <c r="M200" i="46"/>
  <c r="L200" i="46"/>
  <c r="E200" i="46"/>
  <c r="D200" i="46"/>
  <c r="C200" i="46"/>
  <c r="B200" i="46"/>
  <c r="A200" i="46"/>
  <c r="M199" i="46"/>
  <c r="L199" i="46"/>
  <c r="E199" i="46"/>
  <c r="D199" i="46"/>
  <c r="C199" i="46"/>
  <c r="AS199" i="46" s="1"/>
  <c r="B199" i="46"/>
  <c r="A199" i="46"/>
  <c r="M198" i="46"/>
  <c r="L198" i="46"/>
  <c r="E198" i="46"/>
  <c r="D198" i="46"/>
  <c r="C198" i="46"/>
  <c r="AS198" i="46" s="1"/>
  <c r="B198" i="46"/>
  <c r="A198" i="46"/>
  <c r="M197" i="46"/>
  <c r="L197" i="46"/>
  <c r="E197" i="46"/>
  <c r="D197" i="46"/>
  <c r="C197" i="46"/>
  <c r="B197" i="46"/>
  <c r="A197" i="46"/>
  <c r="M196" i="46"/>
  <c r="L196" i="46"/>
  <c r="E196" i="46"/>
  <c r="D196" i="46"/>
  <c r="C196" i="46"/>
  <c r="B196" i="46"/>
  <c r="A196" i="46"/>
  <c r="M195" i="46"/>
  <c r="L195" i="46"/>
  <c r="E195" i="46"/>
  <c r="D195" i="46"/>
  <c r="C195" i="46"/>
  <c r="B195" i="46"/>
  <c r="A195" i="46"/>
  <c r="M194" i="46"/>
  <c r="L194" i="46"/>
  <c r="E194" i="46"/>
  <c r="D194" i="46"/>
  <c r="C194" i="46"/>
  <c r="AS194" i="46" s="1"/>
  <c r="B194" i="46"/>
  <c r="A194" i="46"/>
  <c r="M193" i="46"/>
  <c r="L193" i="46"/>
  <c r="E193" i="46"/>
  <c r="D193" i="46"/>
  <c r="C193" i="46"/>
  <c r="AS193" i="46" s="1"/>
  <c r="B193" i="46"/>
  <c r="A193" i="46"/>
  <c r="M192" i="46"/>
  <c r="L192" i="46"/>
  <c r="E192" i="46"/>
  <c r="D192" i="46"/>
  <c r="C192" i="46"/>
  <c r="AS192" i="46" s="1"/>
  <c r="B192" i="46"/>
  <c r="A192" i="46"/>
  <c r="M191" i="46"/>
  <c r="L191" i="46"/>
  <c r="E191" i="46"/>
  <c r="D191" i="46"/>
  <c r="C191" i="46"/>
  <c r="AS191" i="46" s="1"/>
  <c r="B191" i="46"/>
  <c r="A191" i="46"/>
  <c r="M190" i="46"/>
  <c r="L190" i="46"/>
  <c r="E190" i="46"/>
  <c r="D190" i="46"/>
  <c r="C190" i="46"/>
  <c r="AS190" i="46" s="1"/>
  <c r="B190" i="46"/>
  <c r="A190" i="46"/>
  <c r="M189" i="46"/>
  <c r="L189" i="46"/>
  <c r="E189" i="46"/>
  <c r="D189" i="46"/>
  <c r="C189" i="46"/>
  <c r="B189" i="46"/>
  <c r="A189" i="46"/>
  <c r="M188" i="46"/>
  <c r="L188" i="46"/>
  <c r="E188" i="46"/>
  <c r="D188" i="46"/>
  <c r="C188" i="46"/>
  <c r="B188" i="46"/>
  <c r="A188" i="46"/>
  <c r="M187" i="46"/>
  <c r="L187" i="46"/>
  <c r="E187" i="46"/>
  <c r="D187" i="46"/>
  <c r="C187" i="46"/>
  <c r="B187" i="46"/>
  <c r="A187" i="46"/>
  <c r="M186" i="46"/>
  <c r="L186" i="46"/>
  <c r="E186" i="46"/>
  <c r="D186" i="46"/>
  <c r="C186" i="46"/>
  <c r="AS186" i="46" s="1"/>
  <c r="B186" i="46"/>
  <c r="A186" i="46"/>
  <c r="M185" i="46"/>
  <c r="L185" i="46"/>
  <c r="E185" i="46"/>
  <c r="D185" i="46"/>
  <c r="C185" i="46"/>
  <c r="AS185" i="46" s="1"/>
  <c r="B185" i="46"/>
  <c r="A185" i="46"/>
  <c r="M184" i="46"/>
  <c r="L184" i="46"/>
  <c r="E184" i="46"/>
  <c r="D184" i="46"/>
  <c r="C184" i="46"/>
  <c r="B184" i="46"/>
  <c r="A184" i="46"/>
  <c r="M183" i="46"/>
  <c r="L183" i="46"/>
  <c r="E183" i="46"/>
  <c r="D183" i="46"/>
  <c r="C183" i="46"/>
  <c r="B183" i="46"/>
  <c r="A183" i="46"/>
  <c r="M182" i="46"/>
  <c r="L182" i="46"/>
  <c r="E182" i="46"/>
  <c r="D182" i="46"/>
  <c r="C182" i="46"/>
  <c r="AS182" i="46" s="1"/>
  <c r="B182" i="46"/>
  <c r="A182" i="46"/>
  <c r="M181" i="46"/>
  <c r="L181" i="46"/>
  <c r="E181" i="46"/>
  <c r="D181" i="46"/>
  <c r="C181" i="46"/>
  <c r="B181" i="46"/>
  <c r="A181" i="46"/>
  <c r="M180" i="46"/>
  <c r="L180" i="46"/>
  <c r="E180" i="46"/>
  <c r="D180" i="46"/>
  <c r="C180" i="46"/>
  <c r="B180" i="46"/>
  <c r="A180" i="46"/>
  <c r="M179" i="46"/>
  <c r="L179" i="46"/>
  <c r="E179" i="46"/>
  <c r="D179" i="46"/>
  <c r="C179" i="46"/>
  <c r="AS179" i="46" s="1"/>
  <c r="B179" i="46"/>
  <c r="A179" i="46"/>
  <c r="M178" i="46"/>
  <c r="L178" i="46"/>
  <c r="E178" i="46"/>
  <c r="D178" i="46"/>
  <c r="C178" i="46"/>
  <c r="AS178" i="46" s="1"/>
  <c r="B178" i="46"/>
  <c r="A178" i="46"/>
  <c r="M177" i="46"/>
  <c r="L177" i="46"/>
  <c r="E177" i="46"/>
  <c r="D177" i="46"/>
  <c r="C177" i="46"/>
  <c r="AS177" i="46" s="1"/>
  <c r="B177" i="46"/>
  <c r="A177" i="46"/>
  <c r="M176" i="46"/>
  <c r="L176" i="46"/>
  <c r="E176" i="46"/>
  <c r="D176" i="46"/>
  <c r="C176" i="46"/>
  <c r="B176" i="46"/>
  <c r="A176" i="46"/>
  <c r="M175" i="46"/>
  <c r="L175" i="46"/>
  <c r="E175" i="46"/>
  <c r="D175" i="46"/>
  <c r="C175" i="46"/>
  <c r="AS175" i="46" s="1"/>
  <c r="B175" i="46"/>
  <c r="A175" i="46"/>
  <c r="M174" i="46"/>
  <c r="L174" i="46"/>
  <c r="E174" i="46"/>
  <c r="D174" i="46"/>
  <c r="C174" i="46"/>
  <c r="AS174" i="46" s="1"/>
  <c r="B174" i="46"/>
  <c r="A174" i="46"/>
  <c r="M173" i="46"/>
  <c r="L173" i="46"/>
  <c r="E173" i="46"/>
  <c r="D173" i="46"/>
  <c r="C173" i="46"/>
  <c r="B173" i="46"/>
  <c r="A173" i="46"/>
  <c r="M172" i="46"/>
  <c r="L172" i="46"/>
  <c r="E172" i="46"/>
  <c r="D172" i="46"/>
  <c r="C172" i="46"/>
  <c r="B172" i="46"/>
  <c r="A172" i="46"/>
  <c r="M171" i="46"/>
  <c r="L171" i="46"/>
  <c r="E171" i="46"/>
  <c r="D171" i="46"/>
  <c r="C171" i="46"/>
  <c r="B171" i="46"/>
  <c r="A171" i="46"/>
  <c r="M170" i="46"/>
  <c r="L170" i="46"/>
  <c r="E170" i="46"/>
  <c r="D170" i="46"/>
  <c r="C170" i="46"/>
  <c r="AS170" i="46" s="1"/>
  <c r="B170" i="46"/>
  <c r="A170" i="46"/>
  <c r="M169" i="46"/>
  <c r="L169" i="46"/>
  <c r="E169" i="46"/>
  <c r="D169" i="46"/>
  <c r="C169" i="46"/>
  <c r="AS169" i="46" s="1"/>
  <c r="B169" i="46"/>
  <c r="A169" i="46"/>
  <c r="M168" i="46"/>
  <c r="L168" i="46"/>
  <c r="E168" i="46"/>
  <c r="D168" i="46"/>
  <c r="C168" i="46"/>
  <c r="AS168" i="46" s="1"/>
  <c r="B168" i="46"/>
  <c r="A168" i="46"/>
  <c r="M167" i="46"/>
  <c r="L167" i="46"/>
  <c r="E167" i="46"/>
  <c r="D167" i="46"/>
  <c r="C167" i="46"/>
  <c r="B167" i="46"/>
  <c r="A167" i="46"/>
  <c r="M166" i="46"/>
  <c r="L166" i="46"/>
  <c r="E166" i="46"/>
  <c r="D166" i="46"/>
  <c r="C166" i="46"/>
  <c r="B166" i="46"/>
  <c r="A166" i="46"/>
  <c r="M165" i="46"/>
  <c r="L165" i="46"/>
  <c r="E165" i="46"/>
  <c r="D165" i="46"/>
  <c r="C165" i="46"/>
  <c r="B165" i="46"/>
  <c r="A165" i="46"/>
  <c r="M164" i="46"/>
  <c r="L164" i="46"/>
  <c r="E164" i="46"/>
  <c r="D164" i="46"/>
  <c r="C164" i="46"/>
  <c r="B164" i="46"/>
  <c r="A164" i="46"/>
  <c r="M163" i="46"/>
  <c r="L163" i="46"/>
  <c r="E163" i="46"/>
  <c r="D163" i="46"/>
  <c r="C163" i="46"/>
  <c r="B163" i="46"/>
  <c r="A163" i="46"/>
  <c r="M162" i="46"/>
  <c r="L162" i="46"/>
  <c r="E162" i="46"/>
  <c r="D162" i="46"/>
  <c r="C162" i="46"/>
  <c r="B162" i="46"/>
  <c r="A162" i="46"/>
  <c r="M161" i="46"/>
  <c r="L161" i="46"/>
  <c r="E161" i="46"/>
  <c r="D161" i="46"/>
  <c r="C161" i="46"/>
  <c r="AS161" i="46" s="1"/>
  <c r="B161" i="46"/>
  <c r="A161" i="46"/>
  <c r="M160" i="46"/>
  <c r="L160" i="46"/>
  <c r="E160" i="46"/>
  <c r="D160" i="46"/>
  <c r="C160" i="46"/>
  <c r="B160" i="46"/>
  <c r="A160" i="46"/>
  <c r="M159" i="46"/>
  <c r="L159" i="46"/>
  <c r="E159" i="46"/>
  <c r="D159" i="46"/>
  <c r="C159" i="46"/>
  <c r="B159" i="46"/>
  <c r="A159" i="46"/>
  <c r="M158" i="46"/>
  <c r="L158" i="46"/>
  <c r="E158" i="46"/>
  <c r="D158" i="46"/>
  <c r="C158" i="46"/>
  <c r="AS158" i="46" s="1"/>
  <c r="B158" i="46"/>
  <c r="A158" i="46"/>
  <c r="M157" i="46"/>
  <c r="L157" i="46"/>
  <c r="E157" i="46"/>
  <c r="D157" i="46"/>
  <c r="C157" i="46"/>
  <c r="B157" i="46"/>
  <c r="A157" i="46"/>
  <c r="M156" i="46"/>
  <c r="L156" i="46"/>
  <c r="E156" i="46"/>
  <c r="D156" i="46"/>
  <c r="C156" i="46"/>
  <c r="B156" i="46"/>
  <c r="A156" i="46"/>
  <c r="M155" i="46"/>
  <c r="L155" i="46"/>
  <c r="E155" i="46"/>
  <c r="D155" i="46"/>
  <c r="C155" i="46"/>
  <c r="B155" i="46"/>
  <c r="A155" i="46"/>
  <c r="M154" i="46"/>
  <c r="L154" i="46"/>
  <c r="E154" i="46"/>
  <c r="D154" i="46"/>
  <c r="C154" i="46"/>
  <c r="AS154" i="46" s="1"/>
  <c r="B154" i="46"/>
  <c r="A154" i="46"/>
  <c r="M153" i="46"/>
  <c r="L153" i="46"/>
  <c r="E153" i="46"/>
  <c r="D153" i="46"/>
  <c r="C153" i="46"/>
  <c r="AS153" i="46" s="1"/>
  <c r="B153" i="46"/>
  <c r="A153" i="46"/>
  <c r="M152" i="46"/>
  <c r="L152" i="46"/>
  <c r="E152" i="46"/>
  <c r="D152" i="46"/>
  <c r="C152" i="46"/>
  <c r="B152" i="46"/>
  <c r="A152" i="46"/>
  <c r="M151" i="46"/>
  <c r="L151" i="46"/>
  <c r="E151" i="46"/>
  <c r="D151" i="46"/>
  <c r="C151" i="46"/>
  <c r="AS151" i="46" s="1"/>
  <c r="B151" i="46"/>
  <c r="A151" i="46"/>
  <c r="M150" i="46"/>
  <c r="L150" i="46"/>
  <c r="E150" i="46"/>
  <c r="D150" i="46"/>
  <c r="C150" i="46"/>
  <c r="AS150" i="46" s="1"/>
  <c r="B150" i="46"/>
  <c r="A150" i="46"/>
  <c r="M149" i="46"/>
  <c r="L149" i="46"/>
  <c r="E149" i="46"/>
  <c r="D149" i="46"/>
  <c r="C149" i="46"/>
  <c r="B149" i="46"/>
  <c r="A149" i="46"/>
  <c r="M148" i="46"/>
  <c r="L148" i="46"/>
  <c r="E148" i="46"/>
  <c r="D148" i="46"/>
  <c r="C148" i="46"/>
  <c r="B148" i="46"/>
  <c r="A148" i="46"/>
  <c r="M147" i="46"/>
  <c r="L147" i="46"/>
  <c r="E147" i="46"/>
  <c r="D147" i="46"/>
  <c r="C147" i="46"/>
  <c r="B147" i="46"/>
  <c r="A147" i="46"/>
  <c r="M146" i="46"/>
  <c r="L146" i="46"/>
  <c r="E146" i="46"/>
  <c r="D146" i="46"/>
  <c r="C146" i="46"/>
  <c r="B146" i="46"/>
  <c r="A146" i="46"/>
  <c r="M145" i="46"/>
  <c r="L145" i="46"/>
  <c r="E145" i="46"/>
  <c r="D145" i="46"/>
  <c r="C145" i="46"/>
  <c r="AS145" i="46" s="1"/>
  <c r="B145" i="46"/>
  <c r="A145" i="46"/>
  <c r="M144" i="46"/>
  <c r="L144" i="46"/>
  <c r="E144" i="46"/>
  <c r="D144" i="46"/>
  <c r="C144" i="46"/>
  <c r="B144" i="46"/>
  <c r="A144" i="46"/>
  <c r="M143" i="46"/>
  <c r="L143" i="46"/>
  <c r="E143" i="46"/>
  <c r="D143" i="46"/>
  <c r="C143" i="46"/>
  <c r="AS143" i="46" s="1"/>
  <c r="B143" i="46"/>
  <c r="A143" i="46"/>
  <c r="M142" i="46"/>
  <c r="L142" i="46"/>
  <c r="E142" i="46"/>
  <c r="D142" i="46"/>
  <c r="C142" i="46"/>
  <c r="AT142" i="46" s="1"/>
  <c r="B142" i="46"/>
  <c r="A142" i="46"/>
  <c r="M141" i="46"/>
  <c r="L141" i="46"/>
  <c r="E141" i="46"/>
  <c r="D141" i="46"/>
  <c r="C141" i="46"/>
  <c r="AS141" i="46" s="1"/>
  <c r="B141" i="46"/>
  <c r="A141" i="46"/>
  <c r="M140" i="46"/>
  <c r="L140" i="46"/>
  <c r="E140" i="46"/>
  <c r="D140" i="46"/>
  <c r="C140" i="46"/>
  <c r="B140" i="46"/>
  <c r="A140" i="46"/>
  <c r="M139" i="46"/>
  <c r="L139" i="46"/>
  <c r="E139" i="46"/>
  <c r="D139" i="46"/>
  <c r="C139" i="46"/>
  <c r="AS139" i="46" s="1"/>
  <c r="B139" i="46"/>
  <c r="A139" i="46"/>
  <c r="M138" i="46"/>
  <c r="L138" i="46"/>
  <c r="E138" i="46"/>
  <c r="D138" i="46"/>
  <c r="C138" i="46"/>
  <c r="AS138" i="46" s="1"/>
  <c r="B138" i="46"/>
  <c r="A138" i="46"/>
  <c r="M137" i="46"/>
  <c r="L137" i="46"/>
  <c r="E137" i="46"/>
  <c r="D137" i="46"/>
  <c r="C137" i="46"/>
  <c r="AT137" i="46" s="1"/>
  <c r="B137" i="46"/>
  <c r="A137" i="46"/>
  <c r="M136" i="46"/>
  <c r="L136" i="46"/>
  <c r="E136" i="46"/>
  <c r="D136" i="46"/>
  <c r="C136" i="46"/>
  <c r="AT136" i="46" s="1"/>
  <c r="B136" i="46"/>
  <c r="A136" i="46"/>
  <c r="M135" i="46"/>
  <c r="L135" i="46"/>
  <c r="E135" i="46"/>
  <c r="D135" i="46"/>
  <c r="C135" i="46"/>
  <c r="AS135" i="46" s="1"/>
  <c r="B135" i="46"/>
  <c r="A135" i="46"/>
  <c r="M134" i="46"/>
  <c r="L134" i="46"/>
  <c r="E134" i="46"/>
  <c r="D134" i="46"/>
  <c r="C134" i="46"/>
  <c r="AS134" i="46" s="1"/>
  <c r="B134" i="46"/>
  <c r="A134" i="46"/>
  <c r="M133" i="46"/>
  <c r="L133" i="46"/>
  <c r="E133" i="46"/>
  <c r="D133" i="46"/>
  <c r="C133" i="46"/>
  <c r="B133" i="46"/>
  <c r="A133" i="46"/>
  <c r="M132" i="46"/>
  <c r="L132" i="46"/>
  <c r="E132" i="46"/>
  <c r="D132" i="46"/>
  <c r="C132" i="46"/>
  <c r="B132" i="46"/>
  <c r="A132" i="46"/>
  <c r="M131" i="46"/>
  <c r="L131" i="46"/>
  <c r="E131" i="46"/>
  <c r="D131" i="46"/>
  <c r="C131" i="46"/>
  <c r="B131" i="46"/>
  <c r="A131" i="46"/>
  <c r="M130" i="46"/>
  <c r="L130" i="46"/>
  <c r="E130" i="46"/>
  <c r="D130" i="46"/>
  <c r="C130" i="46"/>
  <c r="AS130" i="46" s="1"/>
  <c r="B130" i="46"/>
  <c r="A130" i="46"/>
  <c r="M129" i="46"/>
  <c r="L129" i="46"/>
  <c r="E129" i="46"/>
  <c r="D129" i="46"/>
  <c r="C129" i="46"/>
  <c r="AS129" i="46" s="1"/>
  <c r="B129" i="46"/>
  <c r="A129" i="46"/>
  <c r="M128" i="46"/>
  <c r="L128" i="46"/>
  <c r="E128" i="46"/>
  <c r="D128" i="46"/>
  <c r="C128" i="46"/>
  <c r="AS128" i="46" s="1"/>
  <c r="B128" i="46"/>
  <c r="A128" i="46"/>
  <c r="M127" i="46"/>
  <c r="L127" i="46"/>
  <c r="E127" i="46"/>
  <c r="D127" i="46"/>
  <c r="C127" i="46"/>
  <c r="AT127" i="46" s="1"/>
  <c r="B127" i="46"/>
  <c r="A127" i="46"/>
  <c r="M126" i="46"/>
  <c r="L126" i="46"/>
  <c r="E126" i="46"/>
  <c r="D126" i="46"/>
  <c r="C126" i="46"/>
  <c r="AT126" i="46" s="1"/>
  <c r="B126" i="46"/>
  <c r="A126" i="46"/>
  <c r="M125" i="46"/>
  <c r="L125" i="46"/>
  <c r="E125" i="46"/>
  <c r="D125" i="46"/>
  <c r="C125" i="46"/>
  <c r="B125" i="46"/>
  <c r="A125" i="46"/>
  <c r="M124" i="46"/>
  <c r="L124" i="46"/>
  <c r="E124" i="46"/>
  <c r="D124" i="46"/>
  <c r="C124" i="46"/>
  <c r="B124" i="46"/>
  <c r="A124" i="46"/>
  <c r="M123" i="46"/>
  <c r="L123" i="46"/>
  <c r="E123" i="46"/>
  <c r="D123" i="46"/>
  <c r="C123" i="46"/>
  <c r="AT123" i="46" s="1"/>
  <c r="B123" i="46"/>
  <c r="A123" i="46"/>
  <c r="M122" i="46"/>
  <c r="L122" i="46"/>
  <c r="E122" i="46"/>
  <c r="D122" i="46"/>
  <c r="C122" i="46"/>
  <c r="AS122" i="46" s="1"/>
  <c r="B122" i="46"/>
  <c r="A122" i="46"/>
  <c r="M121" i="46"/>
  <c r="L121" i="46"/>
  <c r="E121" i="46"/>
  <c r="D121" i="46"/>
  <c r="C121" i="46"/>
  <c r="AS121" i="46" s="1"/>
  <c r="B121" i="46"/>
  <c r="A121" i="46"/>
  <c r="M120" i="46"/>
  <c r="L120" i="46"/>
  <c r="E120" i="46"/>
  <c r="D120" i="46"/>
  <c r="C120" i="46"/>
  <c r="AS120" i="46" s="1"/>
  <c r="B120" i="46"/>
  <c r="A120" i="46"/>
  <c r="M119" i="46"/>
  <c r="L119" i="46"/>
  <c r="E119" i="46"/>
  <c r="D119" i="46"/>
  <c r="C119" i="46"/>
  <c r="AS119" i="46" s="1"/>
  <c r="B119" i="46"/>
  <c r="A119" i="46"/>
  <c r="M118" i="46"/>
  <c r="L118" i="46"/>
  <c r="E118" i="46"/>
  <c r="D118" i="46"/>
  <c r="C118" i="46"/>
  <c r="B118" i="46"/>
  <c r="A118" i="46"/>
  <c r="M117" i="46"/>
  <c r="L117" i="46"/>
  <c r="E117" i="46"/>
  <c r="D117" i="46"/>
  <c r="C117" i="46"/>
  <c r="B117" i="46"/>
  <c r="A117" i="46"/>
  <c r="M116" i="46"/>
  <c r="L116" i="46"/>
  <c r="E116" i="46"/>
  <c r="D116" i="46"/>
  <c r="C116" i="46"/>
  <c r="B116" i="46"/>
  <c r="A116" i="46"/>
  <c r="M115" i="46"/>
  <c r="L115" i="46"/>
  <c r="E115" i="46"/>
  <c r="D115" i="46"/>
  <c r="C115" i="46"/>
  <c r="B115" i="46"/>
  <c r="A115" i="46"/>
  <c r="M114" i="46"/>
  <c r="L114" i="46"/>
  <c r="E114" i="46"/>
  <c r="D114" i="46"/>
  <c r="C114" i="46"/>
  <c r="B114" i="46"/>
  <c r="A114" i="46"/>
  <c r="M113" i="46"/>
  <c r="L113" i="46"/>
  <c r="E113" i="46"/>
  <c r="D113" i="46"/>
  <c r="C113" i="46"/>
  <c r="AS113" i="46" s="1"/>
  <c r="B113" i="46"/>
  <c r="A113" i="46"/>
  <c r="M112" i="46"/>
  <c r="L112" i="46"/>
  <c r="E112" i="46"/>
  <c r="D112" i="46"/>
  <c r="C112" i="46"/>
  <c r="B112" i="46"/>
  <c r="A112" i="46"/>
  <c r="M111" i="46"/>
  <c r="L111" i="46"/>
  <c r="E111" i="46"/>
  <c r="D111" i="46"/>
  <c r="C111" i="46"/>
  <c r="B111" i="46"/>
  <c r="A111" i="46"/>
  <c r="M110" i="46"/>
  <c r="L110" i="46"/>
  <c r="E110" i="46"/>
  <c r="D110" i="46"/>
  <c r="C110" i="46"/>
  <c r="AS110" i="46" s="1"/>
  <c r="B110" i="46"/>
  <c r="A110" i="46"/>
  <c r="M109" i="46"/>
  <c r="L109" i="46"/>
  <c r="E109" i="46"/>
  <c r="D109" i="46"/>
  <c r="C109" i="46"/>
  <c r="AS109" i="46" s="1"/>
  <c r="B109" i="46"/>
  <c r="A109" i="46"/>
  <c r="M108" i="46"/>
  <c r="L108" i="46"/>
  <c r="E108" i="46"/>
  <c r="D108" i="46"/>
  <c r="C108" i="46"/>
  <c r="B108" i="46"/>
  <c r="A108" i="46"/>
  <c r="M107" i="46"/>
  <c r="L107" i="46"/>
  <c r="E107" i="46"/>
  <c r="D107" i="46"/>
  <c r="C107" i="46"/>
  <c r="B107" i="46"/>
  <c r="A107" i="46"/>
  <c r="M106" i="46"/>
  <c r="L106" i="46"/>
  <c r="E106" i="46"/>
  <c r="D106" i="46"/>
  <c r="C106" i="46"/>
  <c r="B106" i="46"/>
  <c r="A106" i="46"/>
  <c r="M105" i="46"/>
  <c r="L105" i="46"/>
  <c r="E105" i="46"/>
  <c r="D105" i="46"/>
  <c r="C105" i="46"/>
  <c r="AS105" i="46" s="1"/>
  <c r="B105" i="46"/>
  <c r="A105" i="46"/>
  <c r="M104" i="46"/>
  <c r="L104" i="46"/>
  <c r="E104" i="46"/>
  <c r="D104" i="46"/>
  <c r="C104" i="46"/>
  <c r="B104" i="46"/>
  <c r="A104" i="46"/>
  <c r="M103" i="46"/>
  <c r="L103" i="46"/>
  <c r="E103" i="46"/>
  <c r="D103" i="46"/>
  <c r="C103" i="46"/>
  <c r="B103" i="46"/>
  <c r="A103" i="46"/>
  <c r="M102" i="46"/>
  <c r="L102" i="46"/>
  <c r="E102" i="46"/>
  <c r="D102" i="46"/>
  <c r="C102" i="46"/>
  <c r="AS102" i="46" s="1"/>
  <c r="B102" i="46"/>
  <c r="A102" i="46"/>
  <c r="M101" i="46"/>
  <c r="L101" i="46"/>
  <c r="E101" i="46"/>
  <c r="D101" i="46"/>
  <c r="C101" i="46"/>
  <c r="B101" i="46"/>
  <c r="A101" i="46"/>
  <c r="M100" i="46"/>
  <c r="L100" i="46"/>
  <c r="E100" i="46"/>
  <c r="D100" i="46"/>
  <c r="C100" i="46"/>
  <c r="B100" i="46"/>
  <c r="A100" i="46"/>
  <c r="M99" i="46"/>
  <c r="L99" i="46"/>
  <c r="E99" i="46"/>
  <c r="D99" i="46"/>
  <c r="C99" i="46"/>
  <c r="AS99" i="46" s="1"/>
  <c r="B99" i="46"/>
  <c r="A99" i="46"/>
  <c r="M98" i="46"/>
  <c r="L98" i="46"/>
  <c r="E98" i="46"/>
  <c r="D98" i="46"/>
  <c r="C98" i="46"/>
  <c r="AS98" i="46" s="1"/>
  <c r="B98" i="46"/>
  <c r="A98" i="46"/>
  <c r="M97" i="46"/>
  <c r="L97" i="46"/>
  <c r="E97" i="46"/>
  <c r="D97" i="46"/>
  <c r="C97" i="46"/>
  <c r="AS97" i="46" s="1"/>
  <c r="B97" i="46"/>
  <c r="A97" i="46"/>
  <c r="M96" i="46"/>
  <c r="L96" i="46"/>
  <c r="E96" i="46"/>
  <c r="D96" i="46"/>
  <c r="C96" i="46"/>
  <c r="AS96" i="46" s="1"/>
  <c r="B96" i="46"/>
  <c r="A96" i="46"/>
  <c r="M95" i="46"/>
  <c r="L95" i="46"/>
  <c r="E95" i="46"/>
  <c r="D95" i="46"/>
  <c r="C95" i="46"/>
  <c r="AS95" i="46" s="1"/>
  <c r="B95" i="46"/>
  <c r="A95" i="46"/>
  <c r="M94" i="46"/>
  <c r="L94" i="46"/>
  <c r="E94" i="46"/>
  <c r="D94" i="46"/>
  <c r="C94" i="46"/>
  <c r="AS94" i="46" s="1"/>
  <c r="B94" i="46"/>
  <c r="A94" i="46"/>
  <c r="M93" i="46"/>
  <c r="L93" i="46"/>
  <c r="E93" i="46"/>
  <c r="D93" i="46"/>
  <c r="C93" i="46"/>
  <c r="B93" i="46"/>
  <c r="A93" i="46"/>
  <c r="M92" i="46"/>
  <c r="L92" i="46"/>
  <c r="E92" i="46"/>
  <c r="D92" i="46"/>
  <c r="C92" i="46"/>
  <c r="B92" i="46"/>
  <c r="A92" i="46"/>
  <c r="M91" i="46"/>
  <c r="L91" i="46"/>
  <c r="E91" i="46"/>
  <c r="D91" i="46"/>
  <c r="C91" i="46"/>
  <c r="AS91" i="46" s="1"/>
  <c r="B91" i="46"/>
  <c r="A91" i="46"/>
  <c r="M90" i="46"/>
  <c r="L90" i="46"/>
  <c r="E90" i="46"/>
  <c r="D90" i="46"/>
  <c r="C90" i="46"/>
  <c r="AS90" i="46" s="1"/>
  <c r="B90" i="46"/>
  <c r="A90" i="46"/>
  <c r="M89" i="46"/>
  <c r="L89" i="46"/>
  <c r="E89" i="46"/>
  <c r="D89" i="46"/>
  <c r="C89" i="46"/>
  <c r="AS89" i="46" s="1"/>
  <c r="B89" i="46"/>
  <c r="A89" i="46"/>
  <c r="M88" i="46"/>
  <c r="L88" i="46"/>
  <c r="E88" i="46"/>
  <c r="D88" i="46"/>
  <c r="C88" i="46"/>
  <c r="AS88" i="46" s="1"/>
  <c r="B88" i="46"/>
  <c r="A88" i="46"/>
  <c r="M87" i="46"/>
  <c r="L87" i="46"/>
  <c r="E87" i="46"/>
  <c r="D87" i="46"/>
  <c r="C87" i="46"/>
  <c r="AS87" i="46" s="1"/>
  <c r="B87" i="46"/>
  <c r="A87" i="46"/>
  <c r="M86" i="46"/>
  <c r="L86" i="46"/>
  <c r="E86" i="46"/>
  <c r="D86" i="46"/>
  <c r="C86" i="46"/>
  <c r="AS86" i="46" s="1"/>
  <c r="B86" i="46"/>
  <c r="A86" i="46"/>
  <c r="M85" i="46"/>
  <c r="L85" i="46"/>
  <c r="E85" i="46"/>
  <c r="D85" i="46"/>
  <c r="C85" i="46"/>
  <c r="AS85" i="46" s="1"/>
  <c r="B85" i="46"/>
  <c r="A85" i="46"/>
  <c r="M84" i="46"/>
  <c r="L84" i="46"/>
  <c r="E84" i="46"/>
  <c r="D84" i="46"/>
  <c r="C84" i="46"/>
  <c r="AS84" i="46" s="1"/>
  <c r="B84" i="46"/>
  <c r="A84" i="46"/>
  <c r="M83" i="46"/>
  <c r="L83" i="46"/>
  <c r="E83" i="46"/>
  <c r="D83" i="46"/>
  <c r="C83" i="46"/>
  <c r="AS83" i="46" s="1"/>
  <c r="B83" i="46"/>
  <c r="A83" i="46"/>
  <c r="M82" i="46"/>
  <c r="L82" i="46"/>
  <c r="E82" i="46"/>
  <c r="D82" i="46"/>
  <c r="C82" i="46"/>
  <c r="AS82" i="46" s="1"/>
  <c r="B82" i="46"/>
  <c r="A82" i="46"/>
  <c r="M81" i="46"/>
  <c r="L81" i="46"/>
  <c r="E81" i="46"/>
  <c r="D81" i="46"/>
  <c r="C81" i="46"/>
  <c r="AS81" i="46" s="1"/>
  <c r="B81" i="46"/>
  <c r="A81" i="46"/>
  <c r="M80" i="46"/>
  <c r="L80" i="46"/>
  <c r="E80" i="46"/>
  <c r="D80" i="46"/>
  <c r="C80" i="46"/>
  <c r="AS80" i="46" s="1"/>
  <c r="B80" i="46"/>
  <c r="A80" i="46"/>
  <c r="M79" i="46"/>
  <c r="L79" i="46"/>
  <c r="E79" i="46"/>
  <c r="D79" i="46"/>
  <c r="C79" i="46"/>
  <c r="AS79" i="46" s="1"/>
  <c r="B79" i="46"/>
  <c r="A79" i="46"/>
  <c r="M78" i="46"/>
  <c r="L78" i="46"/>
  <c r="E78" i="46"/>
  <c r="D78" i="46"/>
  <c r="C78" i="46"/>
  <c r="AT78" i="46" s="1"/>
  <c r="B78" i="46"/>
  <c r="A78" i="46"/>
  <c r="M77" i="46"/>
  <c r="L77" i="46"/>
  <c r="E77" i="46"/>
  <c r="D77" i="46"/>
  <c r="C77" i="46"/>
  <c r="B77" i="46"/>
  <c r="A77" i="46"/>
  <c r="M76" i="46"/>
  <c r="L76" i="46"/>
  <c r="E76" i="46"/>
  <c r="D76" i="46"/>
  <c r="C76" i="46"/>
  <c r="B76" i="46"/>
  <c r="A76" i="46"/>
  <c r="M75" i="46"/>
  <c r="L75" i="46"/>
  <c r="E75" i="46"/>
  <c r="D75" i="46"/>
  <c r="C75" i="46"/>
  <c r="AS75" i="46" s="1"/>
  <c r="B75" i="46"/>
  <c r="A75" i="46"/>
  <c r="M74" i="46"/>
  <c r="L74" i="46"/>
  <c r="E74" i="46"/>
  <c r="D74" i="46"/>
  <c r="C74" i="46"/>
  <c r="AS74" i="46" s="1"/>
  <c r="B74" i="46"/>
  <c r="A74" i="46"/>
  <c r="M73" i="46"/>
  <c r="L73" i="46"/>
  <c r="E73" i="46"/>
  <c r="D73" i="46"/>
  <c r="C73" i="46"/>
  <c r="AS73" i="46" s="1"/>
  <c r="B73" i="46"/>
  <c r="A73" i="46"/>
  <c r="M72" i="46"/>
  <c r="L72" i="46"/>
  <c r="E72" i="46"/>
  <c r="D72" i="46"/>
  <c r="C72" i="46"/>
  <c r="AS72" i="46" s="1"/>
  <c r="B72" i="46"/>
  <c r="A72" i="46"/>
  <c r="M71" i="46"/>
  <c r="L71" i="46"/>
  <c r="E71" i="46"/>
  <c r="D71" i="46"/>
  <c r="C71" i="46"/>
  <c r="B71" i="46"/>
  <c r="A71" i="46"/>
  <c r="M70" i="46"/>
  <c r="L70" i="46"/>
  <c r="E70" i="46"/>
  <c r="D70" i="46"/>
  <c r="C70" i="46"/>
  <c r="AS70" i="46" s="1"/>
  <c r="B70" i="46"/>
  <c r="A70" i="46"/>
  <c r="M69" i="46"/>
  <c r="L69" i="46"/>
  <c r="E69" i="46"/>
  <c r="D69" i="46"/>
  <c r="C69" i="46"/>
  <c r="B69" i="46"/>
  <c r="A69" i="46"/>
  <c r="M68" i="46"/>
  <c r="L68" i="46"/>
  <c r="E68" i="46"/>
  <c r="D68" i="46"/>
  <c r="C68" i="46"/>
  <c r="AS68" i="46" s="1"/>
  <c r="B68" i="46"/>
  <c r="A68" i="46"/>
  <c r="M67" i="46"/>
  <c r="L67" i="46"/>
  <c r="E67" i="46"/>
  <c r="D67" i="46"/>
  <c r="C67" i="46"/>
  <c r="AS67" i="46" s="1"/>
  <c r="B67" i="46"/>
  <c r="A67" i="46"/>
  <c r="M66" i="46"/>
  <c r="L66" i="46"/>
  <c r="E66" i="46"/>
  <c r="D66" i="46"/>
  <c r="C66" i="46"/>
  <c r="AS66" i="46" s="1"/>
  <c r="B66" i="46"/>
  <c r="A66" i="46"/>
  <c r="M65" i="46"/>
  <c r="L65" i="46"/>
  <c r="E65" i="46"/>
  <c r="D65" i="46"/>
  <c r="C65" i="46"/>
  <c r="B65" i="46"/>
  <c r="A65" i="46"/>
  <c r="M64" i="46"/>
  <c r="L64" i="46"/>
  <c r="E64" i="46"/>
  <c r="D64" i="46"/>
  <c r="C64" i="46"/>
  <c r="B64" i="46"/>
  <c r="A64" i="46"/>
  <c r="M63" i="46"/>
  <c r="L63" i="46"/>
  <c r="E63" i="46"/>
  <c r="D63" i="46"/>
  <c r="C63" i="46"/>
  <c r="AS63" i="46" s="1"/>
  <c r="B63" i="46"/>
  <c r="A63" i="46"/>
  <c r="M62" i="46"/>
  <c r="L62" i="46"/>
  <c r="E62" i="46"/>
  <c r="D62" i="46"/>
  <c r="C62" i="46"/>
  <c r="AS62" i="46" s="1"/>
  <c r="B62" i="46"/>
  <c r="A62" i="46"/>
  <c r="M61" i="46"/>
  <c r="L61" i="46"/>
  <c r="E61" i="46"/>
  <c r="D61" i="46"/>
  <c r="C61" i="46"/>
  <c r="B61" i="46"/>
  <c r="A61" i="46"/>
  <c r="M60" i="46"/>
  <c r="L60" i="46"/>
  <c r="E60" i="46"/>
  <c r="D60" i="46"/>
  <c r="C60" i="46"/>
  <c r="AS60" i="46" s="1"/>
  <c r="B60" i="46"/>
  <c r="A60" i="46"/>
  <c r="M59" i="46"/>
  <c r="L59" i="46"/>
  <c r="E59" i="46"/>
  <c r="D59" i="46"/>
  <c r="C59" i="46"/>
  <c r="B59" i="46"/>
  <c r="A59" i="46"/>
  <c r="M58" i="46"/>
  <c r="L58" i="46"/>
  <c r="E58" i="46"/>
  <c r="D58" i="46"/>
  <c r="C58" i="46"/>
  <c r="AS58" i="46" s="1"/>
  <c r="B58" i="46"/>
  <c r="A58" i="46"/>
  <c r="M57" i="46"/>
  <c r="L57" i="46"/>
  <c r="E57" i="46"/>
  <c r="D57" i="46"/>
  <c r="C57" i="46"/>
  <c r="AS57" i="46" s="1"/>
  <c r="B57" i="46"/>
  <c r="A57" i="46"/>
  <c r="M56" i="46"/>
  <c r="L56" i="46"/>
  <c r="E56" i="46"/>
  <c r="D56" i="46"/>
  <c r="C56" i="46"/>
  <c r="B56" i="46"/>
  <c r="A56" i="46"/>
  <c r="M55" i="46"/>
  <c r="L55" i="46"/>
  <c r="E55" i="46"/>
  <c r="D55" i="46"/>
  <c r="C55" i="46"/>
  <c r="B55" i="46"/>
  <c r="A55" i="46"/>
  <c r="M54" i="46"/>
  <c r="L54" i="46"/>
  <c r="E54" i="46"/>
  <c r="D54" i="46"/>
  <c r="C54" i="46"/>
  <c r="B54" i="46"/>
  <c r="A54" i="46"/>
  <c r="M53" i="46"/>
  <c r="L53" i="46"/>
  <c r="E53" i="46"/>
  <c r="D53" i="46"/>
  <c r="C53" i="46"/>
  <c r="AS53" i="46" s="1"/>
  <c r="B53" i="46"/>
  <c r="A53" i="46"/>
  <c r="M52" i="46"/>
  <c r="L52" i="46"/>
  <c r="E52" i="46"/>
  <c r="D52" i="46"/>
  <c r="C52" i="46"/>
  <c r="B52" i="46"/>
  <c r="A52" i="46"/>
  <c r="M51" i="46"/>
  <c r="L51" i="46"/>
  <c r="E51" i="46"/>
  <c r="D51" i="46"/>
  <c r="C51" i="46"/>
  <c r="B51" i="46"/>
  <c r="A51" i="46"/>
  <c r="M50" i="46"/>
  <c r="L50" i="46"/>
  <c r="E50" i="46"/>
  <c r="D50" i="46"/>
  <c r="C50" i="46"/>
  <c r="AS50" i="46" s="1"/>
  <c r="B50" i="46"/>
  <c r="A50" i="46"/>
  <c r="M49" i="46"/>
  <c r="L49" i="46"/>
  <c r="E49" i="46"/>
  <c r="D49" i="46"/>
  <c r="C49" i="46"/>
  <c r="AS49" i="46" s="1"/>
  <c r="B49" i="46"/>
  <c r="A49" i="46"/>
  <c r="M48" i="46"/>
  <c r="L48" i="46"/>
  <c r="E48" i="46"/>
  <c r="D48" i="46"/>
  <c r="C48" i="46"/>
  <c r="B48" i="46"/>
  <c r="A48" i="46"/>
  <c r="M47" i="46"/>
  <c r="L47" i="46"/>
  <c r="E47" i="46"/>
  <c r="D47" i="46"/>
  <c r="C47" i="46"/>
  <c r="B47" i="46"/>
  <c r="A47" i="46"/>
  <c r="M46" i="46"/>
  <c r="L46" i="46"/>
  <c r="E46" i="46"/>
  <c r="D46" i="46"/>
  <c r="C46" i="46"/>
  <c r="B46" i="46"/>
  <c r="A46" i="46"/>
  <c r="M45" i="46"/>
  <c r="L45" i="46"/>
  <c r="E45" i="46"/>
  <c r="D45" i="46"/>
  <c r="C45" i="46"/>
  <c r="AS45" i="46" s="1"/>
  <c r="B45" i="46"/>
  <c r="A45" i="46"/>
  <c r="M44" i="46"/>
  <c r="L44" i="46"/>
  <c r="E44" i="46"/>
  <c r="D44" i="46"/>
  <c r="C44" i="46"/>
  <c r="B44" i="46"/>
  <c r="A44" i="46"/>
  <c r="M43" i="46"/>
  <c r="L43" i="46"/>
  <c r="E43" i="46"/>
  <c r="D43" i="46"/>
  <c r="C43" i="46"/>
  <c r="B43" i="46"/>
  <c r="A43" i="46"/>
  <c r="M42" i="46"/>
  <c r="L42" i="46"/>
  <c r="E42" i="46"/>
  <c r="D42" i="46"/>
  <c r="C42" i="46"/>
  <c r="AS42" i="46" s="1"/>
  <c r="B42" i="46"/>
  <c r="A42" i="46"/>
  <c r="M41" i="46"/>
  <c r="L41" i="46"/>
  <c r="E41" i="46"/>
  <c r="D41" i="46"/>
  <c r="C41" i="46"/>
  <c r="AT41" i="46" s="1"/>
  <c r="B41" i="46"/>
  <c r="A41" i="46"/>
  <c r="M40" i="46"/>
  <c r="L40" i="46"/>
  <c r="E40" i="46"/>
  <c r="D40" i="46"/>
  <c r="C40" i="46"/>
  <c r="AT40" i="46" s="1"/>
  <c r="B40" i="46"/>
  <c r="A40" i="46"/>
  <c r="M39" i="46"/>
  <c r="L39" i="46"/>
  <c r="E39" i="46"/>
  <c r="D39" i="46"/>
  <c r="C39" i="46"/>
  <c r="B39" i="46"/>
  <c r="A39" i="46"/>
  <c r="M38" i="46"/>
  <c r="L38" i="46"/>
  <c r="E38" i="46"/>
  <c r="D38" i="46"/>
  <c r="C38" i="46"/>
  <c r="B38" i="46"/>
  <c r="A38" i="46"/>
  <c r="M37" i="46"/>
  <c r="L37" i="46"/>
  <c r="E37" i="46"/>
  <c r="D37" i="46"/>
  <c r="C37" i="46"/>
  <c r="AS37" i="46" s="1"/>
  <c r="B37" i="46"/>
  <c r="A37" i="46"/>
  <c r="M36" i="46"/>
  <c r="L36" i="46"/>
  <c r="E36" i="46"/>
  <c r="D36" i="46"/>
  <c r="C36" i="46"/>
  <c r="B36" i="46"/>
  <c r="A36" i="46"/>
  <c r="M35" i="46"/>
  <c r="L35" i="46"/>
  <c r="E35" i="46"/>
  <c r="D35" i="46"/>
  <c r="C35" i="46"/>
  <c r="B35" i="46"/>
  <c r="A35" i="46"/>
  <c r="M34" i="46"/>
  <c r="L34" i="46"/>
  <c r="E34" i="46"/>
  <c r="D34" i="46"/>
  <c r="C34" i="46"/>
  <c r="AS34" i="46" s="1"/>
  <c r="B34" i="46"/>
  <c r="A34" i="46"/>
  <c r="M33" i="46"/>
  <c r="L33" i="46"/>
  <c r="E33" i="46"/>
  <c r="D33" i="46"/>
  <c r="C33" i="46"/>
  <c r="AT33" i="46" s="1"/>
  <c r="B33" i="46"/>
  <c r="A33" i="46"/>
  <c r="M32" i="46"/>
  <c r="L32" i="46"/>
  <c r="E32" i="46"/>
  <c r="D32" i="46"/>
  <c r="C32" i="46"/>
  <c r="AT32" i="46" s="1"/>
  <c r="B32" i="46"/>
  <c r="A32" i="46"/>
  <c r="M31" i="46"/>
  <c r="L31" i="46"/>
  <c r="E31" i="46"/>
  <c r="D31" i="46"/>
  <c r="C31" i="46"/>
  <c r="AT31" i="46" s="1"/>
  <c r="B31" i="46"/>
  <c r="A31" i="46"/>
  <c r="M30" i="46"/>
  <c r="L30" i="46"/>
  <c r="E30" i="46"/>
  <c r="D30" i="46"/>
  <c r="C30" i="46"/>
  <c r="B30" i="46"/>
  <c r="A30" i="46"/>
  <c r="M29" i="46"/>
  <c r="L29" i="46"/>
  <c r="E29" i="46"/>
  <c r="D29" i="46"/>
  <c r="C29" i="46"/>
  <c r="AT29" i="46" s="1"/>
  <c r="B29" i="46"/>
  <c r="A29" i="46"/>
  <c r="M28" i="46"/>
  <c r="L28" i="46"/>
  <c r="E28" i="46"/>
  <c r="D28" i="46"/>
  <c r="C28" i="46"/>
  <c r="B28" i="46"/>
  <c r="A28" i="46"/>
  <c r="M27" i="46"/>
  <c r="L27" i="46"/>
  <c r="E27" i="46"/>
  <c r="D27" i="46"/>
  <c r="C27" i="46"/>
  <c r="B27" i="46"/>
  <c r="A27" i="46"/>
  <c r="M26" i="46"/>
  <c r="L26" i="46"/>
  <c r="E26" i="46"/>
  <c r="D26" i="46"/>
  <c r="C26" i="46"/>
  <c r="AS26" i="46" s="1"/>
  <c r="B26" i="46"/>
  <c r="A26" i="46"/>
  <c r="M25" i="46"/>
  <c r="L25" i="46"/>
  <c r="E25" i="46"/>
  <c r="D25" i="46"/>
  <c r="C25" i="46"/>
  <c r="AT25" i="46" s="1"/>
  <c r="B25" i="46"/>
  <c r="A25" i="46"/>
  <c r="M24" i="46"/>
  <c r="L24" i="46"/>
  <c r="E24" i="46"/>
  <c r="D24" i="46"/>
  <c r="C24" i="46"/>
  <c r="AT24" i="46" s="1"/>
  <c r="B24" i="46"/>
  <c r="A24" i="46"/>
  <c r="M23" i="46"/>
  <c r="L23" i="46"/>
  <c r="E23" i="46"/>
  <c r="D23" i="46"/>
  <c r="C23" i="46"/>
  <c r="AT23" i="46" s="1"/>
  <c r="B23" i="46"/>
  <c r="A23" i="46"/>
  <c r="M22" i="46"/>
  <c r="L22" i="46"/>
  <c r="E22" i="46"/>
  <c r="D22" i="46"/>
  <c r="C22" i="46"/>
  <c r="B22" i="46"/>
  <c r="A22" i="46"/>
  <c r="M21" i="46"/>
  <c r="L21" i="46"/>
  <c r="E21" i="46"/>
  <c r="D21" i="46"/>
  <c r="C21" i="46"/>
  <c r="AS21" i="46" s="1"/>
  <c r="B21" i="46"/>
  <c r="A21" i="46"/>
  <c r="M20" i="46"/>
  <c r="L20" i="46"/>
  <c r="E20" i="46"/>
  <c r="D20" i="46"/>
  <c r="C20" i="46"/>
  <c r="B20" i="46"/>
  <c r="A20" i="46"/>
  <c r="M19" i="46"/>
  <c r="L19" i="46"/>
  <c r="E19" i="46"/>
  <c r="D19" i="46"/>
  <c r="C19" i="46"/>
  <c r="B19" i="46"/>
  <c r="A19" i="46"/>
  <c r="M18" i="46"/>
  <c r="L18" i="46"/>
  <c r="E18" i="46"/>
  <c r="D18" i="46"/>
  <c r="C18" i="46"/>
  <c r="AT18" i="46" s="1"/>
  <c r="B18" i="46"/>
  <c r="A18" i="46"/>
  <c r="M17" i="46"/>
  <c r="L17" i="46"/>
  <c r="E17" i="46"/>
  <c r="D17" i="46"/>
  <c r="C17" i="46"/>
  <c r="AT17" i="46" s="1"/>
  <c r="B17" i="46"/>
  <c r="A17" i="46"/>
  <c r="M16" i="46"/>
  <c r="L16" i="46"/>
  <c r="E16" i="46"/>
  <c r="D16" i="46"/>
  <c r="C16" i="46"/>
  <c r="AT16" i="46" s="1"/>
  <c r="B16" i="46"/>
  <c r="A16" i="46"/>
  <c r="M15" i="46"/>
  <c r="L15" i="46"/>
  <c r="E15" i="46"/>
  <c r="D15" i="46"/>
  <c r="C15" i="46"/>
  <c r="AT15" i="46" s="1"/>
  <c r="B15" i="46"/>
  <c r="A15" i="46"/>
  <c r="M14" i="46"/>
  <c r="L14" i="46"/>
  <c r="E14" i="46"/>
  <c r="D14" i="46"/>
  <c r="C14" i="46"/>
  <c r="B14" i="46"/>
  <c r="A14" i="46"/>
  <c r="M13" i="46"/>
  <c r="L13" i="46"/>
  <c r="E13" i="46"/>
  <c r="D13" i="46"/>
  <c r="C13" i="46"/>
  <c r="AT13" i="46" s="1"/>
  <c r="B13" i="46"/>
  <c r="A13" i="46"/>
  <c r="M12" i="46"/>
  <c r="L12" i="46"/>
  <c r="E12" i="46"/>
  <c r="D12" i="46"/>
  <c r="C12" i="46"/>
  <c r="AT12" i="46" s="1"/>
  <c r="B12" i="46"/>
  <c r="A12" i="46"/>
  <c r="M11" i="46"/>
  <c r="L11" i="46"/>
  <c r="E11" i="46"/>
  <c r="D11" i="46"/>
  <c r="C11" i="46"/>
  <c r="B11" i="46"/>
  <c r="A11" i="46"/>
  <c r="M10" i="46"/>
  <c r="L10" i="46"/>
  <c r="E10" i="46"/>
  <c r="D10" i="46"/>
  <c r="C10" i="46"/>
  <c r="AT10" i="46" s="1"/>
  <c r="B10" i="46"/>
  <c r="A10" i="46"/>
  <c r="M9" i="46"/>
  <c r="L9" i="46"/>
  <c r="E9" i="46"/>
  <c r="D9" i="46"/>
  <c r="C9" i="46"/>
  <c r="AT9" i="46" s="1"/>
  <c r="B9" i="46"/>
  <c r="A9" i="46"/>
  <c r="M8" i="46"/>
  <c r="L8" i="46"/>
  <c r="E8" i="46"/>
  <c r="D8" i="46"/>
  <c r="C8" i="46"/>
  <c r="AT8" i="46" s="1"/>
  <c r="B8" i="46"/>
  <c r="A8" i="46"/>
  <c r="M7" i="46"/>
  <c r="L7" i="46"/>
  <c r="E7" i="46"/>
  <c r="D7" i="46"/>
  <c r="C7" i="46"/>
  <c r="AT7" i="46" s="1"/>
  <c r="B7" i="46"/>
  <c r="A7" i="46"/>
  <c r="M6" i="46"/>
  <c r="L6" i="46"/>
  <c r="E6" i="46"/>
  <c r="D6" i="46"/>
  <c r="C6" i="46"/>
  <c r="B6" i="46"/>
  <c r="A6" i="46"/>
  <c r="M5" i="46"/>
  <c r="L5" i="46"/>
  <c r="E5" i="46"/>
  <c r="D5" i="46"/>
  <c r="C5" i="46"/>
  <c r="B5" i="46"/>
  <c r="A5" i="46"/>
  <c r="M4" i="46"/>
  <c r="L4" i="46"/>
  <c r="E4" i="46"/>
  <c r="D4" i="46"/>
  <c r="C4" i="46"/>
  <c r="B4" i="46"/>
  <c r="A4" i="46"/>
  <c r="M3" i="46"/>
  <c r="L3" i="46"/>
  <c r="E3" i="46"/>
  <c r="D3" i="46"/>
  <c r="C3" i="46"/>
  <c r="B3" i="46"/>
  <c r="A3" i="46"/>
  <c r="M2" i="46"/>
  <c r="L2" i="46"/>
  <c r="E2" i="46"/>
  <c r="D2" i="46"/>
  <c r="C2" i="46"/>
  <c r="B2" i="46"/>
  <c r="A2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AT376" i="46" s="1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AT327" i="46" s="1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AT245" i="46" s="1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AT237" i="46" s="1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AT91" i="46" s="1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Q444" i="36" l="1"/>
  <c r="W444" i="36" s="1"/>
  <c r="AT160" i="46"/>
  <c r="AT159" i="46"/>
  <c r="AT125" i="46"/>
  <c r="AT171" i="46"/>
  <c r="Q449" i="36"/>
  <c r="W449" i="36" s="1"/>
  <c r="AT79" i="46"/>
  <c r="AT71" i="46"/>
  <c r="AT366" i="46"/>
  <c r="AT293" i="46"/>
  <c r="AT340" i="46"/>
  <c r="AS7" i="46"/>
  <c r="AT270" i="46"/>
  <c r="AT222" i="46"/>
  <c r="AS9" i="46"/>
  <c r="AS10" i="46"/>
  <c r="AS123" i="46"/>
  <c r="AT53" i="46"/>
  <c r="AT281" i="46"/>
  <c r="Q460" i="36"/>
  <c r="W460" i="36" s="1"/>
  <c r="Q498" i="36"/>
  <c r="Q459" i="36"/>
  <c r="W459" i="36" s="1"/>
  <c r="Q464" i="36"/>
  <c r="W464" i="36" s="1"/>
  <c r="Q477" i="36"/>
  <c r="AT289" i="46"/>
  <c r="AT368" i="46"/>
  <c r="AT118" i="46"/>
  <c r="AT278" i="46"/>
  <c r="AT350" i="46"/>
  <c r="AT277" i="46"/>
  <c r="AT349" i="46"/>
  <c r="AT211" i="46"/>
  <c r="AT267" i="46"/>
  <c r="AT299" i="46"/>
  <c r="AT21" i="46"/>
  <c r="Q462" i="36"/>
  <c r="W462" i="36" s="1"/>
  <c r="Q443" i="36"/>
  <c r="W443" i="36" s="1"/>
  <c r="Q469" i="36"/>
  <c r="AT352" i="46"/>
  <c r="F434" i="46"/>
  <c r="AT76" i="46"/>
  <c r="AT303" i="46"/>
  <c r="F436" i="46"/>
  <c r="AT73" i="46"/>
  <c r="AT81" i="46"/>
  <c r="F417" i="46"/>
  <c r="Q426" i="36"/>
  <c r="W426" i="36" s="1"/>
  <c r="Q439" i="36"/>
  <c r="W439" i="36" s="1"/>
  <c r="Q448" i="36"/>
  <c r="W448" i="36" s="1"/>
  <c r="Q461" i="36"/>
  <c r="Q474" i="36"/>
  <c r="W474" i="36" s="1"/>
  <c r="Q454" i="36"/>
  <c r="W454" i="36" s="1"/>
  <c r="Q453" i="36"/>
  <c r="Q468" i="36"/>
  <c r="W468" i="36" s="1"/>
  <c r="Q478" i="36"/>
  <c r="W478" i="36" s="1"/>
  <c r="AS13" i="46"/>
  <c r="F10" i="46"/>
  <c r="AT122" i="46"/>
  <c r="AS118" i="46"/>
  <c r="AT166" i="46"/>
  <c r="AS211" i="46"/>
  <c r="Q445" i="36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F24" i="46"/>
  <c r="AT251" i="46"/>
  <c r="AT99" i="46"/>
  <c r="F14" i="46"/>
  <c r="G97" i="46"/>
  <c r="I97" i="46" s="1"/>
  <c r="AT184" i="46"/>
  <c r="AT200" i="46"/>
  <c r="AT66" i="46"/>
  <c r="AT87" i="46"/>
  <c r="AT280" i="46"/>
  <c r="AT283" i="46"/>
  <c r="AT183" i="46"/>
  <c r="AT90" i="46"/>
  <c r="F20" i="46"/>
  <c r="AT119" i="46"/>
  <c r="AT145" i="46"/>
  <c r="AT174" i="46"/>
  <c r="AT88" i="46"/>
  <c r="AT227" i="46"/>
  <c r="AT307" i="46"/>
  <c r="AT244" i="46"/>
  <c r="AS293" i="46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AT104" i="46"/>
  <c r="AT167" i="46"/>
  <c r="AT57" i="46"/>
  <c r="AT97" i="46"/>
  <c r="AT328" i="46"/>
  <c r="AT55" i="46"/>
  <c r="AT65" i="46"/>
  <c r="AT291" i="46"/>
  <c r="AT326" i="46"/>
  <c r="AT334" i="46"/>
  <c r="AS379" i="46"/>
  <c r="AT34" i="46"/>
  <c r="AT67" i="46"/>
  <c r="AT121" i="46"/>
  <c r="AT317" i="46"/>
  <c r="AT226" i="46"/>
  <c r="AT155" i="46"/>
  <c r="AT219" i="46"/>
  <c r="AT304" i="46"/>
  <c r="G225" i="46"/>
  <c r="H225" i="46" s="1"/>
  <c r="G6" i="46"/>
  <c r="H6" i="46" s="1"/>
  <c r="G7" i="46"/>
  <c r="I7" i="46" s="1"/>
  <c r="F26" i="46"/>
  <c r="AT58" i="46"/>
  <c r="F60" i="46"/>
  <c r="G61" i="46"/>
  <c r="I61" i="46" s="1"/>
  <c r="AT203" i="46"/>
  <c r="AT279" i="46"/>
  <c r="AT344" i="46"/>
  <c r="F51" i="46"/>
  <c r="F58" i="46"/>
  <c r="F59" i="46"/>
  <c r="AS166" i="46"/>
  <c r="AT370" i="46"/>
  <c r="F429" i="46"/>
  <c r="AF48" i="38"/>
  <c r="AJ49" i="38"/>
  <c r="AK47" i="38"/>
  <c r="AF46" i="38"/>
  <c r="AF44" i="38"/>
  <c r="AG42" i="38"/>
  <c r="AG40" i="38"/>
  <c r="AG38" i="38"/>
  <c r="AG36" i="38"/>
  <c r="AG34" i="38"/>
  <c r="AF34" i="38"/>
  <c r="AG49" i="38"/>
  <c r="AH47" i="38"/>
  <c r="AH45" i="38"/>
  <c r="AJ43" i="38"/>
  <c r="AJ41" i="38"/>
  <c r="AJ39" i="38"/>
  <c r="AJ37" i="38"/>
  <c r="AJ35" i="38"/>
  <c r="AJ33" i="38"/>
  <c r="AK43" i="38"/>
  <c r="AF42" i="38"/>
  <c r="AF36" i="38"/>
  <c r="AF49" i="38"/>
  <c r="AG47" i="38"/>
  <c r="AG45" i="38"/>
  <c r="AH43" i="38"/>
  <c r="AH41" i="38"/>
  <c r="AH39" i="38"/>
  <c r="AH37" i="38"/>
  <c r="AH35" i="38"/>
  <c r="AH33" i="38"/>
  <c r="AF40" i="38"/>
  <c r="AF32" i="38"/>
  <c r="AJ48" i="38"/>
  <c r="AF47" i="38"/>
  <c r="AF45" i="38"/>
  <c r="AG43" i="38"/>
  <c r="AG41" i="38"/>
  <c r="AG39" i="38"/>
  <c r="AG37" i="38"/>
  <c r="AG35" i="38"/>
  <c r="AF38" i="38"/>
  <c r="AJ32" i="38"/>
  <c r="AJ46" i="38"/>
  <c r="AF43" i="38"/>
  <c r="AF41" i="38"/>
  <c r="AF39" i="38"/>
  <c r="AF37" i="38"/>
  <c r="AF35" i="38"/>
  <c r="AI37" i="38"/>
  <c r="AI40" i="38"/>
  <c r="AI49" i="38"/>
  <c r="AI46" i="38"/>
  <c r="AI43" i="38"/>
  <c r="AI35" i="38"/>
  <c r="AI38" i="38"/>
  <c r="AI44" i="38"/>
  <c r="AI41" i="38"/>
  <c r="AI33" i="38"/>
  <c r="AI47" i="38"/>
  <c r="AI36" i="38"/>
  <c r="AI32" i="38"/>
  <c r="AI39" i="38"/>
  <c r="AI48" i="38"/>
  <c r="AI45" i="38"/>
  <c r="AI42" i="38"/>
  <c r="AK39" i="38"/>
  <c r="AK48" i="38"/>
  <c r="AK44" i="38"/>
  <c r="AK40" i="38"/>
  <c r="AK36" i="38"/>
  <c r="AK33" i="38"/>
  <c r="AK49" i="38"/>
  <c r="AK45" i="38"/>
  <c r="AK41" i="38"/>
  <c r="AK37" i="38"/>
  <c r="AK46" i="38"/>
  <c r="AK42" i="38"/>
  <c r="AK38" i="38"/>
  <c r="AK34" i="38"/>
  <c r="AK32" i="38"/>
  <c r="Q419" i="36"/>
  <c r="W419" i="36" s="1"/>
  <c r="Q429" i="36"/>
  <c r="W429" i="36" s="1"/>
  <c r="Q421" i="36"/>
  <c r="W421" i="36" s="1"/>
  <c r="Q418" i="36"/>
  <c r="W418" i="36" s="1"/>
  <c r="Q433" i="36"/>
  <c r="W433" i="36" s="1"/>
  <c r="AS71" i="46"/>
  <c r="AS136" i="46"/>
  <c r="AT42" i="46"/>
  <c r="AT285" i="46"/>
  <c r="F34" i="46"/>
  <c r="AT60" i="46"/>
  <c r="F62" i="46"/>
  <c r="AT64" i="46"/>
  <c r="AT243" i="46"/>
  <c r="AT320" i="46"/>
  <c r="G25" i="46"/>
  <c r="H25" i="46" s="1"/>
  <c r="F27" i="46"/>
  <c r="F414" i="46"/>
  <c r="F416" i="46"/>
  <c r="F418" i="46"/>
  <c r="F420" i="46"/>
  <c r="F424" i="46"/>
  <c r="F428" i="46"/>
  <c r="AT134" i="46"/>
  <c r="AT198" i="46"/>
  <c r="AT212" i="46"/>
  <c r="AT236" i="46"/>
  <c r="F8" i="46"/>
  <c r="F30" i="46"/>
  <c r="AT302" i="46"/>
  <c r="AT324" i="46"/>
  <c r="AT364" i="46"/>
  <c r="AT193" i="46"/>
  <c r="AT50" i="46"/>
  <c r="AT72" i="46"/>
  <c r="AT89" i="46"/>
  <c r="AT84" i="46"/>
  <c r="AT94" i="46"/>
  <c r="AT201" i="46"/>
  <c r="AT210" i="46"/>
  <c r="AT229" i="46"/>
  <c r="AT274" i="46"/>
  <c r="G22" i="46"/>
  <c r="H22" i="46" s="1"/>
  <c r="G23" i="46"/>
  <c r="H23" i="46" s="1"/>
  <c r="F38" i="46"/>
  <c r="AT195" i="46"/>
  <c r="AT330" i="46"/>
  <c r="AT331" i="46"/>
  <c r="AS341" i="46"/>
  <c r="F419" i="46"/>
  <c r="F425" i="46"/>
  <c r="F427" i="46"/>
  <c r="G19" i="46"/>
  <c r="I19" i="46" s="1"/>
  <c r="AT26" i="46"/>
  <c r="G29" i="46"/>
  <c r="H29" i="46" s="1"/>
  <c r="AT286" i="46"/>
  <c r="AT314" i="46"/>
  <c r="AT339" i="46"/>
  <c r="AT346" i="46"/>
  <c r="F431" i="46"/>
  <c r="F433" i="46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F426" i="46"/>
  <c r="F430" i="46"/>
  <c r="F423" i="46"/>
  <c r="AT48" i="46"/>
  <c r="AT228" i="46"/>
  <c r="AT273" i="46"/>
  <c r="AT261" i="46"/>
  <c r="G38" i="46"/>
  <c r="H38" i="46" s="1"/>
  <c r="AS55" i="46"/>
  <c r="AS137" i="46"/>
  <c r="AS142" i="46"/>
  <c r="AS167" i="46"/>
  <c r="AT168" i="46"/>
  <c r="AT170" i="46"/>
  <c r="AT242" i="46"/>
  <c r="AS243" i="46"/>
  <c r="AT266" i="46"/>
  <c r="AS299" i="46"/>
  <c r="AT323" i="46"/>
  <c r="AS324" i="46"/>
  <c r="AT325" i="46"/>
  <c r="AT259" i="46"/>
  <c r="AS25" i="46"/>
  <c r="AS29" i="46"/>
  <c r="AS31" i="46"/>
  <c r="G35" i="46"/>
  <c r="I35" i="46" s="1"/>
  <c r="G36" i="46"/>
  <c r="I36" i="46" s="1"/>
  <c r="F56" i="46"/>
  <c r="G57" i="46"/>
  <c r="I57" i="46" s="1"/>
  <c r="AT110" i="46"/>
  <c r="AT138" i="46"/>
  <c r="AT235" i="46"/>
  <c r="AT269" i="46"/>
  <c r="AS320" i="46"/>
  <c r="AS359" i="46"/>
  <c r="AT360" i="46"/>
  <c r="AS370" i="46"/>
  <c r="AS388" i="46"/>
  <c r="AT49" i="46"/>
  <c r="AT129" i="46"/>
  <c r="F11" i="46"/>
  <c r="AS23" i="46"/>
  <c r="F32" i="46"/>
  <c r="AS41" i="46"/>
  <c r="AT59" i="46"/>
  <c r="AT190" i="46"/>
  <c r="AT194" i="46"/>
  <c r="AT276" i="46"/>
  <c r="AS277" i="46"/>
  <c r="AS278" i="46"/>
  <c r="AS368" i="46"/>
  <c r="F415" i="46"/>
  <c r="AS17" i="46"/>
  <c r="AT74" i="46"/>
  <c r="AT75" i="46"/>
  <c r="AS76" i="46"/>
  <c r="AS127" i="46"/>
  <c r="AT161" i="46"/>
  <c r="AT238" i="46"/>
  <c r="AT258" i="46"/>
  <c r="AT296" i="46"/>
  <c r="AT230" i="46"/>
  <c r="G4" i="46"/>
  <c r="H4" i="46" s="1"/>
  <c r="F13" i="46"/>
  <c r="AS15" i="46"/>
  <c r="F17" i="46"/>
  <c r="AS18" i="46"/>
  <c r="F40" i="46"/>
  <c r="G54" i="46"/>
  <c r="I54" i="46" s="1"/>
  <c r="G55" i="46"/>
  <c r="I55" i="46" s="1"/>
  <c r="AT107" i="46"/>
  <c r="AT143" i="46"/>
  <c r="AT144" i="46"/>
  <c r="AT150" i="46"/>
  <c r="AT178" i="46"/>
  <c r="AS228" i="46"/>
  <c r="AS289" i="46"/>
  <c r="AS346" i="46"/>
  <c r="AT347" i="46"/>
  <c r="AS378" i="46"/>
  <c r="AT37" i="46"/>
  <c r="F48" i="46"/>
  <c r="G49" i="46"/>
  <c r="I49" i="46" s="1"/>
  <c r="G51" i="46"/>
  <c r="I51" i="46" s="1"/>
  <c r="G79" i="46"/>
  <c r="I79" i="46" s="1"/>
  <c r="AT217" i="46"/>
  <c r="AT375" i="46"/>
  <c r="F421" i="46"/>
  <c r="AT169" i="46"/>
  <c r="AT185" i="46"/>
  <c r="G33" i="46"/>
  <c r="I33" i="46" s="1"/>
  <c r="G39" i="46"/>
  <c r="I39" i="46" s="1"/>
  <c r="AT95" i="46"/>
  <c r="AT98" i="46"/>
  <c r="AT115" i="46"/>
  <c r="AS115" i="46"/>
  <c r="AS125" i="46"/>
  <c r="AS126" i="46"/>
  <c r="AT153" i="46"/>
  <c r="AT154" i="46"/>
  <c r="AS155" i="46"/>
  <c r="AT177" i="46"/>
  <c r="AT202" i="46"/>
  <c r="AS203" i="46"/>
  <c r="AT241" i="46"/>
  <c r="AS241" i="46"/>
  <c r="AT250" i="46"/>
  <c r="AS251" i="46"/>
  <c r="AT268" i="46"/>
  <c r="AS269" i="46"/>
  <c r="AT312" i="46"/>
  <c r="AT336" i="46"/>
  <c r="AS355" i="46"/>
  <c r="AT355" i="46"/>
  <c r="AT362" i="46"/>
  <c r="AT363" i="46"/>
  <c r="AS364" i="46"/>
  <c r="AS365" i="46"/>
  <c r="AS371" i="46"/>
  <c r="AT371" i="46"/>
  <c r="AT381" i="46"/>
  <c r="AT5" i="46"/>
  <c r="AS5" i="46"/>
  <c r="AT103" i="46"/>
  <c r="AS103" i="46"/>
  <c r="AT2" i="46"/>
  <c r="AS2" i="46"/>
  <c r="F3" i="46"/>
  <c r="F42" i="46"/>
  <c r="G43" i="46"/>
  <c r="I43" i="46" s="1"/>
  <c r="AT44" i="46"/>
  <c r="AT77" i="46"/>
  <c r="AS77" i="46"/>
  <c r="AT111" i="46"/>
  <c r="AS111" i="46"/>
  <c r="AT218" i="46"/>
  <c r="AT252" i="46"/>
  <c r="AS252" i="46"/>
  <c r="AT47" i="46"/>
  <c r="AS47" i="46"/>
  <c r="G46" i="46"/>
  <c r="I46" i="46" s="1"/>
  <c r="AT157" i="46"/>
  <c r="AS157" i="46"/>
  <c r="AT102" i="46"/>
  <c r="F5" i="46"/>
  <c r="G41" i="46"/>
  <c r="I41" i="46" s="1"/>
  <c r="F43" i="46"/>
  <c r="AT151" i="46"/>
  <c r="AT265" i="46"/>
  <c r="AT295" i="46"/>
  <c r="G2" i="46"/>
  <c r="I2" i="46" s="1"/>
  <c r="F31" i="46"/>
  <c r="G24" i="46"/>
  <c r="I24" i="46" s="1"/>
  <c r="G12" i="46"/>
  <c r="I12" i="46" s="1"/>
  <c r="AS33" i="46"/>
  <c r="AT52" i="46"/>
  <c r="AT113" i="46"/>
  <c r="AT158" i="46"/>
  <c r="AS159" i="46"/>
  <c r="AT182" i="46"/>
  <c r="AS183" i="46"/>
  <c r="AS184" i="46"/>
  <c r="AT186" i="46"/>
  <c r="AT225" i="46"/>
  <c r="AT234" i="46"/>
  <c r="AS235" i="46"/>
  <c r="AT247" i="46"/>
  <c r="AS247" i="46"/>
  <c r="AS315" i="46"/>
  <c r="AT315" i="46"/>
  <c r="AT333" i="46"/>
  <c r="AS333" i="46"/>
  <c r="AS357" i="46"/>
  <c r="AT357" i="46"/>
  <c r="G47" i="46"/>
  <c r="H47" i="46" s="1"/>
  <c r="AS112" i="46"/>
  <c r="AT112" i="46"/>
  <c r="F121" i="46"/>
  <c r="F6" i="46"/>
  <c r="G37" i="46"/>
  <c r="H37" i="46" s="1"/>
  <c r="AT39" i="46"/>
  <c r="AS39" i="46"/>
  <c r="AT45" i="46"/>
  <c r="AT63" i="46"/>
  <c r="AT105" i="46"/>
  <c r="AS106" i="46"/>
  <c r="AT106" i="46"/>
  <c r="AT253" i="46"/>
  <c r="AT254" i="46"/>
  <c r="AS273" i="46"/>
  <c r="AT309" i="46"/>
  <c r="AS352" i="46"/>
  <c r="AT356" i="46"/>
  <c r="AS356" i="46"/>
  <c r="AT372" i="46"/>
  <c r="AS372" i="46"/>
  <c r="F422" i="46"/>
  <c r="F2" i="46"/>
  <c r="F9" i="46"/>
  <c r="F16" i="46"/>
  <c r="G17" i="46"/>
  <c r="H17" i="46" s="1"/>
  <c r="F18" i="46"/>
  <c r="G21" i="46"/>
  <c r="I21" i="46" s="1"/>
  <c r="F22" i="46"/>
  <c r="F35" i="46"/>
  <c r="G53" i="46"/>
  <c r="I53" i="46" s="1"/>
  <c r="F54" i="46"/>
  <c r="G85" i="46"/>
  <c r="H85" i="46" s="1"/>
  <c r="G89" i="46"/>
  <c r="I89" i="46" s="1"/>
  <c r="AT141" i="46"/>
  <c r="AT239" i="46"/>
  <c r="AT395" i="46"/>
  <c r="G5" i="46"/>
  <c r="I5" i="46" s="1"/>
  <c r="G9" i="46"/>
  <c r="I9" i="46" s="1"/>
  <c r="G13" i="46"/>
  <c r="H13" i="46" s="1"/>
  <c r="G20" i="46"/>
  <c r="I20" i="46" s="1"/>
  <c r="G27" i="46"/>
  <c r="I27" i="46" s="1"/>
  <c r="G28" i="46"/>
  <c r="I28" i="46" s="1"/>
  <c r="G30" i="46"/>
  <c r="H30" i="46" s="1"/>
  <c r="G31" i="46"/>
  <c r="I31" i="46" s="1"/>
  <c r="F50" i="46"/>
  <c r="AT56" i="46"/>
  <c r="F71" i="46"/>
  <c r="AT83" i="46"/>
  <c r="F110" i="46"/>
  <c r="AT139" i="46"/>
  <c r="G3" i="46"/>
  <c r="H3" i="46" s="1"/>
  <c r="F4" i="46"/>
  <c r="G11" i="46"/>
  <c r="I11" i="46" s="1"/>
  <c r="G14" i="46"/>
  <c r="H14" i="46" s="1"/>
  <c r="G15" i="46"/>
  <c r="H15" i="46" s="1"/>
  <c r="F19" i="46"/>
  <c r="G45" i="46"/>
  <c r="I45" i="46" s="1"/>
  <c r="F46" i="46"/>
  <c r="F66" i="46"/>
  <c r="G69" i="46"/>
  <c r="H69" i="46" s="1"/>
  <c r="AT199" i="46"/>
  <c r="AT263" i="46"/>
  <c r="AT264" i="46"/>
  <c r="AT275" i="46"/>
  <c r="AT301" i="46"/>
  <c r="AT318" i="46"/>
  <c r="AS392" i="46"/>
  <c r="H51" i="46"/>
  <c r="H79" i="46"/>
  <c r="F21" i="46"/>
  <c r="F29" i="46"/>
  <c r="G32" i="46"/>
  <c r="F37" i="46"/>
  <c r="G40" i="46"/>
  <c r="F45" i="46"/>
  <c r="G48" i="46"/>
  <c r="F53" i="46"/>
  <c r="G56" i="46"/>
  <c r="G63" i="46"/>
  <c r="G64" i="46"/>
  <c r="AT68" i="46"/>
  <c r="F70" i="46"/>
  <c r="F72" i="46"/>
  <c r="G86" i="46"/>
  <c r="AT101" i="46"/>
  <c r="AS101" i="46"/>
  <c r="AS114" i="46"/>
  <c r="AT114" i="46"/>
  <c r="G119" i="46"/>
  <c r="F142" i="46"/>
  <c r="G175" i="46"/>
  <c r="F208" i="46"/>
  <c r="F238" i="46"/>
  <c r="AS294" i="46"/>
  <c r="G294" i="46"/>
  <c r="AT294" i="46"/>
  <c r="AS4" i="46"/>
  <c r="AS12" i="46"/>
  <c r="AS20" i="46"/>
  <c r="AS28" i="46"/>
  <c r="AS36" i="46"/>
  <c r="AS44" i="46"/>
  <c r="AS52" i="46"/>
  <c r="G59" i="46"/>
  <c r="G72" i="46"/>
  <c r="G76" i="46"/>
  <c r="G78" i="46"/>
  <c r="F80" i="46"/>
  <c r="AT80" i="46"/>
  <c r="F92" i="46"/>
  <c r="G105" i="46"/>
  <c r="G113" i="46"/>
  <c r="G120" i="46"/>
  <c r="F122" i="46"/>
  <c r="G127" i="46"/>
  <c r="G136" i="46"/>
  <c r="G141" i="46"/>
  <c r="F146" i="46"/>
  <c r="G184" i="46"/>
  <c r="F198" i="46"/>
  <c r="G206" i="46"/>
  <c r="AT4" i="46"/>
  <c r="F7" i="46"/>
  <c r="AT20" i="46"/>
  <c r="F23" i="46"/>
  <c r="AT28" i="46"/>
  <c r="F39" i="46"/>
  <c r="F55" i="46"/>
  <c r="G58" i="46"/>
  <c r="AS59" i="46"/>
  <c r="G116" i="46"/>
  <c r="F125" i="46"/>
  <c r="F291" i="46"/>
  <c r="AS6" i="46"/>
  <c r="F12" i="46"/>
  <c r="AS14" i="46"/>
  <c r="AS22" i="46"/>
  <c r="F28" i="46"/>
  <c r="AS30" i="46"/>
  <c r="F36" i="46"/>
  <c r="AS38" i="46"/>
  <c r="F44" i="46"/>
  <c r="AS46" i="46"/>
  <c r="F52" i="46"/>
  <c r="AS54" i="46"/>
  <c r="AT61" i="46"/>
  <c r="AS61" i="46"/>
  <c r="F64" i="46"/>
  <c r="F65" i="46"/>
  <c r="F67" i="46"/>
  <c r="G68" i="46"/>
  <c r="AT69" i="46"/>
  <c r="AS69" i="46"/>
  <c r="F74" i="46"/>
  <c r="G81" i="46"/>
  <c r="AT85" i="46"/>
  <c r="F86" i="46"/>
  <c r="G88" i="46"/>
  <c r="G90" i="46"/>
  <c r="G95" i="46"/>
  <c r="AT96" i="46"/>
  <c r="G98" i="46"/>
  <c r="G102" i="46"/>
  <c r="G106" i="46"/>
  <c r="G109" i="46"/>
  <c r="F117" i="46"/>
  <c r="G125" i="46"/>
  <c r="F134" i="46"/>
  <c r="AS146" i="46"/>
  <c r="AT146" i="46"/>
  <c r="F181" i="46"/>
  <c r="G208" i="46"/>
  <c r="G220" i="46"/>
  <c r="F258" i="46"/>
  <c r="G328" i="46"/>
  <c r="F340" i="46"/>
  <c r="G16" i="46"/>
  <c r="G10" i="46"/>
  <c r="G18" i="46"/>
  <c r="G34" i="46"/>
  <c r="AT36" i="46"/>
  <c r="F47" i="46"/>
  <c r="G60" i="46"/>
  <c r="G62" i="46"/>
  <c r="G73" i="46"/>
  <c r="F77" i="46"/>
  <c r="F83" i="46"/>
  <c r="G92" i="46"/>
  <c r="F100" i="46"/>
  <c r="G104" i="46"/>
  <c r="F147" i="46"/>
  <c r="AT147" i="46"/>
  <c r="AS152" i="46"/>
  <c r="AT152" i="46"/>
  <c r="F164" i="46"/>
  <c r="G200" i="46"/>
  <c r="G222" i="46"/>
  <c r="G286" i="46"/>
  <c r="AS3" i="46"/>
  <c r="AT6" i="46"/>
  <c r="AS11" i="46"/>
  <c r="AT14" i="46"/>
  <c r="AS19" i="46"/>
  <c r="AT22" i="46"/>
  <c r="F25" i="46"/>
  <c r="AS27" i="46"/>
  <c r="AT30" i="46"/>
  <c r="F33" i="46"/>
  <c r="AS35" i="46"/>
  <c r="AT38" i="46"/>
  <c r="F41" i="46"/>
  <c r="AS43" i="46"/>
  <c r="G44" i="46"/>
  <c r="AT46" i="46"/>
  <c r="F49" i="46"/>
  <c r="AS51" i="46"/>
  <c r="G52" i="46"/>
  <c r="AT54" i="46"/>
  <c r="F57" i="46"/>
  <c r="F63" i="46"/>
  <c r="G65" i="46"/>
  <c r="G67" i="46"/>
  <c r="G70" i="46"/>
  <c r="G74" i="46"/>
  <c r="F78" i="46"/>
  <c r="F84" i="46"/>
  <c r="F89" i="46"/>
  <c r="AT108" i="46"/>
  <c r="AS108" i="46"/>
  <c r="G108" i="46"/>
  <c r="AT109" i="46"/>
  <c r="F109" i="46"/>
  <c r="F133" i="46"/>
  <c r="G169" i="46"/>
  <c r="AT216" i="46"/>
  <c r="AS216" i="46"/>
  <c r="F216" i="46"/>
  <c r="G216" i="46"/>
  <c r="F250" i="46"/>
  <c r="G26" i="46"/>
  <c r="G42" i="46"/>
  <c r="G50" i="46"/>
  <c r="G71" i="46"/>
  <c r="F75" i="46"/>
  <c r="G80" i="46"/>
  <c r="G96" i="46"/>
  <c r="G157" i="46"/>
  <c r="F201" i="46"/>
  <c r="G234" i="46"/>
  <c r="F403" i="46"/>
  <c r="F402" i="46"/>
  <c r="F404" i="46"/>
  <c r="F376" i="46"/>
  <c r="F365" i="46"/>
  <c r="F362" i="46"/>
  <c r="F336" i="46"/>
  <c r="F333" i="46"/>
  <c r="F330" i="46"/>
  <c r="F304" i="46"/>
  <c r="F344" i="46"/>
  <c r="F312" i="46"/>
  <c r="F382" i="46"/>
  <c r="F363" i="46"/>
  <c r="F346" i="46"/>
  <c r="F390" i="46"/>
  <c r="F370" i="46"/>
  <c r="F411" i="46"/>
  <c r="F409" i="46"/>
  <c r="F378" i="46"/>
  <c r="F368" i="46"/>
  <c r="F366" i="46"/>
  <c r="F352" i="46"/>
  <c r="F323" i="46"/>
  <c r="F320" i="46"/>
  <c r="F261" i="46"/>
  <c r="F247" i="46"/>
  <c r="F381" i="46"/>
  <c r="F278" i="46"/>
  <c r="F253" i="46"/>
  <c r="F388" i="46"/>
  <c r="F360" i="46"/>
  <c r="F314" i="46"/>
  <c r="F283" i="46"/>
  <c r="F334" i="46"/>
  <c r="F229" i="46"/>
  <c r="F393" i="46"/>
  <c r="F373" i="46"/>
  <c r="F331" i="46"/>
  <c r="F293" i="46"/>
  <c r="F276" i="46"/>
  <c r="F265" i="46"/>
  <c r="F237" i="46"/>
  <c r="F226" i="46"/>
  <c r="F242" i="46"/>
  <c r="F239" i="46"/>
  <c r="F161" i="46"/>
  <c r="F263" i="46"/>
  <c r="F248" i="46"/>
  <c r="F210" i="46"/>
  <c r="F169" i="46"/>
  <c r="F158" i="46"/>
  <c r="F262" i="46"/>
  <c r="F113" i="46"/>
  <c r="F328" i="46"/>
  <c r="F185" i="46"/>
  <c r="F145" i="46"/>
  <c r="F301" i="46"/>
  <c r="F245" i="46"/>
  <c r="F225" i="46"/>
  <c r="F197" i="46"/>
  <c r="F190" i="46"/>
  <c r="F182" i="46"/>
  <c r="F165" i="46"/>
  <c r="F148" i="46"/>
  <c r="F123" i="46"/>
  <c r="F97" i="46"/>
  <c r="F275" i="46"/>
  <c r="F223" i="46"/>
  <c r="F221" i="46"/>
  <c r="F189" i="46"/>
  <c r="F129" i="46"/>
  <c r="F126" i="46"/>
  <c r="F310" i="46"/>
  <c r="F188" i="46"/>
  <c r="F153" i="46"/>
  <c r="F157" i="46"/>
  <c r="F141" i="46"/>
  <c r="F137" i="46"/>
  <c r="F115" i="46"/>
  <c r="F355" i="46"/>
  <c r="F354" i="46"/>
  <c r="F350" i="46"/>
  <c r="F349" i="46"/>
  <c r="F214" i="46"/>
  <c r="F193" i="46"/>
  <c r="F177" i="46"/>
  <c r="F132" i="46"/>
  <c r="F118" i="46"/>
  <c r="F280" i="46"/>
  <c r="F234" i="46"/>
  <c r="F231" i="46"/>
  <c r="F173" i="46"/>
  <c r="F139" i="46"/>
  <c r="AT3" i="46"/>
  <c r="AS8" i="46"/>
  <c r="AT11" i="46"/>
  <c r="AS16" i="46"/>
  <c r="AT19" i="46"/>
  <c r="AS24" i="46"/>
  <c r="AT27" i="46"/>
  <c r="AS32" i="46"/>
  <c r="AT35" i="46"/>
  <c r="AS40" i="46"/>
  <c r="AT43" i="46"/>
  <c r="AS48" i="46"/>
  <c r="AT51" i="46"/>
  <c r="AS56" i="46"/>
  <c r="AS64" i="46"/>
  <c r="AT70" i="46"/>
  <c r="AS78" i="46"/>
  <c r="F82" i="46"/>
  <c r="G84" i="46"/>
  <c r="AT86" i="46"/>
  <c r="F87" i="46"/>
  <c r="F93" i="46"/>
  <c r="F94" i="46"/>
  <c r="G99" i="46"/>
  <c r="F105" i="46"/>
  <c r="G112" i="46"/>
  <c r="F116" i="46"/>
  <c r="F128" i="46"/>
  <c r="F140" i="46"/>
  <c r="G148" i="46"/>
  <c r="F163" i="46"/>
  <c r="AS163" i="46"/>
  <c r="AT163" i="46"/>
  <c r="F194" i="46"/>
  <c r="F211" i="46"/>
  <c r="AT215" i="46"/>
  <c r="AS215" i="46"/>
  <c r="F273" i="46"/>
  <c r="G338" i="46"/>
  <c r="G8" i="46"/>
  <c r="F15" i="46"/>
  <c r="G411" i="46"/>
  <c r="H411" i="46" s="1"/>
  <c r="G401" i="46"/>
  <c r="G376" i="46"/>
  <c r="G365" i="46"/>
  <c r="G339" i="46"/>
  <c r="G336" i="46"/>
  <c r="G333" i="46"/>
  <c r="G379" i="46"/>
  <c r="G371" i="46"/>
  <c r="G355" i="46"/>
  <c r="G323" i="46"/>
  <c r="G313" i="46"/>
  <c r="G331" i="46"/>
  <c r="G337" i="46"/>
  <c r="G387" i="46"/>
  <c r="G377" i="46"/>
  <c r="G360" i="46"/>
  <c r="G381" i="46"/>
  <c r="G363" i="46"/>
  <c r="G300" i="46"/>
  <c r="G278" i="46"/>
  <c r="G395" i="46"/>
  <c r="G342" i="46"/>
  <c r="G315" i="46"/>
  <c r="G282" i="46"/>
  <c r="G402" i="46"/>
  <c r="G373" i="46"/>
  <c r="G403" i="46"/>
  <c r="G357" i="46"/>
  <c r="G310" i="46"/>
  <c r="G248" i="46"/>
  <c r="G245" i="46"/>
  <c r="G221" i="46"/>
  <c r="G228" i="46"/>
  <c r="G199" i="46"/>
  <c r="G347" i="46"/>
  <c r="G345" i="46"/>
  <c r="G274" i="46"/>
  <c r="G251" i="46"/>
  <c r="G236" i="46"/>
  <c r="G304" i="46"/>
  <c r="G302" i="46"/>
  <c r="G410" i="46"/>
  <c r="H410" i="46" s="1"/>
  <c r="G192" i="46"/>
  <c r="G188" i="46"/>
  <c r="G167" i="46"/>
  <c r="G164" i="46"/>
  <c r="G244" i="46"/>
  <c r="G204" i="46"/>
  <c r="G180" i="46"/>
  <c r="G159" i="46"/>
  <c r="G134" i="46"/>
  <c r="G126" i="46"/>
  <c r="G100" i="46"/>
  <c r="G94" i="46"/>
  <c r="G369" i="46"/>
  <c r="G196" i="46"/>
  <c r="G103" i="46"/>
  <c r="G307" i="46"/>
  <c r="G271" i="46"/>
  <c r="G312" i="46"/>
  <c r="G242" i="46"/>
  <c r="G193" i="46"/>
  <c r="G118" i="46"/>
  <c r="G218" i="46"/>
  <c r="G212" i="46"/>
  <c r="G201" i="46"/>
  <c r="G185" i="46"/>
  <c r="G168" i="46"/>
  <c r="G151" i="46"/>
  <c r="G145" i="46"/>
  <c r="G140" i="46"/>
  <c r="G111" i="46"/>
  <c r="G268" i="46"/>
  <c r="G150" i="46"/>
  <c r="F61" i="46"/>
  <c r="AT62" i="46"/>
  <c r="G66" i="46"/>
  <c r="F68" i="46"/>
  <c r="F69" i="46"/>
  <c r="F73" i="46"/>
  <c r="G82" i="46"/>
  <c r="G83" i="46"/>
  <c r="F85" i="46"/>
  <c r="G87" i="46"/>
  <c r="F88" i="46"/>
  <c r="F101" i="46"/>
  <c r="G115" i="46"/>
  <c r="G129" i="46"/>
  <c r="AT133" i="46"/>
  <c r="AS133" i="46"/>
  <c r="G143" i="46"/>
  <c r="G156" i="46"/>
  <c r="AT176" i="46"/>
  <c r="AS176" i="46"/>
  <c r="G186" i="46"/>
  <c r="G249" i="46"/>
  <c r="F252" i="46"/>
  <c r="F277" i="46"/>
  <c r="AS65" i="46"/>
  <c r="F76" i="46"/>
  <c r="G77" i="46"/>
  <c r="F79" i="46"/>
  <c r="F81" i="46"/>
  <c r="AT93" i="46"/>
  <c r="AS93" i="46"/>
  <c r="F108" i="46"/>
  <c r="G124" i="46"/>
  <c r="AT128" i="46"/>
  <c r="G128" i="46"/>
  <c r="AT131" i="46"/>
  <c r="G137" i="46"/>
  <c r="AS147" i="46"/>
  <c r="G161" i="46"/>
  <c r="G183" i="46"/>
  <c r="F187" i="46"/>
  <c r="AS187" i="46"/>
  <c r="AT187" i="46"/>
  <c r="G191" i="46"/>
  <c r="F195" i="46"/>
  <c r="AS195" i="46"/>
  <c r="G241" i="46"/>
  <c r="AT82" i="46"/>
  <c r="F90" i="46"/>
  <c r="G93" i="46"/>
  <c r="F96" i="46"/>
  <c r="F99" i="46"/>
  <c r="F103" i="46"/>
  <c r="F107" i="46"/>
  <c r="F112" i="46"/>
  <c r="F119" i="46"/>
  <c r="G122" i="46"/>
  <c r="G133" i="46"/>
  <c r="G147" i="46"/>
  <c r="G152" i="46"/>
  <c r="G153" i="46"/>
  <c r="AS162" i="46"/>
  <c r="AT162" i="46"/>
  <c r="G187" i="46"/>
  <c r="G195" i="46"/>
  <c r="G202" i="46"/>
  <c r="G203" i="46"/>
  <c r="G217" i="46"/>
  <c r="F220" i="46"/>
  <c r="F222" i="46"/>
  <c r="G237" i="46"/>
  <c r="G238" i="46"/>
  <c r="G259" i="46"/>
  <c r="G270" i="46"/>
  <c r="G123" i="46"/>
  <c r="F130" i="46"/>
  <c r="G142" i="46"/>
  <c r="G158" i="46"/>
  <c r="F166" i="46"/>
  <c r="F196" i="46"/>
  <c r="AT220" i="46"/>
  <c r="F246" i="46"/>
  <c r="AT249" i="46"/>
  <c r="AS249" i="46"/>
  <c r="AT272" i="46"/>
  <c r="G272" i="46"/>
  <c r="F272" i="46"/>
  <c r="AS272" i="46"/>
  <c r="F306" i="46"/>
  <c r="AT306" i="46"/>
  <c r="AS306" i="46"/>
  <c r="AT389" i="46"/>
  <c r="AS389" i="46"/>
  <c r="F407" i="46"/>
  <c r="G75" i="46"/>
  <c r="G91" i="46"/>
  <c r="F104" i="46"/>
  <c r="AS104" i="46"/>
  <c r="AS107" i="46"/>
  <c r="AT116" i="46"/>
  <c r="AS116" i="46"/>
  <c r="AT120" i="46"/>
  <c r="G130" i="46"/>
  <c r="AT130" i="46"/>
  <c r="F135" i="46"/>
  <c r="G138" i="46"/>
  <c r="AS144" i="46"/>
  <c r="F149" i="46"/>
  <c r="F150" i="46"/>
  <c r="G154" i="46"/>
  <c r="AS160" i="46"/>
  <c r="AT165" i="46"/>
  <c r="AS165" i="46"/>
  <c r="F167" i="46"/>
  <c r="G171" i="46"/>
  <c r="F174" i="46"/>
  <c r="F179" i="46"/>
  <c r="AT179" i="46"/>
  <c r="AT180" i="46"/>
  <c r="AS180" i="46"/>
  <c r="F180" i="46"/>
  <c r="AT197" i="46"/>
  <c r="AS197" i="46"/>
  <c r="F199" i="46"/>
  <c r="F207" i="46"/>
  <c r="G219" i="46"/>
  <c r="F227" i="46"/>
  <c r="F230" i="46"/>
  <c r="F233" i="46"/>
  <c r="F266" i="46"/>
  <c r="AT305" i="46"/>
  <c r="AS305" i="46"/>
  <c r="G305" i="46"/>
  <c r="G388" i="46"/>
  <c r="F91" i="46"/>
  <c r="F95" i="46"/>
  <c r="F98" i="46"/>
  <c r="G101" i="46"/>
  <c r="G107" i="46"/>
  <c r="F124" i="46"/>
  <c r="F127" i="46"/>
  <c r="G135" i="46"/>
  <c r="F136" i="46"/>
  <c r="G139" i="46"/>
  <c r="F144" i="46"/>
  <c r="G155" i="46"/>
  <c r="F156" i="46"/>
  <c r="F160" i="46"/>
  <c r="G173" i="46"/>
  <c r="G182" i="46"/>
  <c r="F183" i="46"/>
  <c r="F184" i="46"/>
  <c r="G205" i="46"/>
  <c r="F209" i="46"/>
  <c r="G210" i="46"/>
  <c r="G211" i="46"/>
  <c r="G226" i="46"/>
  <c r="G229" i="46"/>
  <c r="AS246" i="46"/>
  <c r="AT246" i="46"/>
  <c r="G266" i="46"/>
  <c r="F102" i="46"/>
  <c r="G110" i="46"/>
  <c r="F111" i="46"/>
  <c r="F114" i="46"/>
  <c r="G121" i="46"/>
  <c r="AT135" i="46"/>
  <c r="G144" i="46"/>
  <c r="AT149" i="46"/>
  <c r="AS149" i="46"/>
  <c r="F151" i="46"/>
  <c r="F155" i="46"/>
  <c r="G160" i="46"/>
  <c r="G166" i="46"/>
  <c r="AT172" i="46"/>
  <c r="AS172" i="46"/>
  <c r="G172" i="46"/>
  <c r="F172" i="46"/>
  <c r="F176" i="46"/>
  <c r="F192" i="46"/>
  <c r="G198" i="46"/>
  <c r="F205" i="46"/>
  <c r="AT205" i="46"/>
  <c r="AS206" i="46"/>
  <c r="AT206" i="46"/>
  <c r="F206" i="46"/>
  <c r="AT207" i="46"/>
  <c r="AT208" i="46"/>
  <c r="AS208" i="46"/>
  <c r="F215" i="46"/>
  <c r="F217" i="46"/>
  <c r="AT256" i="46"/>
  <c r="AS256" i="46"/>
  <c r="G256" i="46"/>
  <c r="F256" i="46"/>
  <c r="F260" i="46"/>
  <c r="G288" i="46"/>
  <c r="F294" i="46"/>
  <c r="G297" i="46"/>
  <c r="AT329" i="46"/>
  <c r="AS329" i="46"/>
  <c r="AT332" i="46"/>
  <c r="AS332" i="46"/>
  <c r="AT117" i="46"/>
  <c r="AS117" i="46"/>
  <c r="AT124" i="46"/>
  <c r="AS124" i="46"/>
  <c r="AS131" i="46"/>
  <c r="F131" i="46"/>
  <c r="AT140" i="46"/>
  <c r="AS140" i="46"/>
  <c r="G176" i="46"/>
  <c r="G177" i="46"/>
  <c r="AT191" i="46"/>
  <c r="AT209" i="46"/>
  <c r="AS209" i="46"/>
  <c r="G213" i="46"/>
  <c r="G214" i="46"/>
  <c r="F235" i="46"/>
  <c r="F241" i="46"/>
  <c r="G359" i="46"/>
  <c r="AT132" i="46"/>
  <c r="AS132" i="46"/>
  <c r="F138" i="46"/>
  <c r="G146" i="46"/>
  <c r="G149" i="46"/>
  <c r="F152" i="46"/>
  <c r="G163" i="46"/>
  <c r="F171" i="46"/>
  <c r="AT175" i="46"/>
  <c r="G179" i="46"/>
  <c r="G190" i="46"/>
  <c r="F191" i="46"/>
  <c r="G194" i="46"/>
  <c r="F202" i="46"/>
  <c r="G209" i="46"/>
  <c r="G215" i="46"/>
  <c r="G227" i="46"/>
  <c r="G235" i="46"/>
  <c r="G246" i="46"/>
  <c r="F249" i="46"/>
  <c r="F255" i="46"/>
  <c r="AT255" i="46"/>
  <c r="AS255" i="46"/>
  <c r="G260" i="46"/>
  <c r="G273" i="46"/>
  <c r="G280" i="46"/>
  <c r="AT287" i="46"/>
  <c r="F287" i="46"/>
  <c r="AS287" i="46"/>
  <c r="AT311" i="46"/>
  <c r="AS311" i="46"/>
  <c r="F343" i="46"/>
  <c r="F413" i="46"/>
  <c r="AT92" i="46"/>
  <c r="AS92" i="46"/>
  <c r="AT100" i="46"/>
  <c r="AS100" i="46"/>
  <c r="F106" i="46"/>
  <c r="G114" i="46"/>
  <c r="G117" i="46"/>
  <c r="F120" i="46"/>
  <c r="G131" i="46"/>
  <c r="G132" i="46"/>
  <c r="F159" i="46"/>
  <c r="AT164" i="46"/>
  <c r="AS164" i="46"/>
  <c r="F170" i="46"/>
  <c r="AT173" i="46"/>
  <c r="AS173" i="46"/>
  <c r="G181" i="46"/>
  <c r="AT188" i="46"/>
  <c r="AS188" i="46"/>
  <c r="F200" i="46"/>
  <c r="AS200" i="46"/>
  <c r="F203" i="46"/>
  <c r="G207" i="46"/>
  <c r="F218" i="46"/>
  <c r="AT223" i="46"/>
  <c r="F224" i="46"/>
  <c r="AT231" i="46"/>
  <c r="F232" i="46"/>
  <c r="AT240" i="46"/>
  <c r="AS240" i="46"/>
  <c r="G240" i="46"/>
  <c r="F240" i="46"/>
  <c r="G252" i="46"/>
  <c r="G253" i="46"/>
  <c r="F257" i="46"/>
  <c r="G265" i="46"/>
  <c r="F270" i="46"/>
  <c r="G276" i="46"/>
  <c r="G277" i="46"/>
  <c r="F289" i="46"/>
  <c r="F318" i="46"/>
  <c r="AS338" i="46"/>
  <c r="F338" i="46"/>
  <c r="AT338" i="46"/>
  <c r="G358" i="46"/>
  <c r="G362" i="46"/>
  <c r="G399" i="46"/>
  <c r="F401" i="46"/>
  <c r="AT156" i="46"/>
  <c r="AS156" i="46"/>
  <c r="F162" i="46"/>
  <c r="G170" i="46"/>
  <c r="F178" i="46"/>
  <c r="AT181" i="46"/>
  <c r="AS181" i="46"/>
  <c r="G189" i="46"/>
  <c r="AT192" i="46"/>
  <c r="AT196" i="46"/>
  <c r="AS196" i="46"/>
  <c r="F212" i="46"/>
  <c r="F269" i="46"/>
  <c r="F282" i="46"/>
  <c r="G283" i="46"/>
  <c r="G284" i="46"/>
  <c r="F288" i="46"/>
  <c r="F299" i="46"/>
  <c r="F315" i="46"/>
  <c r="G334" i="46"/>
  <c r="AT396" i="46"/>
  <c r="G396" i="46"/>
  <c r="F396" i="46"/>
  <c r="F398" i="46"/>
  <c r="F143" i="46"/>
  <c r="AT148" i="46"/>
  <c r="AS148" i="46"/>
  <c r="F154" i="46"/>
  <c r="G162" i="46"/>
  <c r="G165" i="46"/>
  <c r="F168" i="46"/>
  <c r="AS171" i="46"/>
  <c r="G174" i="46"/>
  <c r="F175" i="46"/>
  <c r="G178" i="46"/>
  <c r="F186" i="46"/>
  <c r="AT189" i="46"/>
  <c r="AS189" i="46"/>
  <c r="G197" i="46"/>
  <c r="AT204" i="46"/>
  <c r="AS204" i="46"/>
  <c r="AT224" i="46"/>
  <c r="G224" i="46"/>
  <c r="AT232" i="46"/>
  <c r="AS232" i="46"/>
  <c r="G232" i="46"/>
  <c r="G243" i="46"/>
  <c r="F298" i="46"/>
  <c r="F374" i="46"/>
  <c r="F395" i="46"/>
  <c r="F204" i="46"/>
  <c r="AT213" i="46"/>
  <c r="G230" i="46"/>
  <c r="G233" i="46"/>
  <c r="F244" i="46"/>
  <c r="AS244" i="46"/>
  <c r="G247" i="46"/>
  <c r="G257" i="46"/>
  <c r="AT260" i="46"/>
  <c r="G261" i="46"/>
  <c r="AS267" i="46"/>
  <c r="G285" i="46"/>
  <c r="G289" i="46"/>
  <c r="F290" i="46"/>
  <c r="AS295" i="46"/>
  <c r="G299" i="46"/>
  <c r="AT316" i="46"/>
  <c r="AS316" i="46"/>
  <c r="AS317" i="46"/>
  <c r="G317" i="46"/>
  <c r="G318" i="46"/>
  <c r="F324" i="46"/>
  <c r="G361" i="46"/>
  <c r="AT380" i="46"/>
  <c r="AS380" i="46"/>
  <c r="F383" i="46"/>
  <c r="AT384" i="46"/>
  <c r="G391" i="46"/>
  <c r="G223" i="46"/>
  <c r="AT233" i="46"/>
  <c r="F236" i="46"/>
  <c r="G239" i="46"/>
  <c r="AS239" i="46"/>
  <c r="G250" i="46"/>
  <c r="F251" i="46"/>
  <c r="F254" i="46"/>
  <c r="AT257" i="46"/>
  <c r="AS257" i="46"/>
  <c r="G267" i="46"/>
  <c r="F279" i="46"/>
  <c r="F285" i="46"/>
  <c r="F286" i="46"/>
  <c r="G290" i="46"/>
  <c r="AT300" i="46"/>
  <c r="AS300" i="46"/>
  <c r="F302" i="46"/>
  <c r="AS303" i="46"/>
  <c r="AT319" i="46"/>
  <c r="AS319" i="46"/>
  <c r="F321" i="46"/>
  <c r="G324" i="46"/>
  <c r="AS391" i="46"/>
  <c r="AT391" i="46"/>
  <c r="F394" i="46"/>
  <c r="AS223" i="46"/>
  <c r="AS225" i="46"/>
  <c r="F228" i="46"/>
  <c r="G231" i="46"/>
  <c r="G254" i="46"/>
  <c r="G262" i="46"/>
  <c r="AT262" i="46"/>
  <c r="AS262" i="46"/>
  <c r="F267" i="46"/>
  <c r="F268" i="46"/>
  <c r="F271" i="46"/>
  <c r="G279" i="46"/>
  <c r="AT290" i="46"/>
  <c r="F307" i="46"/>
  <c r="F308" i="46"/>
  <c r="AT345" i="46"/>
  <c r="AS345" i="46"/>
  <c r="F353" i="46"/>
  <c r="F386" i="46"/>
  <c r="G397" i="46"/>
  <c r="G404" i="46"/>
  <c r="F213" i="46"/>
  <c r="AT214" i="46"/>
  <c r="F219" i="46"/>
  <c r="G258" i="46"/>
  <c r="F259" i="46"/>
  <c r="F264" i="46"/>
  <c r="G275" i="46"/>
  <c r="F281" i="46"/>
  <c r="F292" i="46"/>
  <c r="F295" i="46"/>
  <c r="G296" i="46"/>
  <c r="F296" i="46"/>
  <c r="F297" i="46"/>
  <c r="F317" i="46"/>
  <c r="AT322" i="46"/>
  <c r="AS322" i="46"/>
  <c r="F322" i="46"/>
  <c r="G330" i="46"/>
  <c r="G344" i="46"/>
  <c r="G353" i="46"/>
  <c r="F356" i="46"/>
  <c r="AT367" i="46"/>
  <c r="AS367" i="46"/>
  <c r="G368" i="46"/>
  <c r="G386" i="46"/>
  <c r="AT221" i="46"/>
  <c r="F243" i="46"/>
  <c r="AT248" i="46"/>
  <c r="AS248" i="46"/>
  <c r="G255" i="46"/>
  <c r="G263" i="46"/>
  <c r="G264" i="46"/>
  <c r="AT271" i="46"/>
  <c r="G281" i="46"/>
  <c r="G291" i="46"/>
  <c r="G292" i="46"/>
  <c r="G293" i="46"/>
  <c r="G306" i="46"/>
  <c r="G309" i="46"/>
  <c r="G329" i="46"/>
  <c r="AT351" i="46"/>
  <c r="AS351" i="46"/>
  <c r="G352" i="46"/>
  <c r="AT354" i="46"/>
  <c r="AS354" i="46"/>
  <c r="AT386" i="46"/>
  <c r="AS386" i="46"/>
  <c r="F392" i="46"/>
  <c r="F408" i="46"/>
  <c r="AS264" i="46"/>
  <c r="AS288" i="46"/>
  <c r="AT292" i="46"/>
  <c r="F300" i="46"/>
  <c r="F303" i="46"/>
  <c r="F326" i="46"/>
  <c r="F327" i="46"/>
  <c r="F332" i="46"/>
  <c r="F341" i="46"/>
  <c r="F342" i="46"/>
  <c r="F347" i="46"/>
  <c r="G356" i="46"/>
  <c r="AT361" i="46"/>
  <c r="AS361" i="46"/>
  <c r="F384" i="46"/>
  <c r="G394" i="46"/>
  <c r="F406" i="46"/>
  <c r="F274" i="46"/>
  <c r="AS279" i="46"/>
  <c r="F284" i="46"/>
  <c r="AT288" i="46"/>
  <c r="G295" i="46"/>
  <c r="G303" i="46"/>
  <c r="AT308" i="46"/>
  <c r="AS308" i="46"/>
  <c r="F309" i="46"/>
  <c r="AT313" i="46"/>
  <c r="AS313" i="46"/>
  <c r="AS314" i="46"/>
  <c r="G326" i="46"/>
  <c r="G327" i="46"/>
  <c r="G332" i="46"/>
  <c r="AT335" i="46"/>
  <c r="F358" i="46"/>
  <c r="F359" i="46"/>
  <c r="F372" i="46"/>
  <c r="G384" i="46"/>
  <c r="AS385" i="46"/>
  <c r="AT385" i="46"/>
  <c r="G385" i="46"/>
  <c r="G389" i="46"/>
  <c r="G390" i="46"/>
  <c r="AT394" i="46"/>
  <c r="AS394" i="46"/>
  <c r="AS282" i="46"/>
  <c r="AT284" i="46"/>
  <c r="AT298" i="46"/>
  <c r="G301" i="46"/>
  <c r="F305" i="46"/>
  <c r="G320" i="46"/>
  <c r="G321" i="46"/>
  <c r="F325" i="46"/>
  <c r="G335" i="46"/>
  <c r="G341" i="46"/>
  <c r="AT348" i="46"/>
  <c r="AS348" i="46"/>
  <c r="G350" i="46"/>
  <c r="G364" i="46"/>
  <c r="AS373" i="46"/>
  <c r="AT373" i="46"/>
  <c r="G375" i="46"/>
  <c r="G383" i="46"/>
  <c r="F387" i="46"/>
  <c r="G392" i="46"/>
  <c r="AS393" i="46"/>
  <c r="AT393" i="46"/>
  <c r="G393" i="46"/>
  <c r="F400" i="46"/>
  <c r="G408" i="46"/>
  <c r="H408" i="46" s="1"/>
  <c r="F410" i="46"/>
  <c r="G269" i="46"/>
  <c r="G287" i="46"/>
  <c r="F311" i="46"/>
  <c r="G325" i="46"/>
  <c r="F329" i="46"/>
  <c r="F337" i="46"/>
  <c r="F339" i="46"/>
  <c r="AT343" i="46"/>
  <c r="F357" i="46"/>
  <c r="G366" i="46"/>
  <c r="AT382" i="46"/>
  <c r="AS383" i="46"/>
  <c r="AT383" i="46"/>
  <c r="F385" i="46"/>
  <c r="F391" i="46"/>
  <c r="G405" i="46"/>
  <c r="F313" i="46"/>
  <c r="F316" i="46"/>
  <c r="F319" i="46"/>
  <c r="AT321" i="46"/>
  <c r="AS321" i="46"/>
  <c r="F345" i="46"/>
  <c r="F348" i="46"/>
  <c r="G349" i="46"/>
  <c r="F351" i="46"/>
  <c r="AT353" i="46"/>
  <c r="AS353" i="46"/>
  <c r="G372" i="46"/>
  <c r="F380" i="46"/>
  <c r="F399" i="46"/>
  <c r="G400" i="46"/>
  <c r="G407" i="46"/>
  <c r="AT297" i="46"/>
  <c r="AS297" i="46"/>
  <c r="AT310" i="46"/>
  <c r="G316" i="46"/>
  <c r="G319" i="46"/>
  <c r="G322" i="46"/>
  <c r="G348" i="46"/>
  <c r="G351" i="46"/>
  <c r="G354" i="46"/>
  <c r="F369" i="46"/>
  <c r="F377" i="46"/>
  <c r="G380" i="46"/>
  <c r="F412" i="46"/>
  <c r="G298" i="46"/>
  <c r="G308" i="46"/>
  <c r="G311" i="46"/>
  <c r="G314" i="46"/>
  <c r="G340" i="46"/>
  <c r="AS340" i="46"/>
  <c r="G343" i="46"/>
  <c r="G346" i="46"/>
  <c r="AS349" i="46"/>
  <c r="F367" i="46"/>
  <c r="AT369" i="46"/>
  <c r="AS369" i="46"/>
  <c r="G370" i="46"/>
  <c r="G374" i="46"/>
  <c r="AT377" i="46"/>
  <c r="AS377" i="46"/>
  <c r="G378" i="46"/>
  <c r="G398" i="46"/>
  <c r="G406" i="46"/>
  <c r="G409" i="46"/>
  <c r="H409" i="46" s="1"/>
  <c r="F335" i="46"/>
  <c r="AT337" i="46"/>
  <c r="AS337" i="46"/>
  <c r="F361" i="46"/>
  <c r="F364" i="46"/>
  <c r="G367" i="46"/>
  <c r="F371" i="46"/>
  <c r="F375" i="46"/>
  <c r="F379" i="46"/>
  <c r="G382" i="46"/>
  <c r="F389" i="46"/>
  <c r="F397" i="46"/>
  <c r="F405" i="46"/>
  <c r="AS387" i="46"/>
  <c r="AS310" i="46"/>
  <c r="AS318" i="46"/>
  <c r="AS326" i="46"/>
  <c r="AS334" i="46"/>
  <c r="AS342" i="46"/>
  <c r="AS350" i="46"/>
  <c r="AS358" i="46"/>
  <c r="AS366" i="46"/>
  <c r="AS374" i="46"/>
  <c r="AS382" i="46"/>
  <c r="AS390" i="46"/>
  <c r="H55" i="46" l="1"/>
  <c r="I38" i="46"/>
  <c r="H57" i="46"/>
  <c r="H54" i="46"/>
  <c r="H7" i="46"/>
  <c r="H11" i="46"/>
  <c r="H5" i="46"/>
  <c r="I25" i="46"/>
  <c r="H46" i="46"/>
  <c r="H19" i="46"/>
  <c r="H35" i="46"/>
  <c r="I29" i="46"/>
  <c r="I225" i="46"/>
  <c r="H97" i="46"/>
  <c r="I85" i="46"/>
  <c r="H45" i="46"/>
  <c r="H41" i="46"/>
  <c r="H43" i="46"/>
  <c r="H12" i="46"/>
  <c r="H21" i="46"/>
  <c r="H61" i="46"/>
  <c r="H31" i="46"/>
  <c r="H28" i="46"/>
  <c r="I14" i="46"/>
  <c r="I17" i="46"/>
  <c r="I37" i="46"/>
  <c r="I22" i="46"/>
  <c r="I6" i="46"/>
  <c r="H39" i="46"/>
  <c r="I23" i="46"/>
  <c r="I4" i="46"/>
  <c r="I69" i="46"/>
  <c r="H27" i="46"/>
  <c r="I3" i="46"/>
  <c r="H89" i="46"/>
  <c r="H24" i="46"/>
  <c r="I30" i="46"/>
  <c r="H20" i="46"/>
  <c r="H36" i="46"/>
  <c r="H33" i="46"/>
  <c r="H49" i="46"/>
  <c r="I47" i="46"/>
  <c r="I15" i="46"/>
  <c r="H53" i="46"/>
  <c r="I13" i="46"/>
  <c r="H9" i="46"/>
  <c r="H2" i="46"/>
  <c r="I398" i="46"/>
  <c r="H398" i="46"/>
  <c r="H348" i="46"/>
  <c r="I348" i="46"/>
  <c r="H375" i="46"/>
  <c r="I375" i="46"/>
  <c r="I205" i="46"/>
  <c r="H205" i="46"/>
  <c r="I122" i="46"/>
  <c r="H122" i="46"/>
  <c r="H298" i="46"/>
  <c r="I298" i="46"/>
  <c r="I293" i="46"/>
  <c r="H293" i="46"/>
  <c r="I299" i="46"/>
  <c r="H299" i="46"/>
  <c r="I253" i="46"/>
  <c r="H253" i="46"/>
  <c r="I246" i="46"/>
  <c r="H246" i="46"/>
  <c r="H190" i="46"/>
  <c r="I190" i="46"/>
  <c r="I187" i="46"/>
  <c r="H187" i="46"/>
  <c r="I346" i="46"/>
  <c r="H346" i="46"/>
  <c r="H258" i="46"/>
  <c r="I258" i="46"/>
  <c r="I267" i="46"/>
  <c r="H267" i="46"/>
  <c r="I361" i="46"/>
  <c r="H361" i="46"/>
  <c r="H181" i="46"/>
  <c r="I181" i="46"/>
  <c r="I131" i="46"/>
  <c r="H131" i="46"/>
  <c r="H280" i="46"/>
  <c r="I280" i="46"/>
  <c r="I179" i="46"/>
  <c r="H179" i="46"/>
  <c r="I297" i="46"/>
  <c r="H297" i="46"/>
  <c r="I130" i="46"/>
  <c r="H130" i="46"/>
  <c r="H75" i="46"/>
  <c r="I75" i="46"/>
  <c r="I237" i="46"/>
  <c r="H237" i="46"/>
  <c r="H241" i="46"/>
  <c r="I241" i="46"/>
  <c r="I161" i="46"/>
  <c r="H161" i="46"/>
  <c r="I83" i="46"/>
  <c r="H83" i="46"/>
  <c r="H150" i="46"/>
  <c r="I150" i="46"/>
  <c r="I201" i="46"/>
  <c r="H201" i="46"/>
  <c r="I307" i="46"/>
  <c r="H307" i="46"/>
  <c r="I159" i="46"/>
  <c r="H159" i="46"/>
  <c r="H343" i="46"/>
  <c r="I343" i="46"/>
  <c r="I380" i="46"/>
  <c r="H380" i="46"/>
  <c r="H316" i="46"/>
  <c r="I316" i="46"/>
  <c r="I372" i="46"/>
  <c r="H372" i="46"/>
  <c r="I325" i="46"/>
  <c r="H325" i="46"/>
  <c r="H364" i="46"/>
  <c r="I364" i="46"/>
  <c r="I320" i="46"/>
  <c r="H320" i="46"/>
  <c r="I390" i="46"/>
  <c r="H390" i="46"/>
  <c r="I352" i="46"/>
  <c r="H352" i="46"/>
  <c r="I291" i="46"/>
  <c r="H291" i="46"/>
  <c r="I344" i="46"/>
  <c r="H344" i="46"/>
  <c r="H296" i="46"/>
  <c r="I296" i="46"/>
  <c r="I284" i="46"/>
  <c r="H284" i="46"/>
  <c r="H189" i="46"/>
  <c r="I189" i="46"/>
  <c r="I273" i="46"/>
  <c r="H273" i="46"/>
  <c r="I227" i="46"/>
  <c r="H227" i="46"/>
  <c r="H166" i="46"/>
  <c r="I166" i="46"/>
  <c r="I121" i="46"/>
  <c r="H121" i="46"/>
  <c r="I229" i="46"/>
  <c r="H229" i="46"/>
  <c r="H182" i="46"/>
  <c r="I182" i="46"/>
  <c r="I135" i="46"/>
  <c r="H135" i="46"/>
  <c r="I388" i="46"/>
  <c r="H388" i="46"/>
  <c r="H219" i="46"/>
  <c r="I219" i="46"/>
  <c r="I154" i="46"/>
  <c r="H154" i="46"/>
  <c r="H272" i="46"/>
  <c r="I272" i="46"/>
  <c r="H158" i="46"/>
  <c r="I158" i="46"/>
  <c r="H82" i="46"/>
  <c r="I82" i="46"/>
  <c r="I268" i="46"/>
  <c r="H268" i="46"/>
  <c r="I212" i="46"/>
  <c r="H212" i="46"/>
  <c r="H103" i="46"/>
  <c r="I103" i="46"/>
  <c r="I180" i="46"/>
  <c r="H180" i="46"/>
  <c r="I302" i="46"/>
  <c r="H302" i="46"/>
  <c r="I228" i="46"/>
  <c r="H228" i="46"/>
  <c r="I402" i="46"/>
  <c r="H402" i="46"/>
  <c r="I381" i="46"/>
  <c r="H381" i="46"/>
  <c r="H355" i="46"/>
  <c r="I355" i="46"/>
  <c r="I401" i="46"/>
  <c r="H401" i="46"/>
  <c r="I84" i="46"/>
  <c r="H84" i="46"/>
  <c r="I50" i="46"/>
  <c r="H50" i="46"/>
  <c r="I169" i="46"/>
  <c r="H169" i="46"/>
  <c r="I10" i="46"/>
  <c r="H10" i="46"/>
  <c r="H98" i="46"/>
  <c r="I98" i="46"/>
  <c r="H382" i="46"/>
  <c r="I382" i="46"/>
  <c r="I374" i="46"/>
  <c r="H374" i="46"/>
  <c r="H350" i="46"/>
  <c r="I350" i="46"/>
  <c r="H389" i="46"/>
  <c r="I389" i="46"/>
  <c r="I281" i="46"/>
  <c r="H281" i="46"/>
  <c r="I330" i="46"/>
  <c r="H330" i="46"/>
  <c r="H223" i="46"/>
  <c r="I223" i="46"/>
  <c r="H318" i="46"/>
  <c r="I318" i="46"/>
  <c r="H289" i="46"/>
  <c r="I289" i="46"/>
  <c r="I243" i="46"/>
  <c r="H243" i="46"/>
  <c r="H197" i="46"/>
  <c r="I197" i="46"/>
  <c r="I283" i="46"/>
  <c r="H283" i="46"/>
  <c r="H399" i="46"/>
  <c r="I399" i="46"/>
  <c r="I277" i="46"/>
  <c r="H277" i="46"/>
  <c r="I240" i="46"/>
  <c r="H240" i="46"/>
  <c r="I207" i="46"/>
  <c r="H207" i="46"/>
  <c r="H117" i="46"/>
  <c r="I117" i="46"/>
  <c r="I260" i="46"/>
  <c r="H260" i="46"/>
  <c r="I215" i="46"/>
  <c r="H215" i="46"/>
  <c r="H359" i="46"/>
  <c r="I359" i="46"/>
  <c r="I177" i="46"/>
  <c r="H177" i="46"/>
  <c r="H288" i="46"/>
  <c r="I288" i="46"/>
  <c r="H198" i="46"/>
  <c r="I198" i="46"/>
  <c r="I160" i="46"/>
  <c r="H160" i="46"/>
  <c r="H226" i="46"/>
  <c r="I226" i="46"/>
  <c r="H173" i="46"/>
  <c r="I173" i="46"/>
  <c r="I305" i="46"/>
  <c r="H305" i="46"/>
  <c r="H142" i="46"/>
  <c r="I142" i="46"/>
  <c r="I153" i="46"/>
  <c r="H153" i="46"/>
  <c r="I137" i="46"/>
  <c r="H137" i="46"/>
  <c r="H249" i="46"/>
  <c r="I249" i="46"/>
  <c r="I129" i="46"/>
  <c r="H129" i="46"/>
  <c r="I111" i="46"/>
  <c r="H111" i="46"/>
  <c r="H218" i="46"/>
  <c r="I218" i="46"/>
  <c r="I196" i="46"/>
  <c r="H196" i="46"/>
  <c r="I204" i="46"/>
  <c r="H204" i="46"/>
  <c r="I304" i="46"/>
  <c r="H304" i="46"/>
  <c r="I221" i="46"/>
  <c r="H221" i="46"/>
  <c r="H282" i="46"/>
  <c r="I282" i="46"/>
  <c r="I360" i="46"/>
  <c r="H360" i="46"/>
  <c r="I371" i="46"/>
  <c r="H371" i="46"/>
  <c r="I112" i="46"/>
  <c r="H112" i="46"/>
  <c r="I370" i="46"/>
  <c r="H370" i="46"/>
  <c r="I340" i="46"/>
  <c r="H340" i="46"/>
  <c r="I366" i="46"/>
  <c r="H366" i="46"/>
  <c r="H287" i="46"/>
  <c r="I287" i="46"/>
  <c r="I392" i="46"/>
  <c r="H392" i="46"/>
  <c r="I301" i="46"/>
  <c r="H301" i="46"/>
  <c r="I385" i="46"/>
  <c r="H385" i="46"/>
  <c r="H332" i="46"/>
  <c r="I332" i="46"/>
  <c r="I394" i="46"/>
  <c r="H394" i="46"/>
  <c r="I386" i="46"/>
  <c r="H386" i="46"/>
  <c r="H262" i="46"/>
  <c r="I262" i="46"/>
  <c r="H391" i="46"/>
  <c r="I391" i="46"/>
  <c r="I317" i="46"/>
  <c r="H317" i="46"/>
  <c r="I285" i="46"/>
  <c r="H285" i="46"/>
  <c r="H233" i="46"/>
  <c r="I233" i="46"/>
  <c r="I232" i="46"/>
  <c r="H232" i="46"/>
  <c r="H165" i="46"/>
  <c r="I165" i="46"/>
  <c r="I396" i="46"/>
  <c r="H396" i="46"/>
  <c r="I362" i="46"/>
  <c r="H362" i="46"/>
  <c r="I276" i="46"/>
  <c r="H276" i="46"/>
  <c r="I114" i="46"/>
  <c r="H114" i="46"/>
  <c r="H209" i="46"/>
  <c r="I209" i="46"/>
  <c r="I163" i="46"/>
  <c r="H163" i="46"/>
  <c r="I176" i="46"/>
  <c r="H176" i="46"/>
  <c r="H211" i="46"/>
  <c r="I211" i="46"/>
  <c r="H217" i="46"/>
  <c r="I217" i="46"/>
  <c r="I152" i="46"/>
  <c r="H152" i="46"/>
  <c r="H191" i="46"/>
  <c r="I191" i="46"/>
  <c r="I186" i="46"/>
  <c r="H186" i="46"/>
  <c r="I115" i="46"/>
  <c r="H115" i="46"/>
  <c r="H140" i="46"/>
  <c r="I140" i="46"/>
  <c r="H118" i="46"/>
  <c r="I118" i="46"/>
  <c r="H369" i="46"/>
  <c r="I369" i="46"/>
  <c r="I244" i="46"/>
  <c r="H244" i="46"/>
  <c r="I236" i="46"/>
  <c r="H236" i="46"/>
  <c r="I245" i="46"/>
  <c r="H245" i="46"/>
  <c r="H315" i="46"/>
  <c r="I315" i="46"/>
  <c r="H377" i="46"/>
  <c r="I377" i="46"/>
  <c r="I379" i="46"/>
  <c r="H379" i="46"/>
  <c r="I314" i="46"/>
  <c r="H314" i="46"/>
  <c r="I354" i="46"/>
  <c r="H354" i="46"/>
  <c r="H269" i="46"/>
  <c r="I269" i="46"/>
  <c r="H327" i="46"/>
  <c r="I327" i="46"/>
  <c r="H303" i="46"/>
  <c r="I303" i="46"/>
  <c r="I329" i="46"/>
  <c r="H329" i="46"/>
  <c r="H264" i="46"/>
  <c r="I264" i="46"/>
  <c r="I368" i="46"/>
  <c r="H368" i="46"/>
  <c r="I404" i="46"/>
  <c r="H404" i="46"/>
  <c r="I254" i="46"/>
  <c r="H254" i="46"/>
  <c r="H324" i="46"/>
  <c r="I324" i="46"/>
  <c r="H290" i="46"/>
  <c r="I290" i="46"/>
  <c r="H230" i="46"/>
  <c r="I230" i="46"/>
  <c r="I162" i="46"/>
  <c r="H162" i="46"/>
  <c r="I358" i="46"/>
  <c r="H358" i="46"/>
  <c r="H110" i="46"/>
  <c r="I110" i="46"/>
  <c r="H210" i="46"/>
  <c r="I210" i="46"/>
  <c r="I107" i="46"/>
  <c r="H107" i="46"/>
  <c r="I171" i="46"/>
  <c r="H171" i="46"/>
  <c r="I123" i="46"/>
  <c r="H123" i="46"/>
  <c r="I203" i="46"/>
  <c r="H203" i="46"/>
  <c r="I147" i="46"/>
  <c r="H147" i="46"/>
  <c r="I128" i="46"/>
  <c r="H128" i="46"/>
  <c r="I145" i="46"/>
  <c r="H145" i="46"/>
  <c r="I193" i="46"/>
  <c r="H193" i="46"/>
  <c r="H94" i="46"/>
  <c r="I94" i="46"/>
  <c r="I164" i="46"/>
  <c r="H164" i="46"/>
  <c r="I251" i="46"/>
  <c r="H251" i="46"/>
  <c r="I248" i="46"/>
  <c r="H248" i="46"/>
  <c r="I342" i="46"/>
  <c r="H342" i="46"/>
  <c r="I387" i="46"/>
  <c r="H387" i="46"/>
  <c r="I333" i="46"/>
  <c r="H333" i="46"/>
  <c r="I8" i="46"/>
  <c r="H8" i="46"/>
  <c r="I99" i="46"/>
  <c r="H99" i="46"/>
  <c r="H157" i="46"/>
  <c r="I157" i="46"/>
  <c r="H70" i="46"/>
  <c r="I70" i="46"/>
  <c r="H406" i="46"/>
  <c r="I406" i="46"/>
  <c r="H311" i="46"/>
  <c r="I311" i="46"/>
  <c r="H351" i="46"/>
  <c r="I351" i="46"/>
  <c r="I407" i="46"/>
  <c r="H407" i="46"/>
  <c r="I349" i="46"/>
  <c r="H349" i="46"/>
  <c r="H405" i="46"/>
  <c r="I405" i="46"/>
  <c r="H383" i="46"/>
  <c r="I383" i="46"/>
  <c r="I341" i="46"/>
  <c r="H341" i="46"/>
  <c r="I326" i="46"/>
  <c r="H326" i="46"/>
  <c r="H295" i="46"/>
  <c r="I295" i="46"/>
  <c r="I309" i="46"/>
  <c r="H309" i="46"/>
  <c r="H263" i="46"/>
  <c r="I263" i="46"/>
  <c r="I275" i="46"/>
  <c r="H275" i="46"/>
  <c r="H397" i="46"/>
  <c r="I397" i="46"/>
  <c r="I279" i="46"/>
  <c r="H279" i="46"/>
  <c r="I231" i="46"/>
  <c r="H231" i="46"/>
  <c r="H250" i="46"/>
  <c r="I250" i="46"/>
  <c r="I261" i="46"/>
  <c r="H261" i="46"/>
  <c r="I334" i="46"/>
  <c r="H334" i="46"/>
  <c r="I170" i="46"/>
  <c r="H170" i="46"/>
  <c r="H265" i="46"/>
  <c r="I265" i="46"/>
  <c r="I194" i="46"/>
  <c r="H194" i="46"/>
  <c r="H149" i="46"/>
  <c r="I149" i="46"/>
  <c r="I214" i="46"/>
  <c r="H214" i="46"/>
  <c r="I256" i="46"/>
  <c r="H256" i="46"/>
  <c r="I155" i="46"/>
  <c r="H155" i="46"/>
  <c r="H101" i="46"/>
  <c r="I101" i="46"/>
  <c r="I138" i="46"/>
  <c r="H138" i="46"/>
  <c r="I270" i="46"/>
  <c r="H270" i="46"/>
  <c r="I202" i="46"/>
  <c r="H202" i="46"/>
  <c r="H133" i="46"/>
  <c r="I133" i="46"/>
  <c r="H93" i="46"/>
  <c r="I93" i="46"/>
  <c r="I77" i="46"/>
  <c r="H77" i="46"/>
  <c r="H66" i="46"/>
  <c r="I66" i="46"/>
  <c r="I151" i="46"/>
  <c r="H151" i="46"/>
  <c r="H242" i="46"/>
  <c r="I242" i="46"/>
  <c r="I100" i="46"/>
  <c r="H100" i="46"/>
  <c r="H167" i="46"/>
  <c r="I167" i="46"/>
  <c r="I274" i="46"/>
  <c r="H274" i="46"/>
  <c r="I310" i="46"/>
  <c r="H310" i="46"/>
  <c r="I395" i="46"/>
  <c r="H395" i="46"/>
  <c r="I337" i="46"/>
  <c r="H337" i="46"/>
  <c r="I336" i="46"/>
  <c r="H336" i="46"/>
  <c r="I338" i="46"/>
  <c r="H338" i="46"/>
  <c r="I96" i="46"/>
  <c r="H96" i="46"/>
  <c r="I216" i="46"/>
  <c r="H216" i="46"/>
  <c r="I108" i="46"/>
  <c r="H108" i="46"/>
  <c r="I67" i="46"/>
  <c r="H67" i="46"/>
  <c r="I286" i="46"/>
  <c r="H286" i="46"/>
  <c r="I104" i="46"/>
  <c r="H104" i="46"/>
  <c r="I88" i="46"/>
  <c r="H88" i="46"/>
  <c r="I184" i="46"/>
  <c r="H184" i="46"/>
  <c r="I105" i="46"/>
  <c r="H105" i="46"/>
  <c r="I294" i="46"/>
  <c r="H294" i="46"/>
  <c r="I63" i="46"/>
  <c r="H63" i="46"/>
  <c r="I312" i="46"/>
  <c r="H312" i="46"/>
  <c r="H126" i="46"/>
  <c r="I126" i="46"/>
  <c r="I188" i="46"/>
  <c r="H188" i="46"/>
  <c r="I345" i="46"/>
  <c r="H345" i="46"/>
  <c r="I357" i="46"/>
  <c r="H357" i="46"/>
  <c r="I278" i="46"/>
  <c r="H278" i="46"/>
  <c r="I331" i="46"/>
  <c r="H331" i="46"/>
  <c r="H339" i="46"/>
  <c r="I339" i="46"/>
  <c r="I148" i="46"/>
  <c r="H148" i="46"/>
  <c r="H80" i="46"/>
  <c r="I80" i="46"/>
  <c r="I65" i="46"/>
  <c r="H65" i="46"/>
  <c r="I44" i="46"/>
  <c r="H44" i="46"/>
  <c r="I222" i="46"/>
  <c r="H222" i="46"/>
  <c r="I220" i="46"/>
  <c r="H220" i="46"/>
  <c r="H109" i="46"/>
  <c r="I109" i="46"/>
  <c r="I56" i="46"/>
  <c r="H56" i="46"/>
  <c r="H143" i="46"/>
  <c r="I143" i="46"/>
  <c r="I185" i="46"/>
  <c r="H185" i="46"/>
  <c r="I271" i="46"/>
  <c r="H271" i="46"/>
  <c r="H134" i="46"/>
  <c r="I134" i="46"/>
  <c r="I192" i="46"/>
  <c r="H192" i="46"/>
  <c r="I347" i="46"/>
  <c r="H347" i="46"/>
  <c r="I403" i="46"/>
  <c r="H403" i="46"/>
  <c r="I300" i="46"/>
  <c r="H300" i="46"/>
  <c r="I313" i="46"/>
  <c r="H313" i="46"/>
  <c r="I365" i="46"/>
  <c r="H365" i="46"/>
  <c r="I200" i="46"/>
  <c r="H200" i="46"/>
  <c r="I92" i="46"/>
  <c r="H92" i="46"/>
  <c r="I34" i="46"/>
  <c r="H34" i="46"/>
  <c r="I208" i="46"/>
  <c r="H208" i="46"/>
  <c r="H106" i="46"/>
  <c r="I106" i="46"/>
  <c r="H141" i="46"/>
  <c r="I141" i="46"/>
  <c r="I199" i="46"/>
  <c r="H199" i="46"/>
  <c r="I373" i="46"/>
  <c r="H373" i="46"/>
  <c r="I363" i="46"/>
  <c r="H363" i="46"/>
  <c r="H323" i="46"/>
  <c r="I323" i="46"/>
  <c r="I376" i="46"/>
  <c r="H376" i="46"/>
  <c r="H71" i="46"/>
  <c r="I71" i="46"/>
  <c r="I18" i="46"/>
  <c r="H18" i="46"/>
  <c r="H102" i="46"/>
  <c r="I102" i="46"/>
  <c r="I81" i="46"/>
  <c r="H81" i="46"/>
  <c r="I136" i="46"/>
  <c r="H136" i="46"/>
  <c r="H86" i="46"/>
  <c r="I86" i="46"/>
  <c r="I48" i="46"/>
  <c r="H48" i="46"/>
  <c r="H367" i="46"/>
  <c r="I367" i="46"/>
  <c r="I400" i="46"/>
  <c r="H400" i="46"/>
  <c r="H335" i="46"/>
  <c r="I335" i="46"/>
  <c r="I255" i="46"/>
  <c r="H255" i="46"/>
  <c r="I178" i="46"/>
  <c r="H178" i="46"/>
  <c r="H146" i="46"/>
  <c r="I146" i="46"/>
  <c r="I172" i="46"/>
  <c r="H172" i="46"/>
  <c r="I266" i="46"/>
  <c r="H266" i="46"/>
  <c r="I259" i="46"/>
  <c r="H259" i="46"/>
  <c r="I156" i="46"/>
  <c r="H156" i="46"/>
  <c r="I168" i="46"/>
  <c r="H168" i="46"/>
  <c r="I239" i="46"/>
  <c r="H239" i="46"/>
  <c r="I132" i="46"/>
  <c r="H132" i="46"/>
  <c r="I144" i="46"/>
  <c r="H144" i="46"/>
  <c r="I91" i="46"/>
  <c r="H91" i="46"/>
  <c r="H319" i="46"/>
  <c r="I319" i="46"/>
  <c r="I393" i="46"/>
  <c r="H393" i="46"/>
  <c r="H292" i="46"/>
  <c r="I292" i="46"/>
  <c r="H353" i="46"/>
  <c r="I353" i="46"/>
  <c r="I247" i="46"/>
  <c r="H247" i="46"/>
  <c r="H174" i="46"/>
  <c r="I174" i="46"/>
  <c r="I252" i="46"/>
  <c r="H252" i="46"/>
  <c r="I235" i="46"/>
  <c r="H235" i="46"/>
  <c r="H116" i="46"/>
  <c r="I116" i="46"/>
  <c r="I127" i="46"/>
  <c r="H127" i="46"/>
  <c r="H78" i="46"/>
  <c r="I78" i="46"/>
  <c r="I175" i="46"/>
  <c r="H175" i="46"/>
  <c r="I308" i="46"/>
  <c r="H308" i="46"/>
  <c r="I384" i="46"/>
  <c r="H384" i="46"/>
  <c r="I306" i="46"/>
  <c r="H306" i="46"/>
  <c r="I224" i="46"/>
  <c r="H224" i="46"/>
  <c r="I213" i="46"/>
  <c r="H213" i="46"/>
  <c r="I195" i="46"/>
  <c r="H195" i="46"/>
  <c r="I124" i="46"/>
  <c r="H124" i="46"/>
  <c r="I87" i="46"/>
  <c r="H87" i="46"/>
  <c r="I378" i="46"/>
  <c r="H378" i="46"/>
  <c r="I322" i="46"/>
  <c r="H322" i="46"/>
  <c r="I356" i="46"/>
  <c r="H356" i="46"/>
  <c r="H257" i="46"/>
  <c r="I257" i="46"/>
  <c r="I139" i="46"/>
  <c r="H139" i="46"/>
  <c r="I238" i="46"/>
  <c r="H238" i="46"/>
  <c r="I183" i="46"/>
  <c r="H183" i="46"/>
  <c r="I321" i="46"/>
  <c r="H321" i="46"/>
  <c r="H234" i="46"/>
  <c r="I234" i="46"/>
  <c r="I42" i="46"/>
  <c r="H42" i="46"/>
  <c r="I52" i="46"/>
  <c r="H52" i="46"/>
  <c r="I73" i="46"/>
  <c r="H73" i="46"/>
  <c r="I16" i="46"/>
  <c r="H16" i="46"/>
  <c r="I76" i="46"/>
  <c r="H76" i="46"/>
  <c r="I40" i="46"/>
  <c r="H40" i="46"/>
  <c r="I26" i="46"/>
  <c r="H26" i="46"/>
  <c r="I74" i="46"/>
  <c r="H74" i="46"/>
  <c r="H62" i="46"/>
  <c r="I62" i="46"/>
  <c r="I95" i="46"/>
  <c r="H95" i="46"/>
  <c r="I58" i="46"/>
  <c r="H58" i="46"/>
  <c r="I206" i="46"/>
  <c r="H206" i="46"/>
  <c r="I120" i="46"/>
  <c r="H120" i="46"/>
  <c r="H72" i="46"/>
  <c r="I72" i="46"/>
  <c r="H119" i="46"/>
  <c r="I119" i="46"/>
  <c r="I60" i="46"/>
  <c r="H60" i="46"/>
  <c r="I328" i="46"/>
  <c r="H328" i="46"/>
  <c r="H125" i="46"/>
  <c r="I125" i="46"/>
  <c r="I90" i="46"/>
  <c r="H90" i="46"/>
  <c r="I68" i="46"/>
  <c r="H68" i="46"/>
  <c r="I113" i="46"/>
  <c r="H113" i="46"/>
  <c r="I59" i="46"/>
  <c r="H59" i="46"/>
  <c r="I64" i="46"/>
  <c r="H64" i="46"/>
  <c r="I32" i="46"/>
  <c r="H32" i="46"/>
  <c r="AY107" i="36" l="1"/>
  <c r="AY106" i="36"/>
  <c r="AY105" i="36"/>
  <c r="AY104" i="36"/>
  <c r="AY103" i="36"/>
  <c r="AY102" i="36"/>
  <c r="AY100" i="36"/>
  <c r="AS107" i="36"/>
  <c r="AS106" i="36"/>
  <c r="AS105" i="36"/>
  <c r="AS104" i="36"/>
  <c r="AS103" i="36"/>
  <c r="AS102" i="36"/>
  <c r="AS100" i="36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L104" i="36"/>
  <c r="AK104" i="36"/>
  <c r="AJ104" i="36"/>
  <c r="AO103" i="36"/>
  <c r="AN103" i="36"/>
  <c r="AL103" i="36"/>
  <c r="AK103" i="36"/>
  <c r="AJ103" i="36"/>
  <c r="AO102" i="36"/>
  <c r="AN102" i="36"/>
  <c r="AL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D102" i="36"/>
  <c r="AF101" i="36"/>
  <c r="AE101" i="36"/>
  <c r="AL101" i="36" s="1"/>
  <c r="AD101" i="36"/>
  <c r="AF100" i="36"/>
  <c r="AE100" i="36"/>
  <c r="AL100" i="36" s="1"/>
  <c r="AD100" i="36"/>
  <c r="AF99" i="36"/>
  <c r="AE99" i="36"/>
  <c r="AY99" i="36" s="1"/>
  <c r="AD99" i="36"/>
  <c r="AF98" i="36"/>
  <c r="AE98" i="36"/>
  <c r="AY98" i="36" s="1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L87" i="36" s="1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Q59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P2" i="13"/>
  <c r="N540" i="13"/>
  <c r="N539" i="13"/>
  <c r="N538" i="13"/>
  <c r="N537" i="13"/>
  <c r="N536" i="13"/>
  <c r="N535" i="13"/>
  <c r="N534" i="13"/>
  <c r="N533" i="13"/>
  <c r="N532" i="13"/>
  <c r="N531" i="13"/>
  <c r="N530" i="13"/>
  <c r="N529" i="13"/>
  <c r="N528" i="13"/>
  <c r="N527" i="13"/>
  <c r="N526" i="13"/>
  <c r="N525" i="13"/>
  <c r="N524" i="13"/>
  <c r="N523" i="13"/>
  <c r="N522" i="13"/>
  <c r="N521" i="13"/>
  <c r="N520" i="13"/>
  <c r="N519" i="13"/>
  <c r="N518" i="13"/>
  <c r="N517" i="13"/>
  <c r="N516" i="13"/>
  <c r="N515" i="13"/>
  <c r="N514" i="13"/>
  <c r="N513" i="13"/>
  <c r="N512" i="13"/>
  <c r="N511" i="13"/>
  <c r="N510" i="13"/>
  <c r="N509" i="13"/>
  <c r="N508" i="13"/>
  <c r="N507" i="13"/>
  <c r="N506" i="13"/>
  <c r="N505" i="13"/>
  <c r="N504" i="13"/>
  <c r="N503" i="13"/>
  <c r="N502" i="13"/>
  <c r="N501" i="13"/>
  <c r="N500" i="13"/>
  <c r="N499" i="13"/>
  <c r="N498" i="13"/>
  <c r="N497" i="13"/>
  <c r="N496" i="13"/>
  <c r="N495" i="13"/>
  <c r="N494" i="13"/>
  <c r="N493" i="13"/>
  <c r="N492" i="13"/>
  <c r="N491" i="13"/>
  <c r="N490" i="13"/>
  <c r="N489" i="13"/>
  <c r="N488" i="13"/>
  <c r="N487" i="13"/>
  <c r="N486" i="13"/>
  <c r="N485" i="13"/>
  <c r="N484" i="13"/>
  <c r="N483" i="13"/>
  <c r="N482" i="13"/>
  <c r="N481" i="13"/>
  <c r="N480" i="13"/>
  <c r="N479" i="13"/>
  <c r="N478" i="13"/>
  <c r="N477" i="13"/>
  <c r="N476" i="13"/>
  <c r="N475" i="13"/>
  <c r="N474" i="13"/>
  <c r="N473" i="13"/>
  <c r="N472" i="13"/>
  <c r="N471" i="13"/>
  <c r="N470" i="13"/>
  <c r="N469" i="13"/>
  <c r="N468" i="13"/>
  <c r="N467" i="13"/>
  <c r="N466" i="13"/>
  <c r="N465" i="13"/>
  <c r="N464" i="13"/>
  <c r="N463" i="13"/>
  <c r="N462" i="13"/>
  <c r="N461" i="13"/>
  <c r="N460" i="13"/>
  <c r="N459" i="13"/>
  <c r="N458" i="13"/>
  <c r="N457" i="13"/>
  <c r="N456" i="13"/>
  <c r="N455" i="13"/>
  <c r="N454" i="13"/>
  <c r="N453" i="13"/>
  <c r="N452" i="13"/>
  <c r="N451" i="13"/>
  <c r="N450" i="13"/>
  <c r="N449" i="13"/>
  <c r="N448" i="13"/>
  <c r="N447" i="13"/>
  <c r="N446" i="13"/>
  <c r="N445" i="13"/>
  <c r="N444" i="13"/>
  <c r="N443" i="13"/>
  <c r="N442" i="13"/>
  <c r="N441" i="13"/>
  <c r="N440" i="13"/>
  <c r="N439" i="13"/>
  <c r="N438" i="13"/>
  <c r="N437" i="13"/>
  <c r="N436" i="13"/>
  <c r="N435" i="13"/>
  <c r="N434" i="13"/>
  <c r="N433" i="13"/>
  <c r="N432" i="13"/>
  <c r="N431" i="13"/>
  <c r="N430" i="13"/>
  <c r="N429" i="13"/>
  <c r="N428" i="13"/>
  <c r="N427" i="13"/>
  <c r="N426" i="13"/>
  <c r="N425" i="13"/>
  <c r="N424" i="13"/>
  <c r="N423" i="13"/>
  <c r="N422" i="13"/>
  <c r="N421" i="13"/>
  <c r="N420" i="13"/>
  <c r="N419" i="13"/>
  <c r="N418" i="13"/>
  <c r="N417" i="13"/>
  <c r="N416" i="13"/>
  <c r="N415" i="13"/>
  <c r="N414" i="13"/>
  <c r="N413" i="13"/>
  <c r="N412" i="13"/>
  <c r="N411" i="13"/>
  <c r="N410" i="13"/>
  <c r="N409" i="13"/>
  <c r="N408" i="13"/>
  <c r="N407" i="13"/>
  <c r="N406" i="13"/>
  <c r="N405" i="13"/>
  <c r="N404" i="13"/>
  <c r="N403" i="13"/>
  <c r="N402" i="13"/>
  <c r="N401" i="13"/>
  <c r="N400" i="13"/>
  <c r="N399" i="13"/>
  <c r="N398" i="13"/>
  <c r="N397" i="13"/>
  <c r="N396" i="13"/>
  <c r="N395" i="13"/>
  <c r="N394" i="13"/>
  <c r="N393" i="13"/>
  <c r="N392" i="13"/>
  <c r="N391" i="13"/>
  <c r="N390" i="13"/>
  <c r="N389" i="13"/>
  <c r="N388" i="13"/>
  <c r="N387" i="13"/>
  <c r="N386" i="13"/>
  <c r="N385" i="13"/>
  <c r="N384" i="13"/>
  <c r="N383" i="13"/>
  <c r="N382" i="13"/>
  <c r="N381" i="13"/>
  <c r="N380" i="13"/>
  <c r="N379" i="13"/>
  <c r="N378" i="13"/>
  <c r="N377" i="13"/>
  <c r="N376" i="13"/>
  <c r="N375" i="13"/>
  <c r="N374" i="13"/>
  <c r="N373" i="13"/>
  <c r="N372" i="13"/>
  <c r="N371" i="13"/>
  <c r="N370" i="13"/>
  <c r="N369" i="13"/>
  <c r="N368" i="13"/>
  <c r="N367" i="13"/>
  <c r="N366" i="13"/>
  <c r="N365" i="13"/>
  <c r="N364" i="13"/>
  <c r="N363" i="13"/>
  <c r="N362" i="13"/>
  <c r="N361" i="13"/>
  <c r="N360" i="13"/>
  <c r="N359" i="13"/>
  <c r="N358" i="13"/>
  <c r="N357" i="13"/>
  <c r="N356" i="13"/>
  <c r="N355" i="13"/>
  <c r="N354" i="13"/>
  <c r="N353" i="13"/>
  <c r="N352" i="13"/>
  <c r="N351" i="13"/>
  <c r="N350" i="13"/>
  <c r="N349" i="13"/>
  <c r="N348" i="13"/>
  <c r="N347" i="13"/>
  <c r="N346" i="13"/>
  <c r="N345" i="13"/>
  <c r="N344" i="13"/>
  <c r="N343" i="13"/>
  <c r="N342" i="13"/>
  <c r="N341" i="13"/>
  <c r="N340" i="13"/>
  <c r="N339" i="13"/>
  <c r="N338" i="13"/>
  <c r="N337" i="13"/>
  <c r="N336" i="13"/>
  <c r="N335" i="13"/>
  <c r="N334" i="13"/>
  <c r="N333" i="13"/>
  <c r="N332" i="13"/>
  <c r="N331" i="13"/>
  <c r="N330" i="13"/>
  <c r="N329" i="13"/>
  <c r="N328" i="13"/>
  <c r="N327" i="13"/>
  <c r="N326" i="13"/>
  <c r="N325" i="13"/>
  <c r="N324" i="13"/>
  <c r="N323" i="13"/>
  <c r="N322" i="13"/>
  <c r="N321" i="13"/>
  <c r="N320" i="13"/>
  <c r="N319" i="13"/>
  <c r="N318" i="13"/>
  <c r="N317" i="13"/>
  <c r="N316" i="13"/>
  <c r="N315" i="13"/>
  <c r="N314" i="13"/>
  <c r="N313" i="13"/>
  <c r="N312" i="13"/>
  <c r="N311" i="13"/>
  <c r="N310" i="13"/>
  <c r="N309" i="13"/>
  <c r="N308" i="13"/>
  <c r="N307" i="13"/>
  <c r="N306" i="13"/>
  <c r="N305" i="13"/>
  <c r="N304" i="13"/>
  <c r="N303" i="13"/>
  <c r="N302" i="13"/>
  <c r="N301" i="13"/>
  <c r="N300" i="13"/>
  <c r="N299" i="13"/>
  <c r="N298" i="13"/>
  <c r="N297" i="13"/>
  <c r="N296" i="13"/>
  <c r="N295" i="13"/>
  <c r="N294" i="13"/>
  <c r="N293" i="13"/>
  <c r="N292" i="13"/>
  <c r="N291" i="13"/>
  <c r="N290" i="13"/>
  <c r="N289" i="13"/>
  <c r="N288" i="13"/>
  <c r="N287" i="13"/>
  <c r="N286" i="13"/>
  <c r="N285" i="13"/>
  <c r="N284" i="13"/>
  <c r="N283" i="13"/>
  <c r="N282" i="13"/>
  <c r="N281" i="13"/>
  <c r="N280" i="13"/>
  <c r="N279" i="13"/>
  <c r="N278" i="13"/>
  <c r="N277" i="13"/>
  <c r="N276" i="13"/>
  <c r="N275" i="13"/>
  <c r="N274" i="13"/>
  <c r="N273" i="13"/>
  <c r="N272" i="13"/>
  <c r="N271" i="13"/>
  <c r="N270" i="13"/>
  <c r="N269" i="13"/>
  <c r="N268" i="13"/>
  <c r="N267" i="13"/>
  <c r="N266" i="13"/>
  <c r="N265" i="13"/>
  <c r="N264" i="13"/>
  <c r="N263" i="13"/>
  <c r="N262" i="13"/>
  <c r="N261" i="13"/>
  <c r="N260" i="13"/>
  <c r="N259" i="13"/>
  <c r="N258" i="13"/>
  <c r="N257" i="13"/>
  <c r="N256" i="13"/>
  <c r="N255" i="13"/>
  <c r="N254" i="13"/>
  <c r="N253" i="13"/>
  <c r="N252" i="13"/>
  <c r="N251" i="13"/>
  <c r="N250" i="13"/>
  <c r="N249" i="13"/>
  <c r="N248" i="13"/>
  <c r="N247" i="13"/>
  <c r="N246" i="13"/>
  <c r="N245" i="13"/>
  <c r="N244" i="13"/>
  <c r="N243" i="13"/>
  <c r="N242" i="13"/>
  <c r="N241" i="13"/>
  <c r="N240" i="13"/>
  <c r="N239" i="13"/>
  <c r="N238" i="13"/>
  <c r="N237" i="13"/>
  <c r="N236" i="13"/>
  <c r="N235" i="13"/>
  <c r="N234" i="13"/>
  <c r="N233" i="13"/>
  <c r="N232" i="13"/>
  <c r="N231" i="13"/>
  <c r="N230" i="13"/>
  <c r="N229" i="13"/>
  <c r="N228" i="13"/>
  <c r="N227" i="13"/>
  <c r="N226" i="13"/>
  <c r="N225" i="13"/>
  <c r="N224" i="13"/>
  <c r="N223" i="13"/>
  <c r="N222" i="13"/>
  <c r="N221" i="13"/>
  <c r="N220" i="13"/>
  <c r="N219" i="13"/>
  <c r="N218" i="13"/>
  <c r="N217" i="13"/>
  <c r="N216" i="13"/>
  <c r="N215" i="13"/>
  <c r="N214" i="13"/>
  <c r="N213" i="13"/>
  <c r="N212" i="13"/>
  <c r="N211" i="13"/>
  <c r="N210" i="13"/>
  <c r="N209" i="13"/>
  <c r="N208" i="13"/>
  <c r="N207" i="13"/>
  <c r="N206" i="13"/>
  <c r="N205" i="13"/>
  <c r="N204" i="13"/>
  <c r="N203" i="13"/>
  <c r="N202" i="13"/>
  <c r="N201" i="13"/>
  <c r="N200" i="13"/>
  <c r="N199" i="13"/>
  <c r="N198" i="13"/>
  <c r="N197" i="13"/>
  <c r="N196" i="13"/>
  <c r="N195" i="13"/>
  <c r="N194" i="13"/>
  <c r="N193" i="13"/>
  <c r="N192" i="13"/>
  <c r="N191" i="13"/>
  <c r="N190" i="13"/>
  <c r="N189" i="13"/>
  <c r="N188" i="13"/>
  <c r="N187" i="13"/>
  <c r="N186" i="13"/>
  <c r="N185" i="13"/>
  <c r="N184" i="13"/>
  <c r="N183" i="13"/>
  <c r="N182" i="13"/>
  <c r="N181" i="13"/>
  <c r="N180" i="13"/>
  <c r="N179" i="13"/>
  <c r="N178" i="13"/>
  <c r="N177" i="13"/>
  <c r="N176" i="13"/>
  <c r="N175" i="13"/>
  <c r="N174" i="13"/>
  <c r="N173" i="13"/>
  <c r="N172" i="13"/>
  <c r="N171" i="13"/>
  <c r="N170" i="13"/>
  <c r="N169" i="13"/>
  <c r="N168" i="13"/>
  <c r="N167" i="13"/>
  <c r="N166" i="13"/>
  <c r="N165" i="13"/>
  <c r="N164" i="13"/>
  <c r="N163" i="13"/>
  <c r="N162" i="13"/>
  <c r="N161" i="13"/>
  <c r="N160" i="13"/>
  <c r="N159" i="13"/>
  <c r="N158" i="13"/>
  <c r="N157" i="13"/>
  <c r="N156" i="13"/>
  <c r="N155" i="13"/>
  <c r="N154" i="13"/>
  <c r="N153" i="13"/>
  <c r="N152" i="13"/>
  <c r="N151" i="13"/>
  <c r="N150" i="13"/>
  <c r="N149" i="13"/>
  <c r="N148" i="13"/>
  <c r="N147" i="13"/>
  <c r="N146" i="13"/>
  <c r="N145" i="13"/>
  <c r="N144" i="13"/>
  <c r="N143" i="13"/>
  <c r="N142" i="13"/>
  <c r="N141" i="13"/>
  <c r="N140" i="13"/>
  <c r="N139" i="13"/>
  <c r="N138" i="13"/>
  <c r="N137" i="13"/>
  <c r="N136" i="13"/>
  <c r="N135" i="13"/>
  <c r="N134" i="13"/>
  <c r="N133" i="13"/>
  <c r="N132" i="13"/>
  <c r="N131" i="13"/>
  <c r="N130" i="13"/>
  <c r="N129" i="13"/>
  <c r="N128" i="13"/>
  <c r="N127" i="13"/>
  <c r="N126" i="13"/>
  <c r="N125" i="13"/>
  <c r="N124" i="13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10" i="13"/>
  <c r="N10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N53" i="13"/>
  <c r="N52" i="13"/>
  <c r="N51" i="13"/>
  <c r="N50" i="13"/>
  <c r="N49" i="13"/>
  <c r="N48" i="13"/>
  <c r="N47" i="13"/>
  <c r="N46" i="13"/>
  <c r="N45" i="13"/>
  <c r="N44" i="13"/>
  <c r="N43" i="13"/>
  <c r="N42" i="13"/>
  <c r="N41" i="13"/>
  <c r="N40" i="13"/>
  <c r="N39" i="13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N3" i="13"/>
  <c r="N2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2" i="13"/>
  <c r="U59" i="13"/>
  <c r="AS101" i="36" l="1"/>
  <c r="AY101" i="36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98" i="36"/>
  <c r="AS32" i="36"/>
  <c r="AS64" i="36"/>
  <c r="AY97" i="36"/>
  <c r="AY19" i="36"/>
  <c r="AY42" i="36"/>
  <c r="AY63" i="36"/>
  <c r="AY83" i="36"/>
  <c r="AY34" i="36"/>
  <c r="AL10" i="36"/>
  <c r="AL42" i="36"/>
  <c r="AL74" i="36"/>
  <c r="AS99" i="36"/>
  <c r="AS33" i="36"/>
  <c r="AS65" i="36"/>
  <c r="AY2" i="36"/>
  <c r="AY23" i="36"/>
  <c r="AY43" i="36"/>
  <c r="AY66" i="36"/>
  <c r="AY87" i="36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AW97" i="36"/>
  <c r="AZ97" i="36" s="1"/>
  <c r="BB97" i="36"/>
  <c r="AT98" i="36"/>
  <c r="AU98" i="36"/>
  <c r="AW98" i="36"/>
  <c r="AZ98" i="36" s="1"/>
  <c r="BB98" i="36"/>
  <c r="AT99" i="36"/>
  <c r="AU99" i="36"/>
  <c r="AW99" i="36"/>
  <c r="AZ99" i="36" s="1"/>
  <c r="BB99" i="36"/>
  <c r="AT100" i="36"/>
  <c r="AU100" i="36"/>
  <c r="AV100" i="36"/>
  <c r="AW100" i="36"/>
  <c r="AL2" i="36"/>
  <c r="BB101" i="36"/>
  <c r="BB102" i="36"/>
  <c r="BB103" i="36"/>
  <c r="BB104" i="36"/>
  <c r="BB105" i="36"/>
  <c r="BB106" i="36"/>
  <c r="BB107" i="36"/>
  <c r="AJ2" i="36"/>
  <c r="AX94" i="36"/>
  <c r="AX95" i="36"/>
  <c r="AX96" i="36"/>
  <c r="AX97" i="36"/>
  <c r="AX98" i="36"/>
  <c r="AX99" i="36"/>
  <c r="AV94" i="36" l="1"/>
  <c r="AV98" i="36"/>
  <c r="AV97" i="36"/>
  <c r="AX93" i="36"/>
  <c r="AV93" i="36"/>
  <c r="AV96" i="36"/>
  <c r="AV99" i="36"/>
  <c r="AV95" i="36"/>
  <c r="Y554" i="12" l="1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Y512" i="12"/>
  <c r="Y511" i="12"/>
  <c r="Y510" i="12"/>
  <c r="Y509" i="12"/>
  <c r="Y508" i="12"/>
  <c r="Y507" i="12"/>
  <c r="Y506" i="12"/>
  <c r="Y505" i="12"/>
  <c r="Y504" i="12"/>
  <c r="Y503" i="12"/>
  <c r="Y502" i="12"/>
  <c r="Y501" i="12"/>
  <c r="Y500" i="12"/>
  <c r="Y499" i="12"/>
  <c r="Y498" i="12"/>
  <c r="Y497" i="12"/>
  <c r="Y496" i="12"/>
  <c r="Y495" i="12"/>
  <c r="Y494" i="12"/>
  <c r="Y493" i="12"/>
  <c r="Y492" i="12"/>
  <c r="Y491" i="12"/>
  <c r="Y490" i="12"/>
  <c r="Y489" i="12"/>
  <c r="Y488" i="12"/>
  <c r="Y487" i="12"/>
  <c r="Y486" i="12"/>
  <c r="Y485" i="12"/>
  <c r="Y484" i="12"/>
  <c r="Y483" i="12"/>
  <c r="Y482" i="12"/>
  <c r="Y481" i="12"/>
  <c r="Y480" i="12"/>
  <c r="Y479" i="12"/>
  <c r="Y478" i="12"/>
  <c r="Y477" i="12"/>
  <c r="Y476" i="12"/>
  <c r="Y475" i="12"/>
  <c r="Y474" i="12"/>
  <c r="Y473" i="12"/>
  <c r="Y472" i="12"/>
  <c r="Y471" i="12"/>
  <c r="Y470" i="12"/>
  <c r="Y469" i="12"/>
  <c r="Y468" i="12"/>
  <c r="Y467" i="12"/>
  <c r="Y466" i="12"/>
  <c r="Y465" i="12"/>
  <c r="Y464" i="12"/>
  <c r="Y463" i="12"/>
  <c r="Y462" i="12"/>
  <c r="Y461" i="12"/>
  <c r="Y460" i="12"/>
  <c r="Y459" i="12"/>
  <c r="Y458" i="12"/>
  <c r="Y457" i="12"/>
  <c r="Y456" i="12"/>
  <c r="Y455" i="12"/>
  <c r="Y454" i="12"/>
  <c r="Y453" i="12"/>
  <c r="Y452" i="12"/>
  <c r="Y451" i="12"/>
  <c r="Y450" i="12"/>
  <c r="Y449" i="12"/>
  <c r="Y448" i="12"/>
  <c r="Y447" i="12"/>
  <c r="Y446" i="12"/>
  <c r="Y445" i="12"/>
  <c r="Y444" i="12"/>
  <c r="Y443" i="12"/>
  <c r="Y442" i="12"/>
  <c r="Y441" i="12"/>
  <c r="Y440" i="12"/>
  <c r="Y439" i="12"/>
  <c r="Y438" i="12"/>
  <c r="Y437" i="12"/>
  <c r="Y436" i="12"/>
  <c r="Y435" i="12"/>
  <c r="Y434" i="12"/>
  <c r="Y433" i="12"/>
  <c r="Y432" i="12"/>
  <c r="Y431" i="12"/>
  <c r="Y430" i="12"/>
  <c r="Y429" i="12"/>
  <c r="Y428" i="12"/>
  <c r="Y427" i="12"/>
  <c r="Y426" i="12"/>
  <c r="Y425" i="12"/>
  <c r="Y424" i="12"/>
  <c r="Y423" i="12"/>
  <c r="Y422" i="12"/>
  <c r="Y421" i="12"/>
  <c r="Y420" i="12"/>
  <c r="Y419" i="12"/>
  <c r="Y418" i="12"/>
  <c r="Y417" i="12"/>
  <c r="Y416" i="12"/>
  <c r="Y415" i="12"/>
  <c r="Y414" i="12"/>
  <c r="Y413" i="12"/>
  <c r="Y412" i="12"/>
  <c r="Y411" i="12"/>
  <c r="Y410" i="12"/>
  <c r="Y409" i="12"/>
  <c r="Y408" i="12"/>
  <c r="Y407" i="12"/>
  <c r="Y406" i="12"/>
  <c r="Y405" i="12"/>
  <c r="Y404" i="12"/>
  <c r="Y403" i="12"/>
  <c r="Y402" i="12"/>
  <c r="Y401" i="12"/>
  <c r="Y400" i="12"/>
  <c r="Y399" i="12"/>
  <c r="Y398" i="12"/>
  <c r="Y397" i="12"/>
  <c r="Y396" i="12"/>
  <c r="Y395" i="12"/>
  <c r="Y394" i="12"/>
  <c r="Y393" i="12"/>
  <c r="Y392" i="12"/>
  <c r="Y391" i="12"/>
  <c r="Y390" i="12"/>
  <c r="Y389" i="12"/>
  <c r="Y388" i="12"/>
  <c r="Y387" i="12"/>
  <c r="Y386" i="12"/>
  <c r="Y385" i="12"/>
  <c r="Y384" i="12"/>
  <c r="Y383" i="12"/>
  <c r="Y382" i="12"/>
  <c r="Y381" i="12"/>
  <c r="Y380" i="12"/>
  <c r="Y379" i="12"/>
  <c r="Y378" i="12"/>
  <c r="Y377" i="12"/>
  <c r="Y376" i="12"/>
  <c r="Y375" i="12"/>
  <c r="Y374" i="12"/>
  <c r="Y373" i="12"/>
  <c r="Y372" i="12"/>
  <c r="Y371" i="12"/>
  <c r="Y370" i="12"/>
  <c r="Y369" i="12"/>
  <c r="Y368" i="12"/>
  <c r="Y367" i="12"/>
  <c r="Y366" i="12"/>
  <c r="Y365" i="12"/>
  <c r="Y364" i="12"/>
  <c r="Y363" i="12"/>
  <c r="Y362" i="12"/>
  <c r="Y361" i="12"/>
  <c r="Y360" i="12"/>
  <c r="Y359" i="12"/>
  <c r="Y358" i="12"/>
  <c r="Y357" i="12"/>
  <c r="Y356" i="12"/>
  <c r="Y355" i="12"/>
  <c r="Y354" i="12"/>
  <c r="Y353" i="12"/>
  <c r="Y352" i="12"/>
  <c r="Y351" i="12"/>
  <c r="Y350" i="12"/>
  <c r="Y349" i="12"/>
  <c r="Y348" i="12"/>
  <c r="Y347" i="12"/>
  <c r="Y346" i="12"/>
  <c r="Y345" i="12"/>
  <c r="Y344" i="12"/>
  <c r="Y343" i="12"/>
  <c r="Y342" i="12"/>
  <c r="Y341" i="12"/>
  <c r="Y340" i="12"/>
  <c r="Y339" i="12"/>
  <c r="Y338" i="12"/>
  <c r="Y337" i="12"/>
  <c r="Y336" i="12"/>
  <c r="Y335" i="12"/>
  <c r="Y334" i="12"/>
  <c r="Y333" i="12"/>
  <c r="Y332" i="12"/>
  <c r="Y331" i="12"/>
  <c r="Y330" i="12"/>
  <c r="Y329" i="12"/>
  <c r="Y328" i="12"/>
  <c r="Y327" i="12"/>
  <c r="Y326" i="12"/>
  <c r="Y325" i="12"/>
  <c r="Y324" i="12"/>
  <c r="Y323" i="12"/>
  <c r="Y322" i="12"/>
  <c r="Y321" i="12"/>
  <c r="Y320" i="12"/>
  <c r="Y319" i="12"/>
  <c r="Y318" i="12"/>
  <c r="Y317" i="12"/>
  <c r="Y316" i="12"/>
  <c r="Y315" i="12"/>
  <c r="Y314" i="12"/>
  <c r="Y313" i="12"/>
  <c r="Y312" i="12"/>
  <c r="Y311" i="12"/>
  <c r="Y310" i="12"/>
  <c r="Y309" i="12"/>
  <c r="Y308" i="12"/>
  <c r="Y307" i="12"/>
  <c r="Y306" i="12"/>
  <c r="Y305" i="12"/>
  <c r="Y304" i="12"/>
  <c r="Y303" i="12"/>
  <c r="Y302" i="12"/>
  <c r="Y301" i="12"/>
  <c r="Y300" i="12"/>
  <c r="Y299" i="12"/>
  <c r="Y298" i="12"/>
  <c r="Y297" i="12"/>
  <c r="Y296" i="12"/>
  <c r="Y295" i="12"/>
  <c r="Y294" i="12"/>
  <c r="Y293" i="12"/>
  <c r="Y292" i="12"/>
  <c r="Y291" i="12"/>
  <c r="Y290" i="12"/>
  <c r="Y289" i="12"/>
  <c r="Y288" i="12"/>
  <c r="Y287" i="12"/>
  <c r="Y286" i="12"/>
  <c r="Y285" i="12"/>
  <c r="Y284" i="12"/>
  <c r="Y283" i="12"/>
  <c r="Y282" i="12"/>
  <c r="Y281" i="12"/>
  <c r="Y280" i="12"/>
  <c r="Y279" i="12"/>
  <c r="Y278" i="12"/>
  <c r="Y277" i="12"/>
  <c r="Y276" i="12"/>
  <c r="Y275" i="12"/>
  <c r="Y274" i="12"/>
  <c r="Y273" i="12"/>
  <c r="Y272" i="12"/>
  <c r="Y271" i="12"/>
  <c r="Y270" i="12"/>
  <c r="Y269" i="12"/>
  <c r="Y268" i="12"/>
  <c r="Y267" i="12"/>
  <c r="Y266" i="12"/>
  <c r="Y265" i="12"/>
  <c r="Y264" i="12"/>
  <c r="Y263" i="12"/>
  <c r="Y262" i="12"/>
  <c r="Y261" i="12"/>
  <c r="Y260" i="12"/>
  <c r="Y259" i="12"/>
  <c r="Y258" i="12"/>
  <c r="Y257" i="12"/>
  <c r="Y256" i="12"/>
  <c r="Y255" i="12"/>
  <c r="Y254" i="12"/>
  <c r="Y253" i="12"/>
  <c r="Y252" i="12"/>
  <c r="Y251" i="12"/>
  <c r="Y250" i="12"/>
  <c r="Y249" i="12"/>
  <c r="Y248" i="12"/>
  <c r="Y247" i="12"/>
  <c r="Y246" i="12"/>
  <c r="Y245" i="12"/>
  <c r="Y244" i="12"/>
  <c r="Y243" i="12"/>
  <c r="Y242" i="12"/>
  <c r="Y241" i="12"/>
  <c r="Y240" i="12"/>
  <c r="Y239" i="12"/>
  <c r="Y238" i="12"/>
  <c r="Y237" i="12"/>
  <c r="Y236" i="12"/>
  <c r="Y235" i="12"/>
  <c r="Y234" i="12"/>
  <c r="Y233" i="12"/>
  <c r="Y232" i="12"/>
  <c r="Y231" i="12"/>
  <c r="Y230" i="12"/>
  <c r="Y229" i="12"/>
  <c r="Y228" i="12"/>
  <c r="Y227" i="12"/>
  <c r="Y226" i="12"/>
  <c r="Y225" i="12"/>
  <c r="Y224" i="12"/>
  <c r="Y223" i="12"/>
  <c r="Y222" i="12"/>
  <c r="Y221" i="12"/>
  <c r="Y220" i="12"/>
  <c r="Y219" i="12"/>
  <c r="Y218" i="12"/>
  <c r="Y217" i="12"/>
  <c r="Y216" i="12"/>
  <c r="Y215" i="12"/>
  <c r="Y214" i="12"/>
  <c r="Y213" i="12"/>
  <c r="Y212" i="12"/>
  <c r="Y211" i="12"/>
  <c r="Y210" i="12"/>
  <c r="Y209" i="12"/>
  <c r="Y208" i="12"/>
  <c r="Y207" i="12"/>
  <c r="Y206" i="12"/>
  <c r="Y205" i="12"/>
  <c r="Y204" i="12"/>
  <c r="Y203" i="12"/>
  <c r="Y202" i="12"/>
  <c r="Y201" i="12"/>
  <c r="Y200" i="12"/>
  <c r="Y199" i="12"/>
  <c r="Y198" i="12"/>
  <c r="Y197" i="12"/>
  <c r="Y196" i="12"/>
  <c r="Y195" i="12"/>
  <c r="Y194" i="12"/>
  <c r="Y193" i="12"/>
  <c r="Y192" i="12"/>
  <c r="Y191" i="12"/>
  <c r="Y190" i="12"/>
  <c r="Y189" i="12"/>
  <c r="Y188" i="12"/>
  <c r="Y187" i="12"/>
  <c r="Y186" i="12"/>
  <c r="Y185" i="12"/>
  <c r="Y184" i="12"/>
  <c r="Y183" i="12"/>
  <c r="Y182" i="12"/>
  <c r="Y181" i="12"/>
  <c r="Y180" i="12"/>
  <c r="Y179" i="12"/>
  <c r="Y178" i="12"/>
  <c r="Y177" i="12"/>
  <c r="Y176" i="12"/>
  <c r="Y175" i="12"/>
  <c r="Y174" i="12"/>
  <c r="Y173" i="12"/>
  <c r="Y172" i="12"/>
  <c r="Y171" i="12"/>
  <c r="Y170" i="12"/>
  <c r="Y169" i="12"/>
  <c r="Y168" i="12"/>
  <c r="Y167" i="12"/>
  <c r="Y166" i="12"/>
  <c r="Y165" i="12"/>
  <c r="Y164" i="12"/>
  <c r="Y163" i="12"/>
  <c r="Y162" i="12"/>
  <c r="Y161" i="12"/>
  <c r="Y160" i="12"/>
  <c r="Y159" i="12"/>
  <c r="Y158" i="12"/>
  <c r="Y157" i="12"/>
  <c r="Y156" i="12"/>
  <c r="Y155" i="12"/>
  <c r="Y154" i="12"/>
  <c r="Y153" i="12"/>
  <c r="Y152" i="12"/>
  <c r="Y151" i="12"/>
  <c r="Y150" i="12"/>
  <c r="Y149" i="12"/>
  <c r="Y148" i="12"/>
  <c r="Y147" i="12"/>
  <c r="Y146" i="12"/>
  <c r="Y145" i="12"/>
  <c r="Y144" i="12"/>
  <c r="Y143" i="12"/>
  <c r="Y142" i="12"/>
  <c r="Y141" i="12"/>
  <c r="Y140" i="12"/>
  <c r="Y139" i="12"/>
  <c r="Y138" i="12"/>
  <c r="Y137" i="12"/>
  <c r="Y136" i="12"/>
  <c r="Y135" i="12"/>
  <c r="Y134" i="12"/>
  <c r="Y133" i="12"/>
  <c r="Y132" i="12"/>
  <c r="Y131" i="12"/>
  <c r="Y130" i="12"/>
  <c r="Y129" i="12"/>
  <c r="Y128" i="12"/>
  <c r="Y127" i="12"/>
  <c r="Y126" i="12"/>
  <c r="Y125" i="12"/>
  <c r="Y124" i="12"/>
  <c r="Y123" i="12"/>
  <c r="Y122" i="12"/>
  <c r="Y121" i="12"/>
  <c r="Y120" i="12"/>
  <c r="Y119" i="12"/>
  <c r="Y118" i="12"/>
  <c r="Y117" i="12"/>
  <c r="Y116" i="12"/>
  <c r="Y115" i="12"/>
  <c r="Y114" i="12"/>
  <c r="Y113" i="12"/>
  <c r="Y112" i="12"/>
  <c r="Y111" i="12"/>
  <c r="Y110" i="12"/>
  <c r="Y109" i="12"/>
  <c r="Y108" i="12"/>
  <c r="Y107" i="12"/>
  <c r="Y106" i="12"/>
  <c r="Y105" i="12"/>
  <c r="Y104" i="12"/>
  <c r="Y103" i="12"/>
  <c r="Y102" i="12"/>
  <c r="Y101" i="12"/>
  <c r="Y100" i="12"/>
  <c r="Y99" i="12"/>
  <c r="Y98" i="12"/>
  <c r="Y97" i="12"/>
  <c r="Y96" i="12"/>
  <c r="Y95" i="12"/>
  <c r="Y94" i="12"/>
  <c r="Y93" i="12"/>
  <c r="Y92" i="12"/>
  <c r="Y91" i="12"/>
  <c r="Y90" i="12"/>
  <c r="Y89" i="12"/>
  <c r="Y88" i="12"/>
  <c r="Y87" i="12"/>
  <c r="Y86" i="12"/>
  <c r="Y85" i="12"/>
  <c r="Y84" i="12"/>
  <c r="Y83" i="12"/>
  <c r="Y82" i="12"/>
  <c r="Y81" i="12"/>
  <c r="Y80" i="12"/>
  <c r="Y79" i="12"/>
  <c r="Y78" i="12"/>
  <c r="Y77" i="12"/>
  <c r="Y76" i="12"/>
  <c r="Y75" i="12"/>
  <c r="Y74" i="12"/>
  <c r="Y73" i="12"/>
  <c r="Y72" i="12"/>
  <c r="Y71" i="12"/>
  <c r="Y70" i="12"/>
  <c r="Y69" i="12"/>
  <c r="Y68" i="12"/>
  <c r="Y67" i="12"/>
  <c r="Y66" i="12"/>
  <c r="Y65" i="12"/>
  <c r="Y64" i="12"/>
  <c r="Y63" i="12"/>
  <c r="Y62" i="12"/>
  <c r="Y61" i="12"/>
  <c r="Y60" i="12"/>
  <c r="Y59" i="12"/>
  <c r="Y58" i="12"/>
  <c r="Y57" i="12"/>
  <c r="Y56" i="12"/>
  <c r="Y55" i="12"/>
  <c r="Y54" i="12"/>
  <c r="Y53" i="12"/>
  <c r="Y52" i="12"/>
  <c r="Y51" i="12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Z554" i="12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Z513" i="12"/>
  <c r="X513" i="12"/>
  <c r="V513" i="12"/>
  <c r="U513" i="12"/>
  <c r="T513" i="12"/>
  <c r="R513" i="12"/>
  <c r="Z512" i="12"/>
  <c r="X512" i="12"/>
  <c r="V512" i="12"/>
  <c r="U512" i="12"/>
  <c r="T512" i="12"/>
  <c r="R512" i="12"/>
  <c r="Z511" i="12"/>
  <c r="X511" i="12"/>
  <c r="V511" i="12"/>
  <c r="U511" i="12"/>
  <c r="T511" i="12"/>
  <c r="R511" i="12"/>
  <c r="Z510" i="12"/>
  <c r="X510" i="12"/>
  <c r="V510" i="12"/>
  <c r="U510" i="12"/>
  <c r="T510" i="12"/>
  <c r="R510" i="12"/>
  <c r="Z509" i="12"/>
  <c r="X509" i="12"/>
  <c r="V509" i="12"/>
  <c r="U509" i="12"/>
  <c r="T509" i="12"/>
  <c r="R509" i="12"/>
  <c r="Z508" i="12"/>
  <c r="X508" i="12"/>
  <c r="V508" i="12"/>
  <c r="U508" i="12"/>
  <c r="T508" i="12"/>
  <c r="R508" i="12"/>
  <c r="Z507" i="12"/>
  <c r="X507" i="12"/>
  <c r="V507" i="12"/>
  <c r="U507" i="12"/>
  <c r="T507" i="12"/>
  <c r="R507" i="12"/>
  <c r="Z506" i="12"/>
  <c r="X506" i="12"/>
  <c r="V506" i="12"/>
  <c r="U506" i="12"/>
  <c r="T506" i="12"/>
  <c r="R506" i="12"/>
  <c r="Z505" i="12"/>
  <c r="X505" i="12"/>
  <c r="V505" i="12"/>
  <c r="U505" i="12"/>
  <c r="T505" i="12"/>
  <c r="R505" i="12"/>
  <c r="Z504" i="12"/>
  <c r="X504" i="12"/>
  <c r="V504" i="12"/>
  <c r="U504" i="12"/>
  <c r="T504" i="12"/>
  <c r="R504" i="12"/>
  <c r="Z503" i="12"/>
  <c r="X503" i="12"/>
  <c r="V503" i="12"/>
  <c r="U503" i="12"/>
  <c r="T503" i="12"/>
  <c r="R503" i="12"/>
  <c r="Z502" i="12"/>
  <c r="X502" i="12"/>
  <c r="V502" i="12"/>
  <c r="U502" i="12"/>
  <c r="T502" i="12"/>
  <c r="R502" i="12"/>
  <c r="Z501" i="12"/>
  <c r="X501" i="12"/>
  <c r="V501" i="12"/>
  <c r="U501" i="12"/>
  <c r="T501" i="12"/>
  <c r="R501" i="12"/>
  <c r="Z500" i="12"/>
  <c r="X500" i="12"/>
  <c r="V500" i="12"/>
  <c r="U500" i="12"/>
  <c r="T500" i="12"/>
  <c r="R500" i="12"/>
  <c r="Z499" i="12"/>
  <c r="X499" i="12"/>
  <c r="V499" i="12"/>
  <c r="U499" i="12"/>
  <c r="T499" i="12"/>
  <c r="R499" i="12"/>
  <c r="Z498" i="12"/>
  <c r="X498" i="12"/>
  <c r="V498" i="12"/>
  <c r="U498" i="12"/>
  <c r="T498" i="12"/>
  <c r="R498" i="12"/>
  <c r="Z497" i="12"/>
  <c r="X497" i="12"/>
  <c r="V497" i="12"/>
  <c r="U497" i="12"/>
  <c r="T497" i="12"/>
  <c r="R497" i="12"/>
  <c r="Z496" i="12"/>
  <c r="X496" i="12"/>
  <c r="V496" i="12"/>
  <c r="U496" i="12"/>
  <c r="T496" i="12"/>
  <c r="R496" i="12"/>
  <c r="Z495" i="12"/>
  <c r="X495" i="12"/>
  <c r="V495" i="12"/>
  <c r="U495" i="12"/>
  <c r="T495" i="12"/>
  <c r="R495" i="12"/>
  <c r="Z494" i="12"/>
  <c r="X494" i="12"/>
  <c r="V494" i="12"/>
  <c r="U494" i="12"/>
  <c r="T494" i="12"/>
  <c r="R494" i="12"/>
  <c r="Z493" i="12"/>
  <c r="X493" i="12"/>
  <c r="V493" i="12"/>
  <c r="U493" i="12"/>
  <c r="T493" i="12"/>
  <c r="R493" i="12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H79" i="12"/>
  <c r="AH80" i="12"/>
  <c r="AH81" i="12"/>
  <c r="AG80" i="12"/>
  <c r="AG81" i="12"/>
  <c r="AG3" i="12"/>
  <c r="AH3" i="12" s="1"/>
  <c r="AG4" i="12"/>
  <c r="AH4" i="12" s="1"/>
  <c r="AG5" i="12"/>
  <c r="AH5" i="12" s="1"/>
  <c r="AG6" i="12"/>
  <c r="AH6" i="12" s="1"/>
  <c r="AG7" i="12"/>
  <c r="AH7" i="12" s="1"/>
  <c r="AG8" i="12"/>
  <c r="AH8" i="12" s="1"/>
  <c r="AG9" i="12"/>
  <c r="AH9" i="12" s="1"/>
  <c r="AG10" i="12"/>
  <c r="AH10" i="12" s="1"/>
  <c r="AG11" i="12"/>
  <c r="AH11" i="12" s="1"/>
  <c r="AG12" i="12"/>
  <c r="AH12" i="12" s="1"/>
  <c r="AG13" i="12"/>
  <c r="AH13" i="12" s="1"/>
  <c r="AG14" i="12"/>
  <c r="AH14" i="12" s="1"/>
  <c r="AG15" i="12"/>
  <c r="AH15" i="12" s="1"/>
  <c r="AG16" i="12"/>
  <c r="AH16" i="12" s="1"/>
  <c r="AG17" i="12"/>
  <c r="AH17" i="12" s="1"/>
  <c r="AG18" i="12"/>
  <c r="AH18" i="12" s="1"/>
  <c r="AG19" i="12"/>
  <c r="AH19" i="12" s="1"/>
  <c r="AG20" i="12"/>
  <c r="AH20" i="12" s="1"/>
  <c r="AG21" i="12"/>
  <c r="AH21" i="12" s="1"/>
  <c r="AG22" i="12"/>
  <c r="AH22" i="12" s="1"/>
  <c r="AG23" i="12"/>
  <c r="AH23" i="12" s="1"/>
  <c r="AG24" i="12"/>
  <c r="AH24" i="12" s="1"/>
  <c r="AG25" i="12"/>
  <c r="AH25" i="12" s="1"/>
  <c r="AG26" i="12"/>
  <c r="AH26" i="12" s="1"/>
  <c r="AG27" i="12"/>
  <c r="AH27" i="12" s="1"/>
  <c r="AG28" i="12"/>
  <c r="AH28" i="12" s="1"/>
  <c r="AG29" i="12"/>
  <c r="AH29" i="12" s="1"/>
  <c r="AG30" i="12"/>
  <c r="AH30" i="12" s="1"/>
  <c r="AG31" i="12"/>
  <c r="AH31" i="12" s="1"/>
  <c r="AG32" i="12"/>
  <c r="AH32" i="12" s="1"/>
  <c r="AG33" i="12"/>
  <c r="AH33" i="12" s="1"/>
  <c r="AG34" i="12"/>
  <c r="AH34" i="12" s="1"/>
  <c r="AG35" i="12"/>
  <c r="AH35" i="12" s="1"/>
  <c r="AG36" i="12"/>
  <c r="AH36" i="12" s="1"/>
  <c r="AG37" i="12"/>
  <c r="AH37" i="12" s="1"/>
  <c r="AG38" i="12"/>
  <c r="AH38" i="12" s="1"/>
  <c r="AG39" i="12"/>
  <c r="AH39" i="12" s="1"/>
  <c r="AG40" i="12"/>
  <c r="AH40" i="12" s="1"/>
  <c r="AG41" i="12"/>
  <c r="AH41" i="12" s="1"/>
  <c r="AG42" i="12"/>
  <c r="AH42" i="12" s="1"/>
  <c r="AG43" i="12"/>
  <c r="AH43" i="12" s="1"/>
  <c r="AG44" i="12"/>
  <c r="AH44" i="12" s="1"/>
  <c r="AG45" i="12"/>
  <c r="AH45" i="12" s="1"/>
  <c r="AG46" i="12"/>
  <c r="AH46" i="12" s="1"/>
  <c r="AG47" i="12"/>
  <c r="AH47" i="12" s="1"/>
  <c r="AG48" i="12"/>
  <c r="AH48" i="12" s="1"/>
  <c r="AG49" i="12"/>
  <c r="AH49" i="12" s="1"/>
  <c r="AG50" i="12"/>
  <c r="AH50" i="12" s="1"/>
  <c r="AG51" i="12"/>
  <c r="AH51" i="12" s="1"/>
  <c r="AG52" i="12"/>
  <c r="AH52" i="12" s="1"/>
  <c r="AG53" i="12"/>
  <c r="AH53" i="12" s="1"/>
  <c r="AG54" i="12"/>
  <c r="AH54" i="12" s="1"/>
  <c r="AG55" i="12"/>
  <c r="AH55" i="12" s="1"/>
  <c r="AG56" i="12"/>
  <c r="AH56" i="12" s="1"/>
  <c r="AG57" i="12"/>
  <c r="AH57" i="12" s="1"/>
  <c r="AG58" i="12"/>
  <c r="AH58" i="12" s="1"/>
  <c r="AG59" i="12"/>
  <c r="AH59" i="12" s="1"/>
  <c r="AG60" i="12"/>
  <c r="AH60" i="12" s="1"/>
  <c r="AG61" i="12"/>
  <c r="AH61" i="12" s="1"/>
  <c r="AG62" i="12"/>
  <c r="AH62" i="12" s="1"/>
  <c r="AG63" i="12"/>
  <c r="AH63" i="12" s="1"/>
  <c r="AG64" i="12"/>
  <c r="AH64" i="12" s="1"/>
  <c r="AG65" i="12"/>
  <c r="AH65" i="12" s="1"/>
  <c r="AG66" i="12"/>
  <c r="AH66" i="12" s="1"/>
  <c r="AG67" i="12"/>
  <c r="AH67" i="12" s="1"/>
  <c r="AG68" i="12"/>
  <c r="AH68" i="12" s="1"/>
  <c r="AG69" i="12"/>
  <c r="AH69" i="12" s="1"/>
  <c r="AG70" i="12"/>
  <c r="AH70" i="12" s="1"/>
  <c r="AG71" i="12"/>
  <c r="AH71" i="12" s="1"/>
  <c r="AG72" i="12"/>
  <c r="AH72" i="12" s="1"/>
  <c r="AG73" i="12"/>
  <c r="AH73" i="12" s="1"/>
  <c r="AG74" i="12"/>
  <c r="AH74" i="12" s="1"/>
  <c r="AG75" i="12"/>
  <c r="AH75" i="12" s="1"/>
  <c r="AG76" i="12"/>
  <c r="AH76" i="12" s="1"/>
  <c r="AG77" i="12"/>
  <c r="AH77" i="12" s="1"/>
  <c r="AG78" i="12"/>
  <c r="AH78" i="12" s="1"/>
  <c r="AG79" i="12"/>
  <c r="AG2" i="12"/>
  <c r="AH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I79" i="12" l="1"/>
  <c r="AI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I7" i="12"/>
  <c r="AP44" i="40"/>
  <c r="AO17" i="40"/>
  <c r="AP7" i="40"/>
  <c r="AP61" i="40"/>
  <c r="AP36" i="40"/>
  <c r="AI9" i="12"/>
  <c r="AI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I27" i="12" l="1"/>
  <c r="AP27" i="40"/>
  <c r="AO11" i="40"/>
  <c r="AP57" i="40"/>
  <c r="AO31" i="40"/>
  <c r="AI41" i="12"/>
  <c r="AP20" i="40"/>
  <c r="AO13" i="40"/>
  <c r="AO16" i="40"/>
  <c r="AO25" i="40"/>
  <c r="AI72" i="12"/>
  <c r="AP10" i="40"/>
  <c r="AI35" i="12"/>
  <c r="AO26" i="40"/>
  <c r="AP23" i="40"/>
  <c r="AI33" i="12"/>
  <c r="AO7" i="40"/>
  <c r="AI57" i="12"/>
  <c r="AO8" i="40"/>
  <c r="AP53" i="40"/>
  <c r="AP58" i="40"/>
  <c r="AP59" i="40"/>
  <c r="AI5" i="12"/>
  <c r="AP60" i="40"/>
  <c r="AI14" i="12"/>
  <c r="AI45" i="12"/>
  <c r="AP15" i="40"/>
  <c r="AP19" i="40"/>
  <c r="AI25" i="12"/>
  <c r="AP43" i="40"/>
  <c r="AP24" i="40"/>
  <c r="AI39" i="12"/>
  <c r="AI49" i="12"/>
  <c r="AP39" i="40"/>
  <c r="AI51" i="12"/>
  <c r="AP30" i="40"/>
  <c r="AO43" i="40"/>
  <c r="AI59" i="12"/>
  <c r="AO51" i="40"/>
  <c r="AO18" i="40"/>
  <c r="AI63" i="12"/>
  <c r="AI73" i="12"/>
  <c r="AO50" i="40"/>
  <c r="AI67" i="12"/>
  <c r="AP54" i="40"/>
  <c r="AP21" i="40"/>
  <c r="AO22" i="40"/>
  <c r="AP9" i="40"/>
  <c r="AI3" i="12"/>
  <c r="AI65" i="12"/>
  <c r="AI43" i="12"/>
  <c r="AP40" i="40"/>
  <c r="AI13" i="12"/>
  <c r="AI75" i="12"/>
  <c r="AI21" i="12"/>
  <c r="AP41" i="40"/>
  <c r="AO58" i="40"/>
  <c r="AI32" i="12"/>
  <c r="AI56" i="12"/>
  <c r="AP17" i="40"/>
  <c r="AP32" i="40"/>
  <c r="AO6" i="40"/>
  <c r="AI17" i="12"/>
  <c r="AO2" i="40"/>
  <c r="AI28" i="12"/>
  <c r="AI76" i="12"/>
  <c r="AI52" i="12"/>
  <c r="AI68" i="12"/>
  <c r="AP3" i="40"/>
  <c r="AI6" i="12"/>
  <c r="AI22" i="12"/>
  <c r="AI40" i="12"/>
  <c r="AI48" i="12"/>
  <c r="AI64" i="12"/>
  <c r="AP29" i="40"/>
  <c r="AP31" i="40"/>
  <c r="AI42" i="12"/>
  <c r="AP22" i="40"/>
  <c r="AP28" i="40"/>
  <c r="AP42" i="40"/>
  <c r="AI11" i="12"/>
  <c r="AI53" i="12"/>
  <c r="AP48" i="40"/>
  <c r="AI20" i="12"/>
  <c r="AP33" i="40"/>
  <c r="AO23" i="40"/>
  <c r="AP35" i="40"/>
  <c r="AO20" i="40"/>
  <c r="AO14" i="40"/>
  <c r="AO52" i="40"/>
  <c r="AI55" i="12"/>
  <c r="AP25" i="40"/>
  <c r="AO41" i="40"/>
  <c r="AO40" i="40"/>
  <c r="AO9" i="40"/>
  <c r="AP56" i="40"/>
  <c r="AI19" i="12"/>
  <c r="AO3" i="40"/>
  <c r="AO34" i="40"/>
  <c r="AP51" i="40"/>
  <c r="AP13" i="40"/>
  <c r="AI61" i="12"/>
  <c r="AP55" i="40"/>
  <c r="AI34" i="12"/>
  <c r="AP34" i="40"/>
  <c r="AI58" i="12"/>
  <c r="AO29" i="40"/>
  <c r="AI4" i="12"/>
  <c r="AI36" i="12"/>
  <c r="AI44" i="12"/>
  <c r="AI60" i="12"/>
  <c r="AI30" i="12"/>
  <c r="AI38" i="12"/>
  <c r="AI54" i="12"/>
  <c r="AI24" i="12"/>
  <c r="AI70" i="12"/>
  <c r="AP62" i="40"/>
  <c r="AI2" i="12"/>
  <c r="AP38" i="40"/>
  <c r="AI74" i="12"/>
  <c r="AI62" i="12"/>
  <c r="AI66" i="12"/>
  <c r="AP2" i="40"/>
  <c r="AO59" i="40"/>
  <c r="AO46" i="40"/>
  <c r="AO37" i="40"/>
  <c r="AI10" i="12"/>
  <c r="AI46" i="12"/>
  <c r="AI26" i="12"/>
  <c r="AP46" i="40"/>
  <c r="AP6" i="40"/>
  <c r="AP37" i="40"/>
  <c r="AI69" i="12"/>
  <c r="AO28" i="40"/>
  <c r="AI71" i="12"/>
  <c r="AO32" i="40"/>
  <c r="AO24" i="40"/>
  <c r="AO47" i="40"/>
  <c r="AO48" i="40"/>
  <c r="AP4" i="40"/>
  <c r="AO42" i="40"/>
  <c r="AO55" i="40"/>
  <c r="AO5" i="40"/>
  <c r="AO53" i="40"/>
  <c r="AO35" i="40"/>
  <c r="AI16" i="12"/>
  <c r="AP16" i="40"/>
  <c r="AI15" i="12"/>
  <c r="AO12" i="40"/>
  <c r="AP45" i="40"/>
  <c r="AO10" i="40"/>
  <c r="AO21" i="40"/>
  <c r="AO61" i="40"/>
  <c r="AI12" i="12"/>
  <c r="AP12" i="40"/>
  <c r="AO36" i="40"/>
  <c r="AO4" i="40"/>
  <c r="AO30" i="40"/>
  <c r="AO39" i="40"/>
  <c r="AO44" i="40"/>
  <c r="AP26" i="40"/>
  <c r="AI29" i="12"/>
  <c r="AP11" i="40"/>
  <c r="AO38" i="40"/>
  <c r="AI23" i="12"/>
  <c r="AO15" i="40"/>
  <c r="AP49" i="40"/>
  <c r="AI18" i="12"/>
  <c r="AP18" i="40"/>
  <c r="AO49" i="40"/>
  <c r="AO57" i="40"/>
  <c r="AO27" i="40"/>
  <c r="AP47" i="40"/>
  <c r="AI47" i="12"/>
  <c r="AP8" i="40"/>
  <c r="AI8" i="12"/>
  <c r="AI50" i="12"/>
  <c r="AP50" i="40"/>
  <c r="AO33" i="40"/>
  <c r="AI37" i="12"/>
  <c r="AP14" i="40"/>
  <c r="AI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W50" i="40" s="1"/>
  <c r="R57" i="40"/>
  <c r="R33" i="40"/>
  <c r="R26" i="40"/>
  <c r="W26" i="40" s="1"/>
  <c r="R19" i="40"/>
  <c r="W19" i="40" s="1"/>
  <c r="R49" i="40"/>
  <c r="R42" i="40"/>
  <c r="R35" i="40"/>
  <c r="R11" i="40"/>
  <c r="W11" i="40" s="1"/>
  <c r="Z25" i="40"/>
  <c r="R58" i="40"/>
  <c r="R51" i="40"/>
  <c r="R41" i="40"/>
  <c r="R34" i="40"/>
  <c r="W34" i="40" s="1"/>
  <c r="R27" i="40"/>
  <c r="R17" i="40"/>
  <c r="R60" i="40"/>
  <c r="R52" i="40"/>
  <c r="W52" i="40" s="1"/>
  <c r="R44" i="40"/>
  <c r="W44" i="40" s="1"/>
  <c r="R36" i="40"/>
  <c r="W36" i="40" s="1"/>
  <c r="R28" i="40"/>
  <c r="R20" i="40"/>
  <c r="W20" i="40" s="1"/>
  <c r="R12" i="40"/>
  <c r="W12" i="40" s="1"/>
  <c r="R4" i="40"/>
  <c r="W4" i="40" s="1"/>
  <c r="R54" i="40"/>
  <c r="W54" i="40" s="1"/>
  <c r="R46" i="40"/>
  <c r="W46" i="40" s="1"/>
  <c r="R38" i="40"/>
  <c r="W38" i="40" s="1"/>
  <c r="R30" i="40"/>
  <c r="W30" i="40" s="1"/>
  <c r="R22" i="40"/>
  <c r="R14" i="40"/>
  <c r="R6" i="40"/>
  <c r="W6" i="40" s="1"/>
  <c r="R3" i="40"/>
  <c r="R56" i="40"/>
  <c r="R48" i="40"/>
  <c r="R40" i="40"/>
  <c r="W40" i="40" s="1"/>
  <c r="R32" i="40"/>
  <c r="R24" i="40"/>
  <c r="W24" i="40" s="1"/>
  <c r="R16" i="40"/>
  <c r="W16" i="40" s="1"/>
  <c r="R8" i="40"/>
  <c r="R61" i="40"/>
  <c r="T61" i="40" s="1"/>
  <c r="R53" i="40"/>
  <c r="R45" i="40"/>
  <c r="R37" i="40"/>
  <c r="R29" i="40"/>
  <c r="R21" i="40"/>
  <c r="W21" i="40" s="1"/>
  <c r="R13" i="40"/>
  <c r="W13" i="40" s="1"/>
  <c r="R5" i="40"/>
  <c r="R18" i="40"/>
  <c r="W18" i="40" s="1"/>
  <c r="R10" i="40"/>
  <c r="R2" i="40"/>
  <c r="W2" i="40" s="1"/>
  <c r="R55" i="40"/>
  <c r="R47" i="40"/>
  <c r="W47" i="40" s="1"/>
  <c r="R39" i="40"/>
  <c r="R31" i="40"/>
  <c r="W31" i="40" s="1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W37" i="40"/>
  <c r="T45" i="40"/>
  <c r="W45" i="40"/>
  <c r="U45" i="40" s="1"/>
  <c r="X45" i="40" s="1"/>
  <c r="T48" i="40"/>
  <c r="W48" i="40"/>
  <c r="T57" i="40"/>
  <c r="W57" i="40"/>
  <c r="U57" i="40" s="1"/>
  <c r="X57" i="40" s="1"/>
  <c r="T10" i="40"/>
  <c r="W10" i="40"/>
  <c r="T53" i="40"/>
  <c r="W53" i="40"/>
  <c r="V53" i="40" s="1"/>
  <c r="T3" i="40"/>
  <c r="W3" i="40"/>
  <c r="T17" i="40"/>
  <c r="W17" i="40"/>
  <c r="U17" i="40" s="1"/>
  <c r="X17" i="40" s="1"/>
  <c r="T35" i="40"/>
  <c r="W35" i="40"/>
  <c r="V35" i="40" s="1"/>
  <c r="T43" i="40"/>
  <c r="W43" i="40"/>
  <c r="U43" i="40" s="1"/>
  <c r="X43" i="40" s="1"/>
  <c r="T23" i="40"/>
  <c r="W23" i="40"/>
  <c r="T5" i="40"/>
  <c r="W5" i="40"/>
  <c r="U5" i="40" s="1"/>
  <c r="X5" i="40" s="1"/>
  <c r="T8" i="40"/>
  <c r="W8" i="40"/>
  <c r="U8" i="40" s="1"/>
  <c r="X8" i="40" s="1"/>
  <c r="T27" i="40"/>
  <c r="W27" i="40"/>
  <c r="V27" i="40" s="1"/>
  <c r="T42" i="40"/>
  <c r="W42" i="40"/>
  <c r="V42" i="40" s="1"/>
  <c r="T9" i="40"/>
  <c r="W9" i="40"/>
  <c r="V9" i="40" s="1"/>
  <c r="T56" i="40"/>
  <c r="W56" i="40"/>
  <c r="U56" i="40" s="1"/>
  <c r="X56" i="40" s="1"/>
  <c r="T15" i="40"/>
  <c r="W15" i="40"/>
  <c r="W14" i="40"/>
  <c r="U14" i="40" s="1"/>
  <c r="X14" i="40" s="1"/>
  <c r="T49" i="40"/>
  <c r="W49" i="40"/>
  <c r="V49" i="40" s="1"/>
  <c r="T22" i="40"/>
  <c r="W22" i="40"/>
  <c r="V22" i="40" s="1"/>
  <c r="T28" i="40"/>
  <c r="W28" i="40"/>
  <c r="T41" i="40"/>
  <c r="W41" i="40"/>
  <c r="U41" i="40" s="1"/>
  <c r="X41" i="40" s="1"/>
  <c r="T29" i="40"/>
  <c r="W29" i="40"/>
  <c r="V29" i="40" s="1"/>
  <c r="T32" i="40"/>
  <c r="W32" i="40"/>
  <c r="U32" i="40" s="1"/>
  <c r="X32" i="40" s="1"/>
  <c r="T51" i="40"/>
  <c r="W51" i="40"/>
  <c r="U51" i="40" s="1"/>
  <c r="X51" i="40" s="1"/>
  <c r="T7" i="40"/>
  <c r="W7" i="40"/>
  <c r="U7" i="40" s="1"/>
  <c r="X7" i="40" s="1"/>
  <c r="T39" i="40"/>
  <c r="W39" i="40"/>
  <c r="U39" i="40" s="1"/>
  <c r="X39" i="40" s="1"/>
  <c r="T55" i="40"/>
  <c r="W55" i="40"/>
  <c r="V55" i="40" s="1"/>
  <c r="T33" i="40"/>
  <c r="W33" i="40"/>
  <c r="U33" i="40" s="1"/>
  <c r="X33" i="40" s="1"/>
  <c r="Z57" i="40"/>
  <c r="Z43" i="40"/>
  <c r="Z17" i="40"/>
  <c r="Z50" i="40"/>
  <c r="U10" i="40"/>
  <c r="X10" i="40" s="1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V28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V37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V48" i="40"/>
  <c r="T6" i="40"/>
  <c r="U23" i="40"/>
  <c r="X23" i="40" s="1"/>
  <c r="Z7" i="40"/>
  <c r="Z39" i="40"/>
  <c r="T21" i="40"/>
  <c r="T2" i="40"/>
  <c r="Z45" i="40"/>
  <c r="T52" i="40"/>
  <c r="Z48" i="40"/>
  <c r="T46" i="40"/>
  <c r="Z18" i="40"/>
  <c r="Z5" i="40"/>
  <c r="R25" i="40"/>
  <c r="W25" i="40" s="1"/>
  <c r="T18" i="40"/>
  <c r="T4" i="40"/>
  <c r="Z61" i="40"/>
  <c r="Z12" i="40"/>
  <c r="Z23" i="40"/>
  <c r="Z15" i="40"/>
  <c r="Z22" i="40"/>
  <c r="Z21" i="40"/>
  <c r="U61" i="40"/>
  <c r="X61" i="40" s="1"/>
  <c r="U15" i="40"/>
  <c r="X15" i="40" s="1"/>
  <c r="T24" i="40"/>
  <c r="Z3" i="40"/>
  <c r="Z4" i="40"/>
  <c r="Z6" i="40"/>
  <c r="U3" i="40"/>
  <c r="X3" i="40" s="1"/>
  <c r="AB2" i="40"/>
  <c r="V14" i="40"/>
  <c r="U21" i="40"/>
  <c r="X21" i="40" s="1"/>
  <c r="V21" i="40"/>
  <c r="U50" i="40"/>
  <c r="X50" i="40" s="1"/>
  <c r="V50" i="40"/>
  <c r="V36" i="40"/>
  <c r="U36" i="40"/>
  <c r="X36" i="40" s="1"/>
  <c r="V18" i="40"/>
  <c r="U18" i="40"/>
  <c r="X18" i="40" s="1"/>
  <c r="V4" i="40"/>
  <c r="U4" i="40"/>
  <c r="X4" i="40" s="1"/>
  <c r="V38" i="40"/>
  <c r="U38" i="40"/>
  <c r="X38" i="40" s="1"/>
  <c r="V54" i="40"/>
  <c r="U54" i="40"/>
  <c r="X54" i="40" s="1"/>
  <c r="U26" i="40"/>
  <c r="X26" i="40" s="1"/>
  <c r="V26" i="40"/>
  <c r="V30" i="40"/>
  <c r="U30" i="40"/>
  <c r="X30" i="40" s="1"/>
  <c r="U11" i="40"/>
  <c r="X11" i="40" s="1"/>
  <c r="V11" i="40"/>
  <c r="U59" i="40"/>
  <c r="X59" i="40" s="1"/>
  <c r="V59" i="40"/>
  <c r="U13" i="40"/>
  <c r="X13" i="40" s="1"/>
  <c r="V13" i="40"/>
  <c r="V34" i="40"/>
  <c r="U34" i="40"/>
  <c r="X34" i="40" s="1"/>
  <c r="V6" i="40"/>
  <c r="U6" i="40"/>
  <c r="X6" i="40" s="1"/>
  <c r="U58" i="40"/>
  <c r="X58" i="40" s="1"/>
  <c r="V58" i="40"/>
  <c r="U12" i="40"/>
  <c r="X12" i="40" s="1"/>
  <c r="V12" i="40"/>
  <c r="V60" i="40"/>
  <c r="U60" i="40"/>
  <c r="X60" i="40" s="1"/>
  <c r="V44" i="40"/>
  <c r="U44" i="40"/>
  <c r="X44" i="40" s="1"/>
  <c r="U19" i="40"/>
  <c r="X19" i="40" s="1"/>
  <c r="V19" i="40"/>
  <c r="U31" i="40"/>
  <c r="X31" i="40" s="1"/>
  <c r="V31" i="40"/>
  <c r="U47" i="40"/>
  <c r="X47" i="40" s="1"/>
  <c r="V47" i="40"/>
  <c r="U24" i="40"/>
  <c r="X24" i="40" s="1"/>
  <c r="V24" i="40"/>
  <c r="U2" i="40"/>
  <c r="X2" i="40" s="1"/>
  <c r="V2" i="40"/>
  <c r="V46" i="40"/>
  <c r="U46" i="40"/>
  <c r="X46" i="40" s="1"/>
  <c r="V16" i="40"/>
  <c r="U16" i="40"/>
  <c r="X16" i="40" s="1"/>
  <c r="V40" i="40"/>
  <c r="U40" i="40"/>
  <c r="X40" i="40" s="1"/>
  <c r="V20" i="40"/>
  <c r="U20" i="40"/>
  <c r="X20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U35" i="40" l="1"/>
  <c r="X35" i="40" s="1"/>
  <c r="V33" i="40"/>
  <c r="V17" i="40"/>
  <c r="U27" i="40"/>
  <c r="X27" i="40" s="1"/>
  <c r="V57" i="40"/>
  <c r="V10" i="40"/>
  <c r="V43" i="40"/>
  <c r="U53" i="40"/>
  <c r="X53" i="40" s="1"/>
  <c r="U42" i="40"/>
  <c r="X42" i="40" s="1"/>
  <c r="U49" i="40"/>
  <c r="X49" i="40" s="1"/>
  <c r="V56" i="40"/>
  <c r="V32" i="40"/>
  <c r="U22" i="40"/>
  <c r="X22" i="40" s="1"/>
  <c r="U9" i="40"/>
  <c r="X9" i="40" s="1"/>
  <c r="V7" i="40"/>
  <c r="V45" i="40"/>
  <c r="V51" i="40"/>
  <c r="V41" i="40"/>
  <c r="U28" i="40"/>
  <c r="X28" i="40" s="1"/>
  <c r="V39" i="40"/>
  <c r="V23" i="40"/>
  <c r="U55" i="40"/>
  <c r="X55" i="40" s="1"/>
  <c r="U29" i="40"/>
  <c r="X29" i="40" s="1"/>
  <c r="U37" i="40"/>
  <c r="X37" i="40" s="1"/>
  <c r="U48" i="40"/>
  <c r="X48" i="40" s="1"/>
  <c r="V15" i="40"/>
  <c r="V61" i="40"/>
  <c r="V8" i="40"/>
  <c r="V5" i="40"/>
  <c r="T25" i="40"/>
  <c r="V3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U25" i="40" l="1"/>
  <c r="X25" i="40" s="1"/>
  <c r="V25" i="40"/>
  <c r="AH7" i="40"/>
  <c r="AW90" i="36"/>
  <c r="AU90" i="36"/>
  <c r="AV90" i="36" s="1"/>
  <c r="AW89" i="36"/>
  <c r="AU89" i="36"/>
  <c r="AV89" i="36" s="1"/>
  <c r="AU88" i="36"/>
  <c r="AV88" i="36" s="1"/>
  <c r="AW87" i="36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R57" i="12"/>
  <c r="W57" i="12" s="1"/>
  <c r="R55" i="12"/>
  <c r="W55" i="12" s="1"/>
  <c r="R56" i="12"/>
  <c r="W56" i="12" s="1"/>
  <c r="R54" i="12"/>
  <c r="W54" i="12" s="1"/>
  <c r="R27" i="12"/>
  <c r="W27" i="12" s="1"/>
  <c r="R25" i="12"/>
  <c r="W25" i="12" s="1"/>
  <c r="R13" i="12"/>
  <c r="W13" i="12" s="1"/>
  <c r="R8" i="12"/>
  <c r="W8" i="12" s="1"/>
  <c r="R6" i="12"/>
  <c r="W6" i="12" s="1"/>
  <c r="R4" i="12"/>
  <c r="W4" i="12" s="1"/>
  <c r="R36" i="12"/>
  <c r="W36" i="12" s="1"/>
  <c r="R31" i="12"/>
  <c r="W31" i="12" s="1"/>
  <c r="R18" i="12"/>
  <c r="W18" i="12" s="1"/>
  <c r="R52" i="12"/>
  <c r="W52" i="12" s="1"/>
  <c r="R47" i="12"/>
  <c r="W47" i="12" s="1"/>
  <c r="R45" i="12"/>
  <c r="W45" i="12" s="1"/>
  <c r="R39" i="12"/>
  <c r="W39" i="12" s="1"/>
  <c r="R35" i="12"/>
  <c r="W35" i="12" s="1"/>
  <c r="R33" i="12"/>
  <c r="W33" i="12" s="1"/>
  <c r="R23" i="12"/>
  <c r="W23" i="12" s="1"/>
  <c r="R21" i="12"/>
  <c r="W21" i="12" s="1"/>
  <c r="R16" i="12"/>
  <c r="W16" i="12" s="1"/>
  <c r="R42" i="12"/>
  <c r="W42" i="12" s="1"/>
  <c r="R46" i="12"/>
  <c r="W46" i="12" s="1"/>
  <c r="R20" i="12"/>
  <c r="W20" i="12" s="1"/>
  <c r="R14" i="12"/>
  <c r="W14" i="12" s="1"/>
  <c r="R10" i="12"/>
  <c r="W10" i="12" s="1"/>
  <c r="R2" i="12"/>
  <c r="W2" i="12" s="1"/>
  <c r="R41" i="12"/>
  <c r="W41" i="12" s="1"/>
  <c r="R37" i="12"/>
  <c r="W37" i="12" s="1"/>
  <c r="R50" i="12"/>
  <c r="W50" i="12" s="1"/>
  <c r="R48" i="12"/>
  <c r="W48" i="12" s="1"/>
  <c r="R43" i="12"/>
  <c r="W43" i="12" s="1"/>
  <c r="R30" i="12"/>
  <c r="W30" i="12" s="1"/>
  <c r="R28" i="12"/>
  <c r="W28" i="12" s="1"/>
  <c r="R22" i="12"/>
  <c r="W22" i="12" s="1"/>
  <c r="R7" i="12"/>
  <c r="W7" i="12" s="1"/>
  <c r="R53" i="12"/>
  <c r="W53" i="12" s="1"/>
  <c r="R3" i="12"/>
  <c r="W3" i="12" s="1"/>
  <c r="R44" i="12"/>
  <c r="W44" i="12" s="1"/>
  <c r="R38" i="12"/>
  <c r="W38" i="12" s="1"/>
  <c r="R32" i="12"/>
  <c r="W32" i="12" s="1"/>
  <c r="R19" i="12"/>
  <c r="W19" i="12" s="1"/>
  <c r="R17" i="12"/>
  <c r="W17" i="12" s="1"/>
  <c r="R15" i="12"/>
  <c r="W15" i="12" s="1"/>
  <c r="R11" i="12"/>
  <c r="W11" i="12" s="1"/>
  <c r="R49" i="12"/>
  <c r="W49" i="12" s="1"/>
  <c r="R40" i="12"/>
  <c r="W40" i="12" s="1"/>
  <c r="R34" i="12"/>
  <c r="W34" i="12" s="1"/>
  <c r="R51" i="12"/>
  <c r="W51" i="12" s="1"/>
  <c r="R12" i="12"/>
  <c r="W12" i="12" s="1"/>
  <c r="R5" i="12"/>
  <c r="W5" i="12" s="1"/>
  <c r="R26" i="12"/>
  <c r="W26" i="12" s="1"/>
  <c r="R9" i="12"/>
  <c r="W9" i="12" s="1"/>
  <c r="R24" i="12"/>
  <c r="W24" i="12" s="1"/>
  <c r="R29" i="12"/>
  <c r="W29" i="12" s="1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U6" i="12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28" i="12"/>
  <c r="U28" i="12"/>
  <c r="X28" i="12" s="1"/>
  <c r="V51" i="12"/>
  <c r="U51" i="12"/>
  <c r="X51" i="12" s="1"/>
  <c r="V45" i="12"/>
  <c r="U45" i="12"/>
  <c r="X45" i="12" s="1"/>
  <c r="U32" i="12"/>
  <c r="X32" i="12" s="1"/>
  <c r="V32" i="12"/>
  <c r="V36" i="12"/>
  <c r="U36" i="12"/>
  <c r="X36" i="12" s="1"/>
  <c r="V18" i="12"/>
  <c r="U18" i="12"/>
  <c r="X18" i="12" s="1"/>
  <c r="U15" i="12"/>
  <c r="X15" i="12" s="1"/>
  <c r="V15" i="12"/>
  <c r="V2" i="12"/>
  <c r="U2" i="12"/>
  <c r="X2" i="12" s="1"/>
  <c r="V37" i="12"/>
  <c r="U37" i="12"/>
  <c r="X37" i="12" s="1"/>
  <c r="V13" i="12"/>
  <c r="U13" i="12"/>
  <c r="X13" i="12" s="1"/>
  <c r="U48" i="12"/>
  <c r="X48" i="12" s="1"/>
  <c r="V48" i="12"/>
  <c r="V43" i="12"/>
  <c r="U43" i="12"/>
  <c r="X43" i="12" s="1"/>
  <c r="V10" i="12"/>
  <c r="U10" i="12"/>
  <c r="X10" i="12" s="1"/>
  <c r="U17" i="12"/>
  <c r="X17" i="12" s="1"/>
  <c r="V17" i="12"/>
  <c r="U7" i="12"/>
  <c r="X7" i="12" s="1"/>
  <c r="V7" i="12"/>
  <c r="V29" i="12"/>
  <c r="U29" i="12"/>
  <c r="X29" i="12" s="1"/>
  <c r="V4" i="12"/>
  <c r="U4" i="12"/>
  <c r="X4" i="12" s="1"/>
  <c r="V12" i="12"/>
  <c r="U12" i="12"/>
  <c r="X12" i="12" s="1"/>
  <c r="U35" i="12"/>
  <c r="X35" i="12" s="1"/>
  <c r="V35" i="12"/>
  <c r="U46" i="12"/>
  <c r="X46" i="12" s="1"/>
  <c r="V46" i="12"/>
  <c r="V6" i="12"/>
  <c r="X6" i="12"/>
  <c r="V38" i="12"/>
  <c r="U38" i="12"/>
  <c r="X38" i="12" s="1"/>
  <c r="V14" i="12"/>
  <c r="U14" i="12"/>
  <c r="X14" i="12" s="1"/>
  <c r="V31" i="12"/>
  <c r="U31" i="12"/>
  <c r="X31" i="12" s="1"/>
  <c r="U27" i="12"/>
  <c r="X27" i="12" s="1"/>
  <c r="V27" i="12"/>
  <c r="U9" i="12"/>
  <c r="X9" i="12" s="1"/>
  <c r="V9" i="12"/>
  <c r="U50" i="12"/>
  <c r="X50" i="12" s="1"/>
  <c r="V50" i="12"/>
  <c r="V20" i="12"/>
  <c r="U20" i="12"/>
  <c r="X20" i="12" s="1"/>
  <c r="V49" i="12"/>
  <c r="U49" i="12"/>
  <c r="X49" i="12" s="1"/>
  <c r="U3" i="12"/>
  <c r="X3" i="12" s="1"/>
  <c r="V3" i="12"/>
  <c r="V21" i="12"/>
  <c r="U21" i="12"/>
  <c r="X21" i="12" s="1"/>
  <c r="V26" i="12"/>
  <c r="U26" i="12"/>
  <c r="X26" i="12" s="1"/>
  <c r="U25" i="12"/>
  <c r="X25" i="12" s="1"/>
  <c r="V25" i="12"/>
  <c r="V53" i="12"/>
  <c r="U53" i="12"/>
  <c r="X53" i="12" s="1"/>
  <c r="V47" i="12"/>
  <c r="U47" i="12"/>
  <c r="X47" i="12" s="1"/>
  <c r="V24" i="12"/>
  <c r="U24" i="12"/>
  <c r="X24" i="12" s="1"/>
  <c r="U22" i="12"/>
  <c r="X22" i="12" s="1"/>
  <c r="V22" i="12"/>
  <c r="U19" i="12"/>
  <c r="X19" i="12" s="1"/>
  <c r="V19" i="12"/>
  <c r="V16" i="12"/>
  <c r="U16" i="12"/>
  <c r="X16" i="12" s="1"/>
  <c r="U41" i="12"/>
  <c r="X41" i="12" s="1"/>
  <c r="V41" i="12"/>
  <c r="U44" i="12"/>
  <c r="X44" i="12" s="1"/>
  <c r="V44" i="12"/>
  <c r="U11" i="12"/>
  <c r="X11" i="12" s="1"/>
  <c r="V11" i="12"/>
  <c r="V8" i="12"/>
  <c r="U8" i="12"/>
  <c r="X8" i="12" s="1"/>
  <c r="U39" i="12"/>
  <c r="X39" i="12" s="1"/>
  <c r="V39" i="12"/>
  <c r="U30" i="12"/>
  <c r="X30" i="12" s="1"/>
  <c r="V30" i="12"/>
  <c r="V52" i="12"/>
  <c r="U52" i="12"/>
  <c r="X52" i="12" s="1"/>
  <c r="U33" i="12"/>
  <c r="X33" i="12" s="1"/>
  <c r="V33" i="12"/>
  <c r="V42" i="12"/>
  <c r="U42" i="12"/>
  <c r="X42" i="12" s="1"/>
  <c r="V40" i="12"/>
  <c r="U40" i="12"/>
  <c r="X40" i="12" s="1"/>
  <c r="V34" i="12"/>
  <c r="U34" i="12"/>
  <c r="X34" i="12" s="1"/>
  <c r="U23" i="12"/>
  <c r="X23" i="12" s="1"/>
  <c r="V23" i="12"/>
  <c r="V5" i="12"/>
  <c r="U5" i="12"/>
  <c r="X5" i="12" s="1"/>
  <c r="A5" i="47" l="1" a="1"/>
  <c r="B5" i="47" s="1"/>
  <c r="L5" i="47" l="1"/>
  <c r="L7" i="47" s="1"/>
  <c r="H5" i="47"/>
  <c r="H7" i="47" s="1"/>
  <c r="C5" i="47"/>
  <c r="C7" i="47" s="1"/>
  <c r="A5" i="47"/>
  <c r="F5" i="47"/>
  <c r="F7" i="47" s="1"/>
  <c r="D5" i="47"/>
  <c r="D7" i="47" s="1"/>
  <c r="I5" i="47"/>
  <c r="I7" i="47" s="1"/>
  <c r="M5" i="47"/>
  <c r="M7" i="47" s="1"/>
  <c r="J5" i="47"/>
  <c r="J7" i="47" s="1"/>
  <c r="K5" i="47"/>
  <c r="K7" i="47" s="1"/>
  <c r="E5" i="47"/>
  <c r="E7" i="47" s="1"/>
  <c r="G5" i="47"/>
  <c r="G7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F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<sst xmlns="http://schemas.openxmlformats.org/spreadsheetml/2006/main" count="17410" uniqueCount="1181">
  <si>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</si>
  <si>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</si>
  <si>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</si>
  <si>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</si>
  <si>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</si>
  <si>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</si>
  <si>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</si>
  <si>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</si>
  <si>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</si>
  <si>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</si>
  <si>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</si>
  <si>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</si>
  <si>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</si>
  <si>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B_F_BTC-USD_221230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</si>
  <si>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</si>
  <si>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</si>
  <si>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</si>
  <si>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</si>
  <si>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</si>
  <si>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</si>
  <si>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</si>
  <si>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</si>
  <si>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</si>
  <si>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</si>
  <si>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</si>
  <si>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</si>
  <si>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</si>
  <si>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</si>
  <si>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</si>
  <si>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</si>
  <si>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</si>
  <si>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</si>
  <si>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</si>
  <si>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</si>
  <si>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</si>
  <si>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</si>
  <si>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</si>
  <si>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</si>
  <si>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</si>
  <si>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</si>
  <si>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</si>
  <si>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</si>
  <si>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</si>
  <si>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</si>
  <si>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</si>
  <si>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</si>
  <si>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</si>
  <si>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</si>
  <si>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O_F_BTC-USDT_221230</t>
  </si>
  <si>
    <t>O_P_BTC-USDT-SWAP</t>
  </si>
  <si>
    <t>OKEX-2-S1</t>
  </si>
  <si>
    <t>O_F_BTC-USD_221230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</si>
  <si>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</si>
  <si>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</si>
  <si>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</si>
  <si>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</si>
  <si>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</si>
  <si>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</si>
  <si>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</si>
  <si>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</si>
  <si>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</si>
  <si>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</si>
  <si>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</si>
  <si>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</si>
  <si>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</si>
  <si>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</si>
  <si>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</si>
  <si>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</si>
  <si>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</si>
  <si>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</si>
  <si>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</si>
  <si>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</si>
  <si>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</si>
  <si>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</si>
  <si>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</si>
  <si>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</si>
  <si>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</si>
  <si>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</si>
  <si>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</si>
  <si>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</si>
  <si>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</si>
  <si>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</si>
  <si>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</si>
  <si>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</si>
  <si>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</si>
  <si>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</si>
  <si>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</si>
  <si>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</si>
  <si>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</si>
  <si>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</si>
  <si>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</si>
  <si>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</si>
  <si>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</si>
  <si>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</si>
  <si>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</si>
  <si>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</si>
  <si>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</si>
  <si>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</si>
  <si>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</si>
  <si>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</si>
  <si>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</si>
  <si>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</si>
  <si>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</si>
  <si>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</si>
  <si>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</si>
  <si>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</si>
  <si>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</si>
  <si>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</si>
  <si>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</si>
  <si>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</si>
  <si>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</si>
  <si>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</si>
  <si>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</si>
  <si>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</si>
  <si>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</si>
  <si>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</si>
  <si>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</si>
  <si>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</si>
  <si>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</si>
  <si>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</si>
  <si>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</si>
  <si>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</si>
  <si>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</si>
  <si>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</si>
  <si>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</si>
  <si>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</si>
  <si>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</si>
  <si>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</si>
  <si>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</si>
  <si>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</si>
  <si>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</si>
  <si>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</si>
  <si>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</si>
  <si>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</si>
  <si>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</si>
  <si>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</si>
  <si>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</si>
  <si>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</si>
  <si>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</si>
  <si>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</si>
  <si>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</si>
  <si>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HUSD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</si>
  <si>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</si>
  <si>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</si>
  <si>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</si>
  <si>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</si>
  <si>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</si>
  <si>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</si>
  <si>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</si>
  <si>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</si>
  <si>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</si>
  <si>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</si>
  <si>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</si>
  <si>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</si>
  <si>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</si>
  <si>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</si>
  <si>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</si>
  <si>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</si>
  <si>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</si>
  <si>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</si>
  <si>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</si>
  <si>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</si>
  <si>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</si>
  <si>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</si>
  <si>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</si>
  <si>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</si>
  <si>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</si>
  <si>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</si>
  <si>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</si>
  <si>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</si>
  <si>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</si>
  <si>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</si>
  <si>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</si>
  <si>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</si>
  <si>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</si>
  <si>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</si>
  <si>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</si>
  <si>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</si>
  <si>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</si>
  <si>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</si>
  <si>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</si>
  <si>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PAX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</si>
  <si>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</si>
  <si>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</si>
  <si>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</si>
  <si>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</si>
  <si>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</si>
  <si>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</si>
  <si>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</si>
  <si>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</si>
  <si>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</si>
  <si>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</si>
  <si>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</si>
  <si>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</si>
  <si>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</si>
  <si>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</si>
  <si>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</si>
  <si>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</si>
  <si>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</si>
  <si>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</si>
  <si>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</si>
  <si>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</si>
  <si>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</si>
  <si>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</si>
  <si>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</si>
  <si>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</si>
  <si>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</si>
  <si>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</si>
  <si>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</si>
  <si>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</si>
  <si>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</si>
  <si>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</si>
  <si>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</si>
  <si>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</si>
  <si>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</si>
  <si>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</si>
  <si>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</si>
  <si>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</si>
  <si>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</si>
  <si>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</si>
  <si>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</si>
  <si>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</si>
  <si>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</si>
  <si>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</si>
  <si>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</si>
  <si>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</si>
  <si>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</si>
  <si>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</si>
  <si>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</si>
  <si>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</si>
  <si>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</si>
  <si>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</si>
  <si>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</si>
  <si>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</si>
  <si>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</si>
  <si>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</si>
  <si>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</si>
  <si>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</si>
  <si>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</si>
  <si>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</si>
  <si>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</si>
  <si>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</si>
  <si>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</si>
  <si>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</si>
  <si>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</si>
  <si>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</si>
  <si>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</si>
  <si>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</si>
  <si>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</si>
  <si>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</si>
  <si>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</si>
  <si>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</si>
  <si>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</si>
  <si>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</si>
  <si>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</si>
  <si>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</si>
  <si>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</si>
  <si>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</si>
  <si>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</si>
  <si>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</si>
  <si>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</si>
  <si>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</si>
  <si>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</si>
  <si>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</si>
  <si>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</si>
  <si>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</si>
  <si>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</si>
  <si>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</si>
  <si>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</si>
  <si>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</si>
  <si>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</si>
  <si>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</si>
  <si>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</si>
  <si>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</si>
  <si>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</si>
  <si>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</si>
  <si>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>BTC221230</t>
  </si>
  <si>
    <t xml:space="preserve">DEFAULT </t>
  </si>
  <si>
    <t>LGD</t>
  </si>
  <si>
    <t>ALL</t>
  </si>
  <si>
    <t>Dec 22 LONG</t>
  </si>
  <si>
    <t>Mar 23 LONG</t>
  </si>
  <si>
    <t>Dec 22</t>
  </si>
  <si>
    <t>Mar 23</t>
  </si>
  <si>
    <t>(blank)</t>
  </si>
  <si>
    <t>abs_notional</t>
  </si>
  <si>
    <t>CME FUTURE</t>
  </si>
  <si>
    <t>B_F_BTC-USDT_221230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</si>
  <si>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</si>
  <si>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</si>
  <si>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</si>
  <si>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</si>
  <si>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</si>
  <si>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</si>
  <si>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</si>
  <si>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</si>
  <si>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</si>
  <si>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</si>
  <si>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</si>
  <si>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</si>
  <si>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</si>
  <si>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</si>
  <si>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</si>
  <si>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</si>
  <si>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</si>
  <si>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</si>
  <si>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</si>
  <si>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</si>
  <si>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</si>
  <si>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</si>
  <si>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</si>
  <si>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</si>
  <si>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</si>
  <si>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</si>
  <si>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</si>
  <si>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</si>
  <si>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B_F_BTC-USD_230331</t>
  </si>
  <si>
    <t>BTCZ2</t>
  </si>
  <si>
    <t>COLLATERAL</t>
  </si>
  <si>
    <t>CME Dec 22</t>
  </si>
  <si>
    <t>OWETHUSDC_WSTETH-04NOV22-1700C_ETH_SWAA</t>
  </si>
  <si>
    <t>CME Jan 23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</si>
  <si>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</si>
  <si>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</si>
  <si>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</si>
  <si>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</si>
  <si>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</si>
  <si>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</si>
  <si>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BINE-1-M-M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</si>
  <si>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</si>
  <si>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</si>
  <si>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</si>
  <si>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</si>
  <si>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</si>
  <si>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</si>
  <si>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</si>
  <si>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</si>
  <si>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</si>
  <si>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</si>
  <si>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</si>
  <si>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</si>
  <si>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</si>
  <si>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</si>
  <si>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</si>
  <si>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</si>
  <si>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</si>
  <si>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</si>
  <si>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</si>
  <si>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</si>
  <si>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</si>
  <si>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</si>
  <si>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</si>
  <si>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</si>
  <si>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</si>
  <si>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</si>
  <si>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</si>
  <si>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</si>
  <si>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</si>
  <si>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</si>
  <si>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</si>
  <si>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</si>
  <si>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</si>
  <si>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</si>
  <si>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</si>
  <si>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</si>
  <si>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</si>
  <si>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</si>
  <si>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</si>
  <si>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</si>
  <si>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</si>
  <si>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</si>
  <si>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</si>
  <si>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</si>
  <si>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</si>
  <si>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</si>
  <si>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</si>
  <si>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</si>
  <si>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</si>
  <si>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</si>
  <si>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</si>
  <si>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</si>
  <si>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</si>
  <si>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</si>
  <si>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</si>
  <si>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</si>
  <si>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</si>
  <si>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</si>
  <si>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</si>
  <si>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</si>
  <si>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</si>
  <si>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</si>
  <si>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</si>
  <si>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</si>
  <si>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</si>
  <si>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</si>
  <si>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</si>
  <si>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</si>
  <si>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</si>
  <si>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</si>
  <si>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</si>
  <si>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</si>
  <si>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</si>
  <si>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</si>
  <si>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</si>
  <si>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</si>
  <si>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</si>
  <si>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</si>
  <si>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</si>
  <si>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</si>
  <si>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</si>
  <si>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</si>
  <si>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</si>
  <si>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</si>
  <si>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</si>
  <si>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</si>
  <si>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</si>
  <si>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</si>
  <si>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Silvergate Checking</t>
  </si>
  <si>
    <t>Silvergate Network</t>
  </si>
  <si>
    <t>2022-11-12T13:58:01.307+0000</t>
  </si>
  <si>
    <t>2022-10-09T04:40:02.697+0000</t>
  </si>
  <si>
    <t>2022-06-14T11:50:03.000+0000</t>
  </si>
  <si>
    <t>2022-02-12T15:32:20.577+0000</t>
  </si>
  <si>
    <t>2022-07-15T13:37:45.046+0000</t>
  </si>
  <si>
    <t>New</t>
  </si>
  <si>
    <t>hubi</t>
  </si>
  <si>
    <t>trade</t>
  </si>
  <si>
    <t>hub2</t>
  </si>
  <si>
    <t>loan</t>
  </si>
  <si>
    <t>frozen</t>
  </si>
  <si>
    <t>btfx-1-m-e</t>
  </si>
  <si>
    <t>dydx-1-m</t>
  </si>
  <si>
    <t>woox-1-m-e</t>
  </si>
  <si>
    <t>Databricks</t>
  </si>
  <si>
    <t>Navx</t>
  </si>
  <si>
    <t>Sum of Navx</t>
  </si>
  <si>
    <t>Sum of Databricks</t>
  </si>
  <si>
    <t>bull-4-m-e</t>
  </si>
  <si>
    <t>bull-1-m-e</t>
  </si>
  <si>
    <t>bull-2-m-e</t>
  </si>
  <si>
    <t>bull-3-m-e</t>
  </si>
  <si>
    <t>fubi-M</t>
  </si>
  <si>
    <t>fub2-M</t>
  </si>
  <si>
    <t>Lookup into Databricks</t>
  </si>
  <si>
    <t>DYDX-1-M</t>
  </si>
  <si>
    <t>HUBI-3-S3</t>
  </si>
  <si>
    <t>HUBI-3-S3 Margin Loan</t>
  </si>
  <si>
    <t>bine_1_m_m_margin_account_asset</t>
  </si>
  <si>
    <t>NAVX Account</t>
  </si>
  <si>
    <t>bine_2_s1_e_account_asset</t>
  </si>
  <si>
    <t>BINE-2-s1-e</t>
  </si>
  <si>
    <t>bine_2_s1_f_account_asset</t>
  </si>
  <si>
    <t>BINE-2-s1-f</t>
  </si>
  <si>
    <t>bine_2_s1_m_margin_account_asset</t>
  </si>
  <si>
    <t>BINE-2-s1-m</t>
  </si>
  <si>
    <t>bine_2_s1_p_futures_account_assets</t>
  </si>
  <si>
    <t>BINE-2-s1-p</t>
  </si>
  <si>
    <t>bine_2_s2_p_futures_account_assets</t>
  </si>
  <si>
    <t>BINE-2-S2-E</t>
  </si>
  <si>
    <t>bine_2_s2_e_account_asset</t>
  </si>
  <si>
    <t>BINE-2-S2-F</t>
  </si>
  <si>
    <t>bine_2_s2_f_account_asset</t>
  </si>
  <si>
    <t>BINE-2-S2-M</t>
  </si>
  <si>
    <t>bine_2_s2_m_margin_account_asset</t>
  </si>
  <si>
    <t>BINE-MX-S1</t>
  </si>
  <si>
    <t>bine_mx_s1_m_margin_account_asset</t>
  </si>
  <si>
    <t>bine_mx_s1_e_account_asset</t>
  </si>
  <si>
    <t>bine_mx_s1_f_account_asset</t>
  </si>
  <si>
    <t>bine_mx_s1_p_futures_account_assets</t>
  </si>
  <si>
    <t>btfx_1_m_e_wallet_balance</t>
  </si>
  <si>
    <t>bull_1_m_spot_account</t>
  </si>
  <si>
    <t>bull_2_m_spot_account</t>
  </si>
  <si>
    <t>bull_3_m_spot_account</t>
  </si>
  <si>
    <t>bull_4_m_spot_account</t>
  </si>
  <si>
    <t>dydx_1_m_account</t>
  </si>
  <si>
    <t>fub2_contract_account_info</t>
  </si>
  <si>
    <t>fubi_contract_account_info</t>
  </si>
  <si>
    <t>hub2_account_balance</t>
  </si>
  <si>
    <t>hubi_account_balance</t>
  </si>
  <si>
    <t>hubi_1_m_p_swap_account_info</t>
  </si>
  <si>
    <t>HUBI-3-S1</t>
  </si>
  <si>
    <t>hubi_3_s1_account_balance</t>
  </si>
  <si>
    <t>hubi_3_s1_swap_account_info</t>
  </si>
  <si>
    <t>HUBI-3-S1 Margin Loan</t>
  </si>
  <si>
    <t>hubi_3_s1_isolated_margin_loan_balance</t>
  </si>
  <si>
    <t>HUBI-3-S2</t>
  </si>
  <si>
    <t>hubi_3_s2_account_balance</t>
  </si>
  <si>
    <t>hubi_3_s2_swap_account_info</t>
  </si>
  <si>
    <t>HUBI-3-S2 Margin Loan</t>
  </si>
  <si>
    <t>hubi_3_s2_isolated_margin_loan_balance</t>
  </si>
  <si>
    <t>hubi_3_s3_account_balance</t>
  </si>
  <si>
    <t>hubi_3_s3_contract_account_info</t>
  </si>
  <si>
    <t>hubi_3_s3_isolated_margin_loan_balance</t>
  </si>
  <si>
    <t>okex_2_u1_account_balance</t>
  </si>
  <si>
    <t>okex_2_s1_account_balance</t>
  </si>
  <si>
    <t>OKEX-2-s1</t>
  </si>
  <si>
    <t>okex_2_s2_account_balance</t>
  </si>
  <si>
    <t>OKEX-2-s2</t>
  </si>
  <si>
    <t>woox_1_m_e_holdings</t>
  </si>
  <si>
    <t>HUBI-3-S3 CAI</t>
  </si>
  <si>
    <t>2022-11-15T01:20:01.930+0000</t>
  </si>
  <si>
    <t>2022-11-14T01:00:03.943+0000</t>
  </si>
  <si>
    <t>trading_universe=[</t>
  </si>
  <si>
    <t>Calc'd</t>
  </si>
  <si>
    <t>2022-11-17T02:00:03.130+0000</t>
  </si>
  <si>
    <t>2022-11-17T15:30:36.423+0000</t>
  </si>
  <si>
    <t>2022-11-17T15:59:03.393+0000</t>
  </si>
  <si>
    <t>2022-11-17T15:49:17.347+0000</t>
  </si>
  <si>
    <t>2022-11-17T15:49:05.567+0000</t>
  </si>
  <si>
    <t>2022-11-17T15:53:00.297+0000</t>
  </si>
  <si>
    <t>2022-11-17T15:59:05.296+0000</t>
  </si>
  <si>
    <t>2022-11-17T15:50:59.020+0000</t>
  </si>
  <si>
    <t>2022-11-17T15:50:59.990+0000</t>
  </si>
  <si>
    <t>2022-11-17T15:51:00.943+0000</t>
  </si>
  <si>
    <t>2022-11-17T15:51:01.910+0000</t>
  </si>
  <si>
    <t>2022-11-17T15:51:02.850+0000</t>
  </si>
  <si>
    <t>2022-11-17T15:51:03.787+0000</t>
  </si>
  <si>
    <t>2022-11-17T15:58:12.184+0000</t>
  </si>
  <si>
    <t>2022-11-17T15:59:58.358+0000</t>
  </si>
  <si>
    <t>2022-11-17T15:59:53.709+0000</t>
  </si>
  <si>
    <t>2022-11-17T15:59:56.038+0000</t>
  </si>
  <si>
    <t>2022-11-17T16:00:00.000+0000</t>
  </si>
  <si>
    <t>2022-11-18T05:45:29.800+0000</t>
  </si>
  <si>
    <t>2022-11-17T15:31:17.733+0000</t>
  </si>
  <si>
    <t>2022-11-17T15:59:49.560+0000</t>
  </si>
  <si>
    <t>2022-11-17T15:59:49.553+0000</t>
  </si>
  <si>
    <t>2022-11-17T15:59:49.563+0000</t>
  </si>
  <si>
    <t>2022-11-17T15:00:00.387+0000</t>
  </si>
  <si>
    <t>2022-11-17T15:53:09.270+0000</t>
  </si>
  <si>
    <t>2022-11-17T15:53:49.570+0000</t>
  </si>
  <si>
    <t>2022-11-17T15:00:00.400+0000</t>
  </si>
  <si>
    <t>2022-11-17T15:00:03.533+0000</t>
  </si>
  <si>
    <t>2022-11-17T15:00:03.550+0000</t>
  </si>
  <si>
    <t>2022-11-17T15:00:03.517+0000</t>
  </si>
  <si>
    <t>2022-11-17T13:40:02.433+0000</t>
  </si>
  <si>
    <t>2022-11-17T14:20:02.227+0000</t>
  </si>
  <si>
    <t>2022-11-17T15:57:00.113+0000</t>
  </si>
  <si>
    <t>2022-11-17T15:59:53.577+0000</t>
  </si>
  <si>
    <t>2022-11-17T15:56:49.427+0000</t>
  </si>
  <si>
    <t>2022-11-17T15:59:59.076+0000</t>
  </si>
  <si>
    <t>2022-11-16T16:00:00.000+0000</t>
  </si>
  <si>
    <t>2022-11-17T15:59:54.891+0000</t>
  </si>
  <si>
    <t>time</t>
  </si>
  <si>
    <t>XMR</t>
  </si>
  <si>
    <t>SYS</t>
  </si>
  <si>
    <t>DGB</t>
  </si>
  <si>
    <t>XEM</t>
  </si>
  <si>
    <t>SC</t>
  </si>
  <si>
    <t>DCR</t>
  </si>
  <si>
    <t>LSK</t>
  </si>
  <si>
    <t>STEEM</t>
  </si>
  <si>
    <t>ARDR</t>
  </si>
  <si>
    <t>WAVES</t>
  </si>
  <si>
    <t>RLC</t>
  </si>
  <si>
    <t>GNO</t>
  </si>
  <si>
    <t>BNT</t>
  </si>
  <si>
    <t>SNT</t>
  </si>
  <si>
    <t>ZRX</t>
  </si>
  <si>
    <t>LRC</t>
  </si>
  <si>
    <t>CVC</t>
  </si>
  <si>
    <t>ICX</t>
  </si>
  <si>
    <t>KNC</t>
  </si>
  <si>
    <t>REQ</t>
  </si>
  <si>
    <t>BTG</t>
  </si>
  <si>
    <t>POWR</t>
  </si>
  <si>
    <t>ANT</t>
  </si>
  <si>
    <t>ELF</t>
  </si>
  <si>
    <t>MKR</t>
  </si>
  <si>
    <t>THETA</t>
  </si>
  <si>
    <t>TRAC</t>
  </si>
  <si>
    <t>WAXP</t>
  </si>
  <si>
    <t>CHSB</t>
  </si>
  <si>
    <t>ONT</t>
  </si>
  <si>
    <t>UTK</t>
  </si>
  <si>
    <t>LOOM</t>
  </si>
  <si>
    <t>NEXO</t>
  </si>
  <si>
    <t>ZEN</t>
  </si>
  <si>
    <t>IOTX</t>
  </si>
  <si>
    <t>POLY</t>
  </si>
  <si>
    <t>WAN</t>
  </si>
  <si>
    <t>RVN</t>
  </si>
  <si>
    <t>MXC</t>
  </si>
  <si>
    <t>REN</t>
  </si>
  <si>
    <t>LPT</t>
  </si>
  <si>
    <t>ANKR</t>
  </si>
  <si>
    <t>TFUEL</t>
  </si>
  <si>
    <t>ORBS</t>
  </si>
  <si>
    <t>GT</t>
  </si>
  <si>
    <t>FET</t>
  </si>
  <si>
    <t>FX</t>
  </si>
  <si>
    <t>CEL</t>
  </si>
  <si>
    <t>OKB</t>
  </si>
  <si>
    <t>RSR</t>
  </si>
  <si>
    <t>OCEAN</t>
  </si>
  <si>
    <t>STPT</t>
  </si>
  <si>
    <t>UOS</t>
  </si>
  <si>
    <t>CHZ</t>
  </si>
  <si>
    <t>KAVA</t>
  </si>
  <si>
    <t>CKB</t>
  </si>
  <si>
    <t>OGN</t>
  </si>
  <si>
    <t>CTC</t>
  </si>
  <si>
    <t>LUNA</t>
  </si>
  <si>
    <t>COTI</t>
  </si>
  <si>
    <t>KLAY</t>
  </si>
  <si>
    <t>SXP</t>
  </si>
  <si>
    <t>SNX</t>
  </si>
  <si>
    <t>XYO</t>
  </si>
  <si>
    <t>DAG</t>
  </si>
  <si>
    <t>HIVE</t>
  </si>
  <si>
    <t>CTSI</t>
  </si>
  <si>
    <t>CHR</t>
  </si>
  <si>
    <t>MX</t>
  </si>
  <si>
    <t>AR</t>
  </si>
  <si>
    <t>CELO</t>
  </si>
  <si>
    <t>SAND</t>
  </si>
  <si>
    <t>SUSHI</t>
  </si>
  <si>
    <t>EGLD</t>
  </si>
  <si>
    <t>UMA</t>
  </si>
  <si>
    <t>PROM</t>
  </si>
  <si>
    <t>RENBTC</t>
  </si>
  <si>
    <t>AMP</t>
  </si>
  <si>
    <t>SCRT</t>
  </si>
  <si>
    <t>ACH</t>
  </si>
  <si>
    <t>NEAR</t>
  </si>
  <si>
    <t>INJ</t>
  </si>
  <si>
    <t>AUDIO</t>
  </si>
  <si>
    <t>NU</t>
  </si>
  <si>
    <t>WXT</t>
  </si>
  <si>
    <t>SLP</t>
  </si>
  <si>
    <t>XDC</t>
  </si>
  <si>
    <t>GLM</t>
  </si>
  <si>
    <t>SUN</t>
  </si>
  <si>
    <t>SKL</t>
  </si>
  <si>
    <t>API3</t>
  </si>
  <si>
    <t>GHST</t>
  </si>
  <si>
    <t>GRT</t>
  </si>
  <si>
    <t>REEF</t>
  </si>
  <si>
    <t>RAMP</t>
  </si>
  <si>
    <t>FLOW</t>
  </si>
  <si>
    <t>CAKE</t>
  </si>
  <si>
    <t>LBA</t>
  </si>
  <si>
    <t>RAD</t>
  </si>
  <si>
    <t>RLY</t>
  </si>
  <si>
    <t>XYM</t>
  </si>
  <si>
    <t>RNDR</t>
  </si>
  <si>
    <t>TRIBE</t>
  </si>
  <si>
    <t>MINA</t>
  </si>
  <si>
    <t>FORTH</t>
  </si>
  <si>
    <t>LQTY</t>
  </si>
  <si>
    <t>ELON</t>
  </si>
  <si>
    <t>SUPER</t>
  </si>
  <si>
    <t>ICP</t>
  </si>
  <si>
    <t>ALICE</t>
  </si>
  <si>
    <t>TLM</t>
  </si>
  <si>
    <t>C98</t>
  </si>
  <si>
    <t>PLA</t>
  </si>
  <si>
    <t>GALA</t>
  </si>
  <si>
    <t>MOVR</t>
  </si>
  <si>
    <t>LDO</t>
  </si>
  <si>
    <t>SPELL</t>
  </si>
  <si>
    <t>YGG</t>
  </si>
  <si>
    <t>IMX</t>
  </si>
  <si>
    <t>ENS</t>
  </si>
  <si>
    <t>RARI</t>
  </si>
  <si>
    <t>PEOPLE</t>
  </si>
  <si>
    <t>CEEK</t>
  </si>
  <si>
    <t>MPL</t>
  </si>
  <si>
    <t>RARE</t>
  </si>
  <si>
    <t>APE</t>
  </si>
  <si>
    <t>LOOKS</t>
  </si>
  <si>
    <t>DAI</t>
  </si>
  <si>
    <t>GLMR</t>
  </si>
  <si>
    <t>XCH</t>
  </si>
  <si>
    <t>ASTR</t>
  </si>
  <si>
    <t>ACA</t>
  </si>
  <si>
    <t>BICO</t>
  </si>
  <si>
    <t>OP</t>
  </si>
  <si>
    <t>BIT</t>
  </si>
  <si>
    <t>GAL</t>
  </si>
  <si>
    <t>CSPR</t>
  </si>
  <si>
    <t>GMT</t>
  </si>
  <si>
    <t>DAO</t>
  </si>
  <si>
    <t>XPRT</t>
  </si>
  <si>
    <t>VLX</t>
  </si>
  <si>
    <t>PUNDIX</t>
  </si>
  <si>
    <t>1INCH</t>
  </si>
  <si>
    <t>MDX</t>
  </si>
  <si>
    <t>NKN</t>
  </si>
  <si>
    <t>STG</t>
  </si>
  <si>
    <t>METIS</t>
  </si>
  <si>
    <t>ABBC</t>
  </si>
  <si>
    <t>SYN</t>
  </si>
  <si>
    <t>TRB</t>
  </si>
  <si>
    <t>POLS</t>
  </si>
  <si>
    <t>POND</t>
  </si>
  <si>
    <t>BADGER</t>
  </si>
  <si>
    <t>MLN</t>
  </si>
  <si>
    <t>ETN</t>
  </si>
  <si>
    <t>XVG</t>
  </si>
  <si>
    <t>IDEX</t>
  </si>
  <si>
    <t>MASK</t>
  </si>
  <si>
    <t>2022-11-17T22:00:00.000+0000</t>
  </si>
  <si>
    <t>null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</si>
  <si>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</si>
  <si>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</si>
  <si>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</si>
  <si>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</si>
  <si>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</si>
  <si>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</si>
  <si>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</si>
  <si>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</si>
  <si>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</si>
  <si>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</si>
  <si>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</si>
  <si>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</si>
  <si>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</si>
  <si>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</si>
  <si>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</si>
  <si>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Dec 22 SHORT</t>
  </si>
  <si>
    <t>H_P_BTC-USD-SWAP</t>
  </si>
  <si>
    <t>OWETHUSDC/WETH-09DEC22-1450C</t>
  </si>
  <si>
    <t>idx</t>
  </si>
  <si>
    <t>H_T_BTC_USDT_SWAP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</si>
  <si>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</si>
  <si>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</si>
  <si>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</si>
  <si>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</si>
  <si>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</si>
  <si>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</si>
  <si>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</si>
  <si>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</si>
  <si>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</si>
  <si>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</si>
  <si>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</si>
  <si>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</si>
  <si>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</si>
  <si>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FRXETH</t>
  </si>
  <si>
    <t>CME Dec 22 LONG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</si>
  <si>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</si>
  <si>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</si>
  <si>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</si>
  <si>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</si>
  <si>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</si>
  <si>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</si>
  <si>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</si>
  <si>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</si>
  <si>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</si>
  <si>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</si>
  <si>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</si>
  <si>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</si>
  <si>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</si>
  <si>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</si>
  <si>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</si>
  <si>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</si>
  <si>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B_F_ETH-USD_221230</t>
  </si>
  <si>
    <t>BAXSUSDT</t>
  </si>
  <si>
    <t>BEOSUSDT</t>
  </si>
  <si>
    <t>B_F_ETH-USDT_221230</t>
  </si>
  <si>
    <t>BBCHUSDT</t>
  </si>
  <si>
    <t>BETCUSDT</t>
  </si>
  <si>
    <t>BETHUSDT</t>
  </si>
  <si>
    <t>BLTCUSDT</t>
  </si>
  <si>
    <t>BZILUSDT</t>
  </si>
  <si>
    <t>BCOMPUSDT</t>
  </si>
  <si>
    <t>BLINKUSDT</t>
  </si>
  <si>
    <t>D_T_ATOM_USDC_SWAP</t>
  </si>
  <si>
    <t>ETH221230</t>
  </si>
  <si>
    <t>H_P_ETH-USD-SWAP</t>
  </si>
  <si>
    <t>H_T_ETH_USDT_SWAP</t>
  </si>
  <si>
    <t>O_P_BCH-USDT-SWAP</t>
  </si>
  <si>
    <t>O_P_EOS-USDT-SWAP</t>
  </si>
  <si>
    <t>O_F_ETH-USDT_221230</t>
  </si>
  <si>
    <t>O_F_ETH-USDT_230331</t>
  </si>
  <si>
    <t>O_P_ETH-USD-SWAP</t>
  </si>
  <si>
    <t>O_P_ETH-USDT-SWAP</t>
  </si>
  <si>
    <t>O_P_LTC-USDT-SWAP</t>
  </si>
  <si>
    <t>O_F_ETH-USD_221230</t>
  </si>
  <si>
    <t>O_P_LINK-USDT-SWAP</t>
  </si>
  <si>
    <t>O_P_SHIB-USDT-SWAP</t>
  </si>
  <si>
    <t>O_P_AXS-USDT-SWAP</t>
  </si>
  <si>
    <t>ETHZ2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</si>
  <si>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</si>
  <si>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</si>
  <si>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</si>
  <si>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</si>
  <si>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</si>
  <si>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</si>
  <si>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</si>
  <si>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</si>
  <si>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</si>
  <si>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</si>
  <si>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</si>
  <si>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</si>
  <si>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</si>
  <si>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</si>
  <si>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</si>
  <si>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</si>
  <si>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</si>
  <si>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</si>
  <si>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</si>
  <si>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</si>
  <si>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</si>
  <si>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</si>
  <si>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</si>
  <si>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ASSETBINEASSETGRT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</si>
  <si>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</si>
  <si>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</si>
  <si>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</si>
  <si>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</si>
  <si>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</si>
  <si>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</si>
  <si>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</si>
  <si>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</si>
  <si>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ASSETBINEASSETSHIB</t>
  </si>
  <si>
    <t>ASSETBINEASSETSOL</t>
  </si>
  <si>
    <t>ASSETBINEASSETSUSHI</t>
  </si>
  <si>
    <t>ASSETBINEASSETUNI</t>
  </si>
  <si>
    <t>ASSETBINEASSETUSDT</t>
  </si>
  <si>
    <t>ASSETBINEASSETXLM</t>
  </si>
  <si>
    <t>ASSETBINEASSETXTZ</t>
  </si>
  <si>
    <t>ASSETBINEASSETYFI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</si>
  <si>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</si>
  <si>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</si>
  <si>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</si>
  <si>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</si>
  <si>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</si>
  <si>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</si>
  <si>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</si>
  <si>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</si>
  <si>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</si>
  <si>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</si>
  <si>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</si>
  <si>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</si>
  <si>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</si>
  <si>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</si>
  <si>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</si>
  <si>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</si>
  <si>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</si>
  <si>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</si>
  <si>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</si>
  <si>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</si>
  <si>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</si>
  <si>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</si>
  <si>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</si>
  <si>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</si>
  <si>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</si>
  <si>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</si>
  <si>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</si>
  <si>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</si>
  <si>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</si>
  <si>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</si>
  <si>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</si>
  <si>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</si>
  <si>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</si>
  <si>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</si>
  <si>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</si>
  <si>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</si>
  <si>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</si>
  <si>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</si>
  <si>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</si>
  <si>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</si>
  <si>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</si>
  <si>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ASSETDEFIASSETAVAX</t>
  </si>
  <si>
    <t>ASSETDEFIASSETBONUS. VISIT HTTPS://BITBONUS.TECH TO CLAIM REWARD.</t>
  </si>
  <si>
    <t>ASSETDEFIASSETINVITATION TOKEN. PLEASE VISIT HTTPS://AAKER.SITE AND CLAIM REWARDS.</t>
  </si>
  <si>
    <t>ASSETDEFIASSETOAAVEUSDC/AAVE-02DEC22-67.5C</t>
  </si>
  <si>
    <t>ASSETDEFIASSETOAAVEUSDC/AAVE-16DEC22-72.5C</t>
  </si>
  <si>
    <t>ASSETDEFIASSETOAAVEUSDC/AAVE-25NOV22-72.5C</t>
  </si>
  <si>
    <t>ASSETDEFIASSETOWAVAXUSDC.E/WAVAX-09DEC22-15.5C</t>
  </si>
  <si>
    <t>ASSETDEFIASSETOWAVAXUSDC.E/WAVAX-16DEC22-15.25C</t>
  </si>
  <si>
    <t>ASSETDEFIASSETOWAVAXUSDC.E/WAVAX-25NOV22-15.5C</t>
  </si>
  <si>
    <t>ASSETDEFIASSETOWETHUSDC/WETH-09DEC22-1450C</t>
  </si>
  <si>
    <t>ASSETDEFIASSETOWETHUSDC/WETH-16DEC22-1450C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</si>
  <si>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</si>
  <si>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</si>
  <si>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</si>
  <si>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</si>
  <si>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ASSETDEFIASSETWAVAX</t>
  </si>
  <si>
    <t>ASSETDEFIASSETWETH</t>
  </si>
  <si>
    <t>ASSETDEFIASSETAURA</t>
  </si>
  <si>
    <t>ASSETDEFIASSETBAL</t>
  </si>
  <si>
    <t>ASSETDEFIASSETSTETH</t>
  </si>
  <si>
    <t>ASSETDEFIASSETOBALUSDC/BAL-30DEC22-7.6C</t>
  </si>
  <si>
    <t>ASSETDEFIASSETOPERPUSDC/PERP-30DEC22-0.54C</t>
  </si>
  <si>
    <t>ASSETDEFIASSETOSPELLUSDC/SPELL-30DEC22-0.00079C</t>
  </si>
  <si>
    <t>ASSETDEFIASSETFRXETH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</si>
  <si>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</si>
  <si>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</si>
  <si>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</si>
  <si>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</si>
  <si>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</si>
  <si>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</si>
  <si>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</si>
  <si>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</si>
  <si>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</si>
  <si>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</si>
  <si>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</si>
  <si>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</si>
  <si>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</si>
  <si>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</si>
  <si>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</si>
  <si>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</si>
  <si>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</si>
  <si>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</si>
  <si>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</si>
  <si>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</si>
  <si>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</si>
  <si>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</si>
  <si>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</si>
  <si>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</si>
  <si>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</si>
  <si>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</si>
  <si>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</si>
  <si>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</si>
  <si>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</si>
  <si>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</si>
  <si>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</si>
  <si>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</si>
  <si>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</si>
  <si>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</si>
  <si>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</si>
  <si>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</si>
  <si>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</si>
  <si>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</si>
  <si>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</si>
  <si>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</si>
  <si>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</si>
  <si>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</si>
  <si>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</si>
  <si>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</si>
  <si>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</si>
  <si>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</si>
  <si>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</si>
  <si>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</si>
  <si>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</si>
  <si>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</si>
  <si>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</si>
  <si>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</si>
  <si>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</si>
  <si>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</si>
  <si>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</si>
  <si>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</si>
  <si>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</si>
  <si>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</si>
  <si>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</si>
  <si>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</si>
  <si>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</si>
  <si>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</si>
  <si>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</si>
  <si>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</si>
  <si>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</si>
  <si>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</si>
  <si>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</si>
  <si>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</si>
  <si>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</si>
  <si>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</si>
  <si>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</si>
  <si>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</si>
  <si>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</si>
  <si>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</si>
  <si>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</si>
  <si>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</si>
  <si>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</si>
  <si>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</si>
  <si>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</si>
  <si>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</si>
  <si>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</si>
  <si>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</si>
  <si>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</si>
  <si>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</si>
  <si>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</si>
  <si>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</si>
  <si>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</si>
  <si>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</si>
  <si>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</si>
  <si>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</si>
  <si>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</si>
  <si>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</si>
  <si>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</si>
  <si>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</si>
  <si>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</si>
  <si>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</si>
  <si>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</si>
  <si>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</si>
  <si>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</si>
  <si>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</si>
  <si>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</si>
  <si>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</si>
  <si>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</si>
  <si>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</si>
  <si>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</si>
  <si>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</si>
  <si>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</si>
  <si>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FUNDGALAXYFUNDCOMP</t>
  </si>
  <si>
    <t>FUNDGALAXYFUNDETC</t>
  </si>
  <si>
    <t>FUNDGALAXYFUNDSHIB</t>
  </si>
  <si>
    <t>FUNDGALAXYFUNDYFI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</si>
  <si>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</si>
  <si>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</si>
  <si>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</si>
  <si>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</si>
  <si>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</si>
  <si>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</si>
  <si>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</si>
  <si>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</si>
  <si>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</si>
  <si>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</si>
  <si>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</si>
  <si>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</si>
  <si>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</si>
  <si>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ASSETOKEXASSETEOS</t>
  </si>
  <si>
    <t>ASSETOKEXASSETLTC</t>
  </si>
  <si>
    <t>ASSETOKEXASSETOXT</t>
  </si>
  <si>
    <t>ASSETOKEXASSETZIL</t>
  </si>
  <si>
    <t>okex_2_u1.funding_asset_balance</t>
  </si>
  <si>
    <t>ASSETOKEXASSETBCH</t>
  </si>
  <si>
    <t>ASSETOKEXASSETBSV</t>
  </si>
  <si>
    <t>ASSETOKEXASSETDOT</t>
  </si>
  <si>
    <t>ASSETOKEXASSETETHW</t>
  </si>
  <si>
    <t>ASSETOKEXASSETLINK</t>
  </si>
  <si>
    <t>ASSETOKEXASSETSHIB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</si>
  <si>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</si>
  <si>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</si>
  <si>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</si>
  <si>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</si>
  <si>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</si>
  <si>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</si>
  <si>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</si>
  <si>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</si>
  <si>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</si>
  <si>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</si>
  <si>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</si>
  <si>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ASSETWOOXASSETADA</t>
  </si>
  <si>
    <t>ASSETWOOX</t>
  </si>
  <si>
    <t>ASSETWOOXASSETBTC</t>
  </si>
  <si>
    <t>ASSETWOOXASSETETHW</t>
  </si>
  <si>
    <t>ASSETWOOXASSETWOO</t>
  </si>
  <si>
    <t>ASSETFBLKASSETAAVE</t>
  </si>
  <si>
    <t>ASSETFBLK</t>
  </si>
  <si>
    <t>ASSETFBLKASSETADA</t>
  </si>
  <si>
    <t>ASSETFBLKASSETALGO</t>
  </si>
  <si>
    <t>ASSETFBLKASSETAVAX</t>
  </si>
  <si>
    <t>ASSETFBLKASSETBAT</t>
  </si>
  <si>
    <t>ASSETFBLKASSETBCH</t>
  </si>
  <si>
    <t>ASSETFBLKASSETBTC</t>
  </si>
  <si>
    <t>ASSETFBLKASSETCOMP</t>
  </si>
  <si>
    <t>ASSETFBLKASSETDASH</t>
  </si>
  <si>
    <t>ASSETFBLKASSETDOGE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</si>
  <si>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</si>
  <si>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</si>
  <si>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</si>
  <si>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</si>
  <si>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</si>
  <si>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</si>
  <si>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</si>
  <si>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</si>
  <si>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ASSETFBLKASSETGRT</t>
  </si>
  <si>
    <t>ASSETFBLKASSETHBAR</t>
  </si>
  <si>
    <t>ASSETFBLKASSETKSM</t>
  </si>
  <si>
    <t>ASSETFBLKASSETLINK</t>
  </si>
  <si>
    <t>ASSETFBLKASSETLTC</t>
  </si>
  <si>
    <t>ASSETFBLKASSETMANA</t>
  </si>
  <si>
    <t>ASSETFBLKASSETMATIC</t>
  </si>
  <si>
    <t>ASSETFBLKASSETMKR</t>
  </si>
  <si>
    <t>ASSETFBLKASSETOMG</t>
  </si>
  <si>
    <t>ASSETFBLKASSETOXT</t>
  </si>
  <si>
    <t>ASSETFBLKASSETSHIB</t>
  </si>
  <si>
    <t>ASSETFBLKASSETSOL</t>
  </si>
  <si>
    <t>ASSETFBLKASSETSUSHI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</si>
  <si>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</si>
  <si>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</si>
  <si>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</si>
  <si>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</si>
  <si>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</si>
  <si>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</si>
  <si>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</si>
  <si>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</si>
  <si>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</si>
  <si>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</si>
  <si>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</si>
  <si>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</si>
  <si>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</si>
  <si>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</si>
  <si>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</si>
  <si>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</si>
  <si>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</si>
  <si>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</si>
  <si>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</si>
  <si>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EXCHLOANBINEEXCHLOANGRT</t>
  </si>
  <si>
    <t>EXCHLOANBINEEXCHLOANHBAR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</si>
  <si>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</si>
  <si>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</si>
  <si>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</si>
  <si>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</si>
  <si>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</si>
  <si>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EXCHLOANBINEEXCHLOANOMG</t>
  </si>
  <si>
    <t>EXCHLOANBINEEXCHLOANSHIB</t>
  </si>
  <si>
    <t>EXCHLOANBINEEXCHLOANSOL</t>
  </si>
  <si>
    <t>EXCHLOANBINEEXCHLOANSUSHI</t>
  </si>
  <si>
    <t>EXCHLOANBINEEXCHLOANUNI</t>
  </si>
  <si>
    <t>EXCHLOANBINEEXCHLOANVET</t>
  </si>
  <si>
    <t>EXCHLOANBINEEXCHLOANXLM</t>
  </si>
  <si>
    <t>EXCHLOANBINEEXCHLOANXTZ</t>
  </si>
  <si>
    <t>EXCHLOANHUBIEXCHLOANEOS</t>
  </si>
  <si>
    <t>EXCHLOANHUBI</t>
  </si>
  <si>
    <t>EXCHLOANHUBIEXCHLOANLINK</t>
  </si>
  <si>
    <t>EXCHLOANHUBIEXCHLOANLTC</t>
  </si>
  <si>
    <t>EXCHLOANHUBIEXCHLOANUSDT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</si>
  <si>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</si>
  <si>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</si>
  <si>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</si>
  <si>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</si>
  <si>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</si>
  <si>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</si>
  <si>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</si>
  <si>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</si>
  <si>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</si>
  <si>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</si>
  <si>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</si>
  <si>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</si>
  <si>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</si>
  <si>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</si>
  <si>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</si>
  <si>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</si>
  <si>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</si>
  <si>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</si>
  <si>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</si>
  <si>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</si>
  <si>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</si>
  <si>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EXCHLOANOKEXEXCHLOANUSDT</t>
  </si>
  <si>
    <t>EXCHLOANOKEX</t>
  </si>
  <si>
    <t>EXCHLOANOKEXEXCHLOANBCH</t>
  </si>
  <si>
    <t>EXCHLOANOKEXEXCHLOANDOT</t>
  </si>
  <si>
    <t>EXCHLOANOKEXEXCHLOANETC</t>
  </si>
  <si>
    <t>EXCHLOANOKEXEXCHLOANFIL</t>
  </si>
  <si>
    <t>EXCHLOANOKEXEXCHLOANSHIB</t>
  </si>
  <si>
    <t>EXCHLOANOKEXEXCHLOANUSDC</t>
  </si>
  <si>
    <t>EXCHLOANWOOX</t>
  </si>
  <si>
    <t>EXCHLOANWOOXEXCHLOANUSDT</t>
  </si>
  <si>
    <t>COLLATERALWEDBUSHCOLLATERALUSD</t>
  </si>
  <si>
    <t>COLLATERALWEDBUSH</t>
  </si>
  <si>
    <t>COLLATERALED&amp;FCOLLATERALUSD</t>
  </si>
  <si>
    <t>BTC Mar 23 LONG</t>
  </si>
  <si>
    <t>BTC PERP SHORT</t>
  </si>
  <si>
    <t>ETH PERP SHORT</t>
  </si>
  <si>
    <t>BTC Dec 22 SHORT</t>
  </si>
  <si>
    <t>ETH Dec 22 SHORT</t>
  </si>
  <si>
    <t>AXS PERP LONG</t>
  </si>
  <si>
    <t>BTC PERP LONG</t>
  </si>
  <si>
    <t>EOS PERP LONG</t>
  </si>
  <si>
    <t>ETH Dec 22 LONG</t>
  </si>
  <si>
    <t>BCH PERP SHORT</t>
  </si>
  <si>
    <t>ETC PERP SHORT</t>
  </si>
  <si>
    <t>LTC PERP SHORT</t>
  </si>
  <si>
    <t>ZIL PERP SHORT</t>
  </si>
  <si>
    <t>COMP PERP SHORT</t>
  </si>
  <si>
    <t>LINK PERP SHORT</t>
  </si>
  <si>
    <t>ATOM PERP SHORT</t>
  </si>
  <si>
    <t>BTC Dec 22 LONG</t>
  </si>
  <si>
    <t>BCH PERP LONG</t>
  </si>
  <si>
    <t>ETH Mar 23 LONG</t>
  </si>
  <si>
    <t>SHIB PERP SHORT</t>
  </si>
  <si>
    <t>ETH CME Dec 22 LONG</t>
  </si>
  <si>
    <t>BTC CME Dec 22 LONG</t>
  </si>
  <si>
    <t>WALLET</t>
  </si>
  <si>
    <t>COIN LONG</t>
  </si>
  <si>
    <t>COIN SHORT</t>
  </si>
  <si>
    <t>CASH SHORT</t>
  </si>
  <si>
    <t>CASH LONG</t>
  </si>
  <si>
    <t>ASSETFBLKASSETENJ</t>
  </si>
  <si>
    <t>BOMGUSDT</t>
  </si>
  <si>
    <t>ASSETWOOXASSETETH</t>
  </si>
  <si>
    <t>EXCHLOANBINEEXCHLOANBUSD</t>
  </si>
  <si>
    <t>EXCHLOANBINEEXCHLOANUSDT</t>
  </si>
  <si>
    <t>OMG PERP SHORT</t>
  </si>
  <si>
    <t>Galaxy Digital</t>
  </si>
  <si>
    <t>MIM</t>
  </si>
  <si>
    <t>ASSETDEFIASSETDAI</t>
  </si>
  <si>
    <t>ASSETDEFIASSETMIM</t>
  </si>
  <si>
    <t>ASSETDEFIASSETUSDT</t>
  </si>
  <si>
    <t>ASSETFBLKASSETXTZ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</si>
</sst>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_(&quot;$&quot;* #,##0.0_);_(&quot;$&quot;* \(#,##0.0\);_(&quot;$&quot;* &quot;-&quot;??_);_(@_)"/>
    <numFmt numFmtId="170" formatCode="0.0%"/>
    <numFmt numFmtId="171" formatCode="0.0000"/>
    <numFmt numFmtId="172" formatCode="yyyy/mm/dd\ h:mm:ss;@"/>
    <numFmt numFmtId="173" formatCode="_(* #,##0.0000000_);_(* \(#,##0.0000000\);_(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169" fontId="0" fillId="0" borderId="0" xfId="0" applyNumberFormat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1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164" fontId="16" fillId="0" borderId="0" xfId="1" applyNumberFormat="1" applyFont="1"/>
    <xf numFmtId="43" fontId="16" fillId="0" borderId="0" xfId="1" applyFont="1"/>
    <xf numFmtId="165" fontId="16" fillId="0" borderId="0" xfId="0" applyNumberFormat="1" applyFont="1"/>
    <xf numFmtId="0" fontId="21" fillId="0" borderId="0" xfId="0" applyFont="1"/>
    <xf numFmtId="0" fontId="0" fillId="0" borderId="0" xfId="1" applyNumberFormat="1" applyFont="1"/>
    <xf numFmtId="172" fontId="16" fillId="33" borderId="10" xfId="0" applyNumberFormat="1" applyFont="1" applyFill="1" applyBorder="1"/>
    <xf numFmtId="172" fontId="0" fillId="0" borderId="0" xfId="0" applyNumberFormat="1"/>
    <xf numFmtId="172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168" fontId="0" fillId="0" borderId="0" xfId="0" applyNumberFormat="1"/>
    <xf numFmtId="0" fontId="22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3" fillId="4" borderId="0" xfId="10" applyNumberFormat="1" applyFont="1"/>
    <xf numFmtId="0" fontId="24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70" fontId="16" fillId="0" borderId="0" xfId="0" applyNumberFormat="1" applyFont="1"/>
    <xf numFmtId="172" fontId="18" fillId="0" borderId="0" xfId="11" applyNumberFormat="1" applyFont="1" applyFill="1" applyBorder="1"/>
    <xf numFmtId="172" fontId="9" fillId="5" borderId="0" xfId="11" applyNumberFormat="1" applyBorder="1"/>
    <xf numFmtId="172" fontId="9" fillId="0" borderId="0" xfId="11" applyNumberFormat="1" applyFill="1" applyBorder="1"/>
    <xf numFmtId="0" fontId="25" fillId="0" borderId="0" xfId="11" applyNumberFormat="1" applyFont="1" applyFill="1" applyBorder="1"/>
    <xf numFmtId="0" fontId="25" fillId="0" borderId="0" xfId="21" applyNumberFormat="1" applyFont="1" applyFill="1"/>
    <xf numFmtId="0" fontId="25" fillId="0" borderId="0" xfId="10" applyNumberFormat="1" applyFont="1" applyFill="1" applyBorder="1"/>
    <xf numFmtId="0" fontId="25" fillId="0" borderId="0" xfId="45" applyNumberFormat="1" applyFont="1" applyFill="1" applyBorder="1"/>
    <xf numFmtId="0" fontId="25" fillId="0" borderId="0" xfId="0" applyFont="1"/>
    <xf numFmtId="0" fontId="0" fillId="38" borderId="0" xfId="0" applyFill="1"/>
    <xf numFmtId="43" fontId="16" fillId="33" borderId="10" xfId="1" applyFont="1" applyFill="1" applyBorder="1"/>
    <xf numFmtId="0" fontId="25" fillId="33" borderId="0" xfId="0" applyFont="1" applyFill="1"/>
    <xf numFmtId="173" fontId="25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3" fontId="18" fillId="33" borderId="15" xfId="1" applyNumberFormat="1" applyFont="1" applyFill="1" applyBorder="1"/>
    <xf numFmtId="38" fontId="0" fillId="0" borderId="0" xfId="1" applyNumberFormat="1" applyFont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0" fontId="22" fillId="37" borderId="13" xfId="0" applyFont="1" applyFill="1" applyBorder="1" applyAlignment="1">
      <alignment horizontal="center"/>
    </xf>
    <xf numFmtId="0" fontId="22" fillId="37" borderId="10" xfId="0" applyFont="1" applyFill="1" applyBorder="1" applyAlignment="1">
      <alignment horizontal="center"/>
    </xf>
    <xf numFmtId="0" fontId="22" fillId="37" borderId="14" xfId="0" applyFont="1" applyFill="1" applyBorder="1" applyAlignment="1">
      <alignment horizontal="center"/>
    </xf>
    <xf numFmtId="0" fontId="22" fillId="37" borderId="13" xfId="0" applyFont="1" applyFill="1" applyBorder="1" applyAlignment="1">
      <alignment horizontal="center" vertical="center"/>
    </xf>
    <xf numFmtId="0" fontId="22" fillId="37" borderId="14" xfId="0" applyFont="1" applyFill="1" applyBorder="1" applyAlignment="1">
      <alignment horizontal="center" vertical="center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49"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/>
      </font>
    </dxf>
    <dxf>
      <font>
        <b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9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2.561144328705" createdVersion="8" refreshedVersion="8" minRefreshableVersion="3" recordCount="748" xr:uid="{429CD3B3-0DBA-4EED-92E7-539BDB98CCF9}">
  <cacheSource type="worksheet">
    <worksheetSource ref="W1:Z1048576" sheet="Databricks NAVX Recon" r:id="rId2"/>
  </cacheSource>
  <cacheFields count="4">
    <cacheField name="Endpoint" numFmtId="0">
      <sharedItems containsBlank="1" count="25">
        <s v="BINE"/>
        <s v="BTFX "/>
        <s v="BTSE"/>
        <s v="BULL"/>
        <s v="DEFI"/>
        <s v="DYDX"/>
        <s v="FTXE"/>
        <s v="HUBI"/>
        <s v="GATE"/>
        <s v="BSCALE"/>
        <s v="KRKE"/>
        <m/>
        <s v="LMAC"/>
        <s v="LMAX"/>
        <s v="OKEX"/>
        <s v="PITX"/>
        <s v="SHFT WALLET"/>
        <s v="WOOX"/>
        <s v="FBLK"/>
        <s v="ED&amp;F"/>
        <s v="CASH"/>
        <s v="BTFX"/>
        <s v="FUBI"/>
        <s v="Silvergate Checking"/>
        <s v="Silvergate Network"/>
      </sharedItems>
    </cacheField>
    <cacheField name="Currency" numFmtId="0">
      <sharedItems containsBlank="1" count="108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m/>
        <s v="GBP"/>
        <s v="TRY"/>
        <s v="SHFT"/>
        <s v="WOO"/>
        <s v="FTM"/>
        <s v="MATIC"/>
        <s v="USTF0"/>
        <s v="EUROC_ETH_F5NG"/>
        <s v="FTM_FANTOM"/>
        <s v="OWETHUSDC_WSTETH-04NOV22-1700C_ETH_SWAA"/>
        <s v="OWETHUSDC_WSTETH-09SEP22-1900C_ETH_1Z8K"/>
        <s v="USDT_ERC20"/>
      </sharedItems>
    </cacheField>
    <cacheField name="Navx" numFmtId="164">
      <sharedItems containsString="0" containsBlank="1" containsNumber="1" minValue="-10030463790.586161" maxValue="4793337439.352232"/>
    </cacheField>
    <cacheField name="Databricks" numFmtId="0">
      <sharedItems containsString="0" containsBlank="1" containsNumber="1" minValue="-10030440720.5592" maxValue="4793337439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09.472078009261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0">
      <sharedItems containsString="0" containsBlank="1" containsNumber="1" minValue="-54202885.937472254" maxValue="175916972770.21173"/>
    </cacheField>
    <cacheField name="notional" numFmtId="0">
      <sharedItems containsString="0" containsBlank="1" containsNumber="1" minValue="-54210152.641422257" maxValue="66371370.517192498"/>
    </cacheField>
    <cacheField name="mark_price" numFmtId="0">
      <sharedItems containsString="0" containsBlank="1" containsNumber="1" minValue="0" maxValue="17830.22914444"/>
    </cacheField>
    <cacheField name="unrealized_pnl" numFmtId="0">
      <sharedItems containsString="0" containsBlank="1" containsNumber="1" minValue="-109366.509779863" maxValue="205542.51078082999"/>
    </cacheField>
    <cacheField name="instrument_type" numFmtId="0">
      <sharedItems containsBlank="1" count="13">
        <s v="FUTURE"/>
        <s v="SWAP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07">
        <s v="BTC"/>
        <s v="ETH"/>
        <s v="AXS"/>
        <s v="EOS"/>
        <s v="BCH"/>
        <s v="ENJ"/>
        <s v="ETC"/>
        <s v="FIL"/>
        <s v="LTC"/>
        <s v="OMG"/>
        <s v="ZIL"/>
        <s v="COMP"/>
        <s v="LINK"/>
        <s v="ATOM"/>
        <s v="SHIB"/>
        <s v="AAC"/>
        <s v="AAVE"/>
        <s v="ADA"/>
        <s v="ALGO"/>
        <s v="ARPA"/>
        <s v="AURA"/>
        <s v="AVAX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SH"/>
        <s v="DOGE"/>
        <s v="DON"/>
        <s v="DOT"/>
        <s v="ETHF"/>
        <s v="ETHW"/>
        <s v="EUR"/>
        <s v="EUROC"/>
        <s v="FTM"/>
        <s v="FTT"/>
        <s v="GAS"/>
        <s v="GBP"/>
        <s v="HBAR"/>
        <s v="HPT"/>
        <s v="HT"/>
        <s v="IOST"/>
        <s v="IRIS"/>
        <s v="JST"/>
        <s v="KSM"/>
        <s v="LAMB"/>
        <s v="LEND"/>
        <s v="LOL"/>
        <s v="LXT"/>
        <s v="MANA"/>
        <s v="MATIC"/>
        <s v="MKR"/>
        <s v="NEO"/>
        <s v="NEW"/>
        <s v="NFT"/>
        <s v="NULS"/>
        <s v="ONG"/>
        <s v="OXT"/>
        <s v="QTUM"/>
        <s v="REI"/>
        <s v="ROSE"/>
        <s v="SGB"/>
        <s v="SHFT"/>
        <s v="SOL"/>
        <s v="SOLO"/>
        <s v="STETH"/>
        <s v="STORJ"/>
        <s v="SUSHI"/>
        <s v="TRX"/>
        <s v="TRY"/>
        <s v="TT"/>
        <s v="TUSD"/>
        <s v="UNI"/>
        <s v="USD"/>
        <s v="USDC"/>
        <s v="USDP"/>
        <s v="USDT"/>
        <s v="UST"/>
        <s v="VET"/>
        <s v="VSYS"/>
        <s v="WETH"/>
        <s v="WOO"/>
        <s v="XEC"/>
        <s v="XLM"/>
        <s v="XRP"/>
        <s v="XTZ"/>
        <s v="YFI"/>
        <s v="YFII"/>
        <s v="ZEC"/>
        <m/>
        <s v="HUSD" u="1"/>
        <s v="OWETHUSDC_WSTETH-09SEP22-1900C_ETH_1Z8K" u="1"/>
        <s v="PAX" u="1"/>
        <s v="AWETH" u="1"/>
        <s v="ETHPOW" u="1"/>
        <s v="AUSDC" u="1"/>
        <s v="SRM" u="1"/>
      </sharedItems>
    </cacheField>
    <cacheField name="Muliplier" numFmtId="0">
      <sharedItems containsString="0" containsBlank="1" containsNumber="1" minValue="0.01" maxValue="1000000"/>
    </cacheField>
    <cacheField name="Coin Equivalent" numFmtId="0">
      <sharedItems containsString="0" containsBlank="1" containsNumber="1" minValue="-87029000000" maxValue="673542.1"/>
    </cacheField>
    <cacheField name="Exposure" numFmtId="0">
      <sharedItems containsString="0" containsBlank="1" containsNumber="1" minValue="-15204719.40689436" maxValue="24958380.591163907"/>
    </cacheField>
    <cacheField name="days_to_expiry" numFmtId="165">
      <sharedItems containsString="0" containsBlank="1" containsNumber="1" containsInteger="1" minValue="0" maxValue="28141"/>
    </cacheField>
    <cacheField name="Bucket" numFmtId="0">
      <sharedItems containsBlank="1" count="23">
        <s v="Mar 23"/>
        <s v="PERP"/>
        <s v="Dec 22"/>
        <s v="CME Dec 22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0">
        <s v="Mar 23 LONG"/>
        <s v="PERP SHORT"/>
        <s v="Dec 22 SHORT"/>
        <s v="PERP LONG"/>
        <s v="Dec 22 LONG"/>
        <s v="CME Dec 22 LONG"/>
        <s v="COIN LONG"/>
        <s v="COIN SHORT"/>
        <s v="CASH SHORT"/>
        <s v="CASH LONG"/>
        <m/>
        <s v="" u="1"/>
        <s v="Mar 23 SHORT" u="1"/>
        <s v="M0 LONG" u="1"/>
        <s v="M1 SHORT" u="1"/>
        <s v="M2 LONG" u="1"/>
        <s v="M3 SHORT" u="1"/>
        <s v="M4 LONG" u="1"/>
        <s v="M7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W2 SHORT" u="1"/>
        <s v="W3 LONG" u="1"/>
        <s v="Oct 22 LONG" u="1"/>
      </sharedItems>
    </cacheField>
    <cacheField name="abs_notional" numFmtId="0">
      <sharedItems containsBlank="1" containsMixedTypes="1" containsNumber="1" minValue="-54210152.641422257" maxValue="66371370.517192498"/>
    </cacheField>
    <cacheField name="shifted_mark" numFmtId="0">
      <sharedItems containsBlank="1" containsMixedTypes="1" containsNumber="1" minValue="0" maxValue="18008.5314358844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7676" maxValue="248629.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0.619824305555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m/>
        <s v="FTXE-1-M" u="1"/>
        <s v="HUBI-3-S3-F" u="1"/>
      </sharedItems>
    </cacheField>
    <cacheField name="instrument" numFmtId="0">
      <sharedItems containsBlank="1" count="54">
        <s v="B_F_BTC-USD_230331"/>
        <s v="B_P_BTC-USD-SWAP"/>
        <s v="B_P_ETH-USD-SWAP"/>
        <s v="B_F_BTC-USD_221230"/>
        <s v="B_F_ETH-USD_221230"/>
        <s v="BAXSUSDT"/>
        <s v="BEOSUSDT"/>
        <s v="BBCHUSDT"/>
        <s v="BBTCUSDT"/>
        <s v="BETCUSDT"/>
        <s v="BETHUSDT"/>
        <s v="BLTCUSDT"/>
        <s v="BOMGUSDT"/>
        <s v="BZILUSDT"/>
        <s v="BCOMPUSDT"/>
        <s v="BLINKUSDT"/>
        <s v="B_F_BTC-USDT_221230"/>
        <s v="B_F_ETH-USDT_221230"/>
        <s v="D_T_BTC_USDC_SWAP"/>
        <s v="D_T_ATOM_USDC_SWAP"/>
        <s v="BTC221230"/>
        <s v="ETH221230"/>
        <s v="H_P_BTC-USD-SWAP"/>
        <s v="H_P_ETH-USD-SWAP"/>
        <s v="H_T_BTC_USDT_SWAP"/>
        <s v="H_T_ETH_USDT_SWAP"/>
        <s v="O_P_BCH-USDT-SWAP"/>
        <s v="O_P_BTC-USDT-SWAP"/>
        <s v="O_P_EOS-USDT-SWAP"/>
        <s v="O_F_ETH-USDT_221230"/>
        <s v="O_F_ETH-USDT_230331"/>
        <s v="O_P_BTC-USD-SWAP"/>
        <s v="O_P_ETH-USD-SWAP"/>
        <s v="O_P_ETH-USDT-SWAP"/>
        <s v="O_P_LTC-USDT-SWAP"/>
        <s v="O_F_BTC-USD_221230"/>
        <s v="O_F_ETH-USD_221230"/>
        <s v="O_P_LINK-USDT-SWAP"/>
        <s v="O_P_SHIB-USDT-SWAP"/>
        <s v="O_F_BTC-USDT_221230"/>
        <s v="O_P_AXS-USDT-SWAP"/>
        <s v="ETHZ2"/>
        <s v="BTCZ2"/>
        <m/>
        <s v="BTRXUSDT" u="1"/>
        <s v="O_F_BTC-USDT_230331" u="1"/>
        <s v="BTCX2" u="1"/>
        <s v="BENJUSDT" u="1"/>
        <s v="O_P_DOT-USDT-SWAP" u="1"/>
        <s v="ETHX2" u="1"/>
        <s v="BFILUSDT" u="1"/>
        <s v="O_F_BTC-USD_230331" u="1"/>
        <s v="H_T_KSM_USDT_SWAP" u="1"/>
        <s v="BDOTUSDT" u="1"/>
      </sharedItems>
    </cacheField>
    <cacheField name="position" numFmtId="0">
      <sharedItems containsString="0" containsBlank="1" containsNumber="1" minValue="-836034" maxValue="645300.4"/>
    </cacheField>
    <cacheField name="notional" numFmtId="0">
      <sharedItems containsString="0" containsBlank="1" containsNumber="1" minValue="-27979810.940720402" maxValue="24852000"/>
    </cacheField>
    <cacheField name="mark_price" numFmtId="0">
      <sharedItems containsString="0" containsBlank="1" containsNumber="1" minValue="9.1600000000000004E-6" maxValue="18200.03058545"/>
    </cacheField>
    <cacheField name="unrealized_pnl" numFmtId="0">
      <sharedItems containsString="0" containsBlank="1" containsNumber="1" minValue="-330525.65157545998" maxValue="139870.794260817"/>
    </cacheField>
    <cacheField name="instrument_type" numFmtId="0">
      <sharedItems containsBlank="1" count="4">
        <s v="FUTURE"/>
        <s v="SWAP"/>
        <s v="CME FUTURE"/>
        <m/>
      </sharedItems>
    </cacheField>
    <cacheField name="expiration_time" numFmtId="0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1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m/>
        <s v="YFII" u="1"/>
        <s v="AAVE" u="1"/>
        <s v="USD" u="1"/>
        <s v="KSM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645300.4"/>
    </cacheField>
    <cacheField name="Exposure" numFmtId="0">
      <sharedItems containsBlank="1" containsMixedTypes="1" containsNumber="1" minValue="-27326700.289329469" maxValue="24877244.861726239"/>
    </cacheField>
    <cacheField name="days_to_expiry" numFmtId="0">
      <sharedItems containsBlank="1" containsMixedTypes="1" containsNumber="1" minValue="15.083333333335759" maxValue="28140.416666666664"/>
    </cacheField>
    <cacheField name="Bucket" numFmtId="0">
      <sharedItems containsBlank="1" count="9">
        <s v="Mar 23"/>
        <s v="PERP"/>
        <s v="Dec 22"/>
        <s v="CME Dec 22"/>
        <s v=""/>
        <m/>
        <s v="CME Dec 23" u="1"/>
        <s v="CME Jan 23" u="1"/>
        <s v="CME Nov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19">
        <s v="Mar 23 LONG"/>
        <s v="PERP SHORT"/>
        <s v="Dec 22 SHORT"/>
        <s v="PERP LONG"/>
        <s v="Dec 22 LONG"/>
        <s v="CME Dec 22 LONG"/>
        <s v=""/>
        <m/>
        <s v="Mar 23 SHORT" u="1"/>
        <s v="CASH SHORT" u="1"/>
        <s v="COIN LONG" u="1"/>
        <s v="CME Dec 22 HEDGE" u="1"/>
        <s v="CME Nov 22 HEDGE" u="1"/>
        <s v="CME Oct 22 HEDGE" u="1"/>
        <s v="CME Sep 22 HEDGE" u="1"/>
        <s v="CME Dec 23 HEDGE" u="1"/>
        <s v="CME Jan 23 HEDGE" u="1"/>
        <s v="COIN SHORT" u="1"/>
        <s v="Nov 22 LONG" u="1"/>
      </sharedItems>
    </cacheField>
    <cacheField name="shifted_notional" numFmtId="0">
      <sharedItems containsBlank="1" containsMixedTypes="1" containsNumber="1" minValue="-27979810.940720402" maxValue="25100520"/>
    </cacheField>
    <cacheField name="shifted_mark" numFmtId="0">
      <sharedItems containsBlank="1" containsMixedTypes="1" containsNumber="1" minValue="9.1600000000000004E-6" maxValue="18382.0308913045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60374" maxValue="24852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0.619827314818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5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FBLK-LEND-GACM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</sharedItems>
    </cacheField>
    <cacheField name="instrument" numFmtId="0">
      <sharedItems containsBlank="1" count="172">
        <s v="B_F_BTC-USD_230331"/>
        <s v="B_P_BTC-USD-SWAP"/>
        <s v="B_P_ETH-USD-SWAP"/>
        <s v="B_F_BTC-USD_221230"/>
        <s v="B_F_ETH-USD_221230"/>
        <s v="BAXSUSDT"/>
        <s v="BEOSUSDT"/>
        <s v="BBCHUSDT"/>
        <s v="BBTCUSDT"/>
        <s v="BETCUSDT"/>
        <s v="BETHUSDT"/>
        <s v="BLTCUSDT"/>
        <s v="BOMGUSDT"/>
        <s v="BZILUSDT"/>
        <s v="BCOMPUSDT"/>
        <s v="BLINKUSDT"/>
        <s v="B_F_BTC-USDT_221230"/>
        <s v="B_F_ETH-USDT_221230"/>
        <s v="D_T_BTC_USDC_SWAP"/>
        <s v="D_T_ATOM_USDC_SWAP"/>
        <s v="BTC221230"/>
        <s v="ETH221230"/>
        <s v="H_P_BTC-USD-SWAP"/>
        <s v="H_P_ETH-USD-SWAP"/>
        <s v="H_T_BTC_USDT_SWAP"/>
        <s v="H_T_ETH_USDT_SWAP"/>
        <s v="O_P_BCH-USDT-SWAP"/>
        <s v="O_P_BTC-USDT-SWAP"/>
        <s v="O_P_EOS-USDT-SWAP"/>
        <s v="O_F_ETH-USDT_221230"/>
        <s v="O_F_ETH-USDT_230331"/>
        <s v="O_P_BTC-USD-SWAP"/>
        <s v="O_P_ETH-USD-SWAP"/>
        <s v="O_P_ETH-USDT-SWAP"/>
        <s v="O_P_LTC-USDT-SWAP"/>
        <s v="O_F_BTC-USD_221230"/>
        <s v="O_F_ETH-USD_221230"/>
        <s v="O_P_LINK-USDT-SWAP"/>
        <s v="O_P_SHIB-USDT-SWAP"/>
        <s v="O_F_BTC-USDT_221230"/>
        <s v="O_P_AXS-USDT-SWAP"/>
        <s v="ETHZ2"/>
        <s v="BTCZ2"/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RXETH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ZIL"/>
        <s v="GBP"/>
        <s v="TRY"/>
        <s v="SHFT"/>
        <s v="WOO"/>
        <m/>
        <s v="BTRXUSDT" u="1"/>
        <s v="BENJUSDT" u="1"/>
        <s v="O_P_DOT-USDT-SWAP" u="1"/>
        <s v="BFILUSDT" u="1"/>
        <s v="BDOTUSDT" u="1"/>
      </sharedItems>
    </cacheField>
    <cacheField name="position" numFmtId="0">
      <sharedItems containsString="0" containsBlank="1" containsNumber="1" minValue="-10039049522.907801" maxValue="187000000000"/>
    </cacheField>
    <cacheField name="notional" numFmtId="0">
      <sharedItems containsString="0" containsBlank="1" containsNumber="1" minValue="-59682427.0130805" maxValue="62054507.6281"/>
    </cacheField>
    <cacheField name="mark_price" numFmtId="0">
      <sharedItems containsString="0" containsBlank="1" containsNumber="1" minValue="0" maxValue="18200.03058545"/>
    </cacheField>
    <cacheField name="unrealized_pnl" numFmtId="0">
      <sharedItems containsString="0" containsBlank="1" containsNumber="1" minValue="-330525.65157545998" maxValue="139870.794260817"/>
    </cacheField>
    <cacheField name="instrument_type" numFmtId="0">
      <sharedItems containsBlank="1" count="15">
        <s v="FUTURE"/>
        <s v="SWAP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2-12-12T23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9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RXETH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PAX" u="1"/>
        <s v="OWETHUSDC_WSTETH-04NOV22-1700C_ETH_SWAA" u="1"/>
        <s v="KFEE" u="1"/>
        <s v="AWETH" u="1"/>
        <s v="HUSD" u="1"/>
        <s v="ETHPOW" u="1"/>
        <s v="OWETHUSDC_WSTETH-09SEP22-1900C_ETH_1Z8K" u="1"/>
        <s v="underlying" u="1"/>
        <s v="ETF" u="1"/>
        <s v="WBT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59682427.013080515" maxValue="62054507.6281"/>
    </cacheField>
    <cacheField name="days_to_expiry" numFmtId="0">
      <sharedItems containsBlank="1" containsMixedTypes="1" containsNumber="1" containsInteger="1" minValue="0" maxValue="28140"/>
    </cacheField>
    <cacheField name="Bucket" numFmtId="0">
      <sharedItems containsBlank="1" count="20">
        <s v="Mar 23"/>
        <s v="PERP"/>
        <s v="Dec 22"/>
        <s v="CME Dec 22"/>
        <s v="COIN"/>
        <s v="CASH"/>
        <s v=""/>
        <m/>
        <s v="M1" u="1"/>
        <s v="CME Oct 22" u="1"/>
        <s v="M3" u="1"/>
        <s v="M7" u="1"/>
        <s v="CME Sep 22" u="1"/>
        <s v="CME Jan 23" u="1"/>
        <s v="Sep 22" u="1"/>
        <s v="Jan 23" u="1"/>
        <s v="W2" u="1"/>
        <s v="Nov 2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37">
        <s v="Mar 23 LONG"/>
        <s v="PERP SHORT"/>
        <s v="Dec 22 SHORT"/>
        <s v="PERP LONG"/>
        <s v="Dec 22 LONG"/>
        <s v="CME Dec 22 LONG"/>
        <s v="COIN LONG"/>
        <s v="CASH LONG"/>
        <s v="COIN SHORT"/>
        <s v="CASH SHORT"/>
        <s v=""/>
        <m/>
        <s v="Mar 23 SHORT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HEDGE" u="1"/>
        <s v="Sep 22 LONG" u="1"/>
        <s v="Sep 22 SHORT" u="1"/>
        <s v="M0 SHORT" u="1"/>
        <s v="M1 LONG" u="1"/>
        <s v="M3 LONG" u="1"/>
        <s v="Jan 23 SHORT" u="1"/>
        <s v="M7 LONG" u="1"/>
        <s v="Nov 22 LONG" u="1"/>
        <s v="Nov 22 SHORT" u="1"/>
        <s v="W2 SHORT" u="1"/>
        <s v="Oct 22 LONG" u="1"/>
      </sharedItems>
    </cacheField>
    <cacheField name="shifted_notional" numFmtId="0">
      <sharedItems containsBlank="1" containsMixedTypes="1" containsNumber="1" minValue="-59682427.0130805" maxValue="62054507.6281"/>
    </cacheField>
    <cacheField name="shifted_mark" numFmtId="0">
      <sharedItems containsBlank="1" containsMixedTypes="1" containsNumber="1" minValue="0" maxValue="18382.0308913045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60374" maxValue="24852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0.619835532409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0">
      <sharedItems containsString="0" containsBlank="1" containsNumber="1" minValue="-10039049522.907801" maxValue="187000000000"/>
    </cacheField>
    <cacheField name="notional" numFmtId="0">
      <sharedItems containsString="0" containsBlank="1" containsNumber="1" minValue="-59682427.0130805" maxValue="62054507.6281"/>
    </cacheField>
    <cacheField name="mark_price" numFmtId="0">
      <sharedItems containsString="0" containsBlank="1" containsNumber="1" minValue="0" maxValue="17815.649854650899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2-12-12T23:00:00" maxDate="2022-12-16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36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RXETH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ZIL"/>
        <s v="GBP"/>
        <s v="TRY"/>
        <s v="SHFT"/>
        <s v="WOO"/>
        <m/>
        <s v="" u="1"/>
        <s v="SRM" u="1"/>
        <s v="CVXCRV" u="1"/>
        <s v="AUSDC" u="1"/>
        <s v="PAX" u="1"/>
        <s v="OWETHUSDC_WSTETH-04NOV22-1700C_ETH_SWAA" u="1"/>
        <s v="AWETH" u="1"/>
        <s v="HUSD" u="1"/>
        <s v="ETHPOW" u="1"/>
        <s v="OWETHUSDC_WSTETH-09SEP22-1900C_ETH_1Z8K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8">
  <r>
    <x v="0"/>
    <x v="0"/>
    <n v="200.07893852000001"/>
    <n v="0"/>
  </r>
  <r>
    <x v="0"/>
    <x v="1"/>
    <n v="28311.975235000002"/>
    <n v="0"/>
  </r>
  <r>
    <x v="0"/>
    <x v="2"/>
    <n v="25.399726000000001"/>
    <n v="0"/>
  </r>
  <r>
    <x v="0"/>
    <x v="3"/>
    <n v="4.2548999999999998E-3"/>
    <n v="0"/>
  </r>
  <r>
    <x v="0"/>
    <x v="4"/>
    <n v="361.50767796999997"/>
    <n v="0"/>
  </r>
  <r>
    <x v="0"/>
    <x v="5"/>
    <n v="25156.055035879999"/>
    <n v="0"/>
  </r>
  <r>
    <x v="0"/>
    <x v="6"/>
    <n v="91.029457179999994"/>
    <n v="0"/>
  </r>
  <r>
    <x v="0"/>
    <x v="7"/>
    <n v="86.736910640000005"/>
    <n v="0"/>
  </r>
  <r>
    <x v="0"/>
    <x v="8"/>
    <n v="13.751470619999999"/>
    <n v="0"/>
  </r>
  <r>
    <x v="0"/>
    <x v="9"/>
    <n v="24746.129452879999"/>
    <n v="0"/>
  </r>
  <r>
    <x v="0"/>
    <x v="10"/>
    <n v="36.869033870000003"/>
    <n v="0"/>
  </r>
  <r>
    <x v="0"/>
    <x v="11"/>
    <n v="1.5637979999999999E-2"/>
    <n v="0"/>
  </r>
  <r>
    <x v="0"/>
    <x v="12"/>
    <n v="61610.470464270002"/>
    <n v="0"/>
  </r>
  <r>
    <x v="0"/>
    <x v="13"/>
    <n v="1999.0152611599999"/>
    <n v="0"/>
  </r>
  <r>
    <x v="0"/>
    <x v="14"/>
    <n v="29999.901399999999"/>
    <n v="0"/>
  </r>
  <r>
    <x v="0"/>
    <x v="15"/>
    <n v="9.9330999999999996"/>
    <n v="0"/>
  </r>
  <r>
    <x v="0"/>
    <x v="16"/>
    <n v="676914.25030584994"/>
    <n v="0"/>
  </r>
  <r>
    <x v="0"/>
    <x v="17"/>
    <n v="0.19800000000000001"/>
    <n v="0"/>
  </r>
  <r>
    <x v="0"/>
    <x v="18"/>
    <n v="12.72046903"/>
    <n v="0"/>
  </r>
  <r>
    <x v="0"/>
    <x v="19"/>
    <n v="1.4551239499999999"/>
    <n v="0"/>
  </r>
  <r>
    <x v="0"/>
    <x v="20"/>
    <n v="4125.1621725699997"/>
    <n v="0"/>
  </r>
  <r>
    <x v="0"/>
    <x v="21"/>
    <n v="405872.62526320003"/>
    <n v="0"/>
  </r>
  <r>
    <x v="0"/>
    <x v="22"/>
    <n v="57.222791209999997"/>
    <n v="0"/>
  </r>
  <r>
    <x v="0"/>
    <x v="23"/>
    <n v="718282.38861262996"/>
    <n v="0"/>
  </r>
  <r>
    <x v="0"/>
    <x v="8"/>
    <n v="821.98064921000002"/>
    <n v="0"/>
  </r>
  <r>
    <x v="0"/>
    <x v="8"/>
    <n v="-10.536066610000001"/>
    <n v="0"/>
  </r>
  <r>
    <x v="0"/>
    <x v="15"/>
    <n v="5855.6751637199995"/>
    <n v="0"/>
  </r>
  <r>
    <x v="0"/>
    <x v="15"/>
    <n v="46.067630880000003"/>
    <n v="0"/>
  </r>
  <r>
    <x v="0"/>
    <x v="7"/>
    <n v="2521.9114588000002"/>
    <n v="0"/>
  </r>
  <r>
    <x v="0"/>
    <x v="14"/>
    <n v="204642.6"/>
    <n v="0"/>
  </r>
  <r>
    <x v="0"/>
    <x v="24"/>
    <n v="0.15721859999999999"/>
    <n v="0"/>
  </r>
  <r>
    <x v="0"/>
    <x v="15"/>
    <n v="1555.5547999999999"/>
    <n v="0"/>
  </r>
  <r>
    <x v="0"/>
    <x v="18"/>
    <n v="1581.07"/>
    <n v="0"/>
  </r>
  <r>
    <x v="0"/>
    <x v="19"/>
    <n v="237.91499999999999"/>
    <n v="0"/>
  </r>
  <r>
    <x v="0"/>
    <x v="23"/>
    <n v="15525555.45521039"/>
    <n v="0"/>
  </r>
  <r>
    <x v="0"/>
    <x v="7"/>
    <n v="1E-8"/>
    <n v="0"/>
  </r>
  <r>
    <x v="0"/>
    <x v="9"/>
    <n v="13100000"/>
    <n v="0"/>
  </r>
  <r>
    <x v="0"/>
    <x v="23"/>
    <n v="33612223.521003857"/>
    <n v="0"/>
  </r>
  <r>
    <x v="0"/>
    <x v="23"/>
    <n v="2628589.32911707"/>
    <n v="0"/>
  </r>
  <r>
    <x v="0"/>
    <x v="23"/>
    <n v="1966905.2624124701"/>
    <n v="0"/>
  </r>
  <r>
    <x v="0"/>
    <x v="23"/>
    <n v="-11749.007398719999"/>
    <n v="0"/>
  </r>
  <r>
    <x v="1"/>
    <x v="8"/>
    <n v="7.9996000000000008E-3"/>
    <n v="0"/>
  </r>
  <r>
    <x v="1"/>
    <x v="15"/>
    <n v="0.02"/>
    <n v="0"/>
  </r>
  <r>
    <x v="1"/>
    <x v="25"/>
    <n v="0.02"/>
    <n v="0"/>
  </r>
  <r>
    <x v="1"/>
    <x v="26"/>
    <n v="2.755467E-2"/>
    <n v="0"/>
  </r>
  <r>
    <x v="1"/>
    <x v="27"/>
    <n v="29.9885932"/>
    <n v="0"/>
  </r>
  <r>
    <x v="2"/>
    <x v="6"/>
    <n v="0.21932823000000001"/>
    <n v="0"/>
  </r>
  <r>
    <x v="2"/>
    <x v="8"/>
    <n v="5.7861299999999997E-2"/>
    <n v="0"/>
  </r>
  <r>
    <x v="2"/>
    <x v="15"/>
    <n v="0.73541904000000002"/>
    <n v="0"/>
  </r>
  <r>
    <x v="2"/>
    <x v="28"/>
    <n v="22277.5319929"/>
    <n v="0"/>
  </r>
  <r>
    <x v="2"/>
    <x v="26"/>
    <n v="114736.84"/>
    <n v="0"/>
  </r>
  <r>
    <x v="2"/>
    <x v="29"/>
    <n v="116647.68407285"/>
    <n v="0"/>
  </r>
  <r>
    <x v="3"/>
    <x v="8"/>
    <n v="4143.1451217100002"/>
    <n v="0"/>
  </r>
  <r>
    <x v="3"/>
    <x v="26"/>
    <n v="27340430.102899998"/>
    <n v="0"/>
  </r>
  <r>
    <x v="3"/>
    <x v="30"/>
    <n v="101"/>
    <n v="0"/>
  </r>
  <r>
    <x v="3"/>
    <x v="14"/>
    <n v="1297032.5469"/>
    <n v="0"/>
  </r>
  <r>
    <x v="3"/>
    <x v="18"/>
    <n v="14768.90497507"/>
    <n v="0"/>
  </r>
  <r>
    <x v="3"/>
    <x v="19"/>
    <n v="1987.78841713"/>
    <n v="0"/>
  </r>
  <r>
    <x v="3"/>
    <x v="26"/>
    <n v="7654946.8200000003"/>
    <n v="0"/>
  </r>
  <r>
    <x v="3"/>
    <x v="15"/>
    <n v="15727.92235072"/>
    <n v="0"/>
  </r>
  <r>
    <x v="3"/>
    <x v="26"/>
    <n v="10612807.468800001"/>
    <n v="0"/>
  </r>
  <r>
    <x v="3"/>
    <x v="8"/>
    <n v="60.144188849999999"/>
    <n v="0"/>
  </r>
  <r>
    <x v="3"/>
    <x v="15"/>
    <n v="1166.0086387199999"/>
    <n v="0"/>
  </r>
  <r>
    <x v="4"/>
    <x v="11"/>
    <n v="0.26739257999999999"/>
    <n v="0"/>
  </r>
  <r>
    <x v="4"/>
    <x v="11"/>
    <n v="9.7777784299999997"/>
    <n v="0"/>
  </r>
  <r>
    <x v="4"/>
    <x v="31"/>
    <n v="3.0536339999999999E-2"/>
    <n v="0"/>
  </r>
  <r>
    <x v="4"/>
    <x v="31"/>
    <n v="3.2534000000000003E-4"/>
    <n v="0"/>
  </r>
  <r>
    <x v="4"/>
    <x v="15"/>
    <n v="530.26134416000002"/>
    <n v="0"/>
  </r>
  <r>
    <x v="4"/>
    <x v="15"/>
    <n v="3.67060545"/>
    <n v="0"/>
  </r>
  <r>
    <x v="4"/>
    <x v="30"/>
    <n v="12023.262882000001"/>
    <n v="0"/>
  </r>
  <r>
    <x v="4"/>
    <x v="30"/>
    <n v="13972.219738"/>
    <n v="0"/>
  </r>
  <r>
    <x v="4"/>
    <x v="32"/>
    <n v="7000"/>
    <n v="0"/>
  </r>
  <r>
    <x v="4"/>
    <x v="33"/>
    <n v="7000"/>
    <n v="0"/>
  </r>
  <r>
    <x v="4"/>
    <x v="0"/>
    <n v="150"/>
    <n v="0"/>
  </r>
  <r>
    <x v="4"/>
    <x v="15"/>
    <n v="50.996764159999998"/>
    <n v="0"/>
  </r>
  <r>
    <x v="4"/>
    <x v="34"/>
    <n v="5625.02729593"/>
    <n v="0"/>
  </r>
  <r>
    <x v="4"/>
    <x v="35"/>
    <n v="5968"/>
    <n v="0"/>
  </r>
  <r>
    <x v="4"/>
    <x v="30"/>
    <n v="60000"/>
    <n v="0"/>
  </r>
  <r>
    <x v="4"/>
    <x v="36"/>
    <n v="47.937388089999999"/>
    <n v="0"/>
  </r>
  <r>
    <x v="4"/>
    <x v="15"/>
    <n v="0.57950425000000005"/>
    <n v="0"/>
  </r>
  <r>
    <x v="4"/>
    <x v="30"/>
    <n v="1006533.600838"/>
    <n v="0"/>
  </r>
  <r>
    <x v="4"/>
    <x v="37"/>
    <n v="1394.87930108"/>
    <n v="0"/>
  </r>
  <r>
    <x v="4"/>
    <x v="37"/>
    <n v="2E-8"/>
    <n v="0"/>
  </r>
  <r>
    <x v="4"/>
    <x v="38"/>
    <n v="379.65102482999998"/>
    <n v="0"/>
  </r>
  <r>
    <x v="4"/>
    <x v="38"/>
    <n v="5.9599999999999997E-6"/>
    <n v="0"/>
  </r>
  <r>
    <x v="4"/>
    <x v="15"/>
    <n v="625.59695982000005"/>
    <n v="0"/>
  </r>
  <r>
    <x v="4"/>
    <x v="15"/>
    <n v="4.5371055699999996"/>
    <n v="0"/>
  </r>
  <r>
    <x v="4"/>
    <x v="39"/>
    <n v="931.15332089000003"/>
    <n v="0"/>
  </r>
  <r>
    <x v="5"/>
    <x v="30"/>
    <n v="174960.64689599999"/>
    <n v="0"/>
  </r>
  <r>
    <x v="6"/>
    <x v="8"/>
    <n v="5.6822449999999997E-2"/>
    <n v="0"/>
  </r>
  <r>
    <x v="6"/>
    <x v="16"/>
    <n v="33826924.97249233"/>
    <n v="0"/>
  </r>
  <r>
    <x v="6"/>
    <x v="40"/>
    <n v="1010.5439135300001"/>
    <n v="0"/>
  </r>
  <r>
    <x v="6"/>
    <x v="19"/>
    <n v="8.9908658799999994"/>
    <n v="0"/>
  </r>
  <r>
    <x v="6"/>
    <x v="41"/>
    <n v="1539.02875778"/>
    <n v="0"/>
  </r>
  <r>
    <x v="6"/>
    <x v="41"/>
    <n v="12693.571242219999"/>
    <n v="0"/>
  </r>
  <r>
    <x v="6"/>
    <x v="26"/>
    <n v="10670883.885147721"/>
    <n v="0"/>
  </r>
  <r>
    <x v="6"/>
    <x v="23"/>
    <n v="1056694.79363042"/>
    <n v="0"/>
  </r>
  <r>
    <x v="7"/>
    <x v="1"/>
    <n v="1E-8"/>
    <n v="0"/>
  </r>
  <r>
    <x v="7"/>
    <x v="6"/>
    <n v="4.9999999999999998E-8"/>
    <n v="0"/>
  </r>
  <r>
    <x v="7"/>
    <x v="42"/>
    <n v="0.47315189000000002"/>
    <n v="0"/>
  </r>
  <r>
    <x v="7"/>
    <x v="8"/>
    <n v="4.0000000000000001E-8"/>
    <n v="0"/>
  </r>
  <r>
    <x v="7"/>
    <x v="14"/>
    <n v="2.9999999999999997E-8"/>
    <n v="0"/>
  </r>
  <r>
    <x v="7"/>
    <x v="24"/>
    <n v="1E-8"/>
    <n v="0"/>
  </r>
  <r>
    <x v="7"/>
    <x v="15"/>
    <n v="2.9999999999999997E-8"/>
    <n v="0"/>
  </r>
  <r>
    <x v="7"/>
    <x v="19"/>
    <n v="1E-8"/>
    <n v="0"/>
  </r>
  <r>
    <x v="7"/>
    <x v="43"/>
    <n v="1E-8"/>
    <n v="0"/>
  </r>
  <r>
    <x v="7"/>
    <x v="29"/>
    <n v="9.9999999999999995E-8"/>
    <n v="0"/>
  </r>
  <r>
    <x v="7"/>
    <x v="1"/>
    <n v="5.7406599999999999E-3"/>
    <n v="0"/>
  </r>
  <r>
    <x v="7"/>
    <x v="6"/>
    <n v="0.72885027999999996"/>
    <n v="0"/>
  </r>
  <r>
    <x v="7"/>
    <x v="42"/>
    <n v="0.11285791000000001"/>
    <n v="0"/>
  </r>
  <r>
    <x v="7"/>
    <x v="8"/>
    <n v="481.98134828000002"/>
    <n v="0"/>
  </r>
  <r>
    <x v="7"/>
    <x v="8"/>
    <n v="-14.7053476"/>
    <n v="0"/>
  </r>
  <r>
    <x v="7"/>
    <x v="13"/>
    <n v="0.97764076"/>
    <n v="0"/>
  </r>
  <r>
    <x v="7"/>
    <x v="14"/>
    <n v="3.7085149999999997E-2"/>
    <n v="0"/>
  </r>
  <r>
    <x v="7"/>
    <x v="24"/>
    <n v="0.70701212999999996"/>
    <n v="0"/>
  </r>
  <r>
    <x v="7"/>
    <x v="15"/>
    <n v="8832.5034865500002"/>
    <n v="0"/>
  </r>
  <r>
    <x v="7"/>
    <x v="15"/>
    <n v="-82.81514387"/>
    <n v="0"/>
  </r>
  <r>
    <x v="7"/>
    <x v="18"/>
    <n v="6.244243E-2"/>
    <n v="0"/>
  </r>
  <r>
    <x v="7"/>
    <x v="19"/>
    <n v="7.1564416099999999"/>
    <n v="0"/>
  </r>
  <r>
    <x v="7"/>
    <x v="43"/>
    <n v="0.95766242000000001"/>
    <n v="0"/>
  </r>
  <r>
    <x v="7"/>
    <x v="29"/>
    <n v="0.54364484000000002"/>
    <n v="0"/>
  </r>
  <r>
    <x v="8"/>
    <x v="8"/>
    <n v="1.899957E-2"/>
    <n v="0"/>
  </r>
  <r>
    <x v="8"/>
    <x v="44"/>
    <n v="9.9825000000000001E-4"/>
    <n v="0"/>
  </r>
  <r>
    <x v="8"/>
    <x v="25"/>
    <n v="9.9825000000000001E-4"/>
    <n v="0"/>
  </r>
  <r>
    <x v="8"/>
    <x v="45"/>
    <n v="9.5929999999999998E-5"/>
    <n v="0"/>
  </r>
  <r>
    <x v="8"/>
    <x v="23"/>
    <n v="27.162898349999999"/>
    <n v="0"/>
  </r>
  <r>
    <x v="8"/>
    <x v="8"/>
    <n v="1.995E-4"/>
    <n v="0"/>
  </r>
  <r>
    <x v="8"/>
    <x v="15"/>
    <n v="9.9825000000000001E-4"/>
    <n v="0"/>
  </r>
  <r>
    <x v="8"/>
    <x v="23"/>
    <n v="59.393906000000001"/>
    <n v="0"/>
  </r>
  <r>
    <x v="7"/>
    <x v="23"/>
    <n v="1E-8"/>
    <n v="0"/>
  </r>
  <r>
    <x v="7"/>
    <x v="29"/>
    <n v="7.4209999999999996E-5"/>
    <n v="0"/>
  </r>
  <r>
    <x v="7"/>
    <x v="1"/>
    <n v="1E-8"/>
    <n v="0"/>
  </r>
  <r>
    <x v="7"/>
    <x v="6"/>
    <n v="1E-8"/>
    <n v="0"/>
  </r>
  <r>
    <x v="7"/>
    <x v="42"/>
    <n v="1E-8"/>
    <n v="0"/>
  </r>
  <r>
    <x v="7"/>
    <x v="14"/>
    <n v="1E-8"/>
    <n v="0"/>
  </r>
  <r>
    <x v="7"/>
    <x v="24"/>
    <n v="1E-8"/>
    <n v="0"/>
  </r>
  <r>
    <x v="7"/>
    <x v="15"/>
    <n v="1E-8"/>
    <n v="0"/>
  </r>
  <r>
    <x v="7"/>
    <x v="18"/>
    <n v="1E-8"/>
    <n v="0"/>
  </r>
  <r>
    <x v="7"/>
    <x v="19"/>
    <n v="1E-8"/>
    <n v="0"/>
  </r>
  <r>
    <x v="7"/>
    <x v="23"/>
    <n v="3.2621029500000001"/>
    <n v="0"/>
  </r>
  <r>
    <x v="7"/>
    <x v="29"/>
    <n v="6.4869999999999994E-5"/>
    <n v="0"/>
  </r>
  <r>
    <x v="7"/>
    <x v="0"/>
    <n v="0.10014646000000001"/>
    <n v="0"/>
  </r>
  <r>
    <x v="7"/>
    <x v="1"/>
    <n v="3.2091999999999998E-4"/>
    <n v="0"/>
  </r>
  <r>
    <x v="7"/>
    <x v="6"/>
    <n v="5.3552000000000005E-4"/>
    <n v="0"/>
  </r>
  <r>
    <x v="7"/>
    <x v="42"/>
    <n v="2.9999999999999997E-8"/>
    <n v="0"/>
  </r>
  <r>
    <x v="7"/>
    <x v="8"/>
    <n v="294.72611441999999"/>
    <n v="0"/>
  </r>
  <r>
    <x v="7"/>
    <x v="8"/>
    <n v="9.6204563400000005"/>
    <n v="0"/>
  </r>
  <r>
    <x v="7"/>
    <x v="13"/>
    <n v="3.8972899999999999E-3"/>
    <n v="0"/>
  </r>
  <r>
    <x v="7"/>
    <x v="24"/>
    <n v="0.1010306"/>
    <n v="0"/>
  </r>
  <r>
    <x v="7"/>
    <x v="15"/>
    <n v="1570.3074606499999"/>
    <n v="0"/>
  </r>
  <r>
    <x v="7"/>
    <x v="15"/>
    <n v="8.6570029500000008"/>
    <n v="0"/>
  </r>
  <r>
    <x v="7"/>
    <x v="18"/>
    <n v="9.5620999999999998E-4"/>
    <n v="0"/>
  </r>
  <r>
    <x v="7"/>
    <x v="19"/>
    <n v="2.4771099999999998E-3"/>
    <n v="0"/>
  </r>
  <r>
    <x v="7"/>
    <x v="46"/>
    <n v="71073.205401560001"/>
    <n v="0"/>
  </r>
  <r>
    <x v="7"/>
    <x v="43"/>
    <n v="4.8644999999999998E-4"/>
    <n v="0"/>
  </r>
  <r>
    <x v="7"/>
    <x v="29"/>
    <n v="1.9184000000000001E-4"/>
    <n v="0"/>
  </r>
  <r>
    <x v="7"/>
    <x v="47"/>
    <n v="2.4299999999999999E-3"/>
    <n v="0"/>
  </r>
  <r>
    <x v="7"/>
    <x v="23"/>
    <n v="4422816.4880867004"/>
    <n v="0"/>
  </r>
  <r>
    <x v="7"/>
    <x v="23"/>
    <n v="171440.16190000001"/>
    <n v="0"/>
  </r>
  <r>
    <x v="9"/>
    <x v="8"/>
    <n v="259.63940638000003"/>
    <n v="0"/>
  </r>
  <r>
    <x v="9"/>
    <x v="8"/>
    <n v="-2.54193164"/>
    <n v="0"/>
  </r>
  <r>
    <x v="9"/>
    <x v="8"/>
    <n v="262.02443707999998"/>
    <n v="0"/>
  </r>
  <r>
    <x v="9"/>
    <x v="23"/>
    <n v="10186046.830971619"/>
    <n v="0"/>
  </r>
  <r>
    <x v="7"/>
    <x v="48"/>
    <n v="377.09760540000002"/>
    <n v="0"/>
  </r>
  <r>
    <x v="7"/>
    <x v="1"/>
    <n v="1.1000000000000001E-7"/>
    <n v="0"/>
  </r>
  <r>
    <x v="7"/>
    <x v="2"/>
    <n v="3587.9402382600001"/>
    <n v="0"/>
  </r>
  <r>
    <x v="7"/>
    <x v="49"/>
    <n v="0.53247394999999997"/>
    <n v="0"/>
  </r>
  <r>
    <x v="7"/>
    <x v="3"/>
    <n v="5.2478028200000004"/>
    <n v="0"/>
  </r>
  <r>
    <x v="7"/>
    <x v="4"/>
    <n v="1.5389969999999999E-2"/>
    <n v="0"/>
  </r>
  <r>
    <x v="7"/>
    <x v="5"/>
    <n v="152.41521331999999"/>
    <n v="0"/>
  </r>
  <r>
    <x v="7"/>
    <x v="6"/>
    <n v="64.011424020000007"/>
    <n v="0"/>
  </r>
  <r>
    <x v="7"/>
    <x v="50"/>
    <n v="2.5033500000000001E-3"/>
    <n v="0"/>
  </r>
  <r>
    <x v="7"/>
    <x v="51"/>
    <n v="115.29838952"/>
    <n v="0"/>
  </r>
  <r>
    <x v="7"/>
    <x v="52"/>
    <n v="14.7502"/>
    <n v="0"/>
  </r>
  <r>
    <x v="7"/>
    <x v="42"/>
    <n v="2604.8644934200001"/>
    <n v="0"/>
  </r>
  <r>
    <x v="7"/>
    <x v="8"/>
    <n v="1399.1161519899999"/>
    <n v="0"/>
  </r>
  <r>
    <x v="7"/>
    <x v="53"/>
    <n v="0.33565571999999999"/>
    <n v="0"/>
  </r>
  <r>
    <x v="7"/>
    <x v="54"/>
    <n v="1367501156.8785999"/>
    <n v="0"/>
  </r>
  <r>
    <x v="7"/>
    <x v="55"/>
    <n v="1.7855998900000001"/>
    <n v="0"/>
  </r>
  <r>
    <x v="7"/>
    <x v="10"/>
    <n v="43.072197150000001"/>
    <n v="0"/>
  </r>
  <r>
    <x v="7"/>
    <x v="56"/>
    <n v="0.30791584"/>
    <n v="0"/>
  </r>
  <r>
    <x v="7"/>
    <x v="57"/>
    <n v="5.6119999999999998E-5"/>
    <n v="0"/>
  </r>
  <r>
    <x v="7"/>
    <x v="58"/>
    <n v="5.9800000000000001E-4"/>
    <n v="0"/>
  </r>
  <r>
    <x v="7"/>
    <x v="13"/>
    <n v="19049.75822756"/>
    <n v="0"/>
  </r>
  <r>
    <x v="7"/>
    <x v="59"/>
    <n v="241319.15317850999"/>
    <n v="0"/>
  </r>
  <r>
    <x v="7"/>
    <x v="14"/>
    <n v="24161.616036769999"/>
    <n v="0"/>
  </r>
  <r>
    <x v="7"/>
    <x v="24"/>
    <n v="9676.7341443799996"/>
    <n v="0"/>
  </r>
  <r>
    <x v="7"/>
    <x v="15"/>
    <n v="631.29057675000001"/>
    <n v="0"/>
  </r>
  <r>
    <x v="7"/>
    <x v="44"/>
    <n v="9823.8364263999993"/>
    <n v="0"/>
  </r>
  <r>
    <x v="7"/>
    <x v="25"/>
    <n v="3460.93190667"/>
    <n v="0"/>
  </r>
  <r>
    <x v="7"/>
    <x v="60"/>
    <n v="339630.03834208002"/>
    <n v="0"/>
  </r>
  <r>
    <x v="7"/>
    <x v="17"/>
    <n v="2339.8611111199998"/>
    <n v="0"/>
  </r>
  <r>
    <x v="7"/>
    <x v="40"/>
    <n v="0.68557060000000003"/>
    <n v="0"/>
  </r>
  <r>
    <x v="7"/>
    <x v="61"/>
    <n v="54.776400000000002"/>
    <n v="0"/>
  </r>
  <r>
    <x v="7"/>
    <x v="62"/>
    <n v="100.03406049"/>
    <n v="0"/>
  </r>
  <r>
    <x v="7"/>
    <x v="63"/>
    <n v="5337.6979873099999"/>
    <n v="0"/>
  </r>
  <r>
    <x v="7"/>
    <x v="64"/>
    <n v="3354.5254768599998"/>
    <n v="0"/>
  </r>
  <r>
    <x v="7"/>
    <x v="65"/>
    <n v="14.785856219999999"/>
    <n v="0"/>
  </r>
  <r>
    <x v="7"/>
    <x v="66"/>
    <n v="0.81765067999999996"/>
    <n v="0"/>
  </r>
  <r>
    <x v="7"/>
    <x v="67"/>
    <n v="9.1121815000000002"/>
    <n v="0"/>
  </r>
  <r>
    <x v="7"/>
    <x v="68"/>
    <n v="5"/>
    <n v="0"/>
  </r>
  <r>
    <x v="7"/>
    <x v="69"/>
    <n v="0.24234807999999999"/>
    <n v="0"/>
  </r>
  <r>
    <x v="7"/>
    <x v="70"/>
    <n v="1E-8"/>
    <n v="0"/>
  </r>
  <r>
    <x v="7"/>
    <x v="18"/>
    <n v="26914.88806931"/>
    <n v="0"/>
  </r>
  <r>
    <x v="7"/>
    <x v="71"/>
    <n v="4.3289484800000002"/>
    <n v="0"/>
  </r>
  <r>
    <x v="7"/>
    <x v="19"/>
    <n v="5213.2640559299998"/>
    <n v="0"/>
  </r>
  <r>
    <x v="7"/>
    <x v="72"/>
    <n v="0.66495972999999997"/>
    <n v="0"/>
  </r>
  <r>
    <x v="7"/>
    <x v="20"/>
    <n v="0.34"/>
    <n v="0"/>
  </r>
  <r>
    <x v="7"/>
    <x v="73"/>
    <n v="0.89105878000000005"/>
    <n v="0"/>
  </r>
  <r>
    <x v="7"/>
    <x v="74"/>
    <n v="40.704174029999997"/>
    <n v="0"/>
  </r>
  <r>
    <x v="7"/>
    <x v="75"/>
    <n v="3013993111.0959439"/>
    <n v="0"/>
  </r>
  <r>
    <x v="7"/>
    <x v="76"/>
    <n v="4.3068300000000002E-3"/>
    <n v="0"/>
  </r>
  <r>
    <x v="7"/>
    <x v="77"/>
    <n v="162254.56419957001"/>
    <n v="0"/>
  </r>
  <r>
    <x v="7"/>
    <x v="78"/>
    <n v="0.34782034000000001"/>
    <n v="0"/>
  </r>
  <r>
    <x v="7"/>
    <x v="21"/>
    <n v="950734.69046149997"/>
    <n v="0"/>
  </r>
  <r>
    <x v="7"/>
    <x v="79"/>
    <n v="3.0962099999999998E-3"/>
    <n v="0"/>
  </r>
  <r>
    <x v="7"/>
    <x v="80"/>
    <n v="2.6598900000000002E-2"/>
    <n v="0"/>
  </r>
  <r>
    <x v="7"/>
    <x v="28"/>
    <n v="1214222.2371159999"/>
    <n v="0"/>
  </r>
  <r>
    <x v="7"/>
    <x v="46"/>
    <n v="4793337439.352232"/>
    <n v="0"/>
  </r>
  <r>
    <x v="7"/>
    <x v="22"/>
    <n v="0.14106867000000001"/>
    <n v="0"/>
  </r>
  <r>
    <x v="7"/>
    <x v="81"/>
    <n v="38753.774400000002"/>
    <n v="0"/>
  </r>
  <r>
    <x v="7"/>
    <x v="82"/>
    <n v="29.76350429"/>
    <n v="0"/>
  </r>
  <r>
    <x v="7"/>
    <x v="43"/>
    <n v="9188410.11119611"/>
    <n v="0"/>
  </r>
  <r>
    <x v="7"/>
    <x v="83"/>
    <n v="6.3152970000000003E-2"/>
    <n v="0"/>
  </r>
  <r>
    <x v="7"/>
    <x v="84"/>
    <n v="20"/>
    <n v="0"/>
  </r>
  <r>
    <x v="7"/>
    <x v="85"/>
    <n v="4.7890616599999998"/>
    <n v="0"/>
  </r>
  <r>
    <x v="7"/>
    <x v="30"/>
    <n v="4512595.36556256"/>
    <n v="0"/>
  </r>
  <r>
    <x v="7"/>
    <x v="86"/>
    <n v="0.34680431"/>
    <n v="0"/>
  </r>
  <r>
    <x v="7"/>
    <x v="23"/>
    <n v="15252754.119299199"/>
    <n v="0"/>
  </r>
  <r>
    <x v="7"/>
    <x v="87"/>
    <n v="59589.017780000002"/>
    <n v="0"/>
  </r>
  <r>
    <x v="7"/>
    <x v="88"/>
    <n v="0.20872535"/>
    <n v="0"/>
  </r>
  <r>
    <x v="7"/>
    <x v="89"/>
    <n v="97856389.900000006"/>
    <n v="0"/>
  </r>
  <r>
    <x v="7"/>
    <x v="90"/>
    <n v="0.55556267999999998"/>
    <n v="0"/>
  </r>
  <r>
    <x v="7"/>
    <x v="29"/>
    <n v="1335.23311758"/>
    <n v="0"/>
  </r>
  <r>
    <x v="7"/>
    <x v="91"/>
    <n v="3.9304560899999998"/>
    <n v="0"/>
  </r>
  <r>
    <x v="7"/>
    <x v="92"/>
    <n v="0.10222220999999999"/>
    <n v="0"/>
  </r>
  <r>
    <x v="7"/>
    <x v="47"/>
    <n v="1.329583E-2"/>
    <n v="0"/>
  </r>
  <r>
    <x v="7"/>
    <x v="93"/>
    <n v="2.173E-4"/>
    <n v="0"/>
  </r>
  <r>
    <x v="7"/>
    <x v="94"/>
    <n v="19402725.175014921"/>
    <n v="0"/>
  </r>
  <r>
    <x v="7"/>
    <x v="6"/>
    <n v="2244.8726333099999"/>
    <n v="0"/>
  </r>
  <r>
    <x v="7"/>
    <x v="42"/>
    <n v="1625.6897381399999"/>
    <n v="0"/>
  </r>
  <r>
    <x v="7"/>
    <x v="8"/>
    <n v="156.03387741"/>
    <n v="0"/>
  </r>
  <r>
    <x v="7"/>
    <x v="13"/>
    <n v="17649.949551860002"/>
    <n v="0"/>
  </r>
  <r>
    <x v="7"/>
    <x v="14"/>
    <n v="608384.83236875001"/>
    <n v="0"/>
  </r>
  <r>
    <x v="7"/>
    <x v="24"/>
    <n v="0.97793739999999996"/>
    <n v="0"/>
  </r>
  <r>
    <x v="7"/>
    <x v="15"/>
    <n v="185.54543591000001"/>
    <n v="0"/>
  </r>
  <r>
    <x v="7"/>
    <x v="19"/>
    <n v="6210.7842919599998"/>
    <n v="0"/>
  </r>
  <r>
    <x v="7"/>
    <x v="43"/>
    <n v="3796339.9888418298"/>
    <n v="0"/>
  </r>
  <r>
    <x v="7"/>
    <x v="23"/>
    <n v="17558861.579473969"/>
    <n v="0"/>
  </r>
  <r>
    <x v="7"/>
    <x v="29"/>
    <n v="7.6039999999999997E-5"/>
    <n v="0"/>
  </r>
  <r>
    <x v="10"/>
    <x v="3"/>
    <n v="430.45047"/>
    <n v="0"/>
  </r>
  <r>
    <x v="10"/>
    <x v="6"/>
    <n v="1.7695412699999999"/>
    <n v="0"/>
  </r>
  <r>
    <x v="10"/>
    <x v="8"/>
    <n v="1.8847760000000002E-2"/>
    <n v="0"/>
  </r>
  <r>
    <x v="10"/>
    <x v="13"/>
    <n v="34.962823350000001"/>
    <n v="0"/>
  </r>
  <r>
    <x v="10"/>
    <x v="14"/>
    <n v="9.9499194400000004"/>
    <n v="0"/>
  </r>
  <r>
    <x v="10"/>
    <x v="25"/>
    <n v="3.4037359"/>
    <n v="0"/>
  </r>
  <r>
    <x v="10"/>
    <x v="68"/>
    <n v="6392.7486803700003"/>
    <n v="0"/>
  </r>
  <r>
    <x v="10"/>
    <x v="19"/>
    <n v="9.1421368100000002"/>
    <n v="0"/>
  </r>
  <r>
    <x v="10"/>
    <x v="21"/>
    <n v="864101.84359399998"/>
    <n v="0"/>
  </r>
  <r>
    <x v="10"/>
    <x v="28"/>
    <n v="0.10834547999999999"/>
    <n v="0"/>
  </r>
  <r>
    <x v="10"/>
    <x v="26"/>
    <n v="113250.4023"/>
    <n v="0"/>
  </r>
  <r>
    <x v="10"/>
    <x v="23"/>
    <n v="1.182861E-2"/>
    <n v="0"/>
  </r>
  <r>
    <x v="10"/>
    <x v="90"/>
    <n v="8.93329E-3"/>
    <n v="0"/>
  </r>
  <r>
    <x v="10"/>
    <x v="29"/>
    <n v="0.71704489000000005"/>
    <n v="0"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2"/>
    <x v="15"/>
    <n v="5.0000000000000001E-4"/>
    <n v="0"/>
  </r>
  <r>
    <x v="12"/>
    <x v="26"/>
    <n v="2.63E-3"/>
    <n v="0"/>
  </r>
  <r>
    <x v="13"/>
    <x v="26"/>
    <n v="10138.885630000001"/>
    <n v="0"/>
  </r>
  <r>
    <x v="14"/>
    <x v="8"/>
    <n v="217.23508133999999"/>
    <n v="0"/>
  </r>
  <r>
    <x v="14"/>
    <x v="8"/>
    <n v="28.219449350000001"/>
    <n v="0"/>
  </r>
  <r>
    <x v="14"/>
    <x v="15"/>
    <n v="6019.3476588599997"/>
    <n v="0"/>
  </r>
  <r>
    <x v="14"/>
    <x v="15"/>
    <n v="192.55910700999999"/>
    <n v="0"/>
  </r>
  <r>
    <x v="14"/>
    <x v="29"/>
    <n v="0.44933625999999999"/>
    <n v="0"/>
  </r>
  <r>
    <x v="14"/>
    <x v="8"/>
    <n v="56.148104859999997"/>
    <n v="0"/>
  </r>
  <r>
    <x v="14"/>
    <x v="8"/>
    <n v="-5.4595830999999997"/>
    <n v="0"/>
  </r>
  <r>
    <x v="14"/>
    <x v="15"/>
    <n v="150"/>
    <n v="0"/>
  </r>
  <r>
    <x v="14"/>
    <x v="23"/>
    <n v="16911260.95220232"/>
    <n v="0"/>
  </r>
  <r>
    <x v="14"/>
    <x v="23"/>
    <n v="669133.19786753994"/>
    <n v="0"/>
  </r>
  <r>
    <x v="14"/>
    <x v="8"/>
    <n v="4.3688520899999999"/>
    <n v="0"/>
  </r>
  <r>
    <x v="14"/>
    <x v="23"/>
    <n v="-19308.570061800001"/>
    <n v="0"/>
  </r>
  <r>
    <x v="14"/>
    <x v="6"/>
    <n v="109.51263598"/>
    <n v="0"/>
  </r>
  <r>
    <x v="14"/>
    <x v="8"/>
    <n v="116.49041591"/>
    <n v="0"/>
  </r>
  <r>
    <x v="14"/>
    <x v="8"/>
    <n v="-9.9421561700000005"/>
    <n v="0"/>
  </r>
  <r>
    <x v="14"/>
    <x v="14"/>
    <n v="147536.53602641"/>
    <n v="0"/>
  </r>
  <r>
    <x v="14"/>
    <x v="15"/>
    <n v="2.6927651300000002"/>
    <n v="0"/>
  </r>
  <r>
    <x v="14"/>
    <x v="19"/>
    <n v="3634.88810483"/>
    <n v="0"/>
  </r>
  <r>
    <x v="14"/>
    <x v="19"/>
    <n v="1.4073850000000001E-2"/>
    <n v="0"/>
  </r>
  <r>
    <x v="14"/>
    <x v="21"/>
    <n v="387813.07240811997"/>
    <n v="0"/>
  </r>
  <r>
    <x v="14"/>
    <x v="23"/>
    <n v="45993374.128806897"/>
    <n v="0"/>
  </r>
  <r>
    <x v="14"/>
    <x v="23"/>
    <n v="1411806.3795819699"/>
    <n v="0"/>
  </r>
  <r>
    <x v="14"/>
    <x v="29"/>
    <n v="2875.5411443900002"/>
    <n v="0"/>
  </r>
  <r>
    <x v="14"/>
    <x v="94"/>
    <n v="1325303.8365750101"/>
    <n v="0"/>
  </r>
  <r>
    <x v="14"/>
    <x v="42"/>
    <n v="0.86729455"/>
    <n v="0"/>
  </r>
  <r>
    <x v="14"/>
    <x v="8"/>
    <n v="105"/>
    <n v="0"/>
  </r>
  <r>
    <x v="14"/>
    <x v="13"/>
    <n v="6.8575999999999999E-4"/>
    <n v="0"/>
  </r>
  <r>
    <x v="14"/>
    <x v="15"/>
    <n v="7.2000000000000005E-4"/>
    <n v="0"/>
  </r>
  <r>
    <x v="14"/>
    <x v="25"/>
    <n v="8.7929999999999993E-5"/>
    <n v="0"/>
  </r>
  <r>
    <x v="14"/>
    <x v="18"/>
    <n v="7.5870867500000001"/>
    <n v="0"/>
  </r>
  <r>
    <x v="14"/>
    <x v="46"/>
    <n v="8.1457000000000003E-4"/>
    <n v="0"/>
  </r>
  <r>
    <x v="14"/>
    <x v="23"/>
    <n v="6.3999999999999997E-5"/>
    <n v="0"/>
  </r>
  <r>
    <x v="14"/>
    <x v="89"/>
    <n v="5.47"/>
    <n v="0"/>
  </r>
  <r>
    <x v="14"/>
    <x v="29"/>
    <n v="6.9987000000000001E-4"/>
    <n v="0"/>
  </r>
  <r>
    <x v="15"/>
    <x v="15"/>
    <n v="7.1361999999999999E-4"/>
    <n v="0"/>
  </r>
  <r>
    <x v="15"/>
    <x v="16"/>
    <n v="0.01"/>
    <n v="0"/>
  </r>
  <r>
    <x v="15"/>
    <x v="96"/>
    <n v="0.01"/>
    <n v="0"/>
  </r>
  <r>
    <x v="15"/>
    <x v="97"/>
    <n v="0.10983253"/>
    <n v="0"/>
  </r>
  <r>
    <x v="15"/>
    <x v="26"/>
    <n v="6.5778299999999998E-3"/>
    <n v="0"/>
  </r>
  <r>
    <x v="15"/>
    <x v="23"/>
    <n v="9.9996000000000004E-4"/>
    <n v="0"/>
  </r>
  <r>
    <x v="15"/>
    <x v="90"/>
    <n v="9.9999999999999995E-8"/>
    <n v="0"/>
  </r>
  <r>
    <x v="16"/>
    <x v="98"/>
    <n v="3189967.2936231201"/>
    <n v="0"/>
  </r>
  <r>
    <x v="17"/>
    <x v="1"/>
    <n v="59"/>
    <n v="0"/>
  </r>
  <r>
    <x v="17"/>
    <x v="25"/>
    <n v="1267.7570125100001"/>
    <n v="0"/>
  </r>
  <r>
    <x v="17"/>
    <x v="23"/>
    <n v="9315180.2629010305"/>
    <n v="0"/>
  </r>
  <r>
    <x v="17"/>
    <x v="99"/>
    <n v="1644286.05309931"/>
    <n v="0"/>
  </r>
  <r>
    <x v="18"/>
    <x v="4"/>
    <n v="4.0782600000000002E-3"/>
    <n v="0"/>
  </r>
  <r>
    <x v="18"/>
    <x v="8"/>
    <n v="7.9466503799999986"/>
    <n v="0"/>
  </r>
  <r>
    <x v="18"/>
    <x v="10"/>
    <n v="0.06"/>
    <n v="0"/>
  </r>
  <r>
    <x v="18"/>
    <x v="13"/>
    <n v="2.0019999999999998"/>
    <n v="0"/>
  </r>
  <r>
    <x v="18"/>
    <x v="14"/>
    <n v="3.5000000000000001E-3"/>
    <n v="0"/>
  </r>
  <r>
    <x v="18"/>
    <x v="24"/>
    <n v="5.8799999999999999E-5"/>
    <n v="0"/>
  </r>
  <r>
    <x v="18"/>
    <x v="15"/>
    <n v="6621.5465003899999"/>
    <n v="0"/>
  </r>
  <r>
    <x v="18"/>
    <x v="25"/>
    <n v="0.42501022999999999"/>
    <n v="0"/>
  </r>
  <r>
    <x v="18"/>
    <x v="60"/>
    <n v="5024"/>
    <n v="0"/>
  </r>
  <r>
    <x v="18"/>
    <x v="100"/>
    <n v="8.9826517900000002"/>
    <n v="0"/>
  </r>
  <r>
    <x v="18"/>
    <x v="40"/>
    <n v="2.53888889"/>
    <n v="0"/>
  </r>
  <r>
    <x v="18"/>
    <x v="62"/>
    <n v="79.958187959999989"/>
    <n v="0"/>
  </r>
  <r>
    <x v="18"/>
    <x v="68"/>
    <n v="1.9338685099999999"/>
    <n v="0"/>
  </r>
  <r>
    <x v="18"/>
    <x v="18"/>
    <n v="53.117741070000001"/>
    <n v="0"/>
  </r>
  <r>
    <x v="18"/>
    <x v="19"/>
    <n v="1111.40706884"/>
    <n v="0"/>
  </r>
  <r>
    <x v="18"/>
    <x v="101"/>
    <n v="5.6554146699999999"/>
    <n v="0"/>
  </r>
  <r>
    <x v="18"/>
    <x v="77"/>
    <n v="4.7709999999999999"/>
    <n v="0"/>
  </r>
  <r>
    <x v="18"/>
    <x v="21"/>
    <n v="76.700156329999999"/>
    <n v="0"/>
  </r>
  <r>
    <x v="18"/>
    <x v="22"/>
    <n v="2.8970426800000002"/>
    <n v="0"/>
  </r>
  <r>
    <x v="18"/>
    <x v="85"/>
    <n v="0.82786806999999996"/>
    <n v="0"/>
  </r>
  <r>
    <x v="18"/>
    <x v="30"/>
    <n v="5089258.3810449997"/>
    <n v="0"/>
  </r>
  <r>
    <x v="18"/>
    <x v="23"/>
    <n v="35119.677000000003"/>
    <n v="0"/>
  </r>
  <r>
    <x v="18"/>
    <x v="90"/>
    <n v="4.0349905000000001"/>
    <n v="0"/>
  </r>
  <r>
    <x v="18"/>
    <x v="29"/>
    <n v="313.68989199999999"/>
    <n v="0"/>
  </r>
  <r>
    <x v="18"/>
    <x v="92"/>
    <n v="7.66849E-3"/>
    <n v="0"/>
  </r>
  <r>
    <x v="0"/>
    <x v="0"/>
    <n v="-200"/>
    <n v="0"/>
  </r>
  <r>
    <x v="0"/>
    <x v="1"/>
    <n v="-20000"/>
    <n v="0"/>
  </r>
  <r>
    <x v="0"/>
    <x v="4"/>
    <n v="-500"/>
    <n v="0"/>
  </r>
  <r>
    <x v="0"/>
    <x v="5"/>
    <n v="-30000"/>
    <n v="0"/>
  </r>
  <r>
    <x v="0"/>
    <x v="6"/>
    <n v="-90"/>
    <n v="0"/>
  </r>
  <r>
    <x v="0"/>
    <x v="8"/>
    <n v="-82.706702309999997"/>
    <n v="0"/>
  </r>
  <r>
    <x v="0"/>
    <x v="9"/>
    <n v="-5463307.5175532"/>
    <n v="0"/>
  </r>
  <r>
    <x v="0"/>
    <x v="10"/>
    <n v="-4800"/>
    <n v="0"/>
  </r>
  <r>
    <x v="0"/>
    <x v="12"/>
    <n v="-180000"/>
    <n v="0"/>
  </r>
  <r>
    <x v="0"/>
    <x v="13"/>
    <n v="-2000"/>
    <n v="0"/>
  </r>
  <r>
    <x v="0"/>
    <x v="20"/>
    <n v="-20000"/>
    <n v="0"/>
  </r>
  <r>
    <x v="0"/>
    <x v="46"/>
    <n v="-6000000000"/>
    <n v="0"/>
  </r>
  <r>
    <x v="0"/>
    <x v="22"/>
    <n v="-60"/>
    <n v="0"/>
  </r>
  <r>
    <x v="0"/>
    <x v="87"/>
    <n v="-100"/>
    <n v="0"/>
  </r>
  <r>
    <x v="4"/>
    <x v="11"/>
    <n v="-11782.51460554"/>
    <n v="0"/>
  </r>
  <r>
    <x v="6"/>
    <x v="6"/>
    <n v="-3086.8876707200002"/>
    <n v="0"/>
  </r>
  <r>
    <x v="6"/>
    <x v="15"/>
    <n v="-11923.311404599999"/>
    <n v="0"/>
  </r>
  <r>
    <x v="6"/>
    <x v="18"/>
    <n v="-30046.69684552"/>
    <n v="0"/>
  </r>
  <r>
    <x v="6"/>
    <x v="77"/>
    <n v="-160712.46089824001"/>
    <n v="0"/>
  </r>
  <r>
    <x v="6"/>
    <x v="92"/>
    <n v="-4.0319251200000004"/>
    <n v="0"/>
  </r>
  <r>
    <x v="9"/>
    <x v="23"/>
    <n v="-9528648.0788313001"/>
    <n v="0"/>
  </r>
  <r>
    <x v="7"/>
    <x v="6"/>
    <n v="-29.37"/>
    <n v="0"/>
  </r>
  <r>
    <x v="7"/>
    <x v="42"/>
    <n v="-546.37"/>
    <n v="0"/>
  </r>
  <r>
    <x v="7"/>
    <x v="14"/>
    <n v="-457203"/>
    <n v="0"/>
  </r>
  <r>
    <x v="7"/>
    <x v="15"/>
    <n v="-1466.27"/>
    <n v="0"/>
  </r>
  <r>
    <x v="7"/>
    <x v="18"/>
    <n v="-2073"/>
    <n v="0"/>
  </r>
  <r>
    <x v="7"/>
    <x v="19"/>
    <n v="-5500"/>
    <n v="0"/>
  </r>
  <r>
    <x v="7"/>
    <x v="23"/>
    <n v="-8415239.2631500997"/>
    <n v="0"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1"/>
    <x v="95"/>
    <m/>
    <m/>
  </r>
  <r>
    <x v="14"/>
    <x v="23"/>
    <n v="-24920.176410470001"/>
    <n v="0"/>
  </r>
  <r>
    <x v="14"/>
    <x v="6"/>
    <n v="-1573.30286441"/>
    <n v="0"/>
  </r>
  <r>
    <x v="14"/>
    <x v="24"/>
    <n v="-0.40707694999999999"/>
    <n v="0"/>
  </r>
  <r>
    <x v="14"/>
    <x v="15"/>
    <n v="-1264.9539022599999"/>
    <n v="0"/>
  </r>
  <r>
    <x v="14"/>
    <x v="17"/>
    <n v="-3.6900389999999998E-2"/>
    <n v="0"/>
  </r>
  <r>
    <x v="14"/>
    <x v="46"/>
    <n v="-10030463790.586161"/>
    <n v="0"/>
  </r>
  <r>
    <x v="14"/>
    <x v="30"/>
    <n v="-66833.931200249994"/>
    <n v="0"/>
  </r>
  <r>
    <x v="17"/>
    <x v="8"/>
    <n v="-174.51592060999999"/>
    <n v="0"/>
  </r>
  <r>
    <x v="17"/>
    <x v="15"/>
    <n v="-2994.3247933399998"/>
    <n v="0"/>
  </r>
  <r>
    <x v="19"/>
    <x v="26"/>
    <n v="39244603.490000002"/>
    <n v="0"/>
  </r>
  <r>
    <x v="20"/>
    <x v="26"/>
    <n v="118588.3"/>
    <n v="0"/>
  </r>
  <r>
    <x v="0"/>
    <x v="0"/>
    <n v="0"/>
    <n v="200.07893852000001"/>
  </r>
  <r>
    <x v="0"/>
    <x v="1"/>
    <n v="0"/>
    <n v="28311.975235000002"/>
  </r>
  <r>
    <x v="0"/>
    <x v="2"/>
    <n v="0"/>
    <n v="25.399726000000001"/>
  </r>
  <r>
    <x v="0"/>
    <x v="3"/>
    <n v="0"/>
    <n v="4.2548999999999998E-3"/>
  </r>
  <r>
    <x v="0"/>
    <x v="4"/>
    <n v="0"/>
    <n v="361.50767796999997"/>
  </r>
  <r>
    <x v="0"/>
    <x v="5"/>
    <n v="0"/>
    <n v="25156.055035879999"/>
  </r>
  <r>
    <x v="0"/>
    <x v="6"/>
    <n v="0"/>
    <n v="91.029457179999994"/>
  </r>
  <r>
    <x v="0"/>
    <x v="7"/>
    <n v="0"/>
    <n v="86.736910640000005"/>
  </r>
  <r>
    <x v="0"/>
    <x v="8"/>
    <n v="0"/>
    <n v="13.73907262"/>
  </r>
  <r>
    <x v="0"/>
    <x v="9"/>
    <n v="0"/>
    <n v="24711.245515769999"/>
  </r>
  <r>
    <x v="0"/>
    <x v="10"/>
    <n v="0"/>
    <n v="36.869033870000003"/>
  </r>
  <r>
    <x v="0"/>
    <x v="11"/>
    <n v="0"/>
    <n v="1.5637979999999999E-2"/>
  </r>
  <r>
    <x v="0"/>
    <x v="12"/>
    <n v="0"/>
    <n v="61610.470464270002"/>
  </r>
  <r>
    <x v="0"/>
    <x v="13"/>
    <n v="0"/>
    <n v="1999.0152611599999"/>
  </r>
  <r>
    <x v="0"/>
    <x v="14"/>
    <n v="0"/>
    <n v="29999.901399999999"/>
  </r>
  <r>
    <x v="0"/>
    <x v="15"/>
    <n v="0"/>
    <n v="9.9330999999999996"/>
  </r>
  <r>
    <x v="0"/>
    <x v="16"/>
    <n v="0"/>
    <n v="677104.01022685005"/>
  </r>
  <r>
    <x v="0"/>
    <x v="17"/>
    <n v="0"/>
    <n v="0.19800000000000001"/>
  </r>
  <r>
    <x v="0"/>
    <x v="18"/>
    <n v="0"/>
    <n v="12.72046903"/>
  </r>
  <r>
    <x v="0"/>
    <x v="19"/>
    <n v="0"/>
    <n v="1.4551239499999999"/>
  </r>
  <r>
    <x v="0"/>
    <x v="20"/>
    <n v="0"/>
    <n v="4125.1621725699997"/>
  </r>
  <r>
    <x v="0"/>
    <x v="21"/>
    <n v="0"/>
    <n v="404922.62526320003"/>
  </r>
  <r>
    <x v="0"/>
    <x v="22"/>
    <n v="0"/>
    <n v="57.222791209999997"/>
  </r>
  <r>
    <x v="0"/>
    <x v="23"/>
    <n v="0"/>
    <n v="718322.52480136999"/>
  </r>
  <r>
    <x v="0"/>
    <x v="8"/>
    <n v="0"/>
    <n v="821.46111841000004"/>
  </r>
  <r>
    <x v="0"/>
    <x v="8"/>
    <n v="0"/>
    <n v="-9.6172516300000002"/>
  </r>
  <r>
    <x v="0"/>
    <x v="15"/>
    <n v="0"/>
    <n v="60.110409199999999"/>
  </r>
  <r>
    <x v="0"/>
    <x v="15"/>
    <n v="0"/>
    <n v="5844.0404380399996"/>
  </r>
  <r>
    <x v="0"/>
    <x v="0"/>
    <n v="0"/>
    <n v="-200"/>
  </r>
  <r>
    <x v="0"/>
    <x v="1"/>
    <n v="0"/>
    <n v="-20000"/>
  </r>
  <r>
    <x v="0"/>
    <x v="4"/>
    <n v="0"/>
    <n v="-500"/>
  </r>
  <r>
    <x v="0"/>
    <x v="5"/>
    <n v="0"/>
    <n v="-30000"/>
  </r>
  <r>
    <x v="0"/>
    <x v="6"/>
    <n v="0"/>
    <n v="-90"/>
  </r>
  <r>
    <x v="0"/>
    <x v="7"/>
    <n v="0"/>
    <n v="2523.03945561"/>
  </r>
  <r>
    <x v="0"/>
    <x v="8"/>
    <n v="0"/>
    <n v="-46.405424570000001"/>
  </r>
  <r>
    <x v="0"/>
    <x v="9"/>
    <n v="0"/>
    <n v="-5884665.3022512002"/>
  </r>
  <r>
    <x v="0"/>
    <x v="10"/>
    <n v="0"/>
    <n v="-4800"/>
  </r>
  <r>
    <x v="0"/>
    <x v="12"/>
    <n v="0"/>
    <n v="-180000"/>
  </r>
  <r>
    <x v="0"/>
    <x v="13"/>
    <n v="0"/>
    <n v="-2000"/>
  </r>
  <r>
    <x v="0"/>
    <x v="14"/>
    <n v="0"/>
    <n v="204642.6"/>
  </r>
  <r>
    <x v="0"/>
    <x v="24"/>
    <n v="0"/>
    <n v="0.15721859999999999"/>
  </r>
  <r>
    <x v="0"/>
    <x v="15"/>
    <n v="0"/>
    <n v="1425.4395999999999"/>
  </r>
  <r>
    <x v="0"/>
    <x v="18"/>
    <n v="0"/>
    <n v="1581.07"/>
  </r>
  <r>
    <x v="0"/>
    <x v="19"/>
    <n v="0"/>
    <n v="497.99799999999999"/>
  </r>
  <r>
    <x v="0"/>
    <x v="20"/>
    <n v="0"/>
    <n v="-20000"/>
  </r>
  <r>
    <x v="0"/>
    <x v="46"/>
    <n v="0"/>
    <n v="-6000000000"/>
  </r>
  <r>
    <x v="0"/>
    <x v="22"/>
    <n v="0"/>
    <n v="-60"/>
  </r>
  <r>
    <x v="0"/>
    <x v="23"/>
    <n v="0"/>
    <n v="15497295.007822599"/>
  </r>
  <r>
    <x v="0"/>
    <x v="87"/>
    <n v="0"/>
    <n v="-100"/>
  </r>
  <r>
    <x v="0"/>
    <x v="7"/>
    <n v="0"/>
    <n v="1E-8"/>
  </r>
  <r>
    <x v="0"/>
    <x v="9"/>
    <n v="0"/>
    <n v="13100000"/>
  </r>
  <r>
    <x v="0"/>
    <x v="23"/>
    <n v="0"/>
    <n v="2379834.8896099501"/>
  </r>
  <r>
    <x v="0"/>
    <x v="23"/>
    <n v="0"/>
    <n v="33566045.479867399"/>
  </r>
  <r>
    <x v="0"/>
    <x v="23"/>
    <n v="0"/>
    <n v="-9544.9870844500001"/>
  </r>
  <r>
    <x v="0"/>
    <x v="23"/>
    <n v="0"/>
    <n v="1970964.03772586"/>
  </r>
  <r>
    <x v="21"/>
    <x v="8"/>
    <n v="0"/>
    <n v="1E-3"/>
  </r>
  <r>
    <x v="21"/>
    <x v="8"/>
    <n v="0"/>
    <n v="7.9996000000000008E-3"/>
  </r>
  <r>
    <x v="21"/>
    <x v="15"/>
    <n v="0"/>
    <n v="0.02"/>
  </r>
  <r>
    <x v="21"/>
    <x v="25"/>
    <n v="0"/>
    <n v="0.02"/>
  </r>
  <r>
    <x v="21"/>
    <x v="26"/>
    <n v="0"/>
    <n v="2.755467E-2"/>
  </r>
  <r>
    <x v="21"/>
    <x v="27"/>
    <n v="0"/>
    <n v="30"/>
  </r>
  <r>
    <x v="21"/>
    <x v="27"/>
    <n v="0"/>
    <n v="29.9885932"/>
  </r>
  <r>
    <x v="21"/>
    <x v="102"/>
    <n v="0"/>
    <n v="30"/>
  </r>
  <r>
    <x v="2"/>
    <x v="6"/>
    <n v="0"/>
    <n v="0.21932823000000001"/>
  </r>
  <r>
    <x v="2"/>
    <x v="8"/>
    <n v="0"/>
    <n v="5.7861299999999997E-2"/>
  </r>
  <r>
    <x v="2"/>
    <x v="15"/>
    <n v="0"/>
    <n v="0.73541904000000002"/>
  </r>
  <r>
    <x v="2"/>
    <x v="19"/>
    <n v="0"/>
    <n v="15.892145019999999"/>
  </r>
  <r>
    <x v="2"/>
    <x v="28"/>
    <n v="0"/>
    <n v="22277.5319929"/>
  </r>
  <r>
    <x v="2"/>
    <x v="26"/>
    <n v="0"/>
    <n v="114736.84"/>
  </r>
  <r>
    <x v="2"/>
    <x v="29"/>
    <n v="0"/>
    <n v="116647.68407285"/>
  </r>
  <r>
    <x v="3"/>
    <x v="23"/>
    <n v="0"/>
    <n v="-68412582.498248994"/>
  </r>
  <r>
    <x v="3"/>
    <x v="8"/>
    <n v="0"/>
    <n v="4012.06535725"/>
  </r>
  <r>
    <x v="3"/>
    <x v="26"/>
    <n v="0"/>
    <n v="29490250.719900001"/>
  </r>
  <r>
    <x v="3"/>
    <x v="30"/>
    <n v="0"/>
    <n v="101"/>
  </r>
  <r>
    <x v="3"/>
    <x v="14"/>
    <n v="0"/>
    <n v="1230497.4971"/>
  </r>
  <r>
    <x v="3"/>
    <x v="18"/>
    <n v="0"/>
    <n v="14768.90497507"/>
  </r>
  <r>
    <x v="3"/>
    <x v="19"/>
    <n v="0"/>
    <n v="1010.43732419"/>
  </r>
  <r>
    <x v="3"/>
    <x v="26"/>
    <n v="0"/>
    <n v="7771009.6179"/>
  </r>
  <r>
    <x v="3"/>
    <x v="15"/>
    <n v="0"/>
    <n v="15423.80749786"/>
  </r>
  <r>
    <x v="3"/>
    <x v="26"/>
    <n v="0"/>
    <n v="10984646.900800001"/>
  </r>
  <r>
    <x v="3"/>
    <x v="8"/>
    <n v="0"/>
    <n v="66.460821039999999"/>
  </r>
  <r>
    <x v="3"/>
    <x v="15"/>
    <n v="0"/>
    <n v="1081.39261971"/>
  </r>
  <r>
    <x v="5"/>
    <x v="26"/>
    <n v="0"/>
    <n v="174043.38447200001"/>
  </r>
  <r>
    <x v="18"/>
    <x v="0"/>
    <n v="0"/>
    <n v="150"/>
  </r>
  <r>
    <x v="18"/>
    <x v="4"/>
    <n v="0"/>
    <n v="4.0782587999999998E-3"/>
  </r>
  <r>
    <x v="18"/>
    <x v="8"/>
    <n v="0"/>
    <n v="7.9471685000000001"/>
  </r>
  <r>
    <x v="18"/>
    <x v="10"/>
    <n v="0"/>
    <n v="0.06"/>
  </r>
  <r>
    <x v="18"/>
    <x v="11"/>
    <n v="0"/>
    <n v="9.7777784334"/>
  </r>
  <r>
    <x v="18"/>
    <x v="13"/>
    <n v="0"/>
    <n v="2.0019999999999998"/>
  </r>
  <r>
    <x v="18"/>
    <x v="14"/>
    <n v="0"/>
    <n v="3.5000000000000001E-3"/>
  </r>
  <r>
    <x v="18"/>
    <x v="24"/>
    <n v="0"/>
    <n v="5.8799999999999999E-5"/>
  </r>
  <r>
    <x v="18"/>
    <x v="15"/>
    <n v="0"/>
    <n v="6681.3304798220997"/>
  </r>
  <r>
    <x v="18"/>
    <x v="25"/>
    <n v="0"/>
    <n v="4.0610759158"/>
  </r>
  <r>
    <x v="18"/>
    <x v="103"/>
    <n v="0"/>
    <n v="5024"/>
  </r>
  <r>
    <x v="18"/>
    <x v="104"/>
    <n v="0"/>
    <n v="8.9826517890000002"/>
  </r>
  <r>
    <x v="18"/>
    <x v="40"/>
    <n v="0"/>
    <n v="2.53888889"/>
  </r>
  <r>
    <x v="18"/>
    <x v="62"/>
    <n v="0"/>
    <n v="79.958187960000004"/>
  </r>
  <r>
    <x v="18"/>
    <x v="68"/>
    <n v="0"/>
    <n v="1.9338685143000001"/>
  </r>
  <r>
    <x v="18"/>
    <x v="18"/>
    <n v="0"/>
    <n v="53.117741070000001"/>
  </r>
  <r>
    <x v="18"/>
    <x v="19"/>
    <n v="0"/>
    <n v="1111.40706884"/>
  </r>
  <r>
    <x v="18"/>
    <x v="101"/>
    <n v="0"/>
    <n v="5.6554146698999999"/>
  </r>
  <r>
    <x v="18"/>
    <x v="77"/>
    <n v="0"/>
    <n v="4.7709999999999999"/>
  </r>
  <r>
    <x v="18"/>
    <x v="105"/>
    <n v="0"/>
    <n v="5625.02729593"/>
  </r>
  <r>
    <x v="18"/>
    <x v="106"/>
    <n v="0"/>
    <n v="5968"/>
  </r>
  <r>
    <x v="18"/>
    <x v="21"/>
    <n v="0"/>
    <n v="76.700156329999999"/>
  </r>
  <r>
    <x v="18"/>
    <x v="22"/>
    <n v="0"/>
    <n v="2.8970426800000002"/>
  </r>
  <r>
    <x v="18"/>
    <x v="85"/>
    <n v="0"/>
    <n v="0.82786806999999996"/>
  </r>
  <r>
    <x v="18"/>
    <x v="30"/>
    <n v="0"/>
    <n v="6169764.2016209997"/>
  </r>
  <r>
    <x v="18"/>
    <x v="107"/>
    <n v="0"/>
    <n v="35119.677000000003"/>
  </r>
  <r>
    <x v="18"/>
    <x v="36"/>
    <n v="0"/>
    <n v="7.9373880867000004"/>
  </r>
  <r>
    <x v="18"/>
    <x v="90"/>
    <n v="0"/>
    <n v="4.0349905000000001"/>
  </r>
  <r>
    <x v="18"/>
    <x v="29"/>
    <n v="0"/>
    <n v="313.68989199999999"/>
  </r>
  <r>
    <x v="18"/>
    <x v="92"/>
    <n v="0"/>
    <n v="7.66849E-3"/>
  </r>
  <r>
    <x v="22"/>
    <x v="1"/>
    <n v="0"/>
    <n v="9.6999999999999992E-9"/>
  </r>
  <r>
    <x v="22"/>
    <x v="6"/>
    <n v="0"/>
    <n v="5.02E-8"/>
  </r>
  <r>
    <x v="22"/>
    <x v="42"/>
    <n v="0"/>
    <n v="0.47315189390000001"/>
  </r>
  <r>
    <x v="22"/>
    <x v="8"/>
    <n v="0"/>
    <n v="3.8600000000000002E-8"/>
  </r>
  <r>
    <x v="22"/>
    <x v="14"/>
    <n v="0"/>
    <n v="3.1699999999999999E-8"/>
  </r>
  <r>
    <x v="22"/>
    <x v="24"/>
    <n v="0"/>
    <n v="6.1E-9"/>
  </r>
  <r>
    <x v="22"/>
    <x v="15"/>
    <n v="0"/>
    <n v="2.8600000000000001E-8"/>
  </r>
  <r>
    <x v="22"/>
    <x v="18"/>
    <n v="0"/>
    <n v="4.6999999999999999E-9"/>
  </r>
  <r>
    <x v="22"/>
    <x v="19"/>
    <n v="0"/>
    <n v="9.3000000000000006E-9"/>
  </r>
  <r>
    <x v="22"/>
    <x v="43"/>
    <n v="0"/>
    <n v="7.8999999999999996E-9"/>
  </r>
  <r>
    <x v="22"/>
    <x v="29"/>
    <n v="0"/>
    <n v="9.7899999999999997E-8"/>
  </r>
  <r>
    <x v="22"/>
    <x v="1"/>
    <n v="0"/>
    <n v="5.7406593000000001E-3"/>
  </r>
  <r>
    <x v="22"/>
    <x v="6"/>
    <n v="0"/>
    <n v="0.72885028029999999"/>
  </r>
  <r>
    <x v="22"/>
    <x v="42"/>
    <n v="0"/>
    <n v="0.11285791119999999"/>
  </r>
  <r>
    <x v="22"/>
    <x v="8"/>
    <n v="0"/>
    <n v="-10.5110030813"/>
  </r>
  <r>
    <x v="22"/>
    <x v="8"/>
    <n v="0"/>
    <n v="471.4703452023"/>
  </r>
  <r>
    <x v="22"/>
    <x v="13"/>
    <n v="0"/>
    <n v="0.97764076359999996"/>
  </r>
  <r>
    <x v="22"/>
    <x v="14"/>
    <n v="0"/>
    <n v="3.7085151300000001E-2"/>
  </r>
  <r>
    <x v="22"/>
    <x v="24"/>
    <n v="0"/>
    <n v="0.70701212930000001"/>
  </r>
  <r>
    <x v="22"/>
    <x v="15"/>
    <n v="0"/>
    <n v="-100.3328244301"/>
  </r>
  <r>
    <x v="22"/>
    <x v="15"/>
    <n v="0"/>
    <n v="8734.1206793836991"/>
  </r>
  <r>
    <x v="22"/>
    <x v="18"/>
    <n v="0"/>
    <n v="6.2442432399999998E-2"/>
  </r>
  <r>
    <x v="22"/>
    <x v="19"/>
    <n v="0"/>
    <n v="7.1564416123000001"/>
  </r>
  <r>
    <x v="22"/>
    <x v="43"/>
    <n v="0"/>
    <n v="0.95766241559999998"/>
  </r>
  <r>
    <x v="22"/>
    <x v="29"/>
    <n v="0"/>
    <n v="0.54364484400000002"/>
  </r>
  <r>
    <x v="7"/>
    <x v="1"/>
    <n v="0"/>
    <n v="1E-8"/>
  </r>
  <r>
    <x v="7"/>
    <x v="6"/>
    <n v="0"/>
    <n v="1E-8"/>
  </r>
  <r>
    <x v="7"/>
    <x v="42"/>
    <n v="0"/>
    <n v="1E-8"/>
  </r>
  <r>
    <x v="7"/>
    <x v="14"/>
    <n v="0"/>
    <n v="1E-8"/>
  </r>
  <r>
    <x v="7"/>
    <x v="24"/>
    <n v="0"/>
    <n v="1E-8"/>
  </r>
  <r>
    <x v="7"/>
    <x v="15"/>
    <n v="0"/>
    <n v="1E-8"/>
  </r>
  <r>
    <x v="7"/>
    <x v="18"/>
    <n v="0"/>
    <n v="1E-8"/>
  </r>
  <r>
    <x v="7"/>
    <x v="19"/>
    <n v="0"/>
    <n v="1E-8"/>
  </r>
  <r>
    <x v="7"/>
    <x v="23"/>
    <n v="0"/>
    <n v="1E-8"/>
  </r>
  <r>
    <x v="7"/>
    <x v="23"/>
    <n v="0"/>
    <n v="0.1"/>
  </r>
  <r>
    <x v="7"/>
    <x v="29"/>
    <n v="0"/>
    <n v="7.4209999999999996E-5"/>
  </r>
  <r>
    <x v="7"/>
    <x v="29"/>
    <n v="0"/>
    <n v="6.4869999999999994E-5"/>
  </r>
  <r>
    <x v="7"/>
    <x v="48"/>
    <n v="0"/>
    <n v="377.09760540000002"/>
  </r>
  <r>
    <x v="7"/>
    <x v="1"/>
    <n v="0"/>
    <n v="1.1000000000000001E-7"/>
  </r>
  <r>
    <x v="7"/>
    <x v="2"/>
    <n v="0"/>
    <n v="3587.9402382600001"/>
  </r>
  <r>
    <x v="7"/>
    <x v="49"/>
    <n v="0"/>
    <n v="0.53247394999999997"/>
  </r>
  <r>
    <x v="7"/>
    <x v="3"/>
    <n v="0"/>
    <n v="5.2478028200000004"/>
  </r>
  <r>
    <x v="7"/>
    <x v="4"/>
    <n v="0"/>
    <n v="1.5389969999999999E-2"/>
  </r>
  <r>
    <x v="7"/>
    <x v="5"/>
    <n v="0"/>
    <n v="152.41521331999999"/>
  </r>
  <r>
    <x v="7"/>
    <x v="6"/>
    <n v="0"/>
    <n v="-29.37"/>
  </r>
  <r>
    <x v="7"/>
    <x v="6"/>
    <n v="0"/>
    <n v="2202.9948926699999"/>
  </r>
  <r>
    <x v="7"/>
    <x v="6"/>
    <n v="0"/>
    <n v="2"/>
  </r>
  <r>
    <x v="7"/>
    <x v="6"/>
    <n v="0"/>
    <n v="64.011424020000007"/>
  </r>
  <r>
    <x v="7"/>
    <x v="50"/>
    <n v="0"/>
    <n v="2.5033500000000001E-3"/>
  </r>
  <r>
    <x v="7"/>
    <x v="51"/>
    <n v="0"/>
    <n v="115.29838952"/>
  </r>
  <r>
    <x v="7"/>
    <x v="52"/>
    <n v="0"/>
    <n v="14.7502"/>
  </r>
  <r>
    <x v="7"/>
    <x v="42"/>
    <n v="0"/>
    <n v="2604.8644934200001"/>
  </r>
  <r>
    <x v="7"/>
    <x v="42"/>
    <n v="0"/>
    <n v="1625.6897381399999"/>
  </r>
  <r>
    <x v="7"/>
    <x v="42"/>
    <n v="0"/>
    <n v="-546.37"/>
  </r>
  <r>
    <x v="7"/>
    <x v="8"/>
    <n v="0"/>
    <n v="1395.8112005200001"/>
  </r>
  <r>
    <x v="7"/>
    <x v="8"/>
    <n v="0"/>
    <n v="155.21512641000001"/>
  </r>
  <r>
    <x v="7"/>
    <x v="8"/>
    <n v="0"/>
    <n v="0.74618799999999996"/>
  </r>
  <r>
    <x v="7"/>
    <x v="53"/>
    <n v="0"/>
    <n v="0.33565571999999999"/>
  </r>
  <r>
    <x v="7"/>
    <x v="54"/>
    <n v="0"/>
    <n v="1367501156.8785999"/>
  </r>
  <r>
    <x v="7"/>
    <x v="55"/>
    <n v="0"/>
    <n v="1.7855998900000001"/>
  </r>
  <r>
    <x v="7"/>
    <x v="10"/>
    <n v="0"/>
    <n v="43.072197150000001"/>
  </r>
  <r>
    <x v="7"/>
    <x v="56"/>
    <n v="0"/>
    <n v="0.30791584"/>
  </r>
  <r>
    <x v="7"/>
    <x v="57"/>
    <n v="0"/>
    <n v="5.6119999999999998E-5"/>
  </r>
  <r>
    <x v="7"/>
    <x v="58"/>
    <n v="0"/>
    <n v="5.9800000000000001E-4"/>
  </r>
  <r>
    <x v="7"/>
    <x v="13"/>
    <n v="0"/>
    <n v="17619.949551860002"/>
  </r>
  <r>
    <x v="7"/>
    <x v="13"/>
    <n v="0"/>
    <n v="19049.75822756"/>
  </r>
  <r>
    <x v="7"/>
    <x v="59"/>
    <n v="0"/>
    <n v="241319.15317850999"/>
  </r>
  <r>
    <x v="7"/>
    <x v="14"/>
    <n v="0"/>
    <n v="-457203"/>
  </r>
  <r>
    <x v="7"/>
    <x v="14"/>
    <n v="0"/>
    <n v="603384.83236875001"/>
  </r>
  <r>
    <x v="7"/>
    <x v="14"/>
    <n v="0"/>
    <n v="5000"/>
  </r>
  <r>
    <x v="7"/>
    <x v="14"/>
    <n v="0"/>
    <n v="24161.616036769999"/>
  </r>
  <r>
    <x v="7"/>
    <x v="24"/>
    <n v="0"/>
    <n v="0.97793739999999996"/>
  </r>
  <r>
    <x v="7"/>
    <x v="24"/>
    <n v="0"/>
    <n v="9676.7341443799996"/>
  </r>
  <r>
    <x v="7"/>
    <x v="15"/>
    <n v="0"/>
    <n v="6"/>
  </r>
  <r>
    <x v="7"/>
    <x v="15"/>
    <n v="0"/>
    <n v="658.85781324000004"/>
  </r>
  <r>
    <x v="7"/>
    <x v="15"/>
    <n v="0"/>
    <n v="23.259335910000001"/>
  </r>
  <r>
    <x v="7"/>
    <x v="15"/>
    <n v="0"/>
    <n v="-1466.27"/>
  </r>
  <r>
    <x v="7"/>
    <x v="44"/>
    <n v="0"/>
    <n v="9823.8364263999993"/>
  </r>
  <r>
    <x v="7"/>
    <x v="25"/>
    <n v="0"/>
    <n v="3460.93190667"/>
  </r>
  <r>
    <x v="7"/>
    <x v="60"/>
    <n v="0"/>
    <n v="337071.23507431999"/>
  </r>
  <r>
    <x v="7"/>
    <x v="60"/>
    <n v="0"/>
    <n v="2363.84"/>
  </r>
  <r>
    <x v="7"/>
    <x v="17"/>
    <n v="0"/>
    <n v="2339.8611111199998"/>
  </r>
  <r>
    <x v="7"/>
    <x v="40"/>
    <n v="0"/>
    <n v="0.68557060000000003"/>
  </r>
  <r>
    <x v="7"/>
    <x v="61"/>
    <n v="0"/>
    <n v="54.776400000000002"/>
  </r>
  <r>
    <x v="7"/>
    <x v="62"/>
    <n v="0"/>
    <n v="100.03406049"/>
  </r>
  <r>
    <x v="7"/>
    <x v="63"/>
    <n v="0"/>
    <n v="5337.6979873099999"/>
  </r>
  <r>
    <x v="7"/>
    <x v="64"/>
    <n v="0"/>
    <n v="3368.00656334"/>
  </r>
  <r>
    <x v="7"/>
    <x v="65"/>
    <n v="0"/>
    <n v="14.785856219999999"/>
  </r>
  <r>
    <x v="7"/>
    <x v="66"/>
    <n v="0"/>
    <n v="0.81765067999999996"/>
  </r>
  <r>
    <x v="7"/>
    <x v="67"/>
    <n v="0"/>
    <n v="9.1121815000000002"/>
  </r>
  <r>
    <x v="7"/>
    <x v="68"/>
    <n v="0"/>
    <n v="5"/>
  </r>
  <r>
    <x v="7"/>
    <x v="69"/>
    <n v="0"/>
    <n v="0.24234807999999999"/>
  </r>
  <r>
    <x v="7"/>
    <x v="70"/>
    <n v="0"/>
    <n v="1E-8"/>
  </r>
  <r>
    <x v="7"/>
    <x v="18"/>
    <n v="0"/>
    <n v="24562.437244059998"/>
  </r>
  <r>
    <x v="7"/>
    <x v="18"/>
    <n v="0"/>
    <n v="-2073"/>
  </r>
  <r>
    <x v="7"/>
    <x v="18"/>
    <n v="0"/>
    <n v="362"/>
  </r>
  <r>
    <x v="7"/>
    <x v="71"/>
    <n v="0"/>
    <n v="4.3289484800000002"/>
  </r>
  <r>
    <x v="7"/>
    <x v="19"/>
    <n v="0"/>
    <n v="20"/>
  </r>
  <r>
    <x v="7"/>
    <x v="19"/>
    <n v="0"/>
    <n v="-5500"/>
  </r>
  <r>
    <x v="7"/>
    <x v="19"/>
    <n v="0"/>
    <n v="5929.5598699299999"/>
  </r>
  <r>
    <x v="7"/>
    <x v="19"/>
    <n v="0"/>
    <n v="5213.1615559299998"/>
  </r>
  <r>
    <x v="7"/>
    <x v="72"/>
    <n v="0"/>
    <n v="0.66495972999999997"/>
  </r>
  <r>
    <x v="7"/>
    <x v="20"/>
    <n v="0"/>
    <n v="0.34"/>
  </r>
  <r>
    <x v="7"/>
    <x v="73"/>
    <n v="0"/>
    <n v="0.89105878000000005"/>
  </r>
  <r>
    <x v="7"/>
    <x v="74"/>
    <n v="0"/>
    <n v="40.704174029999997"/>
  </r>
  <r>
    <x v="7"/>
    <x v="75"/>
    <n v="0"/>
    <n v="3013993111.0959401"/>
  </r>
  <r>
    <x v="7"/>
    <x v="76"/>
    <n v="0"/>
    <n v="4.3068300000000002E-3"/>
  </r>
  <r>
    <x v="7"/>
    <x v="77"/>
    <n v="0"/>
    <n v="162254.56419957001"/>
  </r>
  <r>
    <x v="7"/>
    <x v="78"/>
    <n v="0"/>
    <n v="0.34782034000000001"/>
  </r>
  <r>
    <x v="7"/>
    <x v="21"/>
    <n v="0"/>
    <n v="950989.50676794001"/>
  </r>
  <r>
    <x v="7"/>
    <x v="21"/>
    <n v="0"/>
    <n v="1000"/>
  </r>
  <r>
    <x v="7"/>
    <x v="79"/>
    <n v="0"/>
    <n v="3.0962099999999998E-3"/>
  </r>
  <r>
    <x v="7"/>
    <x v="80"/>
    <n v="0"/>
    <n v="2.6598900000000002E-2"/>
  </r>
  <r>
    <x v="7"/>
    <x v="28"/>
    <n v="0"/>
    <n v="1214222.2371159999"/>
  </r>
  <r>
    <x v="7"/>
    <x v="46"/>
    <n v="0"/>
    <n v="4793337439.3522301"/>
  </r>
  <r>
    <x v="7"/>
    <x v="22"/>
    <n v="0"/>
    <n v="0.14106867000000001"/>
  </r>
  <r>
    <x v="7"/>
    <x v="81"/>
    <n v="0"/>
    <n v="38753.774400000002"/>
  </r>
  <r>
    <x v="7"/>
    <x v="82"/>
    <n v="0"/>
    <n v="29.76350429"/>
  </r>
  <r>
    <x v="7"/>
    <x v="43"/>
    <n v="0"/>
    <n v="3793339.9888418298"/>
  </r>
  <r>
    <x v="7"/>
    <x v="43"/>
    <n v="0"/>
    <n v="9185410.11119611"/>
  </r>
  <r>
    <x v="7"/>
    <x v="83"/>
    <n v="0"/>
    <n v="6.3152970000000003E-2"/>
  </r>
  <r>
    <x v="7"/>
    <x v="84"/>
    <n v="0"/>
    <n v="20"/>
  </r>
  <r>
    <x v="7"/>
    <x v="85"/>
    <n v="0"/>
    <n v="4.7890616599999998"/>
  </r>
  <r>
    <x v="7"/>
    <x v="30"/>
    <n v="0"/>
    <n v="4512595.36556256"/>
  </r>
  <r>
    <x v="7"/>
    <x v="86"/>
    <n v="0"/>
    <n v="0.34680431"/>
  </r>
  <r>
    <x v="7"/>
    <x v="23"/>
    <n v="0"/>
    <n v="-80023038.847481906"/>
  </r>
  <r>
    <x v="7"/>
    <x v="23"/>
    <n v="0"/>
    <n v="10004.62055"/>
  </r>
  <r>
    <x v="7"/>
    <x v="23"/>
    <n v="0"/>
    <n v="591974.91525599"/>
  </r>
  <r>
    <x v="7"/>
    <x v="23"/>
    <n v="0"/>
    <n v="6541.9120000000003"/>
  </r>
  <r>
    <x v="7"/>
    <x v="23"/>
    <n v="0"/>
    <n v="15284388.237791499"/>
  </r>
  <r>
    <x v="7"/>
    <x v="87"/>
    <n v="0"/>
    <n v="59589.017780000002"/>
  </r>
  <r>
    <x v="7"/>
    <x v="88"/>
    <n v="0"/>
    <n v="0.20872535"/>
  </r>
  <r>
    <x v="7"/>
    <x v="89"/>
    <n v="0"/>
    <n v="97856389.900000006"/>
  </r>
  <r>
    <x v="7"/>
    <x v="90"/>
    <n v="0"/>
    <n v="0.55556267999999998"/>
  </r>
  <r>
    <x v="7"/>
    <x v="29"/>
    <n v="0"/>
    <n v="300"/>
  </r>
  <r>
    <x v="7"/>
    <x v="29"/>
    <n v="0"/>
    <n v="1035.23311758"/>
  </r>
  <r>
    <x v="7"/>
    <x v="29"/>
    <n v="0"/>
    <n v="7.6039999999999997E-5"/>
  </r>
  <r>
    <x v="7"/>
    <x v="91"/>
    <n v="0"/>
    <n v="3.9304560899999998"/>
  </r>
  <r>
    <x v="7"/>
    <x v="92"/>
    <n v="0"/>
    <n v="0.10222220999999999"/>
  </r>
  <r>
    <x v="7"/>
    <x v="47"/>
    <n v="0"/>
    <n v="1.329583E-2"/>
  </r>
  <r>
    <x v="7"/>
    <x v="93"/>
    <n v="0"/>
    <n v="2.173E-4"/>
  </r>
  <r>
    <x v="7"/>
    <x v="94"/>
    <n v="0"/>
    <n v="19466735.188245799"/>
  </r>
  <r>
    <x v="7"/>
    <x v="94"/>
    <n v="0"/>
    <n v="6320"/>
  </r>
  <r>
    <x v="7"/>
    <x v="0"/>
    <n v="0"/>
    <n v="0.10014646000000001"/>
  </r>
  <r>
    <x v="7"/>
    <x v="1"/>
    <n v="0"/>
    <n v="3.2091770000000001E-4"/>
  </r>
  <r>
    <x v="7"/>
    <x v="6"/>
    <n v="0"/>
    <n v="5.3552099999999996E-4"/>
  </r>
  <r>
    <x v="7"/>
    <x v="42"/>
    <n v="0"/>
    <n v="3.3400000000000001E-8"/>
  </r>
  <r>
    <x v="7"/>
    <x v="8"/>
    <n v="0"/>
    <n v="300.74904549920001"/>
  </r>
  <r>
    <x v="7"/>
    <x v="8"/>
    <n v="0"/>
    <n v="6.022931077"/>
  </r>
  <r>
    <x v="7"/>
    <x v="13"/>
    <n v="0"/>
    <n v="3.8972870000000001E-3"/>
  </r>
  <r>
    <x v="7"/>
    <x v="24"/>
    <n v="0"/>
    <n v="0.1010306031"/>
  </r>
  <r>
    <x v="7"/>
    <x v="15"/>
    <n v="0"/>
    <n v="1586.7549273663999"/>
  </r>
  <r>
    <x v="7"/>
    <x v="15"/>
    <n v="0"/>
    <n v="16.4667361809"/>
  </r>
  <r>
    <x v="7"/>
    <x v="18"/>
    <n v="0"/>
    <n v="9.5620959999999995E-4"/>
  </r>
  <r>
    <x v="7"/>
    <x v="19"/>
    <n v="0"/>
    <n v="2.4771052999999999E-3"/>
  </r>
  <r>
    <x v="7"/>
    <x v="46"/>
    <n v="0"/>
    <n v="71073.205401560001"/>
  </r>
  <r>
    <x v="7"/>
    <x v="43"/>
    <n v="0"/>
    <n v="4.8644820000000002E-4"/>
  </r>
  <r>
    <x v="7"/>
    <x v="29"/>
    <n v="0"/>
    <n v="1.9184280000000001E-4"/>
  </r>
  <r>
    <x v="7"/>
    <x v="47"/>
    <n v="0"/>
    <n v="2.4299999999999999E-3"/>
  </r>
  <r>
    <x v="7"/>
    <x v="8"/>
    <n v="0"/>
    <n v="-2.1941309404"/>
  </r>
  <r>
    <x v="7"/>
    <x v="8"/>
    <n v="0"/>
    <n v="257.8830283227"/>
  </r>
  <r>
    <x v="7"/>
    <x v="8"/>
    <n v="0"/>
    <n v="241.07601108"/>
  </r>
  <r>
    <x v="7"/>
    <x v="23"/>
    <n v="0"/>
    <n v="-9528648.0788313001"/>
  </r>
  <r>
    <x v="7"/>
    <x v="23"/>
    <n v="0"/>
    <n v="6547.8860000000004"/>
  </r>
  <r>
    <x v="7"/>
    <x v="23"/>
    <n v="0"/>
    <n v="10573523.9173062"/>
  </r>
  <r>
    <x v="7"/>
    <x v="23"/>
    <n v="0"/>
    <n v="-50437.193362220001"/>
  </r>
  <r>
    <x v="7"/>
    <x v="8"/>
    <n v="0"/>
    <n v="241.07601108"/>
  </r>
  <r>
    <x v="7"/>
    <x v="23"/>
    <n v="0"/>
    <n v="10580071.8033062"/>
  </r>
  <r>
    <x v="7"/>
    <x v="23"/>
    <n v="0"/>
    <n v="-9528648.0788313001"/>
  </r>
  <r>
    <x v="7"/>
    <x v="23"/>
    <n v="0"/>
    <n v="-50437.193362220001"/>
  </r>
  <r>
    <x v="10"/>
    <x v="6"/>
    <n v="0"/>
    <n v="1.7695412699999999"/>
  </r>
  <r>
    <x v="10"/>
    <x v="8"/>
    <n v="0"/>
    <n v="1.8847761800000001E-2"/>
  </r>
  <r>
    <x v="10"/>
    <x v="14"/>
    <n v="0"/>
    <n v="9.9499194400000004"/>
  </r>
  <r>
    <x v="10"/>
    <x v="15"/>
    <n v="0"/>
    <n v="3.4037359600000001"/>
  </r>
  <r>
    <x v="10"/>
    <x v="19"/>
    <n v="0"/>
    <n v="9.1421368100000002"/>
  </r>
  <r>
    <x v="10"/>
    <x v="21"/>
    <n v="0"/>
    <n v="864101.84359399998"/>
  </r>
  <r>
    <x v="10"/>
    <x v="28"/>
    <n v="0"/>
    <n v="0.10834547999999999"/>
  </r>
  <r>
    <x v="10"/>
    <x v="26"/>
    <n v="0"/>
    <n v="113250.4023"/>
  </r>
  <r>
    <x v="10"/>
    <x v="23"/>
    <n v="0"/>
    <n v="1.182861E-2"/>
  </r>
  <r>
    <x v="10"/>
    <x v="90"/>
    <n v="0"/>
    <n v="8.93329E-3"/>
  </r>
  <r>
    <x v="10"/>
    <x v="29"/>
    <n v="0"/>
    <n v="0.71704489000000005"/>
  </r>
  <r>
    <x v="12"/>
    <x v="6"/>
    <n v="0"/>
    <n v="0.1"/>
  </r>
  <r>
    <x v="12"/>
    <x v="8"/>
    <n v="0"/>
    <n v="7.4249999999999998"/>
  </r>
  <r>
    <x v="12"/>
    <x v="15"/>
    <n v="0"/>
    <n v="5.0000000000000001E-4"/>
  </r>
  <r>
    <x v="12"/>
    <x v="19"/>
    <n v="0"/>
    <n v="914.82898999999998"/>
  </r>
  <r>
    <x v="12"/>
    <x v="26"/>
    <n v="0"/>
    <n v="2.63E-3"/>
  </r>
  <r>
    <x v="12"/>
    <x v="29"/>
    <n v="0"/>
    <n v="493543"/>
  </r>
  <r>
    <x v="13"/>
    <x v="26"/>
    <n v="0"/>
    <n v="10138.885630000001"/>
  </r>
  <r>
    <x v="14"/>
    <x v="23"/>
    <n v="0"/>
    <n v="-24678.549614920001"/>
  </r>
  <r>
    <x v="14"/>
    <x v="6"/>
    <n v="0"/>
    <n v="111.28912970120101"/>
  </r>
  <r>
    <x v="14"/>
    <x v="8"/>
    <n v="0"/>
    <n v="-8.3666566457380291"/>
  </r>
  <r>
    <x v="14"/>
    <x v="15"/>
    <n v="0"/>
    <n v="1.86491550295386"/>
  </r>
  <r>
    <x v="14"/>
    <x v="19"/>
    <n v="0"/>
    <n v="4.8172075384283"/>
  </r>
  <r>
    <x v="14"/>
    <x v="23"/>
    <n v="0"/>
    <n v="1407211.14388387"/>
  </r>
  <r>
    <x v="14"/>
    <x v="6"/>
    <n v="0"/>
    <n v="-1573.2994644068799"/>
  </r>
  <r>
    <x v="14"/>
    <x v="8"/>
    <n v="0"/>
    <n v="128.615117456506"/>
  </r>
  <r>
    <x v="14"/>
    <x v="13"/>
    <n v="0"/>
    <n v="33"/>
  </r>
  <r>
    <x v="14"/>
    <x v="14"/>
    <n v="0"/>
    <n v="147536.53602640799"/>
  </r>
  <r>
    <x v="14"/>
    <x v="24"/>
    <n v="0"/>
    <n v="-0.40707601339105998"/>
  </r>
  <r>
    <x v="14"/>
    <x v="15"/>
    <n v="0"/>
    <n v="-1323.1488043637601"/>
  </r>
  <r>
    <x v="14"/>
    <x v="17"/>
    <n v="0"/>
    <n v="-3.6900304151165297E-2"/>
  </r>
  <r>
    <x v="14"/>
    <x v="19"/>
    <n v="0"/>
    <n v="4110.0632665700095"/>
  </r>
  <r>
    <x v="14"/>
    <x v="21"/>
    <n v="0"/>
    <n v="387813.07240811898"/>
  </r>
  <r>
    <x v="14"/>
    <x v="46"/>
    <n v="0"/>
    <n v="-10030440720.5592"/>
  </r>
  <r>
    <x v="14"/>
    <x v="30"/>
    <n v="0"/>
    <n v="-66833.777482475794"/>
  </r>
  <r>
    <x v="14"/>
    <x v="23"/>
    <n v="0"/>
    <n v="45758039.669459298"/>
  </r>
  <r>
    <x v="14"/>
    <x v="29"/>
    <n v="0"/>
    <n v="2875.5411443947"/>
  </r>
  <r>
    <x v="14"/>
    <x v="94"/>
    <n v="0"/>
    <n v="1342911.9675759999"/>
  </r>
  <r>
    <x v="14"/>
    <x v="8"/>
    <n v="0"/>
    <n v="217.199594984659"/>
  </r>
  <r>
    <x v="14"/>
    <x v="8"/>
    <n v="0"/>
    <n v="24.514218203010198"/>
  </r>
  <r>
    <x v="14"/>
    <x v="15"/>
    <n v="0"/>
    <n v="212.04514298415401"/>
  </r>
  <r>
    <x v="14"/>
    <x v="15"/>
    <n v="0"/>
    <n v="6010.3885549126799"/>
  </r>
  <r>
    <x v="14"/>
    <x v="29"/>
    <n v="0"/>
    <n v="0.44933626032875401"/>
  </r>
  <r>
    <x v="14"/>
    <x v="8"/>
    <n v="0"/>
    <n v="56.148104855728803"/>
  </r>
  <r>
    <x v="14"/>
    <x v="8"/>
    <n v="0"/>
    <n v="-4.7236086304990197"/>
  </r>
  <r>
    <x v="14"/>
    <x v="15"/>
    <n v="0"/>
    <n v="150"/>
  </r>
  <r>
    <x v="14"/>
    <x v="23"/>
    <n v="0"/>
    <n v="16911496.102267399"/>
  </r>
  <r>
    <x v="14"/>
    <x v="23"/>
    <n v="0"/>
    <n v="634302.53311469196"/>
  </r>
  <r>
    <x v="14"/>
    <x v="29"/>
    <n v="0"/>
    <n v="5297132.9727466302"/>
  </r>
  <r>
    <x v="23"/>
    <x v="26"/>
    <n v="0"/>
    <n v="47262.04"/>
  </r>
  <r>
    <x v="24"/>
    <x v="16"/>
    <n v="0"/>
    <n v="24571.64"/>
  </r>
  <r>
    <x v="24"/>
    <x v="26"/>
    <n v="0"/>
    <n v="46754.62"/>
  </r>
  <r>
    <x v="17"/>
    <x v="1"/>
    <n v="0"/>
    <n v="59"/>
  </r>
  <r>
    <x v="17"/>
    <x v="8"/>
    <n v="0"/>
    <n v="-165.35091093"/>
  </r>
  <r>
    <x v="17"/>
    <x v="15"/>
    <n v="0"/>
    <n v="-2826.54156453"/>
  </r>
  <r>
    <x v="17"/>
    <x v="25"/>
    <n v="0"/>
    <n v="1267.7570125100001"/>
  </r>
  <r>
    <x v="17"/>
    <x v="23"/>
    <n v="0"/>
    <n v="8959637.0602844004"/>
  </r>
  <r>
    <x v="17"/>
    <x v="99"/>
    <n v="0"/>
    <n v="1644286.05309931"/>
  </r>
  <r>
    <x v="11"/>
    <x v="95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F_BTC-USD_230331"/>
    <n v="4508"/>
    <n v="450800"/>
    <n v="17830.22914444"/>
    <n v="1.69682361"/>
    <x v="0"/>
    <d v="2023-03-31T08:00:00"/>
    <n v="0"/>
    <x v="0"/>
    <n v="100"/>
    <n v="25.282905584002155"/>
    <n v="449563.40527596924"/>
    <n v="107"/>
    <x v="0"/>
    <s v="LONG"/>
    <x v="0"/>
    <n v="455308"/>
    <n v="18008.531435884401"/>
    <n v="0.01"/>
    <n v="4508"/>
    <s v="BINE"/>
    <s v="BTC Mar 23 LONG"/>
  </r>
  <r>
    <s v="BINANCE"/>
    <s v="BINE-2-S1-F"/>
    <s v="B_P_BTC-USD-SWAP"/>
    <n v="-66664"/>
    <n v="-6666400"/>
    <n v="17748.889282010001"/>
    <n v="-3.2611129800000001"/>
    <x v="1"/>
    <d v="2099-12-31T08:00:00"/>
    <n v="0"/>
    <x v="0"/>
    <n v="100"/>
    <n v="-375.59533411236947"/>
    <n v="-6678580.3889630912"/>
    <n v="28141"/>
    <x v="1"/>
    <s v="SHORT"/>
    <x v="1"/>
    <n v="-6666400"/>
    <n v="17748.889282010001"/>
    <n v="0"/>
    <n v="0"/>
    <s v="BINE"/>
    <s v="BTC PERP SHORT"/>
  </r>
  <r>
    <s v="BINANCE"/>
    <s v="BINE-2-S1-F"/>
    <s v="B_P_ETH-USD-SWAP"/>
    <n v="-401392"/>
    <n v="-4013920"/>
    <n v="1322.99"/>
    <n v="-8.7598545300000001"/>
    <x v="1"/>
    <d v="2099-12-31T08:00:00"/>
    <n v="0"/>
    <x v="1"/>
    <n v="10"/>
    <n v="-3033.9760693580452"/>
    <n v="-4006514.7853715131"/>
    <n v="28141"/>
    <x v="1"/>
    <s v="SHORT"/>
    <x v="1"/>
    <n v="-4013920"/>
    <n v="1322.99"/>
    <n v="0"/>
    <n v="0"/>
    <s v="BINE"/>
    <s v="ETH PERP SHORT"/>
  </r>
  <r>
    <s v="BINANCE"/>
    <s v="BINE-2-S1-F"/>
    <s v="B_F_BTC-USD_221230"/>
    <n v="-77676"/>
    <n v="-7767600"/>
    <n v="17772.15176085"/>
    <n v="-6.6554160800000002"/>
    <x v="0"/>
    <d v="2022-12-30T08:00:00"/>
    <n v="0"/>
    <x v="0"/>
    <n v="100"/>
    <n v="-437.06581535676094"/>
    <n v="-7771606.6149387676"/>
    <n v="16"/>
    <x v="2"/>
    <s v="SHORT"/>
    <x v="2"/>
    <n v="-7845276"/>
    <n v="17949.873278458501"/>
    <n v="0.01"/>
    <n v="-77676"/>
    <s v="BINE"/>
    <s v="BTC Dec 22 SHORT"/>
  </r>
  <r>
    <s v="BINANCE"/>
    <s v="BINE-2-S1-F"/>
    <s v="B_F_ETH-USD_221230"/>
    <n v="-451199"/>
    <n v="-4511990"/>
    <n v="1323.7445926299999"/>
    <n v="-51.121236119999999"/>
    <x v="0"/>
    <d v="2022-12-30T08:00:00"/>
    <n v="0"/>
    <x v="1"/>
    <n v="10"/>
    <n v="-3408.5049526326166"/>
    <n v="-4501098.6166493101"/>
    <n v="16"/>
    <x v="2"/>
    <s v="SHORT"/>
    <x v="2"/>
    <n v="-4557109.9000000004"/>
    <n v="1336.9820385563"/>
    <n v="0.01"/>
    <n v="-45119.900000000373"/>
    <s v="BINE"/>
    <s v="ETH Dec 22 SHORT"/>
  </r>
  <r>
    <s v="BINANCE"/>
    <s v="BINE-2-S1-P"/>
    <s v="BAXSUSDT"/>
    <n v="6000"/>
    <n v="45674.671799999996"/>
    <n v="7.6124453000000001"/>
    <n v="-20981.635859999999"/>
    <x v="1"/>
    <d v="2099-12-31T08:00:00"/>
    <n v="1"/>
    <x v="2"/>
    <n v="1"/>
    <n v="6000"/>
    <n v="45674.671800000004"/>
    <n v="28141"/>
    <x v="1"/>
    <s v="LONG"/>
    <x v="3"/>
    <n v="45674.671799999996"/>
    <n v="7.6124453000000001"/>
    <n v="0"/>
    <n v="0"/>
    <s v="BINE"/>
    <s v="AXS PERP LONG"/>
  </r>
  <r>
    <s v="BINANCE"/>
    <s v="BINE-2-S1-P"/>
    <s v="BEOSUSDT"/>
    <n v="673542.1"/>
    <n v="673529.44414394104"/>
    <n v="0.99998120999999995"/>
    <n v="5803.8988048499996"/>
    <x v="1"/>
    <d v="2099-12-31T08:00:00"/>
    <n v="1"/>
    <x v="3"/>
    <n v="1"/>
    <n v="673542.1"/>
    <n v="672535.94080908631"/>
    <n v="28141"/>
    <x v="1"/>
    <s v="LONG"/>
    <x v="3"/>
    <n v="673529.44414394104"/>
    <n v="0.99998120999999995"/>
    <n v="0"/>
    <n v="0"/>
    <s v="BINE"/>
    <s v="EOS PERP LONG"/>
  </r>
  <r>
    <s v="BINANCE"/>
    <s v="BINE-2-S1-P"/>
    <s v="B_F_ETH-USDT_221230"/>
    <n v="1939.489"/>
    <n v="2565117.2753451802"/>
    <n v="1322.57376832"/>
    <n v="205542.51078082999"/>
    <x v="0"/>
    <d v="2022-12-30T08:00:00"/>
    <n v="1"/>
    <x v="1"/>
    <n v="1"/>
    <n v="1939.489"/>
    <n v="2561190.720337349"/>
    <n v="16"/>
    <x v="2"/>
    <s v="LONG"/>
    <x v="4"/>
    <n v="2590768.448098632"/>
    <n v="1335.7995060032001"/>
    <n v="0.01"/>
    <n v="25651.172753451858"/>
    <s v="BINE"/>
    <s v="ETH Dec 22 LONG"/>
  </r>
  <r>
    <s v="BINANCE"/>
    <s v="BINE-2-S1-P"/>
    <s v="BBCHUSDT"/>
    <n v="-1788.952"/>
    <n v="-195670.942206304"/>
    <n v="109.37741326"/>
    <n v="-6102.0275417900002"/>
    <x v="1"/>
    <d v="2099-12-31T08:00:00"/>
    <n v="1"/>
    <x v="4"/>
    <n v="1"/>
    <n v="-1788.952"/>
    <n v="-196855.11314971425"/>
    <n v="28141"/>
    <x v="1"/>
    <s v="SHORT"/>
    <x v="1"/>
    <n v="-195670.942206304"/>
    <n v="109.37741326"/>
    <n v="0"/>
    <n v="0"/>
    <s v="BINE"/>
    <s v="BCH PERP SHORT"/>
  </r>
  <r>
    <s v="BINANCE"/>
    <s v="BINE-2-S1-P"/>
    <s v="BBTCUSDT"/>
    <n v="-164.2"/>
    <n v="-2913763.8006235301"/>
    <n v="17745.211940460002"/>
    <n v="952.81395553000004"/>
    <x v="1"/>
    <d v="2099-12-31T08:00:00"/>
    <n v="1"/>
    <x v="0"/>
    <n v="1"/>
    <n v="-164.2"/>
    <n v="-2919692.5527824988"/>
    <n v="28141"/>
    <x v="1"/>
    <s v="SHORT"/>
    <x v="1"/>
    <n v="-2913763.8006235301"/>
    <n v="17745.211940460002"/>
    <n v="0"/>
    <n v="0"/>
    <s v="BINE"/>
    <s v="BTC PERP SHORT"/>
  </r>
  <r>
    <s v="BINANCE"/>
    <s v="BINE-2-S1-P"/>
    <s v="BENJUSDT"/>
    <n v="-105"/>
    <n v="-31.71"/>
    <n v="0.30199999999999999"/>
    <n v="24.205108200000002"/>
    <x v="1"/>
    <d v="2099-12-31T08:00:00"/>
    <n v="1"/>
    <x v="5"/>
    <n v="1"/>
    <n v="-105"/>
    <n v="-31.889461501645332"/>
    <n v="28141"/>
    <x v="1"/>
    <s v="SHORT"/>
    <x v="1"/>
    <n v="-31.71"/>
    <n v="0.30199999999999999"/>
    <n v="0"/>
    <n v="0"/>
    <s v="BINE"/>
    <s v="ENJ PERP SHORT"/>
  </r>
  <r>
    <s v="BINANCE"/>
    <s v="BINE-2-S1-P"/>
    <s v="BETCUSDT"/>
    <n v="-8.5299999999999994"/>
    <n v="-164.33294579299999"/>
    <n v="19.265292590000001"/>
    <n v="12.22032596"/>
    <x v="1"/>
    <d v="2099-12-31T08:00:00"/>
    <n v="1"/>
    <x v="6"/>
    <n v="1"/>
    <n v="-8.5299999999999994"/>
    <n v="-164.2270040323983"/>
    <n v="28141"/>
    <x v="1"/>
    <s v="SHORT"/>
    <x v="1"/>
    <n v="-164.33294579299999"/>
    <n v="19.265292590000001"/>
    <n v="0"/>
    <n v="0"/>
    <s v="BINE"/>
    <s v="ETC PERP SHORT"/>
  </r>
  <r>
    <s v="BINANCE"/>
    <s v="BINE-2-S1-P"/>
    <s v="BETHUSDT"/>
    <n v="-11513.936"/>
    <n v="-15224979.5580638"/>
    <n v="1322.3088575500001"/>
    <n v="61511.154405360001"/>
    <x v="1"/>
    <d v="2099-12-31T08:00:00"/>
    <n v="1"/>
    <x v="1"/>
    <n v="1"/>
    <n v="-11513.936"/>
    <n v="-15204719.40689436"/>
    <n v="28141"/>
    <x v="1"/>
    <s v="SHORT"/>
    <x v="1"/>
    <n v="-15224979.5580638"/>
    <n v="1322.3088575500001"/>
    <n v="0"/>
    <n v="0"/>
    <s v="BINE"/>
    <s v="ETH PERP SHORT"/>
  </r>
  <r>
    <s v="BINANCE"/>
    <s v="BINE-2-S1-P"/>
    <s v="BFILUSDT"/>
    <n v="-2260"/>
    <n v="-9758.0454372000004"/>
    <n v="4.3177192199999999"/>
    <n v="1936.9938618000001"/>
    <x v="1"/>
    <d v="2099-12-31T08:00:00"/>
    <n v="1"/>
    <x v="7"/>
    <n v="1"/>
    <n v="-2260"/>
    <n v="-9760.3438232587996"/>
    <n v="28141"/>
    <x v="1"/>
    <s v="SHORT"/>
    <x v="1"/>
    <n v="-9758.0454372000004"/>
    <n v="4.3177192199999999"/>
    <n v="0"/>
    <n v="0"/>
    <s v="BINE"/>
    <s v="FIL PERP SHORT"/>
  </r>
  <r>
    <s v="BINANCE"/>
    <s v="BINE-2-S1-P"/>
    <s v="BLTCUSDT"/>
    <n v="-2193.1849999999999"/>
    <n v="-171119.06213209199"/>
    <n v="78.023086120000002"/>
    <n v="105.24757064000001"/>
    <x v="1"/>
    <d v="2099-12-31T08:00:00"/>
    <n v="1"/>
    <x v="8"/>
    <n v="1"/>
    <n v="-2193.1849999999999"/>
    <n v="-169630.75548353564"/>
    <n v="28141"/>
    <x v="1"/>
    <s v="SHORT"/>
    <x v="1"/>
    <n v="-171119.06213209199"/>
    <n v="78.023086120000002"/>
    <n v="0"/>
    <n v="0"/>
    <s v="BINE"/>
    <s v="LTC PERP SHORT"/>
  </r>
  <r>
    <s v="BINANCE"/>
    <s v="BINE-2-S1-P"/>
    <s v="BOMGUSDT"/>
    <n v="-24000"/>
    <n v="-27752.778480000001"/>
    <n v="1.1563657700000001"/>
    <n v="110.52144"/>
    <x v="1"/>
    <d v="2099-12-31T08:00:00"/>
    <n v="1"/>
    <x v="9"/>
    <n v="1"/>
    <n v="-24000"/>
    <n v="-28168.332320806079"/>
    <n v="28141"/>
    <x v="1"/>
    <s v="SHORT"/>
    <x v="1"/>
    <e v="#N/A"/>
    <e v="#N/A"/>
    <e v="#N/A"/>
    <e v="#N/A"/>
    <s v="BINE"/>
    <s v="OMG PERP SHORT"/>
  </r>
  <r>
    <s v="BINANCE"/>
    <s v="BINE-2-S1-P"/>
    <s v="BZILUSDT"/>
    <n v="-581844"/>
    <n v="-12885.76159848"/>
    <n v="2.214642E-2"/>
    <n v="171.47524523999999"/>
    <x v="1"/>
    <d v="2099-12-31T08:00:00"/>
    <n v="1"/>
    <x v="10"/>
    <n v="1"/>
    <n v="-581844"/>
    <n v="-12930.710446315714"/>
    <n v="28141"/>
    <x v="1"/>
    <s v="SHORT"/>
    <x v="1"/>
    <n v="-12885.76159848"/>
    <n v="2.214642E-2"/>
    <n v="0"/>
    <n v="0"/>
    <s v="BINE"/>
    <s v="ZIL PERP SHORT"/>
  </r>
  <r>
    <s v="BINANCE"/>
    <s v="BINE-2-S1-P"/>
    <s v="BCOMPUSDT"/>
    <n v="-200.97900000000001"/>
    <n v="-7854.3582478930002"/>
    <n v="39.080492229999997"/>
    <n v="2106.67812112"/>
    <x v="1"/>
    <d v="2099-12-31T08:00:00"/>
    <n v="1"/>
    <x v="11"/>
    <n v="1"/>
    <n v="-200.97900000000001"/>
    <n v="-7885.9603425893165"/>
    <n v="28141"/>
    <x v="1"/>
    <s v="SHORT"/>
    <x v="1"/>
    <n v="-7854.3582478930002"/>
    <n v="39.080492229999997"/>
    <n v="0"/>
    <n v="0"/>
    <s v="BINE"/>
    <s v="COMP PERP SHORT"/>
  </r>
  <r>
    <s v="BINANCE"/>
    <s v="BINE-2-S1-P"/>
    <s v="BLINKUSDT"/>
    <n v="-66407.44"/>
    <n v="-459522.43734607799"/>
    <n v="6.9197432900000004"/>
    <n v="-11078.838880789999"/>
    <x v="1"/>
    <d v="2099-12-31T08:00:00"/>
    <n v="1"/>
    <x v="12"/>
    <n v="1"/>
    <n v="-66407.44"/>
    <n v="-458965.51962823956"/>
    <n v="28141"/>
    <x v="1"/>
    <s v="SHORT"/>
    <x v="1"/>
    <n v="-459522.43734607799"/>
    <n v="6.9197432900000004"/>
    <n v="0"/>
    <n v="0"/>
    <s v="BINE"/>
    <s v="LINK PERP SHORT"/>
  </r>
  <r>
    <s v="BINANCE"/>
    <s v="BINE-2-S1-P"/>
    <s v="B_F_BTC-USDT_221230"/>
    <n v="-27.065000000000001"/>
    <n v="-480993.08884176798"/>
    <n v="17771.774943349999"/>
    <n v="557.81255785999997"/>
    <x v="0"/>
    <d v="2022-12-30T08:00:00"/>
    <n v="1"/>
    <x v="0"/>
    <n v="1"/>
    <n v="-27.065000000000001"/>
    <n v="-481251.39428171946"/>
    <n v="16"/>
    <x v="2"/>
    <s v="SHORT"/>
    <x v="2"/>
    <n v="-485803.01973018568"/>
    <n v="17949.4926927835"/>
    <n v="0.01"/>
    <n v="-4809.9308884177008"/>
    <s v="BINE"/>
    <s v="BTC Dec 22 SHORT"/>
  </r>
  <r>
    <s v="BINANCE"/>
    <s v="BINE-2-S2-P"/>
    <s v="BBTCUSDT"/>
    <n v="50.694000000000003"/>
    <n v="899693.83305412601"/>
    <n v="17747.54079485"/>
    <n v="4572.4640426699998"/>
    <x v="1"/>
    <d v="2099-12-31T08:00:00"/>
    <n v="1"/>
    <x v="0"/>
    <n v="1"/>
    <n v="50.694000000000003"/>
    <n v="901406.17704479909"/>
    <n v="28141"/>
    <x v="1"/>
    <s v="LONG"/>
    <x v="3"/>
    <n v="899693.83305412601"/>
    <n v="17747.54079485"/>
    <n v="0"/>
    <n v="0"/>
    <s v="BINE"/>
    <s v="BTC PERP LONG"/>
  </r>
  <r>
    <s v="DYDX"/>
    <s v="DYDX-1-M-P"/>
    <s v="D_T_BTC_USDC_SWAP"/>
    <n v="-1.4123000000000001"/>
    <n v="-25086.400784960999"/>
    <n v="17762.798828125"/>
    <n v="2486.3029609999999"/>
    <x v="1"/>
    <d v="2099-12-31T08:00:00"/>
    <n v="1"/>
    <x v="0"/>
    <n v="1"/>
    <n v="-1.4123000000000001"/>
    <n v="-25112.556591319877"/>
    <n v="28141"/>
    <x v="1"/>
    <s v="SHORT"/>
    <x v="1"/>
    <n v="-25086.400784960999"/>
    <n v="17762.798828125"/>
    <n v="0"/>
    <n v="0"/>
    <s v="DYDX"/>
    <s v="BTC PERP SHORT"/>
  </r>
  <r>
    <s v="DYDX"/>
    <s v="DYDX-1-M-P"/>
    <s v="D_T_ATOM_USDC_SWAP"/>
    <n v="-426.6"/>
    <n v="-4147.7465887070002"/>
    <n v="9.7228002549999992"/>
    <n v="5215.712356"/>
    <x v="1"/>
    <d v="2099-12-31T08:00:00"/>
    <n v="1"/>
    <x v="13"/>
    <n v="1"/>
    <n v="-426.6"/>
    <n v="-4153.4513098608704"/>
    <n v="28141"/>
    <x v="1"/>
    <s v="SHORT"/>
    <x v="1"/>
    <n v="-4147.7465887070002"/>
    <n v="9.7228002549999992"/>
    <n v="0"/>
    <n v="0"/>
    <s v="DYDX"/>
    <s v="ATOM PERP SHORT"/>
  </r>
  <r>
    <s v="HUOBI"/>
    <s v="FUBI-M"/>
    <s v="BTC221230"/>
    <n v="2393"/>
    <n v="239300"/>
    <n v="17687"/>
    <n v="0.51829988299999996"/>
    <x v="0"/>
    <d v="2022-12-30T08:00:00"/>
    <n v="0"/>
    <x v="0"/>
    <n v="100"/>
    <n v="13.529711087239216"/>
    <n v="240576.10659385595"/>
    <n v="16"/>
    <x v="2"/>
    <s v="LONG"/>
    <x v="4"/>
    <n v="241693"/>
    <n v="17863.87"/>
    <n v="0.01"/>
    <n v="2393"/>
    <s v="FUBI"/>
    <s v="BTC Dec 22 LONG"/>
  </r>
  <r>
    <s v="HUOBI"/>
    <s v="FUBI-M"/>
    <s v="ETH221230"/>
    <n v="64783"/>
    <n v="647830"/>
    <n v="1312.7529999999999"/>
    <n v="24.615616648"/>
    <x v="0"/>
    <d v="2022-12-30T08:00:00"/>
    <n v="0"/>
    <x v="1"/>
    <n v="10"/>
    <n v="493.48963590256511"/>
    <n v="651677.36246831343"/>
    <n v="16"/>
    <x v="2"/>
    <s v="LONG"/>
    <x v="4"/>
    <n v="654308.30000000005"/>
    <n v="1325.8805299999999"/>
    <n v="0.01"/>
    <n v="6478.3000000000466"/>
    <s v="FUBI"/>
    <s v="ETH Dec 22 LONG"/>
  </r>
  <r>
    <s v="HUOBI"/>
    <s v="HUBI-1-M-P"/>
    <s v="H_P_BTC-USD-SWAP"/>
    <n v="13015"/>
    <n v="1301500"/>
    <n v="17752.400000000001"/>
    <n v="0.53520549699999997"/>
    <x v="1"/>
    <d v="2099-12-31T08:00:00"/>
    <n v="0"/>
    <x v="0"/>
    <n v="100"/>
    <n v="73.314030778936925"/>
    <n v="1303620.1563929906"/>
    <n v="28141"/>
    <x v="1"/>
    <s v="LONG"/>
    <x v="3"/>
    <n v="1301500"/>
    <n v="17752.400000000001"/>
    <n v="0"/>
    <n v="0"/>
    <s v="HUBI"/>
    <s v="BTC PERP LONG"/>
  </r>
  <r>
    <s v="HUOBI"/>
    <s v="HUBI-1-M-P"/>
    <s v="H_P_ETH-USD-SWAP"/>
    <n v="-66714"/>
    <n v="-667140"/>
    <n v="1323.87"/>
    <n v="-3.9830221790000002"/>
    <x v="1"/>
    <d v="2099-12-31T08:00:00"/>
    <n v="0"/>
    <x v="1"/>
    <n v="10"/>
    <n v="-503.93165492080044"/>
    <n v="-665466.56272213825"/>
    <n v="28141"/>
    <x v="1"/>
    <s v="SHORT"/>
    <x v="1"/>
    <n v="-667140"/>
    <n v="1323.87"/>
    <n v="0"/>
    <n v="0"/>
    <s v="HUBI"/>
    <s v="ETH PERP SHORT"/>
  </r>
  <r>
    <s v="HUOBI"/>
    <s v="HUBI-1-M-PT"/>
    <s v="H_T_BTC_USDT_SWAP"/>
    <n v="30.03"/>
    <n v="533032.5"/>
    <n v="17750"/>
    <n v="-2473.2285408299999"/>
    <x v="1"/>
    <d v="2099-12-31T08:00:00"/>
    <n v="1"/>
    <x v="0"/>
    <n v="1"/>
    <n v="30.03"/>
    <n v="533973.00462885783"/>
    <n v="28141"/>
    <x v="1"/>
    <s v="LONG"/>
    <x v="3"/>
    <n v="533032.5"/>
    <n v="17750"/>
    <n v="0"/>
    <n v="0"/>
    <s v="HUBI"/>
    <s v="BTC PERP LONG"/>
  </r>
  <r>
    <s v="HUOBI"/>
    <s v="HUBI-1-M-PT"/>
    <s v="H_T_ETH_USDT_SWAP"/>
    <n v="-45.63"/>
    <n v="-60383.547899999998"/>
    <n v="1323.33"/>
    <n v="240.29736257299999"/>
    <x v="1"/>
    <d v="2099-12-31T08:00:00"/>
    <n v="1"/>
    <x v="1"/>
    <n v="1"/>
    <n v="-45.63"/>
    <n v="-60256.661712952868"/>
    <n v="28141"/>
    <x v="1"/>
    <s v="SHORT"/>
    <x v="1"/>
    <n v="-60383.547899999998"/>
    <n v="1323.33"/>
    <n v="0"/>
    <n v="0"/>
    <s v="HUBI"/>
    <s v="ETH PERP SHORT"/>
  </r>
  <r>
    <s v="OKEX"/>
    <s v="OKEX-2-M"/>
    <s v="O_P_BCH-USDT-SWAP"/>
    <n v="9220"/>
    <n v="100848.36150275799"/>
    <n v="109.38"/>
    <n v="1541.1538589039999"/>
    <x v="1"/>
    <d v="2099-12-31T08:00:00"/>
    <n v="1"/>
    <x v="4"/>
    <n v="0.1"/>
    <n v="922"/>
    <n v="101456.27961177078"/>
    <n v="28141"/>
    <x v="1"/>
    <s v="LONG"/>
    <x v="3"/>
    <n v="100848.36150275799"/>
    <n v="109.38"/>
    <n v="0"/>
    <n v="0"/>
    <s v="OKEX"/>
    <s v="BCH PERP LONG"/>
  </r>
  <r>
    <s v="OKEX"/>
    <s v="OKEX-2-M"/>
    <s v="O_P_BTC-USDT-SWAP"/>
    <n v="6735"/>
    <n v="1195597.1732763201"/>
    <n v="17752"/>
    <n v="-3319.8703885149998"/>
    <x v="1"/>
    <d v="2099-12-31T08:00:00"/>
    <n v="1"/>
    <x v="0"/>
    <n v="0.01"/>
    <n v="67.349999999999994"/>
    <n v="1197571.8235682175"/>
    <n v="28141"/>
    <x v="1"/>
    <s v="LONG"/>
    <x v="3"/>
    <n v="1195597.1732763201"/>
    <n v="17752"/>
    <n v="0"/>
    <n v="0"/>
    <s v="OKEX"/>
    <s v="BTC PERP LONG"/>
  </r>
  <r>
    <s v="OKEX"/>
    <s v="OKEX-2-M"/>
    <s v="O_P_EOS-USDT-SWAP"/>
    <n v="232"/>
    <n v="2320.6959999999999"/>
    <n v="1.0003"/>
    <n v="95.362391595999995"/>
    <x v="1"/>
    <d v="2099-12-31T08:00:00"/>
    <n v="1"/>
    <x v="3"/>
    <n v="10"/>
    <n v="2320"/>
    <n v="2316.5343082148543"/>
    <n v="28141"/>
    <x v="1"/>
    <s v="LONG"/>
    <x v="3"/>
    <n v="2320.6959999999999"/>
    <n v="1.0003"/>
    <n v="0"/>
    <n v="0"/>
    <s v="OKEX"/>
    <s v="EOS PERP LONG"/>
  </r>
  <r>
    <s v="OKEX"/>
    <s v="OKEX-2-M"/>
    <s v="O_F_ETH-USDT_221230"/>
    <n v="19407"/>
    <n v="2564732.1232174798"/>
    <n v="1321.55"/>
    <n v="159508.82696084399"/>
    <x v="0"/>
    <d v="2022-12-30T08:00:00"/>
    <n v="1"/>
    <x v="1"/>
    <n v="0.1"/>
    <n v="1940.7"/>
    <n v="2562789.9054641165"/>
    <n v="16"/>
    <x v="2"/>
    <s v="LONG"/>
    <x v="4"/>
    <n v="2590379.4444496548"/>
    <n v="1334.7655"/>
    <n v="0.01"/>
    <n v="25647.321232174989"/>
    <s v="OKEX"/>
    <s v="ETH Dec 22 LONG"/>
  </r>
  <r>
    <s v="OKEX"/>
    <s v="OKEX-2-M"/>
    <s v="O_F_ETH-USDT_230331"/>
    <n v="4630"/>
    <n v="611122.96910644195"/>
    <n v="1319.92"/>
    <n v="5789.7647082450003"/>
    <x v="0"/>
    <d v="2023-03-31T08:00:00"/>
    <n v="1"/>
    <x v="1"/>
    <n v="0.1"/>
    <n v="463"/>
    <n v="611414.29702163441"/>
    <n v="107"/>
    <x v="0"/>
    <s v="LONG"/>
    <x v="0"/>
    <n v="617234.1987975064"/>
    <n v="1333.1192000000001"/>
    <n v="0.01"/>
    <n v="6111.2296910644509"/>
    <s v="OKEX"/>
    <s v="ETH Mar 23 LONG"/>
  </r>
  <r>
    <s v="OKEX"/>
    <s v="OKEX-2-M"/>
    <s v="O_P_BTC-USD-SWAP"/>
    <n v="-13935"/>
    <n v="-1393500"/>
    <n v="17754.8"/>
    <n v="4.1014634000000001E-2"/>
    <x v="1"/>
    <d v="2099-12-31T08:00:00"/>
    <n v="0"/>
    <x v="0"/>
    <n v="100"/>
    <n v="-78.485817919661159"/>
    <n v="-1395581.3524913392"/>
    <n v="28141"/>
    <x v="1"/>
    <s v="SHORT"/>
    <x v="1"/>
    <n v="-1393500"/>
    <n v="17754.8"/>
    <n v="0"/>
    <n v="0"/>
    <s v="OKEX"/>
    <s v="BTC PERP SHORT"/>
  </r>
  <r>
    <s v="OKEX"/>
    <s v="OKEX-2-M"/>
    <s v="O_P_ETH-USD-SWAP"/>
    <n v="-86397"/>
    <n v="-863970"/>
    <n v="1323.21"/>
    <n v="4.7299636109999996"/>
    <x v="1"/>
    <d v="2099-12-31T08:00:00"/>
    <n v="0"/>
    <x v="1"/>
    <n v="10"/>
    <n v="-652.93490829120094"/>
    <n v="-862232.69536447071"/>
    <n v="28141"/>
    <x v="1"/>
    <s v="SHORT"/>
    <x v="1"/>
    <n v="-863970"/>
    <n v="1323.21"/>
    <n v="0"/>
    <n v="0"/>
    <s v="OKEX"/>
    <s v="ETH PERP SHORT"/>
  </r>
  <r>
    <s v="OKEX"/>
    <s v="OKEX-2-M"/>
    <s v="O_P_ETH-USDT-SWAP"/>
    <n v="-32771"/>
    <n v="-4337274.6856304202"/>
    <n v="1323.51"/>
    <n v="-4138.6918854420001"/>
    <x v="1"/>
    <d v="2099-12-31T08:00:00"/>
    <n v="1"/>
    <x v="1"/>
    <n v="0.1"/>
    <n v="-3277.1000000000004"/>
    <n v="-4327571.9066298017"/>
    <n v="28141"/>
    <x v="1"/>
    <s v="SHORT"/>
    <x v="1"/>
    <n v="-4337274.6856304202"/>
    <n v="1323.51"/>
    <n v="0"/>
    <n v="0"/>
    <s v="OKEX"/>
    <s v="ETH PERP SHORT"/>
  </r>
  <r>
    <s v="OKEX"/>
    <s v="OKEX-2-M"/>
    <s v="O_P_LTC-USDT-SWAP"/>
    <n v="-1682"/>
    <n v="-131280.1"/>
    <n v="78.05"/>
    <n v="-1842.5521247260001"/>
    <x v="1"/>
    <d v="2099-12-31T08:00:00"/>
    <n v="1"/>
    <x v="8"/>
    <n v="1"/>
    <n v="-1682"/>
    <n v="-130093.41698183553"/>
    <n v="28141"/>
    <x v="1"/>
    <s v="SHORT"/>
    <x v="1"/>
    <n v="-131280.1"/>
    <n v="78.05"/>
    <n v="0"/>
    <n v="0"/>
    <s v="OKEX"/>
    <s v="LTC PERP SHORT"/>
  </r>
  <r>
    <s v="OKEX"/>
    <s v="OKEX-2-M"/>
    <s v="O_F_BTC-USD_221230"/>
    <n v="-7322"/>
    <n v="-732200"/>
    <n v="17767.099999999999"/>
    <n v="0.275349601"/>
    <x v="0"/>
    <d v="2022-12-30T08:00:00"/>
    <n v="0"/>
    <x v="0"/>
    <n v="100"/>
    <n v="-41.211002358291452"/>
    <n v="-732785.97246166598"/>
    <n v="16"/>
    <x v="2"/>
    <s v="SHORT"/>
    <x v="2"/>
    <n v="-739522"/>
    <n v="17944.770999999997"/>
    <n v="0.01"/>
    <n v="-7322"/>
    <s v="OKEX"/>
    <s v="BTC Dec 22 SHORT"/>
  </r>
  <r>
    <s v="OKEX"/>
    <s v="OKEX-2-M"/>
    <s v="O_F_ETH-USD_221230"/>
    <n v="-201184"/>
    <n v="-2011840"/>
    <n v="1324.24"/>
    <n v="-42.368497421000001"/>
    <x v="0"/>
    <d v="2022-12-30T08:00:00"/>
    <n v="0"/>
    <x v="1"/>
    <n v="10"/>
    <n v="-1519.2412251555609"/>
    <n v="-2006232.8416517791"/>
    <n v="16"/>
    <x v="2"/>
    <s v="SHORT"/>
    <x v="2"/>
    <n v="-2031958.4"/>
    <n v="1337.4824000000001"/>
    <n v="0.01"/>
    <n v="-20118.399999999907"/>
    <s v="OKEX"/>
    <s v="ETH Dec 22 SHORT"/>
  </r>
  <r>
    <s v="OKEX"/>
    <s v="OKEX-2-M"/>
    <s v="O_P_LINK-USDT-SWAP"/>
    <n v="-35999"/>
    <n v="-249293.07500000001"/>
    <n v="6.9249999999999998"/>
    <n v="-6317.8531397249999"/>
    <x v="1"/>
    <d v="2099-12-31T08:00:00"/>
    <n v="1"/>
    <x v="12"/>
    <n v="1"/>
    <n v="-35999"/>
    <n v="-248801.93757050409"/>
    <n v="28141"/>
    <x v="1"/>
    <s v="SHORT"/>
    <x v="1"/>
    <n v="-249293.07500000001"/>
    <n v="6.9249999999999998"/>
    <n v="0"/>
    <n v="0"/>
    <s v="OKEX"/>
    <s v="LINK PERP SHORT"/>
  </r>
  <r>
    <s v="OKEX"/>
    <s v="OKEX-2-M"/>
    <s v="O_P_SHIB-USDT-SWAP"/>
    <n v="-87029"/>
    <n v="-797185.64"/>
    <n v="9.1600000000000004E-6"/>
    <n v="117424.76586747399"/>
    <x v="1"/>
    <d v="2099-12-31T08:00:00"/>
    <n v="1"/>
    <x v="14"/>
    <n v="1000000"/>
    <n v="-87029000000"/>
    <n v="-797459.83892325079"/>
    <n v="28141"/>
    <x v="1"/>
    <s v="SHORT"/>
    <x v="1"/>
    <n v="-797185.64"/>
    <n v="9.1600000000000004E-6"/>
    <n v="0"/>
    <n v="0"/>
    <s v="OKEX"/>
    <s v="SHIB PERP SHORT"/>
  </r>
  <r>
    <s v="OKEX"/>
    <s v="OKEX-2-M"/>
    <s v="O_F_BTC-USDT_221230"/>
    <n v="-6217"/>
    <n v="-1103952.6653247301"/>
    <n v="17757"/>
    <n v="-31451.180557642001"/>
    <x v="0"/>
    <d v="2022-12-30T08:00:00"/>
    <n v="1"/>
    <x v="0"/>
    <n v="0.01"/>
    <n v="-62.17"/>
    <n v="-1105464.5920005357"/>
    <n v="16"/>
    <x v="2"/>
    <s v="SHORT"/>
    <x v="2"/>
    <n v="-1114992.1919779775"/>
    <n v="17934.57"/>
    <n v="0.01"/>
    <n v="-11039.52665324742"/>
    <s v="OKEX"/>
    <s v="BTC Dec 22 SHORT"/>
  </r>
  <r>
    <s v="OKEX"/>
    <s v="OKEX-2-S1"/>
    <s v="O_P_BTC-USD-SWAP"/>
    <n v="624"/>
    <n v="62400"/>
    <n v="17757.900000000001"/>
    <n v="0.24800808499999999"/>
    <x v="1"/>
    <d v="2099-12-31T08:00:00"/>
    <n v="0"/>
    <x v="0"/>
    <n v="100"/>
    <n v="3.5139290118764039"/>
    <n v="62482.292125346539"/>
    <n v="28141"/>
    <x v="1"/>
    <s v="LONG"/>
    <x v="3"/>
    <n v="62400"/>
    <n v="17757.900000000001"/>
    <n v="0"/>
    <n v="0"/>
    <s v="OKEX"/>
    <s v="BTC PERP LONG"/>
  </r>
  <r>
    <s v="OKEX"/>
    <s v="OKEX-2-S1"/>
    <s v="O_P_ETH-USD-SWAP"/>
    <n v="-1915"/>
    <n v="-19150"/>
    <n v="1323.62"/>
    <n v="-0.397702577"/>
    <x v="1"/>
    <d v="2099-12-31T08:00:00"/>
    <n v="0"/>
    <x v="1"/>
    <n v="10"/>
    <n v="-14.467898641604087"/>
    <n v="-19105.572521245402"/>
    <n v="28141"/>
    <x v="1"/>
    <s v="SHORT"/>
    <x v="1"/>
    <n v="-19150"/>
    <n v="1323.62"/>
    <n v="0"/>
    <n v="0"/>
    <s v="OKEX"/>
    <s v="ETH PERP SHORT"/>
  </r>
  <r>
    <s v="OKEX"/>
    <s v="OKEX-2-S1"/>
    <s v="O_F_ETH-USD_221230"/>
    <n v="-67"/>
    <n v="-670"/>
    <n v="1324.52"/>
    <n v="-5.3616051999999997E-2"/>
    <x v="0"/>
    <d v="2022-12-30T08:00:00"/>
    <n v="0"/>
    <x v="1"/>
    <n v="10"/>
    <n v="-0.50584362637030778"/>
    <n v="-667.99141516215116"/>
    <n v="16"/>
    <x v="2"/>
    <s v="SHORT"/>
    <x v="2"/>
    <n v="-676.7"/>
    <n v="1337.7652"/>
    <n v="0.01"/>
    <n v="-6.7000000000000455"/>
    <s v="OKEX"/>
    <s v="ETH Dec 22 SHORT"/>
  </r>
  <r>
    <s v="OKEX"/>
    <s v="OKEX-2-S2"/>
    <s v="O_F_BTC-USD_221230"/>
    <n v="2"/>
    <n v="200"/>
    <n v="17773.400000000001"/>
    <n v="7.4171199999999995E-4"/>
    <x v="0"/>
    <d v="2022-12-30T08:00:00"/>
    <n v="0"/>
    <x v="0"/>
    <n v="100"/>
    <n v="1.1252770994857483E-2"/>
    <n v="200.08910884197508"/>
    <n v="16"/>
    <x v="2"/>
    <s v="LONG"/>
    <x v="4"/>
    <n v="202"/>
    <n v="17951.134000000002"/>
    <n v="0.01"/>
    <n v="2"/>
    <s v="OKEX"/>
    <s v="BTC Dec 22 LONG"/>
  </r>
  <r>
    <s v="OKEX"/>
    <s v="OKEX-2-S2"/>
    <s v="O_F_BTC-USDT_221230"/>
    <n v="1"/>
    <n v="177.60399602999999"/>
    <n v="17760.400000000001"/>
    <n v="13.334542715"/>
    <x v="0"/>
    <d v="2022-12-30T08:00:00"/>
    <n v="1"/>
    <x v="0"/>
    <n v="0.01"/>
    <n v="0.01"/>
    <n v="177.813188354598"/>
    <n v="16"/>
    <x v="2"/>
    <s v="LONG"/>
    <x v="4"/>
    <n v="179.3800359903"/>
    <n v="17938.004000000001"/>
    <n v="0.01"/>
    <n v="1.776039960300011"/>
    <s v="OKEX"/>
    <s v="BTC Dec 22 LONG"/>
  </r>
  <r>
    <s v="OKEX"/>
    <s v="OKEX-2-S2"/>
    <s v="O_F_ETH-USDT_221230"/>
    <n v="10771"/>
    <n v="1424173.95422184"/>
    <n v="1322.23"/>
    <n v="98132.629544968993"/>
    <x v="0"/>
    <d v="2022-12-30T08:00:00"/>
    <n v="1"/>
    <x v="1"/>
    <n v="0.1"/>
    <n v="1077.1000000000001"/>
    <n v="1422363.5838488175"/>
    <n v="16"/>
    <x v="2"/>
    <s v="LONG"/>
    <x v="4"/>
    <n v="1438415.6937640584"/>
    <n v="1335.4522999999999"/>
    <n v="0.01"/>
    <n v="14241.739542218391"/>
    <s v="OKEX"/>
    <s v="ETH Dec 22 LONG"/>
  </r>
  <r>
    <s v="OKEX"/>
    <s v="OKEX-2-S2"/>
    <s v="O_P_BTC-USDT-SWAP"/>
    <n v="-1"/>
    <n v="-177.55899603099999"/>
    <n v="17755.900000000001"/>
    <n v="-4.0625998699999997"/>
    <x v="1"/>
    <d v="2099-12-31T08:00:00"/>
    <n v="1"/>
    <x v="0"/>
    <n v="0.01"/>
    <n v="-0.01"/>
    <n v="-177.813188354598"/>
    <n v="28141"/>
    <x v="1"/>
    <s v="SHORT"/>
    <x v="1"/>
    <n v="-177.55899603099999"/>
    <n v="17755.900000000001"/>
    <n v="0"/>
    <n v="0"/>
    <s v="OKEX"/>
    <s v="BTC PERP SHORT"/>
  </r>
  <r>
    <s v="OKEX"/>
    <s v="OKEX-2-S2"/>
    <s v="O_P_ETH-USDT-SWAP"/>
    <n v="-10771"/>
    <n v="-1426252.7572528201"/>
    <n v="1324.16"/>
    <n v="-109366.509779863"/>
    <x v="1"/>
    <d v="2099-12-31T08:00:00"/>
    <n v="1"/>
    <x v="1"/>
    <n v="0.1"/>
    <n v="-1077.1000000000001"/>
    <n v="-1422363.5838488175"/>
    <n v="28141"/>
    <x v="1"/>
    <s v="SHORT"/>
    <x v="1"/>
    <n v="-1426252.7572528201"/>
    <n v="1324.16"/>
    <n v="0"/>
    <n v="0"/>
    <s v="OKEX"/>
    <s v="ETH PERP SHORT"/>
  </r>
  <r>
    <s v="OKEX"/>
    <s v="OKEX-2-S3"/>
    <s v="O_P_AXS-USDT-SWAP"/>
    <n v="17440"/>
    <n v="13289.280198025999"/>
    <n v="7.62"/>
    <n v="-18244.730061801001"/>
    <x v="1"/>
    <d v="2099-12-31T08:00:00"/>
    <n v="1"/>
    <x v="2"/>
    <n v="0.1"/>
    <n v="1744"/>
    <n v="13289.28"/>
    <n v="28141"/>
    <x v="1"/>
    <s v="LONG"/>
    <x v="3"/>
    <n v="13289.280198025999"/>
    <n v="7.62"/>
    <n v="0"/>
    <n v="0"/>
    <s v="OKEX"/>
    <s v="AXS PERP LONG"/>
  </r>
  <r>
    <s v="ED&amp;F"/>
    <s v="UNMBF222"/>
    <s v="ETHZ2"/>
    <n v="378"/>
    <n v="24862950"/>
    <n v="1315.5"/>
    <n v="0"/>
    <x v="2"/>
    <d v="2022-12-30T00:00:00"/>
    <n v="1"/>
    <x v="1"/>
    <n v="50"/>
    <n v="18900"/>
    <n v="24958380.591163907"/>
    <n v="16"/>
    <x v="3"/>
    <s v="LONG"/>
    <x v="5"/>
    <n v="25111579.5"/>
    <n v="1328.655"/>
    <n v="0.01"/>
    <n v="248629.5"/>
    <s v="UNMBF222"/>
    <s v="ETH CME Dec 22 LONG"/>
  </r>
  <r>
    <s v="ED&amp;F"/>
    <s v="UNMBF222"/>
    <s v="BTCZ2"/>
    <n v="262"/>
    <n v="23245950"/>
    <n v="17745"/>
    <n v="0"/>
    <x v="2"/>
    <d v="2022-12-30T00:00:00"/>
    <n v="1"/>
    <x v="0"/>
    <n v="5"/>
    <n v="1310"/>
    <n v="23293527.674452335"/>
    <n v="16"/>
    <x v="3"/>
    <s v="LONG"/>
    <x v="5"/>
    <n v="23478409.5"/>
    <n v="17922.45"/>
    <n v="0.01"/>
    <n v="232459.5"/>
    <s v="UNMBF222"/>
    <s v="BTC CME Dec 22 LONG"/>
  </r>
  <r>
    <s v="-"/>
    <s v="WALLET"/>
    <s v="AAC"/>
    <n v="377.09760540000002"/>
    <n v="0.108605982773918"/>
    <n v="2.8800496534237073E-4"/>
    <n v="0"/>
    <x v="3"/>
    <m/>
    <n v="1"/>
    <x v="15"/>
    <m/>
    <m/>
    <m/>
    <n v="0"/>
    <x v="4"/>
    <s v="LONG"/>
    <x v="6"/>
    <n v="0.108605982773918"/>
    <n v="2.8800496534237073E-4"/>
    <n v="0"/>
    <n v="0"/>
    <s v="-"/>
    <s v="AAC"/>
  </r>
  <r>
    <s v="-"/>
    <s v="WALLET"/>
    <s v="AAVE"/>
    <n v="172.92698313999995"/>
    <n v="10699.493436393539"/>
    <n v="61.872897115954061"/>
    <n v="0"/>
    <x v="3"/>
    <m/>
    <n v="1"/>
    <x v="16"/>
    <m/>
    <m/>
    <m/>
    <n v="0"/>
    <x v="4"/>
    <s v="LONG"/>
    <x v="6"/>
    <n v="10699.493436393539"/>
    <n v="61.872897115954061"/>
    <n v="0"/>
    <n v="0"/>
    <s v="-"/>
    <s v="AAVE"/>
  </r>
  <r>
    <s v="-"/>
    <s v="WALLET"/>
    <s v="ADA"/>
    <n v="-1261.823638289934"/>
    <n v="-394.78105575485097"/>
    <n v="0.31286547800758557"/>
    <n v="0"/>
    <x v="3"/>
    <m/>
    <n v="1"/>
    <x v="17"/>
    <m/>
    <m/>
    <m/>
    <n v="0"/>
    <x v="4"/>
    <s v="SHORT"/>
    <x v="7"/>
    <n v="-394.78105575485097"/>
    <n v="0.31286547800758557"/>
    <n v="0"/>
    <n v="0"/>
    <s v="-"/>
    <s v="ADA"/>
  </r>
  <r>
    <s v="-"/>
    <s v="WALLET"/>
    <s v="ALGO"/>
    <n v="807.91387026003213"/>
    <n v="180.5924856544043"/>
    <n v="0.22352937893773192"/>
    <n v="0"/>
    <x v="3"/>
    <m/>
    <n v="1"/>
    <x v="18"/>
    <m/>
    <m/>
    <m/>
    <n v="0"/>
    <x v="4"/>
    <s v="LONG"/>
    <x v="6"/>
    <n v="180.5924856544043"/>
    <n v="0.22352937893773192"/>
    <n v="0"/>
    <n v="0"/>
    <s v="-"/>
    <s v="ALGO"/>
  </r>
  <r>
    <s v="-"/>
    <s v="WALLET"/>
    <s v="ARPA"/>
    <n v="0.53247394999999997"/>
    <n v="1.5597722376476299E-2"/>
    <n v="2.9292930436270733E-2"/>
    <n v="0"/>
    <x v="3"/>
    <m/>
    <n v="1"/>
    <x v="19"/>
    <m/>
    <m/>
    <m/>
    <n v="0"/>
    <x v="4"/>
    <s v="LONG"/>
    <x v="6"/>
    <n v="1.5597722376476299E-2"/>
    <n v="2.9292930436270733E-2"/>
    <n v="0"/>
    <n v="0"/>
    <s v="-"/>
    <s v="ARPA"/>
  </r>
  <r>
    <s v="-"/>
    <s v="WALLET"/>
    <s v="ATOM"/>
    <n v="0.37945432000000001"/>
    <n v="3.6944328233388779"/>
    <n v="9.7361727844839869"/>
    <n v="0"/>
    <x v="3"/>
    <m/>
    <n v="1"/>
    <x v="13"/>
    <m/>
    <m/>
    <m/>
    <n v="0"/>
    <x v="4"/>
    <s v="LONG"/>
    <x v="6"/>
    <n v="3.6944328233388779"/>
    <n v="9.7361727844839869"/>
    <n v="0"/>
    <n v="0"/>
    <s v="-"/>
    <s v="ATOM"/>
  </r>
  <r>
    <s v="-"/>
    <s v="WALLET"/>
    <s v="AURA"/>
    <n v="410.64283547000002"/>
    <n v="23.728907973323899"/>
    <n v="5.7784785033848332E-2"/>
    <n v="0"/>
    <x v="3"/>
    <m/>
    <n v="1"/>
    <x v="20"/>
    <m/>
    <m/>
    <m/>
    <n v="0"/>
    <x v="4"/>
    <s v="LONG"/>
    <x v="6"/>
    <n v="23.728907973323899"/>
    <n v="5.7784785033848332E-2"/>
    <n v="0"/>
    <n v="0"/>
    <s v="-"/>
    <s v="AURA"/>
  </r>
  <r>
    <s v="-"/>
    <s v="WALLET"/>
    <s v="AVAX"/>
    <n v="70.268235089999962"/>
    <n v="964.65462723403471"/>
    <n v="13.728174985446831"/>
    <n v="0"/>
    <x v="3"/>
    <m/>
    <n v="1"/>
    <x v="21"/>
    <m/>
    <m/>
    <m/>
    <n v="0"/>
    <x v="4"/>
    <s v="LONG"/>
    <x v="6"/>
    <n v="964.65462723403471"/>
    <n v="13.728174985446831"/>
    <n v="0"/>
    <n v="0"/>
    <s v="-"/>
    <s v="AVAX"/>
  </r>
  <r>
    <s v="-"/>
    <s v="WALLET"/>
    <s v="BAL"/>
    <n v="113.5289379"/>
    <n v="693.35216550169798"/>
    <n v="6.1072725450177749"/>
    <n v="0"/>
    <x v="3"/>
    <m/>
    <n v="1"/>
    <x v="22"/>
    <m/>
    <m/>
    <m/>
    <n v="0"/>
    <x v="4"/>
    <s v="LONG"/>
    <x v="6"/>
    <n v="693.35216550169798"/>
    <n v="6.1072725450177749"/>
    <n v="0"/>
    <n v="0"/>
    <s v="-"/>
    <s v="BAL"/>
  </r>
  <r>
    <s v="-"/>
    <s v="WALLET"/>
    <s v="BAT"/>
    <n v="-222.50421832001302"/>
    <n v="-50.378724239137227"/>
    <n v="0.22641693995518258"/>
    <n v="0"/>
    <x v="3"/>
    <m/>
    <n v="1"/>
    <x v="23"/>
    <m/>
    <m/>
    <m/>
    <n v="0"/>
    <x v="4"/>
    <s v="SHORT"/>
    <x v="7"/>
    <n v="-50.378724239137227"/>
    <n v="0.22641693995518258"/>
    <n v="0"/>
    <n v="0"/>
    <s v="-"/>
    <s v="BAT"/>
  </r>
  <r>
    <s v="-"/>
    <s v="WALLET"/>
    <s v="BCH"/>
    <n v="1220.6000211200005"/>
    <n v="134314.03149336699"/>
    <n v="110.03934881970824"/>
    <n v="0"/>
    <x v="3"/>
    <m/>
    <n v="1"/>
    <x v="4"/>
    <m/>
    <m/>
    <m/>
    <n v="0"/>
    <x v="4"/>
    <s v="LONG"/>
    <x v="6"/>
    <n v="134314.03149336699"/>
    <n v="110.03934881970824"/>
    <n v="0"/>
    <n v="0"/>
    <s v="-"/>
    <s v="BCH"/>
  </r>
  <r>
    <s v="-"/>
    <s v="WALLET"/>
    <s v="BHD"/>
    <n v="2.5033500000000001E-3"/>
    <n v="2.0680074109796E-4"/>
    <n v="8.2609599575752493E-2"/>
    <n v="0"/>
    <x v="3"/>
    <m/>
    <n v="1"/>
    <x v="24"/>
    <m/>
    <m/>
    <m/>
    <n v="0"/>
    <x v="4"/>
    <s v="LONG"/>
    <x v="6"/>
    <n v="2.0680074109796E-4"/>
    <n v="8.2609599575752493E-2"/>
    <n v="0"/>
    <n v="0"/>
    <s v="-"/>
    <s v="BHD"/>
  </r>
  <r>
    <s v="-"/>
    <s v="WALLET"/>
    <s v="BLZ"/>
    <n v="115.29838952"/>
    <n v="7.2485353001044297"/>
    <n v="6.2867619663040289E-2"/>
    <n v="0"/>
    <x v="3"/>
    <m/>
    <n v="1"/>
    <x v="25"/>
    <m/>
    <m/>
    <m/>
    <n v="0"/>
    <x v="4"/>
    <s v="LONG"/>
    <x v="6"/>
    <n v="7.2485353001044297"/>
    <n v="6.2867619663040289E-2"/>
    <n v="0"/>
    <n v="0"/>
    <s v="-"/>
    <s v="BLZ"/>
  </r>
  <r>
    <s v="-"/>
    <s v="WALLET"/>
    <s v="BNB"/>
    <n v="2643.4596990000005"/>
    <n v="718893.34396060032"/>
    <n v="271.95169430143079"/>
    <n v="0"/>
    <x v="3"/>
    <m/>
    <n v="1"/>
    <x v="26"/>
    <m/>
    <m/>
    <m/>
    <n v="0"/>
    <x v="4"/>
    <s v="LONG"/>
    <x v="6"/>
    <n v="718893.34396060032"/>
    <n v="271.95169430143079"/>
    <n v="0"/>
    <n v="0"/>
    <s v="-"/>
    <s v="BNB"/>
  </r>
  <r>
    <s v="-"/>
    <s v="WALLET"/>
    <s v="BOBA"/>
    <n v="14.7502"/>
    <n v="3.0350563509423498"/>
    <n v="0.2057637422504339"/>
    <n v="0"/>
    <x v="3"/>
    <m/>
    <n v="1"/>
    <x v="27"/>
    <m/>
    <m/>
    <m/>
    <n v="0"/>
    <x v="4"/>
    <s v="LONG"/>
    <x v="6"/>
    <n v="3.0350563509423498"/>
    <n v="0.2057637422504339"/>
    <n v="0"/>
    <n v="0"/>
    <s v="-"/>
    <s v="BOBA"/>
  </r>
  <r>
    <s v="-"/>
    <s v="WALLET"/>
    <s v="BSV"/>
    <n v="1.46109958"/>
    <n v="67.724016275143157"/>
    <n v="46.351403560832701"/>
    <n v="0"/>
    <x v="3"/>
    <m/>
    <n v="1"/>
    <x v="28"/>
    <m/>
    <m/>
    <m/>
    <n v="0"/>
    <x v="4"/>
    <s v="LONG"/>
    <x v="6"/>
    <n v="67.724016275143157"/>
    <n v="46.351403560832701"/>
    <n v="0"/>
    <n v="0"/>
    <s v="-"/>
    <s v="BSV"/>
  </r>
  <r>
    <s v="-"/>
    <s v="WALLET"/>
    <s v="BTC"/>
    <n v="819.35309221000011"/>
    <n v="14569178.571405791"/>
    <n v="17781.31883545966"/>
    <n v="0"/>
    <x v="3"/>
    <m/>
    <n v="1"/>
    <x v="0"/>
    <m/>
    <m/>
    <m/>
    <n v="0"/>
    <x v="4"/>
    <s v="LONG"/>
    <x v="6"/>
    <n v="14569178.571405791"/>
    <n v="17781.31883545966"/>
    <n v="0"/>
    <n v="0"/>
    <s v="-"/>
    <s v="BTC"/>
  </r>
  <r>
    <s v="-"/>
    <s v="WALLET"/>
    <s v="BTM"/>
    <n v="0.33565571999999999"/>
    <n v="4.5931368673763897E-3"/>
    <n v="1.3684071486630377E-2"/>
    <n v="0"/>
    <x v="3"/>
    <m/>
    <n v="1"/>
    <x v="29"/>
    <m/>
    <m/>
    <m/>
    <n v="0"/>
    <x v="4"/>
    <s v="LONG"/>
    <x v="6"/>
    <n v="4.5931368673763897E-3"/>
    <n v="1.3684071486630377E-2"/>
    <n v="0"/>
    <n v="0"/>
    <s v="-"/>
    <s v="BTM"/>
  </r>
  <r>
    <s v="-"/>
    <s v="WALLET"/>
    <s v="BTT"/>
    <n v="1367501156.8785999"/>
    <n v="935.22966832539601"/>
    <n v="6.8389680229602994E-7"/>
    <n v="0"/>
    <x v="3"/>
    <m/>
    <n v="1"/>
    <x v="30"/>
    <m/>
    <m/>
    <m/>
    <n v="0"/>
    <x v="4"/>
    <s v="LONG"/>
    <x v="6"/>
    <n v="935.22966832539601"/>
    <n v="6.8389680229602994E-7"/>
    <n v="0"/>
    <n v="0"/>
    <s v="-"/>
    <s v="BTT"/>
  </r>
  <r>
    <s v="-"/>
    <s v="WALLET"/>
    <s v="BUSD"/>
    <n v="23295746.800730463"/>
    <n v="23297247.215332102"/>
    <n v="1.0000644072334093"/>
    <n v="0"/>
    <x v="3"/>
    <m/>
    <n v="1"/>
    <x v="31"/>
    <m/>
    <m/>
    <m/>
    <n v="0"/>
    <x v="4"/>
    <s v="LONG"/>
    <x v="6"/>
    <n v="23297247.215332102"/>
    <n v="1.0000644072334093"/>
    <n v="0"/>
    <n v="0"/>
    <s v="-"/>
    <s v="BUSD"/>
  </r>
  <r>
    <s v="-"/>
    <s v="WALLET"/>
    <s v="CMT"/>
    <n v="1.7855998900000001"/>
    <n v="6.6675674008969104E-3"/>
    <n v="3.7340769554465589E-3"/>
    <n v="0"/>
    <x v="3"/>
    <m/>
    <n v="1"/>
    <x v="32"/>
    <m/>
    <m/>
    <m/>
    <n v="0"/>
    <x v="4"/>
    <s v="LONG"/>
    <x v="6"/>
    <n v="6.6675674008969104E-3"/>
    <n v="3.7340769554465589E-3"/>
    <n v="0"/>
    <n v="0"/>
    <s v="-"/>
    <s v="CMT"/>
  </r>
  <r>
    <s v="-"/>
    <s v="WALLET"/>
    <s v="COMP"/>
    <n v="264.03921729000012"/>
    <n v="10360.300312157662"/>
    <n v="39.237733009860861"/>
    <n v="0"/>
    <x v="3"/>
    <m/>
    <n v="1"/>
    <x v="11"/>
    <m/>
    <m/>
    <m/>
    <n v="0"/>
    <x v="4"/>
    <s v="LONG"/>
    <x v="6"/>
    <n v="10360.300312157662"/>
    <n v="39.237733009860861"/>
    <n v="0"/>
    <n v="0"/>
    <s v="-"/>
    <s v="COMP"/>
  </r>
  <r>
    <s v="-"/>
    <s v="WALLET"/>
    <s v="CRO"/>
    <n v="0.30791584"/>
    <n v="1.9173392057550601E-2"/>
    <n v="6.2268287521520818E-2"/>
    <n v="0"/>
    <x v="3"/>
    <m/>
    <n v="1"/>
    <x v="33"/>
    <m/>
    <m/>
    <m/>
    <n v="0"/>
    <x v="4"/>
    <s v="LONG"/>
    <x v="6"/>
    <n v="1.9173392057550601E-2"/>
    <n v="6.2268287521520818E-2"/>
    <n v="0"/>
    <n v="0"/>
    <s v="-"/>
    <s v="CRO"/>
  </r>
  <r>
    <s v="-"/>
    <s v="WALLET"/>
    <s v="CRV"/>
    <n v="10.06080899"/>
    <n v="6.5718022679016617"/>
    <n v="0.6532081341007212"/>
    <n v="0"/>
    <x v="3"/>
    <m/>
    <n v="1"/>
    <x v="34"/>
    <m/>
    <m/>
    <m/>
    <n v="0"/>
    <x v="4"/>
    <s v="LONG"/>
    <x v="6"/>
    <n v="6.5718022679016617"/>
    <n v="0.6532081341007212"/>
    <n v="0"/>
    <n v="0"/>
    <s v="-"/>
    <s v="CRV"/>
  </r>
  <r>
    <s v="-"/>
    <s v="WALLET"/>
    <s v="CVX"/>
    <n v="2.9155110000000001E-2"/>
    <n v="0.11727537396027"/>
    <n v="4.022463779429061"/>
    <n v="0"/>
    <x v="3"/>
    <m/>
    <n v="1"/>
    <x v="35"/>
    <m/>
    <m/>
    <m/>
    <n v="0"/>
    <x v="4"/>
    <s v="LONG"/>
    <x v="6"/>
    <n v="0.11727537396027"/>
    <n v="4.022463779429061"/>
    <n v="0"/>
    <n v="0"/>
    <s v="-"/>
    <s v="CVX"/>
  </r>
  <r>
    <s v="-"/>
    <s v="WALLET"/>
    <s v="DASH"/>
    <n v="-0.10338559999996733"/>
    <n v="-4.9888823908731865"/>
    <n v="48.255099267932508"/>
    <n v="0"/>
    <x v="3"/>
    <m/>
    <n v="1"/>
    <x v="36"/>
    <m/>
    <m/>
    <m/>
    <n v="0"/>
    <x v="4"/>
    <s v="SHORT"/>
    <x v="7"/>
    <n v="-4.9888823908731865"/>
    <n v="48.255099267932508"/>
    <n v="0"/>
    <n v="0"/>
    <s v="-"/>
    <s v="DASH"/>
  </r>
  <r>
    <s v="-"/>
    <s v="WALLET"/>
    <s v="DOGE"/>
    <n v="7755.550084270013"/>
    <n v="705.28774684180098"/>
    <n v="9.0939744979828319E-2"/>
    <n v="0"/>
    <x v="3"/>
    <m/>
    <n v="1"/>
    <x v="37"/>
    <m/>
    <m/>
    <m/>
    <n v="0"/>
    <x v="4"/>
    <s v="LONG"/>
    <x v="6"/>
    <n v="705.28774684180098"/>
    <n v="9.0939744979828319E-2"/>
    <n v="0"/>
    <n v="0"/>
    <s v="-"/>
    <s v="DOGE"/>
  </r>
  <r>
    <s v="-"/>
    <s v="WALLET"/>
    <s v="DON"/>
    <n v="5.9800000000000001E-4"/>
    <n v="3.5880618598903801E-6"/>
    <n v="6.0001034446327426E-3"/>
    <n v="0"/>
    <x v="3"/>
    <m/>
    <n v="1"/>
    <x v="38"/>
    <m/>
    <m/>
    <m/>
    <n v="0"/>
    <x v="4"/>
    <s v="LONG"/>
    <x v="6"/>
    <n v="3.5880618598903801E-6"/>
    <n v="6.0001034446327426E-3"/>
    <n v="0"/>
    <n v="0"/>
    <s v="-"/>
    <s v="DON"/>
  </r>
  <r>
    <s v="-"/>
    <s v="WALLET"/>
    <s v="DOT"/>
    <n v="99.390531390001343"/>
    <n v="524.47935713902552"/>
    <n v="5.2769549554072306"/>
    <n v="0"/>
    <x v="3"/>
    <m/>
    <n v="1"/>
    <x v="39"/>
    <m/>
    <m/>
    <m/>
    <n v="0"/>
    <x v="4"/>
    <s v="LONG"/>
    <x v="6"/>
    <n v="524.47935713902552"/>
    <n v="5.2769549554072306"/>
    <n v="0"/>
    <n v="0"/>
    <s v="-"/>
    <s v="DOT"/>
  </r>
  <r>
    <s v="-"/>
    <s v="WALLET"/>
    <s v="ENJ"/>
    <n v="-70.433751370001119"/>
    <n v="-21.391375264092858"/>
    <n v="0.30370915715847835"/>
    <n v="0"/>
    <x v="3"/>
    <m/>
    <n v="1"/>
    <x v="5"/>
    <m/>
    <m/>
    <m/>
    <n v="0"/>
    <x v="4"/>
    <s v="SHORT"/>
    <x v="7"/>
    <n v="-21.391375264092858"/>
    <n v="0.30370915715847835"/>
    <n v="0"/>
    <n v="0"/>
    <s v="-"/>
    <s v="ENJ"/>
  </r>
  <r>
    <s v="-"/>
    <s v="WALLET"/>
    <s v="EOS"/>
    <n v="-688938.25621875096"/>
    <n v="-687909.09774674708"/>
    <n v="0.99850616733398945"/>
    <n v="0"/>
    <x v="3"/>
    <m/>
    <n v="1"/>
    <x v="3"/>
    <m/>
    <m/>
    <m/>
    <n v="0"/>
    <x v="4"/>
    <s v="SHORT"/>
    <x v="7"/>
    <n v="-687909.09774674708"/>
    <n v="0.99850616733398945"/>
    <n v="0"/>
    <n v="0"/>
    <s v="-"/>
    <s v="EOS"/>
  </r>
  <r>
    <s v="-"/>
    <s v="WALLET"/>
    <s v="ETC"/>
    <n v="-357.18625408001179"/>
    <n v="-6876.8614758568419"/>
    <n v="19.252872688422062"/>
    <n v="0"/>
    <x v="3"/>
    <m/>
    <n v="1"/>
    <x v="6"/>
    <m/>
    <m/>
    <m/>
    <n v="0"/>
    <x v="4"/>
    <s v="SHORT"/>
    <x v="7"/>
    <n v="-6876.8614758568419"/>
    <n v="19.252872688422062"/>
    <n v="0"/>
    <n v="0"/>
    <s v="-"/>
    <s v="ETC"/>
  </r>
  <r>
    <s v="-"/>
    <s v="WALLET"/>
    <s v="ETH"/>
    <n v="8017.9208722499825"/>
    <n v="10588059.29520908"/>
    <n v="1320.5492376277177"/>
    <n v="0"/>
    <x v="3"/>
    <m/>
    <n v="1"/>
    <x v="1"/>
    <m/>
    <m/>
    <m/>
    <n v="0"/>
    <x v="4"/>
    <s v="LONG"/>
    <x v="6"/>
    <n v="10588059.29520908"/>
    <n v="1320.5492376277177"/>
    <n v="0"/>
    <n v="0"/>
    <s v="-"/>
    <s v="ETH"/>
  </r>
  <r>
    <s v="-"/>
    <s v="WALLET"/>
    <s v="ETHF"/>
    <n v="9823.8374246499989"/>
    <n v="2289.3390316107329"/>
    <n v="0.23303918139629606"/>
    <n v="0"/>
    <x v="3"/>
    <m/>
    <n v="1"/>
    <x v="40"/>
    <m/>
    <m/>
    <m/>
    <n v="0"/>
    <x v="4"/>
    <s v="LONG"/>
    <x v="6"/>
    <n v="2289.3390316107329"/>
    <n v="0.23303918139629606"/>
    <n v="0"/>
    <n v="0"/>
    <s v="-"/>
    <s v="ETHF"/>
  </r>
  <r>
    <s v="-"/>
    <s v="WALLET"/>
    <s v="ETHW"/>
    <n v="4732.5387514900003"/>
    <n v="17168.724723454554"/>
    <n v="3.6278043614643671"/>
    <n v="0"/>
    <x v="3"/>
    <m/>
    <n v="1"/>
    <x v="41"/>
    <m/>
    <m/>
    <m/>
    <n v="0"/>
    <x v="4"/>
    <s v="LONG"/>
    <x v="6"/>
    <n v="17168.724723454554"/>
    <n v="3.6278043614643671"/>
    <n v="0"/>
    <n v="0"/>
    <s v="-"/>
    <s v="ETHW"/>
  </r>
  <r>
    <s v="-"/>
    <s v="WALLET"/>
    <s v="EUR"/>
    <n v="-29200761.150801349"/>
    <n v="-31048439.312618308"/>
    <n v="1.0632750000000002"/>
    <n v="0"/>
    <x v="4"/>
    <m/>
    <n v="1"/>
    <x v="42"/>
    <m/>
    <m/>
    <m/>
    <n v="0"/>
    <x v="5"/>
    <s v="SHORT"/>
    <x v="8"/>
    <n v="-31048439.312618308"/>
    <n v="1.0632750000000002"/>
    <n v="0"/>
    <n v="0"/>
    <s v="-"/>
    <s v="EUR"/>
  </r>
  <r>
    <s v="-"/>
    <s v="WALLET"/>
    <s v="EUROC"/>
    <n v="-14657552.054922231"/>
    <n v="-15591094.171178397"/>
    <n v="1.0636901791484799"/>
    <n v="0"/>
    <x v="3"/>
    <m/>
    <n v="1"/>
    <x v="43"/>
    <m/>
    <m/>
    <m/>
    <n v="0"/>
    <x v="4"/>
    <s v="SHORT"/>
    <x v="7"/>
    <n v="-15591094.171178397"/>
    <n v="1.0636901791484799"/>
    <n v="0"/>
    <n v="0"/>
    <s v="-"/>
    <s v="EUROC"/>
  </r>
  <r>
    <s v="-"/>
    <s v="WALLET"/>
    <s v="FIL"/>
    <n v="1380.76141583"/>
    <n v="5963.1443169869199"/>
    <n v="4.3187362049817768"/>
    <n v="0"/>
    <x v="3"/>
    <m/>
    <n v="1"/>
    <x v="7"/>
    <m/>
    <m/>
    <m/>
    <n v="0"/>
    <x v="4"/>
    <s v="LONG"/>
    <x v="6"/>
    <n v="5963.1443169869199"/>
    <n v="4.3187362049817768"/>
    <n v="0"/>
    <n v="0"/>
    <s v="-"/>
    <s v="FIL"/>
  </r>
  <r>
    <s v="-"/>
    <s v="WALLET"/>
    <s v="FTM"/>
    <n v="-412.09802375998697"/>
    <n v="-102.70465146855713"/>
    <n v="0.24922383886114946"/>
    <n v="0"/>
    <x v="3"/>
    <m/>
    <n v="1"/>
    <x v="44"/>
    <m/>
    <m/>
    <m/>
    <n v="0"/>
    <x v="4"/>
    <s v="SHORT"/>
    <x v="7"/>
    <n v="-102.70465146855713"/>
    <n v="0.24922383886114946"/>
    <n v="0"/>
    <n v="0"/>
    <s v="-"/>
    <s v="FTM"/>
  </r>
  <r>
    <s v="-"/>
    <s v="WALLET"/>
    <s v="FTT"/>
    <n v="3.2244594900000001"/>
    <n v="4.5314762300717524"/>
    <n v="1.4053444442782417"/>
    <n v="0"/>
    <x v="3"/>
    <m/>
    <n v="1"/>
    <x v="45"/>
    <m/>
    <m/>
    <m/>
    <n v="0"/>
    <x v="4"/>
    <s v="LONG"/>
    <x v="6"/>
    <n v="4.5314762300717524"/>
    <n v="1.4053444442782417"/>
    <n v="0"/>
    <n v="0"/>
    <s v="-"/>
    <s v="FTT"/>
  </r>
  <r>
    <s v="-"/>
    <s v="WALLET"/>
    <s v="GAS"/>
    <n v="54.776400000000002"/>
    <n v="129.16760549956601"/>
    <n v="2.3580886202738043"/>
    <n v="0"/>
    <x v="3"/>
    <m/>
    <n v="1"/>
    <x v="46"/>
    <m/>
    <m/>
    <m/>
    <n v="0"/>
    <x v="4"/>
    <s v="LONG"/>
    <x v="6"/>
    <n v="129.16760549956601"/>
    <n v="2.3580886202738043"/>
    <n v="0"/>
    <n v="0"/>
    <s v="-"/>
    <s v="GAS"/>
  </r>
  <r>
    <s v="-"/>
    <s v="WALLET"/>
    <s v="GBP"/>
    <n v="0.01"/>
    <n v="1.236575E-2"/>
    <n v="1.236575"/>
    <n v="0"/>
    <x v="3"/>
    <m/>
    <n v="1"/>
    <x v="47"/>
    <m/>
    <m/>
    <m/>
    <n v="0"/>
    <x v="4"/>
    <s v="LONG"/>
    <x v="6"/>
    <n v="1.236575E-2"/>
    <n v="1.236575"/>
    <n v="0"/>
    <n v="0"/>
    <s v="-"/>
    <s v="GBP"/>
  </r>
  <r>
    <s v="-"/>
    <s v="WALLET"/>
    <s v="HBAR"/>
    <n v="121.56685131997801"/>
    <n v="5.805791754675738"/>
    <n v="4.7758017022207992E-2"/>
    <n v="0"/>
    <x v="3"/>
    <m/>
    <n v="1"/>
    <x v="48"/>
    <m/>
    <m/>
    <m/>
    <n v="0"/>
    <x v="4"/>
    <s v="LONG"/>
    <x v="6"/>
    <n v="5.805791754675738"/>
    <n v="4.7758017022207992E-2"/>
    <n v="0"/>
    <n v="0"/>
    <s v="-"/>
    <s v="HBAR"/>
  </r>
  <r>
    <s v="-"/>
    <s v="WALLET"/>
    <s v="HPT"/>
    <n v="5337.6979873099999"/>
    <n v="4.3086430476905999"/>
    <n v="8.0720997290106985E-4"/>
    <n v="0"/>
    <x v="3"/>
    <m/>
    <n v="1"/>
    <x v="49"/>
    <m/>
    <m/>
    <m/>
    <n v="0"/>
    <x v="4"/>
    <s v="LONG"/>
    <x v="6"/>
    <n v="4.3086430476905999"/>
    <n v="8.0720997290106985E-4"/>
    <n v="0"/>
    <n v="0"/>
    <s v="-"/>
    <s v="HPT"/>
  </r>
  <r>
    <s v="-"/>
    <s v="WALLET"/>
    <s v="HT"/>
    <n v="2292.6992752800002"/>
    <n v="14824.465873638699"/>
    <n v="6.4659443274906749"/>
    <n v="0"/>
    <x v="3"/>
    <m/>
    <n v="1"/>
    <x v="50"/>
    <m/>
    <m/>
    <m/>
    <n v="0"/>
    <x v="4"/>
    <s v="LONG"/>
    <x v="6"/>
    <n v="14824.465873638699"/>
    <n v="6.4659443274906749"/>
    <n v="0"/>
    <n v="0"/>
    <s v="-"/>
    <s v="HT"/>
  </r>
  <r>
    <s v="-"/>
    <s v="WALLET"/>
    <s v="IOST"/>
    <n v="14.785856219999999"/>
    <n v="0.123527511653473"/>
    <n v="8.3544374986133201E-3"/>
    <n v="0"/>
    <x v="3"/>
    <m/>
    <n v="1"/>
    <x v="51"/>
    <m/>
    <m/>
    <m/>
    <n v="0"/>
    <x v="4"/>
    <s v="LONG"/>
    <x v="6"/>
    <n v="0.123527511653473"/>
    <n v="8.3544374986133201E-3"/>
    <n v="0"/>
    <n v="0"/>
    <s v="-"/>
    <s v="IOST"/>
  </r>
  <r>
    <s v="-"/>
    <s v="WALLET"/>
    <s v="IRIS"/>
    <n v="0.81765067999999996"/>
    <n v="1.1813223419658901E-2"/>
    <n v="1.4447763217978247E-2"/>
    <n v="0"/>
    <x v="3"/>
    <m/>
    <n v="1"/>
    <x v="52"/>
    <m/>
    <m/>
    <m/>
    <n v="0"/>
    <x v="4"/>
    <s v="LONG"/>
    <x v="6"/>
    <n v="1.1813223419658901E-2"/>
    <n v="1.4447763217978247E-2"/>
    <n v="0"/>
    <n v="0"/>
    <s v="-"/>
    <s v="IRIS"/>
  </r>
  <r>
    <s v="-"/>
    <s v="WALLET"/>
    <s v="JST"/>
    <n v="9.1121815000000002"/>
    <n v="0.20280990270913199"/>
    <n v="2.2257008676696353E-2"/>
    <n v="0"/>
    <x v="3"/>
    <m/>
    <n v="1"/>
    <x v="53"/>
    <m/>
    <m/>
    <m/>
    <n v="0"/>
    <x v="4"/>
    <s v="LONG"/>
    <x v="6"/>
    <n v="0.20280990270913199"/>
    <n v="2.2257008676696353E-2"/>
    <n v="0"/>
    <n v="0"/>
    <s v="-"/>
    <s v="JST"/>
  </r>
  <r>
    <s v="-"/>
    <s v="WALLET"/>
    <s v="KSM"/>
    <n v="9.3766399999999986E-3"/>
    <n v="0.27011125132556207"/>
    <n v="28.80682753369673"/>
    <n v="0"/>
    <x v="3"/>
    <m/>
    <n v="1"/>
    <x v="54"/>
    <m/>
    <m/>
    <m/>
    <n v="0"/>
    <x v="4"/>
    <s v="LONG"/>
    <x v="6"/>
    <n v="0.27011125132556207"/>
    <n v="28.80682753369673"/>
    <n v="0"/>
    <n v="0"/>
    <s v="-"/>
    <s v="KSM"/>
  </r>
  <r>
    <s v="-"/>
    <s v="WALLET"/>
    <s v="LAMB"/>
    <n v="0.24234807999999999"/>
    <n v="3.1303907634898202E-4"/>
    <n v="1.291692000815447E-3"/>
    <n v="0"/>
    <x v="3"/>
    <m/>
    <n v="1"/>
    <x v="55"/>
    <m/>
    <m/>
    <m/>
    <n v="0"/>
    <x v="4"/>
    <s v="LONG"/>
    <x v="6"/>
    <n v="3.1303907634898202E-4"/>
    <n v="1.291692000815447E-3"/>
    <n v="0"/>
    <n v="0"/>
    <s v="-"/>
    <s v="LAMB"/>
  </r>
  <r>
    <s v="-"/>
    <s v="WALLET"/>
    <s v="LEND"/>
    <n v="1E-8"/>
    <n v="0"/>
    <n v="0"/>
    <n v="0"/>
    <x v="3"/>
    <m/>
    <n v="1"/>
    <x v="56"/>
    <m/>
    <m/>
    <m/>
    <n v="0"/>
    <x v="4"/>
    <s v="LONG"/>
    <x v="6"/>
    <n v="0"/>
    <n v="0"/>
    <n v="0"/>
    <n v="0"/>
    <s v="-"/>
    <s v="LEND"/>
  </r>
  <r>
    <s v="-"/>
    <s v="WALLET"/>
    <s v="LINK"/>
    <n v="97854.805681089987"/>
    <n v="676309.48787578486"/>
    <n v="6.9113569146505265"/>
    <n v="0"/>
    <x v="3"/>
    <m/>
    <n v="1"/>
    <x v="12"/>
    <m/>
    <m/>
    <m/>
    <n v="0"/>
    <x v="4"/>
    <s v="LONG"/>
    <x v="6"/>
    <n v="676309.48787578486"/>
    <n v="6.9113569146505265"/>
    <n v="0"/>
    <n v="0"/>
    <s v="-"/>
    <s v="LINK"/>
  </r>
  <r>
    <s v="-"/>
    <s v="WALLET"/>
    <s v="LOL"/>
    <n v="4.3289484800000002"/>
    <n v="1.2517933116982099E-6"/>
    <n v="2.8916798559316879E-7"/>
    <n v="0"/>
    <x v="3"/>
    <m/>
    <n v="1"/>
    <x v="57"/>
    <m/>
    <m/>
    <m/>
    <n v="0"/>
    <x v="4"/>
    <s v="LONG"/>
    <x v="6"/>
    <n v="1.2517933116982099E-6"/>
    <n v="2.8916798559316879E-7"/>
    <n v="0"/>
    <n v="0"/>
    <s v="-"/>
    <s v="LOL"/>
  </r>
  <r>
    <s v="-"/>
    <s v="WALLET"/>
    <s v="LTC"/>
    <n v="4705.7578393799995"/>
    <n v="363964.39763020474"/>
    <n v="77.344480964230485"/>
    <n v="0"/>
    <x v="3"/>
    <m/>
    <n v="1"/>
    <x v="8"/>
    <m/>
    <m/>
    <m/>
    <n v="0"/>
    <x v="4"/>
    <s v="LONG"/>
    <x v="6"/>
    <n v="363964.39763020474"/>
    <n v="77.344480964230485"/>
    <n v="0"/>
    <n v="0"/>
    <s v="-"/>
    <s v="LTC"/>
  </r>
  <r>
    <s v="-"/>
    <s v="WALLET"/>
    <s v="LXT"/>
    <n v="0.66495972999999997"/>
    <n v="1.4097389321686499E-4"/>
    <n v="2.1200365504368964E-4"/>
    <n v="0"/>
    <x v="3"/>
    <m/>
    <n v="1"/>
    <x v="58"/>
    <m/>
    <m/>
    <m/>
    <n v="0"/>
    <x v="4"/>
    <s v="LONG"/>
    <x v="6"/>
    <n v="1.4097389321686499E-4"/>
    <n v="2.1200365504368964E-4"/>
    <n v="0"/>
    <n v="0"/>
    <s v="-"/>
    <s v="LXT"/>
  </r>
  <r>
    <s v="-"/>
    <s v="WALLET"/>
    <s v="MANA"/>
    <n v="8901.9249501599916"/>
    <n v="3480.2381972767253"/>
    <n v="0.39095344172882246"/>
    <n v="0"/>
    <x v="3"/>
    <m/>
    <n v="1"/>
    <x v="59"/>
    <m/>
    <m/>
    <m/>
    <n v="0"/>
    <x v="4"/>
    <s v="LONG"/>
    <x v="6"/>
    <n v="3480.2381972767253"/>
    <n v="0.39095344172882246"/>
    <n v="0"/>
    <n v="0"/>
    <s v="-"/>
    <s v="MANA"/>
  </r>
  <r>
    <s v="-"/>
    <s v="WALLET"/>
    <s v="MATIC"/>
    <n v="-19669.06792709"/>
    <n v="-18163.084249336534"/>
    <n v="0.92343390732413455"/>
    <n v="0"/>
    <x v="3"/>
    <m/>
    <n v="1"/>
    <x v="60"/>
    <m/>
    <m/>
    <m/>
    <n v="0"/>
    <x v="4"/>
    <s v="SHORT"/>
    <x v="7"/>
    <n v="-18163.084249336534"/>
    <n v="0.92343390732413455"/>
    <n v="0"/>
    <n v="0"/>
    <s v="-"/>
    <s v="MATIC"/>
  </r>
  <r>
    <s v="-"/>
    <s v="WALLET"/>
    <s v="MKR"/>
    <n v="-1.164447000000024E-2"/>
    <n v="-7.0249723796296166"/>
    <n v="603.28828874388205"/>
    <n v="0"/>
    <x v="3"/>
    <m/>
    <n v="1"/>
    <x v="61"/>
    <m/>
    <m/>
    <m/>
    <n v="0"/>
    <x v="4"/>
    <s v="SHORT"/>
    <x v="7"/>
    <n v="-7.0249723796296166"/>
    <n v="603.28828874388205"/>
    <n v="0"/>
    <n v="0"/>
    <s v="-"/>
    <s v="MKR"/>
  </r>
  <r>
    <s v="-"/>
    <s v="WALLET"/>
    <s v="NEO"/>
    <n v="0.89105878000000005"/>
    <n v="6.5037826873500197"/>
    <n v="7.2989378852762323"/>
    <n v="0"/>
    <x v="3"/>
    <m/>
    <n v="1"/>
    <x v="62"/>
    <m/>
    <m/>
    <m/>
    <n v="0"/>
    <x v="4"/>
    <s v="LONG"/>
    <x v="6"/>
    <n v="6.5037826873500197"/>
    <n v="7.2989378852762323"/>
    <n v="0"/>
    <n v="0"/>
    <s v="-"/>
    <s v="NEO"/>
  </r>
  <r>
    <s v="-"/>
    <s v="WALLET"/>
    <s v="NEW"/>
    <n v="40.704174029999997"/>
    <n v="7.0169189137962596E-3"/>
    <n v="1.7238819067117328E-4"/>
    <n v="0"/>
    <x v="3"/>
    <m/>
    <n v="1"/>
    <x v="63"/>
    <m/>
    <m/>
    <m/>
    <n v="0"/>
    <x v="4"/>
    <s v="LONG"/>
    <x v="6"/>
    <n v="7.0169189137962596E-3"/>
    <n v="1.7238819067117328E-4"/>
    <n v="0"/>
    <n v="0"/>
    <s v="-"/>
    <s v="NEW"/>
  </r>
  <r>
    <s v="-"/>
    <s v="WALLET"/>
    <s v="NFT"/>
    <n v="3045130004.3544402"/>
    <n v="1431.37464321588"/>
    <n v="4.7005370580863848E-7"/>
    <n v="0"/>
    <x v="3"/>
    <m/>
    <n v="1"/>
    <x v="64"/>
    <m/>
    <m/>
    <m/>
    <n v="0"/>
    <x v="4"/>
    <s v="LONG"/>
    <x v="6"/>
    <n v="1431.37464321588"/>
    <n v="4.7005370580863848E-7"/>
    <n v="0"/>
    <n v="0"/>
    <s v="-"/>
    <s v="NFT"/>
  </r>
  <r>
    <s v="-"/>
    <s v="WALLET"/>
    <s v="NULS"/>
    <n v="4.3068300000000002E-3"/>
    <n v="8.9948535991461699E-4"/>
    <n v="0.20885090888533259"/>
    <n v="0"/>
    <x v="3"/>
    <m/>
    <n v="1"/>
    <x v="65"/>
    <m/>
    <m/>
    <m/>
    <n v="0"/>
    <x v="4"/>
    <s v="LONG"/>
    <x v="6"/>
    <n v="8.9948535991461699E-4"/>
    <n v="0.20885090888533259"/>
    <n v="0"/>
    <n v="0"/>
    <s v="-"/>
    <s v="NULS"/>
  </r>
  <r>
    <s v="-"/>
    <s v="WALLET"/>
    <s v="OMG"/>
    <n v="24121.420819300001"/>
    <n v="28310.841570335622"/>
    <n v="1.1736805133669235"/>
    <n v="0"/>
    <x v="3"/>
    <m/>
    <n v="1"/>
    <x v="9"/>
    <m/>
    <m/>
    <m/>
    <n v="0"/>
    <x v="4"/>
    <s v="LONG"/>
    <x v="6"/>
    <n v="28310.841570335622"/>
    <n v="1.1736805133669235"/>
    <n v="0"/>
    <n v="0"/>
    <s v="-"/>
    <s v="OMG"/>
  </r>
  <r>
    <s v="-"/>
    <s v="WALLET"/>
    <s v="ONG"/>
    <n v="0.34782034000000001"/>
    <n v="9.5947636568309402E-2"/>
    <n v="0.27585401293181822"/>
    <n v="0"/>
    <x v="3"/>
    <m/>
    <n v="1"/>
    <x v="66"/>
    <m/>
    <m/>
    <m/>
    <n v="0"/>
    <x v="4"/>
    <s v="LONG"/>
    <x v="6"/>
    <n v="9.5947636568309402E-2"/>
    <n v="0.27585401293181822"/>
    <n v="0"/>
    <n v="0"/>
    <s v="-"/>
    <s v="ONG"/>
  </r>
  <r>
    <s v="-"/>
    <s v="WALLET"/>
    <s v="OXT"/>
    <n v="29962.3355020698"/>
    <n v="2431.4388352548935"/>
    <n v="8.1149843445512765E-2"/>
    <n v="0"/>
    <x v="3"/>
    <m/>
    <n v="1"/>
    <x v="67"/>
    <m/>
    <m/>
    <m/>
    <n v="0"/>
    <x v="4"/>
    <s v="LONG"/>
    <x v="6"/>
    <n v="2431.4388352548935"/>
    <n v="8.1149843445512765E-2"/>
    <n v="0"/>
    <n v="0"/>
    <s v="-"/>
    <s v="OXT"/>
  </r>
  <r>
    <s v="-"/>
    <s v="WALLET"/>
    <s v="QTUM"/>
    <n v="3.0962099999999998E-3"/>
    <n v="7.1387622288239198E-3"/>
    <n v="2.3056453628222635"/>
    <n v="0"/>
    <x v="3"/>
    <m/>
    <n v="1"/>
    <x v="68"/>
    <m/>
    <m/>
    <m/>
    <n v="0"/>
    <x v="4"/>
    <s v="LONG"/>
    <x v="6"/>
    <n v="7.1387622288239198E-3"/>
    <n v="2.3056453628222635"/>
    <n v="0"/>
    <n v="0"/>
    <s v="-"/>
    <s v="QTUM"/>
  </r>
  <r>
    <s v="-"/>
    <s v="WALLET"/>
    <s v="REI"/>
    <n v="2.6598900000000002E-2"/>
    <n v="6.6919810153986102E-4"/>
    <n v="2.5158863770301063E-2"/>
    <n v="0"/>
    <x v="3"/>
    <m/>
    <n v="1"/>
    <x v="69"/>
    <m/>
    <m/>
    <m/>
    <n v="0"/>
    <x v="4"/>
    <s v="LONG"/>
    <x v="6"/>
    <n v="6.6919810153986102E-4"/>
    <n v="2.5158863770301063E-2"/>
    <n v="0"/>
    <n v="0"/>
    <s v="-"/>
    <s v="REI"/>
  </r>
  <r>
    <s v="-"/>
    <s v="WALLET"/>
    <s v="ROSE"/>
    <n v="9.5929999999999998E-5"/>
    <n v="4.27645494988511E-6"/>
    <n v="4.4578911184041593E-2"/>
    <n v="0"/>
    <x v="3"/>
    <m/>
    <n v="1"/>
    <x v="70"/>
    <m/>
    <m/>
    <m/>
    <n v="0"/>
    <x v="4"/>
    <s v="LONG"/>
    <x v="6"/>
    <n v="4.27645494988511E-6"/>
    <n v="4.4578911184041593E-2"/>
    <n v="0"/>
    <n v="0"/>
    <s v="-"/>
    <s v="ROSE"/>
  </r>
  <r>
    <s v="-"/>
    <s v="WALLET"/>
    <s v="SGB"/>
    <n v="1236499.8774543798"/>
    <n v="14847.450909555013"/>
    <n v="1.2007644465053985E-2"/>
    <n v="0"/>
    <x v="3"/>
    <m/>
    <n v="1"/>
    <x v="71"/>
    <m/>
    <m/>
    <m/>
    <n v="0"/>
    <x v="4"/>
    <s v="LONG"/>
    <x v="6"/>
    <n v="14847.450909555013"/>
    <n v="1.2007644465053985E-2"/>
    <n v="0"/>
    <n v="0"/>
    <s v="-"/>
    <s v="SGB"/>
  </r>
  <r>
    <s v="-"/>
    <s v="WALLET"/>
    <s v="SHFT"/>
    <n v="3387190.4289662"/>
    <n v="32605.692936694599"/>
    <n v="9.6261765083713174E-3"/>
    <n v="0"/>
    <x v="3"/>
    <m/>
    <n v="1"/>
    <x v="72"/>
    <m/>
    <m/>
    <m/>
    <n v="0"/>
    <x v="4"/>
    <s v="LONG"/>
    <x v="6"/>
    <n v="32605.692936694599"/>
    <n v="9.6261765083713174E-3"/>
    <n v="0"/>
    <n v="0"/>
    <s v="-"/>
    <s v="SHFT"/>
  </r>
  <r>
    <s v="-"/>
    <s v="WALLET"/>
    <s v="SHIB"/>
    <n v="175916972770.21173"/>
    <n v="1611953.725415648"/>
    <n v="9.1631506615409553E-6"/>
    <n v="0"/>
    <x v="3"/>
    <m/>
    <n v="1"/>
    <x v="14"/>
    <m/>
    <m/>
    <m/>
    <n v="0"/>
    <x v="4"/>
    <s v="LONG"/>
    <x v="6"/>
    <n v="1611953.725415648"/>
    <n v="9.1631506615409553E-6"/>
    <n v="0"/>
    <n v="0"/>
    <s v="-"/>
    <s v="SHIB"/>
  </r>
  <r>
    <s v="-"/>
    <s v="WALLET"/>
    <s v="SOL"/>
    <n v="-1120.61557146"/>
    <n v="-15502.579568059911"/>
    <n v="13.833985501256505"/>
    <n v="0"/>
    <x v="3"/>
    <m/>
    <n v="1"/>
    <x v="73"/>
    <m/>
    <m/>
    <m/>
    <n v="0"/>
    <x v="4"/>
    <s v="SHORT"/>
    <x v="7"/>
    <n v="-15502.579568059911"/>
    <n v="13.833985501256505"/>
    <n v="0"/>
    <n v="0"/>
    <s v="-"/>
    <s v="SOL"/>
  </r>
  <r>
    <s v="-"/>
    <s v="WALLET"/>
    <s v="SOLO"/>
    <n v="38753.774400000002"/>
    <n v="6015.4481548669601"/>
    <n v="0.15522225249024932"/>
    <n v="0"/>
    <x v="3"/>
    <m/>
    <n v="1"/>
    <x v="74"/>
    <m/>
    <m/>
    <m/>
    <n v="0"/>
    <x v="4"/>
    <s v="LONG"/>
    <x v="6"/>
    <n v="6015.4481548669601"/>
    <n v="0.15522225249024932"/>
    <n v="0"/>
    <n v="0"/>
    <s v="-"/>
    <s v="SOLO"/>
  </r>
  <r>
    <s v="-"/>
    <s v="WALLET"/>
    <s v="STETH"/>
    <n v="619.74326685000005"/>
    <n v="792792.37106265896"/>
    <n v="1279.2270823565768"/>
    <n v="0"/>
    <x v="3"/>
    <m/>
    <n v="1"/>
    <x v="75"/>
    <m/>
    <m/>
    <m/>
    <n v="0"/>
    <x v="4"/>
    <s v="LONG"/>
    <x v="6"/>
    <n v="792792.37106265896"/>
    <n v="1279.2270823565768"/>
    <n v="0"/>
    <n v="0"/>
    <s v="-"/>
    <s v="STETH"/>
  </r>
  <r>
    <s v="-"/>
    <s v="WALLET"/>
    <s v="STORJ"/>
    <n v="29.76350429"/>
    <n v="9.6462709240136704"/>
    <n v="0.32409728471571952"/>
    <n v="0"/>
    <x v="3"/>
    <m/>
    <n v="1"/>
    <x v="76"/>
    <m/>
    <m/>
    <m/>
    <n v="0"/>
    <x v="4"/>
    <s v="LONG"/>
    <x v="6"/>
    <n v="9.6462709240136704"/>
    <n v="0.32409728471571952"/>
    <n v="0"/>
    <n v="0"/>
    <s v="-"/>
    <s v="STORJ"/>
  </r>
  <r>
    <s v="-"/>
    <s v="WALLET"/>
    <s v="SUSHI"/>
    <n v="-6.3618126500005019"/>
    <n v="-7.3780124565964798"/>
    <n v="1.1597343182679072"/>
    <n v="0"/>
    <x v="3"/>
    <m/>
    <n v="1"/>
    <x v="77"/>
    <m/>
    <m/>
    <m/>
    <n v="0"/>
    <x v="4"/>
    <s v="SHORT"/>
    <x v="7"/>
    <n v="-7.3780124565964798"/>
    <n v="1.1597343182679072"/>
    <n v="0"/>
    <n v="0"/>
    <s v="-"/>
    <s v="SUSHI"/>
  </r>
  <r>
    <s v="-"/>
    <s v="WALLET"/>
    <s v="TRX"/>
    <n v="45.224419630000007"/>
    <n v="2.4616950867775187"/>
    <n v="5.4432872923913259E-2"/>
    <n v="0"/>
    <x v="3"/>
    <m/>
    <n v="1"/>
    <x v="78"/>
    <m/>
    <m/>
    <m/>
    <n v="0"/>
    <x v="4"/>
    <s v="LONG"/>
    <x v="6"/>
    <n v="2.4616950867775187"/>
    <n v="5.4432872923913259E-2"/>
    <n v="0"/>
    <n v="0"/>
    <s v="-"/>
    <s v="TRX"/>
  </r>
  <r>
    <s v="-"/>
    <s v="WALLET"/>
    <s v="TRY"/>
    <n v="0.10983253"/>
    <n v="5.8483062598339696E-3"/>
    <n v="5.3247487423206674E-2"/>
    <n v="0"/>
    <x v="3"/>
    <m/>
    <n v="1"/>
    <x v="79"/>
    <m/>
    <m/>
    <m/>
    <n v="0"/>
    <x v="4"/>
    <s v="LONG"/>
    <x v="6"/>
    <n v="5.8483062598339696E-3"/>
    <n v="5.3247487423206674E-2"/>
    <n v="0"/>
    <n v="0"/>
    <s v="-"/>
    <s v="TRY"/>
  </r>
  <r>
    <s v="-"/>
    <s v="WALLET"/>
    <s v="TT"/>
    <n v="6.3152970000000003E-2"/>
    <n v="2.4301270697733201E-4"/>
    <n v="3.8480012417045784E-3"/>
    <n v="0"/>
    <x v="3"/>
    <m/>
    <n v="1"/>
    <x v="80"/>
    <m/>
    <m/>
    <m/>
    <n v="0"/>
    <x v="4"/>
    <s v="LONG"/>
    <x v="6"/>
    <n v="2.4301270697733201E-4"/>
    <n v="3.8480012417045784E-3"/>
    <n v="0"/>
    <n v="0"/>
    <s v="-"/>
    <s v="TT"/>
  </r>
  <r>
    <s v="-"/>
    <s v="WALLET"/>
    <s v="TUSD"/>
    <n v="20"/>
    <n v="20.010969829115499"/>
    <n v="1.000548491455775"/>
    <n v="0"/>
    <x v="3"/>
    <m/>
    <n v="1"/>
    <x v="81"/>
    <m/>
    <m/>
    <m/>
    <n v="0"/>
    <x v="4"/>
    <s v="LONG"/>
    <x v="6"/>
    <n v="20.010969829115499"/>
    <n v="1.000548491455775"/>
    <n v="0"/>
    <n v="0"/>
    <s v="-"/>
    <s v="TUSD"/>
  </r>
  <r>
    <s v="-"/>
    <s v="WALLET"/>
    <s v="UNI"/>
    <n v="-66.066807019999942"/>
    <n v="-402.32138127685903"/>
    <n v="6.0896144285445351"/>
    <n v="0"/>
    <x v="3"/>
    <m/>
    <n v="1"/>
    <x v="82"/>
    <m/>
    <m/>
    <m/>
    <n v="0"/>
    <x v="4"/>
    <s v="SHORT"/>
    <x v="7"/>
    <n v="-402.32138127685903"/>
    <n v="6.0896144285445351"/>
    <n v="0"/>
    <n v="0"/>
    <s v="-"/>
    <s v="UNI"/>
  </r>
  <r>
    <s v="-"/>
    <s v="WALLET"/>
    <s v="USD"/>
    <n v="66371370.517192498"/>
    <n v="66371370.517192498"/>
    <n v="1"/>
    <n v="0"/>
    <x v="4"/>
    <m/>
    <n v="1"/>
    <x v="83"/>
    <m/>
    <m/>
    <m/>
    <n v="0"/>
    <x v="5"/>
    <s v="LONG"/>
    <x v="9"/>
    <n v="66371370.517192498"/>
    <n v="1"/>
    <n v="0"/>
    <n v="0"/>
    <s v="-"/>
    <s v="USD"/>
  </r>
  <r>
    <s v="-"/>
    <s v="WALLET"/>
    <s v="USDC"/>
    <n v="-54202885.937472254"/>
    <n v="-54210152.641422257"/>
    <n v="1.0001340648901682"/>
    <n v="0"/>
    <x v="3"/>
    <m/>
    <n v="1"/>
    <x v="84"/>
    <m/>
    <m/>
    <m/>
    <n v="0"/>
    <x v="4"/>
    <s v="SHORT"/>
    <x v="7"/>
    <n v="-54210152.641422257"/>
    <n v="1.0001340648901682"/>
    <n v="0"/>
    <n v="0"/>
    <s v="-"/>
    <s v="USDC"/>
  </r>
  <r>
    <s v="-"/>
    <s v="WALLET"/>
    <s v="USDP"/>
    <n v="0.34680431"/>
    <n v="0.34704878178316301"/>
    <n v="1.0007049271768365"/>
    <n v="0"/>
    <x v="3"/>
    <m/>
    <n v="1"/>
    <x v="85"/>
    <m/>
    <m/>
    <m/>
    <n v="0"/>
    <x v="4"/>
    <s v="LONG"/>
    <x v="6"/>
    <n v="0.34704878178316301"/>
    <n v="1.0007049271768365"/>
    <n v="0"/>
    <n v="0"/>
    <s v="-"/>
    <s v="USDP"/>
  </r>
  <r>
    <s v="-"/>
    <s v="WALLET"/>
    <s v="USDT"/>
    <n v="20235401.049579419"/>
    <n v="20235749.923517808"/>
    <n v="1.0000172407721268"/>
    <n v="0"/>
    <x v="3"/>
    <m/>
    <n v="1"/>
    <x v="86"/>
    <m/>
    <m/>
    <m/>
    <n v="0"/>
    <x v="4"/>
    <s v="LONG"/>
    <x v="6"/>
    <n v="20235749.923517808"/>
    <n v="1.0000172407721268"/>
    <n v="0"/>
    <n v="0"/>
    <s v="-"/>
    <s v="USDT"/>
  </r>
  <r>
    <s v="-"/>
    <s v="WALLET"/>
    <s v="UST"/>
    <n v="29.9885932"/>
    <n v="0"/>
    <n v="0"/>
    <n v="0"/>
    <x v="3"/>
    <m/>
    <n v="1"/>
    <x v="87"/>
    <m/>
    <m/>
    <m/>
    <n v="0"/>
    <x v="4"/>
    <s v="LONG"/>
    <x v="6"/>
    <n v="0"/>
    <n v="0"/>
    <n v="0"/>
    <n v="0"/>
    <s v="-"/>
    <s v="UST"/>
  </r>
  <r>
    <s v="-"/>
    <s v="WALLET"/>
    <s v="VET"/>
    <n v="59489.017780000002"/>
    <n v="1134.697100789049"/>
    <n v="1.9074060106108025E-2"/>
    <n v="0"/>
    <x v="3"/>
    <m/>
    <n v="1"/>
    <x v="88"/>
    <m/>
    <m/>
    <m/>
    <n v="0"/>
    <x v="4"/>
    <s v="LONG"/>
    <x v="6"/>
    <n v="1134.697100789049"/>
    <n v="1.9074060106108025E-2"/>
    <n v="0"/>
    <n v="0"/>
    <s v="-"/>
    <s v="VET"/>
  </r>
  <r>
    <s v="-"/>
    <s v="WALLET"/>
    <s v="VSYS"/>
    <n v="0.20872535"/>
    <n v="2.2560538056823199E-4"/>
    <n v="1.080871971556076E-3"/>
    <n v="0"/>
    <x v="3"/>
    <m/>
    <n v="1"/>
    <x v="89"/>
    <m/>
    <m/>
    <m/>
    <n v="0"/>
    <x v="4"/>
    <s v="LONG"/>
    <x v="6"/>
    <n v="2.2560538056823199E-4"/>
    <n v="1.080871971556076E-3"/>
    <n v="0"/>
    <n v="0"/>
    <s v="-"/>
    <s v="VSYS"/>
  </r>
  <r>
    <s v="-"/>
    <s v="WALLET"/>
    <s v="WETH"/>
    <n v="154.70349367"/>
    <n v="204307.207223865"/>
    <n v="1320.6373196695565"/>
    <n v="0"/>
    <x v="3"/>
    <m/>
    <n v="1"/>
    <x v="90"/>
    <m/>
    <m/>
    <m/>
    <n v="0"/>
    <x v="4"/>
    <s v="LONG"/>
    <x v="6"/>
    <n v="204307.207223865"/>
    <n v="1320.6373196695565"/>
    <n v="0"/>
    <n v="0"/>
    <s v="-"/>
    <s v="WETH"/>
  </r>
  <r>
    <s v="-"/>
    <s v="WALLET"/>
    <s v="WOO"/>
    <n v="1644286.05309931"/>
    <n v="223508.10865896201"/>
    <n v="0.13593018577130922"/>
    <n v="0"/>
    <x v="3"/>
    <m/>
    <n v="1"/>
    <x v="91"/>
    <m/>
    <m/>
    <m/>
    <n v="0"/>
    <x v="4"/>
    <s v="LONG"/>
    <x v="6"/>
    <n v="223508.10865896201"/>
    <n v="0.13593018577130922"/>
    <n v="0"/>
    <n v="0"/>
    <s v="-"/>
    <s v="WOO"/>
  </r>
  <r>
    <s v="-"/>
    <s v="WALLET"/>
    <s v="XEC"/>
    <n v="97856395.370000005"/>
    <n v="2872.6498836238143"/>
    <n v="2.9355770491669746E-5"/>
    <n v="0"/>
    <x v="3"/>
    <m/>
    <n v="1"/>
    <x v="92"/>
    <m/>
    <m/>
    <m/>
    <n v="0"/>
    <x v="4"/>
    <s v="LONG"/>
    <x v="6"/>
    <n v="2872.6498836238143"/>
    <n v="2.9355770491669746E-5"/>
    <n v="0"/>
    <n v="0"/>
    <s v="-"/>
    <s v="XEC"/>
  </r>
  <r>
    <s v="-"/>
    <s v="WALLET"/>
    <s v="XLM"/>
    <n v="-4633.5205147299566"/>
    <n v="-389.18645000527613"/>
    <n v="8.399368229147855E-2"/>
    <n v="0"/>
    <x v="3"/>
    <m/>
    <n v="1"/>
    <x v="93"/>
    <m/>
    <m/>
    <m/>
    <n v="0"/>
    <x v="4"/>
    <s v="SHORT"/>
    <x v="7"/>
    <n v="-389.18645000527613"/>
    <n v="8.399368229147855E-2"/>
    <n v="0"/>
    <n v="0"/>
    <s v="-"/>
    <s v="XLM"/>
  </r>
  <r>
    <s v="-"/>
    <s v="WALLET"/>
    <s v="XRP"/>
    <n v="121195.08256007999"/>
    <n v="47884.460297740188"/>
    <n v="0.39510233654902993"/>
    <n v="0"/>
    <x v="3"/>
    <m/>
    <n v="1"/>
    <x v="94"/>
    <m/>
    <m/>
    <m/>
    <n v="0"/>
    <x v="4"/>
    <s v="LONG"/>
    <x v="6"/>
    <n v="47884.460297740188"/>
    <n v="0.39510233654902993"/>
    <n v="0"/>
    <n v="0"/>
    <s v="-"/>
    <s v="XRP"/>
  </r>
  <r>
    <s v="-"/>
    <s v="WALLET"/>
    <s v="XTZ"/>
    <n v="-75.675093910002033"/>
    <n v="-73.394628790272691"/>
    <n v="0.96986505068046003"/>
    <n v="0"/>
    <x v="3"/>
    <m/>
    <n v="1"/>
    <x v="95"/>
    <m/>
    <m/>
    <m/>
    <n v="0"/>
    <x v="4"/>
    <s v="SHORT"/>
    <x v="7"/>
    <n v="-73.394628790272691"/>
    <n v="0.96986505068046003"/>
    <n v="0"/>
    <n v="0"/>
    <s v="-"/>
    <s v="XTZ"/>
  </r>
  <r>
    <s v="-"/>
    <s v="WALLET"/>
    <s v="YFI"/>
    <n v="4.0593207099999997"/>
    <n v="26364.489033310143"/>
    <n v="6494.8031744232758"/>
    <n v="0"/>
    <x v="3"/>
    <m/>
    <n v="1"/>
    <x v="96"/>
    <m/>
    <m/>
    <m/>
    <n v="0"/>
    <x v="4"/>
    <s v="LONG"/>
    <x v="6"/>
    <n v="26364.489033310143"/>
    <n v="6494.8031744232758"/>
    <n v="0"/>
    <n v="0"/>
    <s v="-"/>
    <s v="YFI"/>
  </r>
  <r>
    <s v="-"/>
    <s v="WALLET"/>
    <s v="YFII"/>
    <n v="1.572583E-2"/>
    <n v="21.62773927210381"/>
    <n v="1375.3003353148172"/>
    <n v="0"/>
    <x v="3"/>
    <m/>
    <n v="1"/>
    <x v="97"/>
    <m/>
    <m/>
    <m/>
    <n v="0"/>
    <x v="4"/>
    <s v="LONG"/>
    <x v="6"/>
    <n v="21.62773927210381"/>
    <n v="1375.3003353148172"/>
    <n v="0"/>
    <n v="0"/>
    <s v="-"/>
    <s v="YFII"/>
  </r>
  <r>
    <s v="-"/>
    <s v="WALLET"/>
    <s v="ZEC"/>
    <n v="2.173E-4"/>
    <n v="1.00552704908156E-2"/>
    <n v="46.273679203017025"/>
    <n v="0"/>
    <x v="3"/>
    <m/>
    <n v="1"/>
    <x v="98"/>
    <m/>
    <m/>
    <m/>
    <n v="0"/>
    <x v="4"/>
    <s v="LONG"/>
    <x v="6"/>
    <n v="1.00552704908156E-2"/>
    <n v="46.273679203017025"/>
    <n v="0"/>
    <n v="0"/>
    <s v="-"/>
    <s v="ZEC"/>
  </r>
  <r>
    <s v="-"/>
    <s v="WALLET"/>
    <s v="ZIL"/>
    <n v="762050.88035880844"/>
    <n v="16935.569120381988"/>
    <n v="2.2223672404141765E-2"/>
    <n v="0"/>
    <x v="3"/>
    <m/>
    <n v="1"/>
    <x v="10"/>
    <m/>
    <m/>
    <m/>
    <n v="0"/>
    <x v="4"/>
    <s v="LONG"/>
    <x v="6"/>
    <n v="16935.569120381988"/>
    <n v="2.2223672404141765E-2"/>
    <n v="0"/>
    <n v="0"/>
    <s v="-"/>
    <s v="ZIL"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4006"/>
    <n v="400600"/>
    <n v="18200.03058545"/>
    <n v="1.94072069"/>
    <x v="0"/>
    <d v="2023-03-31T08:00:00"/>
    <n v="0"/>
    <x v="0"/>
    <n v="100"/>
    <n v="22.01095202116085"/>
    <n v="392139.41417652223"/>
    <n v="106.41666666667152"/>
    <x v="0"/>
    <x v="0"/>
    <x v="0"/>
    <n v="404606"/>
    <n v="18382.030891304501"/>
    <n v="0.01"/>
    <n v="4006"/>
    <s v="BINE"/>
    <s v="M4"/>
  </r>
  <r>
    <x v="0"/>
    <x v="0"/>
    <x v="1"/>
    <n v="-67749"/>
    <n v="-6774900"/>
    <n v="18086.77321508"/>
    <n v="-8.0250139699999998"/>
    <x v="1"/>
    <d v="2099-12-31T08:00:00"/>
    <n v="0"/>
    <x v="0"/>
    <n v="100"/>
    <n v="-374.57759432463996"/>
    <n v="-6673343.263885255"/>
    <n v="28140.416666666664"/>
    <x v="1"/>
    <x v="1"/>
    <x v="1"/>
    <n v="-6774900"/>
    <n v="18086.77321508"/>
    <n v="0"/>
    <n v="0"/>
    <s v="BINE"/>
    <s v="PERP"/>
  </r>
  <r>
    <x v="0"/>
    <x v="0"/>
    <x v="2"/>
    <n v="-449174"/>
    <n v="-4491740"/>
    <n v="1340.62"/>
    <n v="-53.515324489999998"/>
    <x v="1"/>
    <d v="2099-12-31T08:00:00"/>
    <n v="0"/>
    <x v="1"/>
    <n v="10"/>
    <n v="-3350.4945472990112"/>
    <n v="-4386898.5926861111"/>
    <n v="28140.416666666664"/>
    <x v="1"/>
    <x v="1"/>
    <x v="1"/>
    <n v="-4491740"/>
    <n v="1340.62"/>
    <n v="0"/>
    <n v="0"/>
    <s v="BINE"/>
    <s v="PERP"/>
  </r>
  <r>
    <x v="0"/>
    <x v="0"/>
    <x v="3"/>
    <n v="-160374"/>
    <n v="-16037400"/>
    <n v="18146.104786510001"/>
    <n v="-20.22281353"/>
    <x v="0"/>
    <d v="2022-12-30T08:00:00"/>
    <n v="0"/>
    <x v="0"/>
    <n v="100"/>
    <n v="-883.79297864092393"/>
    <n v="-15745346.251465661"/>
    <n v="15.416666666671517"/>
    <x v="2"/>
    <x v="1"/>
    <x v="2"/>
    <n v="-16197774"/>
    <n v="18327.565834375102"/>
    <n v="0.01"/>
    <n v="-160374"/>
    <s v="BINE"/>
    <s v="W2"/>
  </r>
  <r>
    <x v="0"/>
    <x v="0"/>
    <x v="4"/>
    <n v="-682423"/>
    <n v="-6824230"/>
    <n v="1343.0967177"/>
    <n v="-122.05636714000001"/>
    <x v="0"/>
    <d v="2022-12-30T08:00:00"/>
    <n v="0"/>
    <x v="1"/>
    <n v="10"/>
    <n v="-5080.9669252160957"/>
    <n v="-6652655.70173332"/>
    <n v="15.416666666671517"/>
    <x v="2"/>
    <x v="1"/>
    <x v="2"/>
    <n v="-6892472.2999999998"/>
    <n v="1356.527684877"/>
    <n v="0.01"/>
    <n v="-68242.299999999814"/>
    <s v="BINE"/>
    <s v="W2"/>
  </r>
  <r>
    <x v="0"/>
    <x v="1"/>
    <x v="5"/>
    <n v="6000"/>
    <n v="47406"/>
    <n v="7.9009999999999998"/>
    <n v="-19250.307659999999"/>
    <x v="1"/>
    <d v="2099-12-31T08:00:00"/>
    <n v="1"/>
    <x v="2"/>
    <n v="1"/>
    <n v="6000"/>
    <n v="47406"/>
    <n v="28140.416666666664"/>
    <x v="1"/>
    <x v="0"/>
    <x v="3"/>
    <n v="47406"/>
    <n v="7.9009999999999998"/>
    <n v="0"/>
    <n v="0"/>
    <s v="BINE"/>
    <s v="PERP"/>
  </r>
  <r>
    <x v="0"/>
    <x v="1"/>
    <x v="6"/>
    <n v="645300.4"/>
    <n v="648274.20236335997"/>
    <n v="1.0046084"/>
    <n v="8044.1663673000003"/>
    <x v="1"/>
    <d v="2099-12-31T08:00:00"/>
    <n v="1"/>
    <x v="3"/>
    <n v="1"/>
    <n v="645300.4"/>
    <n v="631117.55977524538"/>
    <n v="28140.416666666664"/>
    <x v="1"/>
    <x v="0"/>
    <x v="3"/>
    <n v="648274.20236335997"/>
    <n v="1.0046084"/>
    <n v="0"/>
    <n v="0"/>
    <s v="BINE"/>
    <s v="PERP"/>
  </r>
  <r>
    <x v="0"/>
    <x v="1"/>
    <x v="7"/>
    <n v="-1715.2529999999999"/>
    <n v="-188214.71169"/>
    <n v="109.73"/>
    <n v="-6138.2706803199999"/>
    <x v="1"/>
    <d v="2099-12-31T08:00:00"/>
    <n v="1"/>
    <x v="4"/>
    <n v="1"/>
    <n v="-1715.2529999999999"/>
    <n v="-187148.67500899459"/>
    <n v="28140.416666666664"/>
    <x v="1"/>
    <x v="1"/>
    <x v="1"/>
    <n v="-188214.71169"/>
    <n v="109.73"/>
    <n v="0"/>
    <n v="0"/>
    <s v="BINE"/>
    <s v="PERP"/>
  </r>
  <r>
    <x v="0"/>
    <x v="1"/>
    <x v="8"/>
    <n v="-29.902000000000001"/>
    <n v="-540664.04240000003"/>
    <n v="18081.2"/>
    <n v="-645.23858853000002"/>
    <x v="1"/>
    <d v="2099-12-31T08:00:00"/>
    <n v="1"/>
    <x v="0"/>
    <n v="1"/>
    <n v="-29.902000000000001"/>
    <n v="-532723.56195377116"/>
    <n v="28140.416666666664"/>
    <x v="1"/>
    <x v="1"/>
    <x v="1"/>
    <n v="-540664.04240000003"/>
    <n v="18081.2"/>
    <n v="0"/>
    <n v="0"/>
    <s v="BINE"/>
    <s v="PERP"/>
  </r>
  <r>
    <x v="0"/>
    <x v="1"/>
    <x v="9"/>
    <n v="-8.5299999999999994"/>
    <n v="-165.24083404000001"/>
    <n v="19.371727320000002"/>
    <n v="11.31243772"/>
    <x v="1"/>
    <d v="2099-12-31T08:00:00"/>
    <n v="1"/>
    <x v="5"/>
    <n v="1"/>
    <n v="-8.5299999999999994"/>
    <n v="-160.25897205839783"/>
    <n v="28140.416666666664"/>
    <x v="1"/>
    <x v="1"/>
    <x v="1"/>
    <n v="-165.24083404000001"/>
    <n v="19.371727320000002"/>
    <n v="0"/>
    <n v="0"/>
    <s v="BINE"/>
    <s v="PERP"/>
  </r>
  <r>
    <x v="0"/>
    <x v="1"/>
    <x v="10"/>
    <n v="-20870.772000000001"/>
    <n v="-27979810.940720402"/>
    <n v="1340.6217527900001"/>
    <n v="-330525.65157545998"/>
    <x v="1"/>
    <d v="2099-12-31T08:00:00"/>
    <n v="1"/>
    <x v="1"/>
    <n v="1"/>
    <n v="-20870.772000000001"/>
    <n v="-27326700.289329469"/>
    <n v="28140.416666666664"/>
    <x v="1"/>
    <x v="1"/>
    <x v="1"/>
    <n v="-27979810.940720402"/>
    <n v="1340.6217527900001"/>
    <n v="0"/>
    <n v="0"/>
    <s v="BINE"/>
    <s v="PERP"/>
  </r>
  <r>
    <x v="0"/>
    <x v="1"/>
    <x v="11"/>
    <n v="-3392.3029999999999"/>
    <n v="-267344.75753834698"/>
    <n v="78.809221210000004"/>
    <n v="-2089.8192057000001"/>
    <x v="1"/>
    <d v="2099-12-31T08:00:00"/>
    <n v="1"/>
    <x v="6"/>
    <n v="1"/>
    <n v="-3392.3029999999999"/>
    <n v="-256036.99867437468"/>
    <n v="28140.416666666664"/>
    <x v="1"/>
    <x v="1"/>
    <x v="1"/>
    <n v="-267344.75753834698"/>
    <n v="78.809221210000004"/>
    <n v="0"/>
    <n v="0"/>
    <s v="BINE"/>
    <s v="PERP"/>
  </r>
  <r>
    <x v="0"/>
    <x v="1"/>
    <x v="12"/>
    <n v="-24000"/>
    <n v="-28573.161840000001"/>
    <n v="1.1905484099999999"/>
    <n v="-709.86192000000005"/>
    <x v="1"/>
    <d v="2099-12-31T08:00:00"/>
    <n v="1"/>
    <x v="7"/>
    <n v="1"/>
    <n v="-24000"/>
    <n v="-28267.740665380799"/>
    <n v="28140.416666666664"/>
    <x v="1"/>
    <x v="1"/>
    <x v="1"/>
    <e v="#N/A"/>
    <e v="#N/A"/>
    <e v="#N/A"/>
    <e v="#N/A"/>
    <s v="BINE"/>
    <s v="PERP"/>
  </r>
  <r>
    <x v="0"/>
    <x v="1"/>
    <x v="13"/>
    <n v="-836034"/>
    <n v="-18559.9548"/>
    <n v="2.2200000000000001E-2"/>
    <n v="131.24061732000001"/>
    <x v="1"/>
    <d v="2099-12-31T08:00:00"/>
    <n v="1"/>
    <x v="8"/>
    <n v="1"/>
    <n v="-836034"/>
    <n v="-18217.492629457171"/>
    <n v="28140.416666666664"/>
    <x v="1"/>
    <x v="1"/>
    <x v="1"/>
    <n v="-18559.9548"/>
    <n v="2.2200000000000001E-2"/>
    <n v="0"/>
    <n v="0"/>
    <s v="BINE"/>
    <s v="PERP"/>
  </r>
  <r>
    <x v="0"/>
    <x v="1"/>
    <x v="14"/>
    <n v="-200.97900000000001"/>
    <n v="-7992.9348300000001"/>
    <n v="39.770000000000003"/>
    <n v="1968.1015390099999"/>
    <x v="1"/>
    <d v="2099-12-31T08:00:00"/>
    <n v="1"/>
    <x v="9"/>
    <n v="1"/>
    <n v="-200.97900000000001"/>
    <n v="-7909.1746469742375"/>
    <n v="28140.416666666664"/>
    <x v="1"/>
    <x v="1"/>
    <x v="1"/>
    <n v="-7992.9348300000001"/>
    <n v="39.770000000000003"/>
    <n v="0"/>
    <n v="0"/>
    <s v="BINE"/>
    <s v="PERP"/>
  </r>
  <r>
    <x v="0"/>
    <x v="1"/>
    <x v="15"/>
    <n v="-66041.94"/>
    <n v="-454962.92466000002"/>
    <n v="6.8890000000000002"/>
    <n v="-5442.1807823400004"/>
    <x v="1"/>
    <d v="2099-12-31T08:00:00"/>
    <n v="1"/>
    <x v="10"/>
    <n v="1"/>
    <n v="-66041.94"/>
    <n v="-444384.85884981666"/>
    <n v="28140.416666666664"/>
    <x v="1"/>
    <x v="1"/>
    <x v="1"/>
    <n v="-454962.92466000002"/>
    <n v="6.8890000000000002"/>
    <n v="0"/>
    <n v="0"/>
    <s v="BINE"/>
    <s v="PERP"/>
  </r>
  <r>
    <x v="0"/>
    <x v="1"/>
    <x v="16"/>
    <n v="-168.59700000000001"/>
    <n v="-3054885.8626449802"/>
    <n v="18119.455640640001"/>
    <n v="-47227.332067930001"/>
    <x v="0"/>
    <d v="2022-12-30T08:00:00"/>
    <n v="1"/>
    <x v="0"/>
    <n v="1"/>
    <n v="-168.59700000000001"/>
    <n v="-3003665.1185445776"/>
    <n v="15.416666666671517"/>
    <x v="2"/>
    <x v="1"/>
    <x v="2"/>
    <n v="-3085434.7212714301"/>
    <n v="18300.650197046401"/>
    <n v="0.01"/>
    <n v="-30548.858626449946"/>
    <s v="BINE"/>
    <s v="W2"/>
  </r>
  <r>
    <x v="0"/>
    <x v="1"/>
    <x v="17"/>
    <n v="-386.97800000000001"/>
    <n v="-519033.077796834"/>
    <n v="1341.2469902600001"/>
    <n v="-3713.8092368699999"/>
    <x v="0"/>
    <d v="2022-12-30T08:00:00"/>
    <n v="1"/>
    <x v="1"/>
    <n v="1"/>
    <n v="-386.97800000000001"/>
    <n v="-506681.39274216298"/>
    <n v="15.416666666671517"/>
    <x v="2"/>
    <x v="1"/>
    <x v="2"/>
    <n v="-524223.40857480234"/>
    <n v="1354.6594601626"/>
    <n v="0.01"/>
    <n v="-5190.3307779683382"/>
    <s v="BINE"/>
    <s v="W2"/>
  </r>
  <r>
    <x v="0"/>
    <x v="2"/>
    <x v="8"/>
    <n v="43.777000000000001"/>
    <n v="791975.26269441703"/>
    <n v="18091.126908980001"/>
    <n v="7972.3690980499996"/>
    <x v="1"/>
    <d v="2099-12-31T08:00:00"/>
    <n v="1"/>
    <x v="0"/>
    <n v="1"/>
    <n v="43.777000000000001"/>
    <n v="779915.70368705248"/>
    <n v="28140.416666666664"/>
    <x v="1"/>
    <x v="0"/>
    <x v="3"/>
    <n v="791975.26269441703"/>
    <n v="18091.126908980001"/>
    <n v="0"/>
    <n v="0"/>
    <s v="BINE"/>
    <s v="PERP"/>
  </r>
  <r>
    <x v="1"/>
    <x v="3"/>
    <x v="18"/>
    <n v="-1.4123000000000001"/>
    <n v="-25522.980780859001"/>
    <n v="18071.92578125"/>
    <n v="2007.843967"/>
    <x v="1"/>
    <d v="2099-12-31T08:00:00"/>
    <n v="1"/>
    <x v="0"/>
    <n v="1"/>
    <n v="-1.4123000000000001"/>
    <n v="-25161.042289723468"/>
    <n v="28140.416666666664"/>
    <x v="1"/>
    <x v="1"/>
    <x v="1"/>
    <n v="-25522.980780859001"/>
    <n v="18071.92578125"/>
    <n v="0"/>
    <n v="0"/>
    <s v="DYDX"/>
    <s v="PERP"/>
  </r>
  <r>
    <x v="1"/>
    <x v="3"/>
    <x v="19"/>
    <n v="-426.6"/>
    <n v="-4213.2295194629996"/>
    <n v="9.8762998579999994"/>
    <n v="5143.0681100000002"/>
    <x v="1"/>
    <d v="2099-12-31T08:00:00"/>
    <n v="1"/>
    <x v="11"/>
    <n v="1"/>
    <n v="-426.6"/>
    <n v="-4099.2586031132605"/>
    <n v="28140.416666666664"/>
    <x v="1"/>
    <x v="1"/>
    <x v="1"/>
    <n v="-4213.2295194629996"/>
    <n v="9.8762998579999994"/>
    <n v="0"/>
    <n v="0"/>
    <s v="DYDX"/>
    <s v="PERP"/>
  </r>
  <r>
    <x v="2"/>
    <x v="4"/>
    <x v="20"/>
    <n v="2127"/>
    <n v="212700"/>
    <n v="18025.689999999999"/>
    <n v="0.19737890699999999"/>
    <x v="0"/>
    <d v="2022-12-30T08:00:00"/>
    <n v="0"/>
    <x v="0"/>
    <n v="100"/>
    <n v="11.799825693218956"/>
    <n v="210221.56289630223"/>
    <n v="15.416666666671517"/>
    <x v="2"/>
    <x v="0"/>
    <x v="4"/>
    <n v="214827"/>
    <n v="18205.946899999999"/>
    <n v="0.01"/>
    <n v="2127"/>
    <s v="FUBI"/>
    <s v="W2"/>
  </r>
  <r>
    <x v="2"/>
    <x v="4"/>
    <x v="21"/>
    <n v="64770"/>
    <n v="647700"/>
    <n v="1334.066"/>
    <n v="7.3256461310000001"/>
    <x v="0"/>
    <d v="2022-12-30T08:00:00"/>
    <n v="0"/>
    <x v="1"/>
    <n v="10"/>
    <n v="485.50821323682635"/>
    <n v="635689.82647745928"/>
    <n v="15.416666666671517"/>
    <x v="2"/>
    <x v="0"/>
    <x v="4"/>
    <n v="654177"/>
    <n v="1347.4066600000001"/>
    <n v="0.01"/>
    <n v="6477"/>
    <s v="FUBI"/>
    <s v="W2"/>
  </r>
  <r>
    <x v="2"/>
    <x v="5"/>
    <x v="22"/>
    <n v="14732"/>
    <n v="1473200"/>
    <n v="18083"/>
    <n v="1.1685359739999901"/>
    <x v="1"/>
    <d v="2099-12-31T08:00:00"/>
    <n v="0"/>
    <x v="0"/>
    <n v="100"/>
    <n v="81.46878283470663"/>
    <n v="1451419.3090677268"/>
    <n v="28140.416666666664"/>
    <x v="1"/>
    <x v="0"/>
    <x v="3"/>
    <n v="1473200"/>
    <n v="18083"/>
    <n v="0"/>
    <n v="0"/>
    <s v="HUBI"/>
    <s v="PERP"/>
  </r>
  <r>
    <x v="2"/>
    <x v="5"/>
    <x v="23"/>
    <n v="-44600"/>
    <n v="-446000"/>
    <n v="1339.71"/>
    <n v="-3.5751686789999999"/>
    <x v="1"/>
    <d v="2099-12-31T08:00:00"/>
    <n v="0"/>
    <x v="1"/>
    <n v="10"/>
    <n v="-332.90786812071269"/>
    <n v="-435885.81850706507"/>
    <n v="28140.416666666664"/>
    <x v="1"/>
    <x v="1"/>
    <x v="1"/>
    <n v="-446000"/>
    <n v="1339.71"/>
    <n v="0"/>
    <n v="0"/>
    <s v="HUBI"/>
    <s v="PERP"/>
  </r>
  <r>
    <x v="2"/>
    <x v="6"/>
    <x v="24"/>
    <n v="17.276"/>
    <n v="312201.50640000001"/>
    <n v="18071.400000000001"/>
    <n v="3347.4644647959999"/>
    <x v="1"/>
    <d v="2099-12-31T08:00:00"/>
    <n v="1"/>
    <x v="0"/>
    <n v="1"/>
    <n v="17.276"/>
    <n v="307783.16688894894"/>
    <n v="28140.416666666664"/>
    <x v="1"/>
    <x v="0"/>
    <x v="3"/>
    <n v="312201.50640000001"/>
    <n v="18071.400000000001"/>
    <n v="0"/>
    <n v="0"/>
    <s v="HUBI"/>
    <s v="PERP"/>
  </r>
  <r>
    <x v="2"/>
    <x v="6"/>
    <x v="25"/>
    <n v="-96.99"/>
    <n v="-129992.7873"/>
    <n v="1340.27"/>
    <n v="-1262.468912888"/>
    <x v="1"/>
    <d v="2099-12-31T08:00:00"/>
    <n v="1"/>
    <x v="1"/>
    <n v="1"/>
    <n v="-96.99"/>
    <n v="-126991.78837572779"/>
    <n v="28140.416666666664"/>
    <x v="1"/>
    <x v="1"/>
    <x v="1"/>
    <n v="-129992.7873"/>
    <n v="1340.27"/>
    <n v="0"/>
    <n v="0"/>
    <s v="HUBI"/>
    <s v="PERP"/>
  </r>
  <r>
    <x v="3"/>
    <x v="7"/>
    <x v="26"/>
    <n v="3548"/>
    <n v="38985.424580927996"/>
    <n v="109.88"/>
    <n v="623.70118567199995"/>
    <x v="1"/>
    <d v="2099-12-31T08:00:00"/>
    <n v="1"/>
    <x v="4"/>
    <n v="0.1"/>
    <n v="354.8"/>
    <n v="38711.694364149946"/>
    <n v="28140.416666666664"/>
    <x v="1"/>
    <x v="0"/>
    <x v="3"/>
    <n v="38985.424580927996"/>
    <n v="109.88"/>
    <n v="0"/>
    <n v="0"/>
    <s v="OKEX"/>
    <s v="PERP"/>
  </r>
  <r>
    <x v="3"/>
    <x v="7"/>
    <x v="27"/>
    <n v="32648"/>
    <n v="5902007.3640798498"/>
    <n v="18077.7"/>
    <n v="39150.525126114"/>
    <x v="1"/>
    <d v="2099-12-31T08:00:00"/>
    <n v="1"/>
    <x v="0"/>
    <n v="0.01"/>
    <n v="326.48"/>
    <n v="5816453.3645464256"/>
    <n v="28140.416666666664"/>
    <x v="1"/>
    <x v="0"/>
    <x v="3"/>
    <n v="5902007.3640798498"/>
    <n v="18077.7"/>
    <n v="0"/>
    <n v="0"/>
    <s v="OKEX"/>
    <s v="PERP"/>
  </r>
  <r>
    <x v="3"/>
    <x v="7"/>
    <x v="28"/>
    <n v="232"/>
    <n v="2328.8159999999998"/>
    <n v="1.0038"/>
    <n v="103.482391596"/>
    <x v="1"/>
    <d v="2099-12-31T08:00:00"/>
    <n v="1"/>
    <x v="3"/>
    <n v="10"/>
    <n v="2320"/>
    <n v="2269.0095011231501"/>
    <n v="28140.416666666664"/>
    <x v="1"/>
    <x v="0"/>
    <x v="3"/>
    <n v="2328.8159999999998"/>
    <n v="1.0038"/>
    <n v="0"/>
    <n v="0"/>
    <s v="OKEX"/>
    <s v="PERP"/>
  </r>
  <r>
    <x v="3"/>
    <x v="7"/>
    <x v="29"/>
    <n v="13927"/>
    <n v="1865925.56080445"/>
    <n v="1339.79"/>
    <n v="139870.794260817"/>
    <x v="0"/>
    <d v="2022-12-30T08:00:00"/>
    <n v="1"/>
    <x v="1"/>
    <n v="0.1"/>
    <n v="1392.7"/>
    <n v="1823502.0483645333"/>
    <n v="15.416666666671517"/>
    <x v="2"/>
    <x v="0"/>
    <x v="4"/>
    <n v="1884584.8164124945"/>
    <n v="1353.1878999999999"/>
    <n v="0.01"/>
    <n v="18659.255608044565"/>
    <s v="OKEX"/>
    <s v="W2"/>
  </r>
  <r>
    <x v="3"/>
    <x v="7"/>
    <x v="30"/>
    <n v="4630"/>
    <n v="619873.66923683695"/>
    <n v="1338.82"/>
    <n v="14540.464708244999"/>
    <x v="0"/>
    <d v="2023-03-31T08:00:00"/>
    <n v="1"/>
    <x v="1"/>
    <n v="0.1"/>
    <n v="463"/>
    <n v="606219.1774199605"/>
    <n v="106.41666666667152"/>
    <x v="0"/>
    <x v="0"/>
    <x v="0"/>
    <n v="626072.40592920536"/>
    <n v="1352.2082"/>
    <n v="0.01"/>
    <n v="6198.7366923684021"/>
    <s v="OKEX"/>
    <s v="M4"/>
  </r>
  <r>
    <x v="3"/>
    <x v="7"/>
    <x v="31"/>
    <n v="-9554"/>
    <n v="-955400"/>
    <n v="18088.7"/>
    <n v="-0.79304966300000002"/>
    <x v="1"/>
    <d v="2099-12-31T08:00:00"/>
    <n v="0"/>
    <x v="0"/>
    <n v="100"/>
    <n v="-52.817504851094881"/>
    <n v="-940978.17262343166"/>
    <n v="28140.416666666664"/>
    <x v="1"/>
    <x v="1"/>
    <x v="1"/>
    <n v="-955400"/>
    <n v="18088.7"/>
    <n v="0"/>
    <n v="0"/>
    <s v="OKEX"/>
    <s v="PERP"/>
  </r>
  <r>
    <x v="3"/>
    <x v="7"/>
    <x v="32"/>
    <n v="-96224"/>
    <n v="-962240"/>
    <n v="1340.19"/>
    <n v="-6.3702212730000003"/>
    <x v="1"/>
    <d v="2099-12-31T08:00:00"/>
    <n v="0"/>
    <x v="1"/>
    <n v="10"/>
    <n v="-717.98774800587978"/>
    <n v="-940081.94815061404"/>
    <n v="28140.416666666664"/>
    <x v="1"/>
    <x v="1"/>
    <x v="1"/>
    <n v="-962240"/>
    <n v="1340.19"/>
    <n v="0"/>
    <n v="0"/>
    <s v="OKEX"/>
    <s v="PERP"/>
  </r>
  <r>
    <x v="3"/>
    <x v="7"/>
    <x v="33"/>
    <n v="-19875"/>
    <n v="-2663568.0396902501"/>
    <n v="1340.16"/>
    <n v="-31171.112554192001"/>
    <x v="1"/>
    <d v="2099-12-31T08:00:00"/>
    <n v="1"/>
    <x v="1"/>
    <n v="0.1"/>
    <n v="-1987.5"/>
    <n v="-2602290.7454042579"/>
    <n v="28140.416666666664"/>
    <x v="1"/>
    <x v="1"/>
    <x v="1"/>
    <n v="-2663568.0396902501"/>
    <n v="1340.16"/>
    <n v="0"/>
    <n v="0"/>
    <s v="OKEX"/>
    <s v="PERP"/>
  </r>
  <r>
    <x v="3"/>
    <x v="7"/>
    <x v="34"/>
    <n v="-438"/>
    <n v="-34514.400000000001"/>
    <n v="78.8"/>
    <n v="-462.46031231400002"/>
    <x v="1"/>
    <d v="2099-12-31T08:00:00"/>
    <n v="1"/>
    <x v="6"/>
    <n v="1"/>
    <n v="-438"/>
    <n v="-33058.42827700713"/>
    <n v="28140.416666666664"/>
    <x v="1"/>
    <x v="1"/>
    <x v="1"/>
    <n v="-34514.400000000001"/>
    <n v="78.8"/>
    <n v="0"/>
    <n v="0"/>
    <s v="OKEX"/>
    <s v="PERP"/>
  </r>
  <r>
    <x v="3"/>
    <x v="7"/>
    <x v="35"/>
    <n v="-11635"/>
    <n v="-1163500"/>
    <n v="18115.8"/>
    <n v="-0.60986192699999997"/>
    <x v="0"/>
    <d v="2022-12-30T08:00:00"/>
    <n v="0"/>
    <x v="0"/>
    <n v="100"/>
    <n v="-64.22570352951567"/>
    <n v="-1144222.6457504677"/>
    <n v="15.416666666671517"/>
    <x v="2"/>
    <x v="1"/>
    <x v="2"/>
    <n v="-1175135"/>
    <n v="18296.957999999999"/>
    <n v="0.01"/>
    <n v="-11635"/>
    <s v="OKEX"/>
    <s v="W2"/>
  </r>
  <r>
    <x v="3"/>
    <x v="7"/>
    <x v="36"/>
    <n v="-201184"/>
    <n v="-2011840"/>
    <n v="1341.52"/>
    <n v="-61.937708741000002"/>
    <x v="0"/>
    <d v="2022-12-30T08:00:00"/>
    <n v="0"/>
    <x v="1"/>
    <n v="10"/>
    <n v="-1499.6720138350529"/>
    <n v="-1963563.5737080374"/>
    <n v="15.416666666671517"/>
    <x v="2"/>
    <x v="1"/>
    <x v="2"/>
    <n v="-2031958.4"/>
    <n v="1354.9351999999999"/>
    <n v="0.01"/>
    <n v="-20118.399999999907"/>
    <s v="OKEX"/>
    <s v="W2"/>
  </r>
  <r>
    <x v="3"/>
    <x v="7"/>
    <x v="37"/>
    <n v="-33090"/>
    <n v="-227890.83"/>
    <n v="6.8869999999999996"/>
    <n v="-2522.956967355"/>
    <x v="1"/>
    <d v="2099-12-31T08:00:00"/>
    <n v="1"/>
    <x v="10"/>
    <n v="1"/>
    <n v="-33090"/>
    <n v="-222656.92042572392"/>
    <n v="28140.416666666664"/>
    <x v="1"/>
    <x v="1"/>
    <x v="1"/>
    <n v="-227890.83"/>
    <n v="6.8869999999999996"/>
    <n v="0"/>
    <n v="0"/>
    <s v="OKEX"/>
    <s v="PERP"/>
  </r>
  <r>
    <x v="3"/>
    <x v="7"/>
    <x v="38"/>
    <n v="-89029"/>
    <n v="-815505.64"/>
    <n v="9.1600000000000004E-6"/>
    <n v="117404.765870498"/>
    <x v="1"/>
    <d v="2099-12-31T08:00:00"/>
    <n v="1"/>
    <x v="12"/>
    <n v="1000000"/>
    <n v="-89029000000"/>
    <n v="-798835.50910863047"/>
    <n v="28140.416666666664"/>
    <x v="1"/>
    <x v="1"/>
    <x v="1"/>
    <n v="-815505.64"/>
    <n v="9.1600000000000004E-6"/>
    <n v="0"/>
    <n v="0"/>
    <s v="OKEX"/>
    <s v="PERP"/>
  </r>
  <r>
    <x v="3"/>
    <x v="7"/>
    <x v="39"/>
    <n v="-16540"/>
    <n v="-2994517.3130673198"/>
    <n v="18104.7"/>
    <n v="-75115.642557642001"/>
    <x v="0"/>
    <d v="2022-12-30T08:00:00"/>
    <n v="1"/>
    <x v="0"/>
    <n v="0.01"/>
    <n v="-165.4"/>
    <n v="-2946708.4859592589"/>
    <n v="15.416666666671517"/>
    <x v="2"/>
    <x v="1"/>
    <x v="2"/>
    <n v="-3024462.4861979932"/>
    <n v="18285.746999999999"/>
    <n v="0.01"/>
    <n v="-29945.173130673356"/>
    <s v="OKEX"/>
    <s v="W2"/>
  </r>
  <r>
    <x v="3"/>
    <x v="8"/>
    <x v="31"/>
    <n v="624"/>
    <n v="62400"/>
    <n v="18090"/>
    <n v="0.31251752799999999"/>
    <x v="1"/>
    <d v="2099-12-31T08:00:00"/>
    <n v="0"/>
    <x v="0"/>
    <n v="100"/>
    <n v="3.4494195688225537"/>
    <n v="61453.6512399235"/>
    <n v="28140.416666666664"/>
    <x v="1"/>
    <x v="0"/>
    <x v="3"/>
    <n v="62400"/>
    <n v="18090"/>
    <n v="0"/>
    <n v="0"/>
    <s v="OKEX"/>
    <s v="PERP"/>
  </r>
  <r>
    <x v="3"/>
    <x v="8"/>
    <x v="32"/>
    <n v="-1915"/>
    <n v="-19150"/>
    <n v="1340.19"/>
    <n v="-0.57658249800000005"/>
    <x v="1"/>
    <d v="2099-12-31T08:00:00"/>
    <n v="0"/>
    <x v="1"/>
    <n v="10"/>
    <n v="-14.289018721226094"/>
    <n v="-18709.021976933258"/>
    <n v="28140.416666666664"/>
    <x v="1"/>
    <x v="1"/>
    <x v="1"/>
    <n v="-19150"/>
    <n v="1340.19"/>
    <n v="0"/>
    <n v="0"/>
    <s v="OKEX"/>
    <s v="PERP"/>
  </r>
  <r>
    <x v="3"/>
    <x v="8"/>
    <x v="36"/>
    <n v="-67"/>
    <n v="-670"/>
    <n v="1341.51"/>
    <n v="-6.0022476999999998E-2"/>
    <x v="0"/>
    <d v="2022-12-30T08:00:00"/>
    <n v="0"/>
    <x v="1"/>
    <n v="10"/>
    <n v="-0.49943720136264358"/>
    <n v="-653.92745007125041"/>
    <n v="15.416666666671517"/>
    <x v="2"/>
    <x v="1"/>
    <x v="2"/>
    <n v="-676.7"/>
    <n v="1354.9250999999999"/>
    <n v="0.01"/>
    <n v="-6.7000000000000455"/>
    <s v="OKEX"/>
    <s v="W2"/>
  </r>
  <r>
    <x v="3"/>
    <x v="9"/>
    <x v="35"/>
    <n v="2"/>
    <n v="200"/>
    <n v="18116.2"/>
    <n v="9.5463999999999998E-4"/>
    <x v="0"/>
    <d v="2022-12-30T08:00:00"/>
    <n v="0"/>
    <x v="0"/>
    <n v="100"/>
    <n v="1.1039842792638633E-2"/>
    <n v="196.68197364404125"/>
    <n v="15.416666666671517"/>
    <x v="2"/>
    <x v="0"/>
    <x v="4"/>
    <n v="202"/>
    <n v="18297.362000000001"/>
    <n v="0.01"/>
    <n v="2"/>
    <s v="OKEX"/>
    <s v="W2"/>
  </r>
  <r>
    <x v="3"/>
    <x v="9"/>
    <x v="39"/>
    <n v="1"/>
    <n v="181.06199595300001"/>
    <n v="18106.2"/>
    <n v="16.792542715"/>
    <x v="0"/>
    <d v="2022-12-30T08:00:00"/>
    <n v="1"/>
    <x v="0"/>
    <n v="0.01"/>
    <n v="0.01"/>
    <n v="178.156498546509"/>
    <n v="15.416666666671517"/>
    <x v="2"/>
    <x v="0"/>
    <x v="4"/>
    <n v="182.87261591253002"/>
    <n v="18287.262000000002"/>
    <n v="0.01"/>
    <n v="1.8106199595300154"/>
    <s v="OKEX"/>
    <s v="W2"/>
  </r>
  <r>
    <x v="3"/>
    <x v="9"/>
    <x v="29"/>
    <n v="9324"/>
    <n v="1249238.8626151001"/>
    <n v="1339.81"/>
    <n v="101340.866707761"/>
    <x v="0"/>
    <d v="2022-12-30T08:00:00"/>
    <n v="1"/>
    <x v="1"/>
    <n v="0.1"/>
    <n v="932.40000000000009"/>
    <n v="1220818.058372292"/>
    <n v="15.416666666671517"/>
    <x v="2"/>
    <x v="0"/>
    <x v="4"/>
    <n v="1261731.2512412511"/>
    <n v="1353.2081000000001"/>
    <n v="0.01"/>
    <n v="12492.38862615102"/>
    <s v="OKEX"/>
    <s v="W2"/>
  </r>
  <r>
    <x v="3"/>
    <x v="9"/>
    <x v="27"/>
    <n v="-1"/>
    <n v="-180.78499595900001"/>
    <n v="18078.5"/>
    <n v="-7.2885998699999996"/>
    <x v="1"/>
    <d v="2099-12-31T08:00:00"/>
    <n v="1"/>
    <x v="0"/>
    <n v="0.01"/>
    <n v="-0.01"/>
    <n v="-178.156498546509"/>
    <n v="28140.416666666664"/>
    <x v="1"/>
    <x v="1"/>
    <x v="1"/>
    <n v="-180.78499595900001"/>
    <n v="18078.5"/>
    <n v="0"/>
    <n v="0"/>
    <s v="OKEX"/>
    <s v="PERP"/>
  </r>
  <r>
    <x v="3"/>
    <x v="9"/>
    <x v="33"/>
    <n v="-9324"/>
    <n v="-1249602.4986205201"/>
    <n v="1340.2"/>
    <n v="-109629.666586523"/>
    <x v="1"/>
    <d v="2099-12-31T08:00:00"/>
    <n v="1"/>
    <x v="1"/>
    <n v="0.1"/>
    <n v="-932.40000000000009"/>
    <n v="-1220818.058372292"/>
    <n v="28140.416666666664"/>
    <x v="1"/>
    <x v="1"/>
    <x v="1"/>
    <n v="-1249602.4986205201"/>
    <n v="1340.2"/>
    <n v="0"/>
    <n v="0"/>
    <s v="OKEX"/>
    <s v="PERP"/>
  </r>
  <r>
    <x v="3"/>
    <x v="10"/>
    <x v="40"/>
    <n v="17440"/>
    <n v="13777.600205302"/>
    <n v="7.9"/>
    <n v="-17756.410061801002"/>
    <x v="1"/>
    <d v="2099-12-31T08:00:00"/>
    <n v="1"/>
    <x v="2"/>
    <n v="0.1"/>
    <n v="1744"/>
    <n v="13777.6"/>
    <n v="28140.416666666664"/>
    <x v="1"/>
    <x v="0"/>
    <x v="3"/>
    <n v="13777.600205302"/>
    <n v="7.9"/>
    <n v="0"/>
    <n v="0"/>
    <s v="OKEX"/>
    <s v="PERP"/>
  </r>
  <r>
    <x v="4"/>
    <x v="11"/>
    <x v="41"/>
    <n v="380"/>
    <n v="24852000"/>
    <n v="1308"/>
    <n v="0"/>
    <x v="2"/>
    <d v="2022-12-30T00:00:00"/>
    <n v="1"/>
    <x v="1"/>
    <n v="50"/>
    <n v="19000"/>
    <n v="24877244.861726239"/>
    <n v="15.083333333335759"/>
    <x v="3"/>
    <x v="0"/>
    <x v="5"/>
    <n v="25100520"/>
    <n v="1321.08"/>
    <n v="0.01"/>
    <n v="248520"/>
    <s v="UNMBF222"/>
    <s v="W2"/>
  </r>
  <r>
    <x v="4"/>
    <x v="11"/>
    <x v="42"/>
    <n v="114"/>
    <n v="10143150"/>
    <n v="17795"/>
    <n v="0"/>
    <x v="2"/>
    <d v="2022-12-30T00:00:00"/>
    <n v="1"/>
    <x v="0"/>
    <n v="5"/>
    <n v="570"/>
    <n v="10154920.417151013"/>
    <n v="15.083333333335759"/>
    <x v="3"/>
    <x v="0"/>
    <x v="5"/>
    <n v="10244581.5"/>
    <n v="17972.95"/>
    <n v="0.01"/>
    <n v="101431.5"/>
    <s v="UNMBF222"/>
    <s v="W2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s v=""/>
    <x v="5"/>
    <x v="3"/>
    <x v="7"/>
    <m/>
    <m/>
    <s v=""/>
    <m/>
    <m/>
    <m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s v=""/>
    <s v=""/>
    <s v=""/>
    <s v=""/>
    <x v="4"/>
    <x v="2"/>
    <x v="6"/>
    <s v=""/>
    <s v=""/>
    <s v=""/>
    <s v=""/>
    <s v=""/>
    <s v=""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s v=""/>
    <m/>
    <m/>
    <m/>
  </r>
  <r>
    <x v="5"/>
    <x v="12"/>
    <x v="43"/>
    <m/>
    <m/>
    <m/>
    <m/>
    <x v="3"/>
    <m/>
    <m/>
    <x v="13"/>
    <m/>
    <m/>
    <m/>
    <m/>
    <x v="5"/>
    <x v="3"/>
    <x v="7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4006"/>
    <n v="400600"/>
    <n v="18200.03058545"/>
    <n v="1.94072069"/>
    <x v="0"/>
    <d v="2023-03-31T08:00:00"/>
    <n v="0"/>
    <x v="0"/>
    <n v="100"/>
    <n v="22.01095202116085"/>
    <n v="392139.41417652223"/>
    <n v="106"/>
    <x v="0"/>
    <s v="LONG"/>
    <x v="0"/>
    <n v="404606"/>
    <n v="18382.030891304501"/>
    <n v="0.01"/>
    <n v="4006"/>
    <s v="BINE"/>
    <s v="BTC Mar 23 LONG"/>
  </r>
  <r>
    <x v="0"/>
    <x v="0"/>
    <x v="1"/>
    <n v="-67749"/>
    <n v="-6774900"/>
    <n v="18086.77321508"/>
    <n v="-8.0250139699999998"/>
    <x v="1"/>
    <d v="2099-12-31T08:00:00"/>
    <n v="0"/>
    <x v="0"/>
    <n v="100"/>
    <n v="-374.57759432463996"/>
    <n v="-6673343.263885255"/>
    <n v="28140"/>
    <x v="1"/>
    <s v="SHORT"/>
    <x v="1"/>
    <n v="-6774900"/>
    <n v="18086.77321508"/>
    <n v="0"/>
    <n v="0"/>
    <s v="BINE"/>
    <s v="BTC PERP SHORT"/>
  </r>
  <r>
    <x v="0"/>
    <x v="0"/>
    <x v="2"/>
    <n v="-449174"/>
    <n v="-4491740"/>
    <n v="1340.62"/>
    <n v="-53.515324489999998"/>
    <x v="1"/>
    <d v="2099-12-31T08:00:00"/>
    <n v="0"/>
    <x v="1"/>
    <n v="10"/>
    <n v="-3350.4945472990112"/>
    <n v="-4386898.5926861111"/>
    <n v="28140"/>
    <x v="1"/>
    <s v="SHORT"/>
    <x v="1"/>
    <n v="-4491740"/>
    <n v="1340.62"/>
    <n v="0"/>
    <n v="0"/>
    <s v="BINE"/>
    <s v="ETH PERP SHORT"/>
  </r>
  <r>
    <x v="0"/>
    <x v="0"/>
    <x v="3"/>
    <n v="-160374"/>
    <n v="-16037400"/>
    <n v="18146.104786510001"/>
    <n v="-20.22281353"/>
    <x v="0"/>
    <d v="2022-12-30T08:00:00"/>
    <n v="0"/>
    <x v="0"/>
    <n v="100"/>
    <n v="-883.79297864092393"/>
    <n v="-15745346.251465661"/>
    <n v="15"/>
    <x v="2"/>
    <s v="SHORT"/>
    <x v="2"/>
    <n v="-16197774"/>
    <n v="18327.565834375102"/>
    <n v="0.01"/>
    <n v="-160374"/>
    <s v="BINE"/>
    <s v="BTC Dec 22 SHORT"/>
  </r>
  <r>
    <x v="0"/>
    <x v="0"/>
    <x v="4"/>
    <n v="-682423"/>
    <n v="-6824230"/>
    <n v="1343.0967177"/>
    <n v="-122.05636714000001"/>
    <x v="0"/>
    <d v="2022-12-30T08:00:00"/>
    <n v="0"/>
    <x v="1"/>
    <n v="10"/>
    <n v="-5080.9669252160957"/>
    <n v="-6652655.70173332"/>
    <n v="15"/>
    <x v="2"/>
    <s v="SHORT"/>
    <x v="2"/>
    <n v="-6892472.2999999998"/>
    <n v="1356.527684877"/>
    <n v="0.01"/>
    <n v="-68242.299999999814"/>
    <s v="BINE"/>
    <s v="ETH Dec 22 SHORT"/>
  </r>
  <r>
    <x v="0"/>
    <x v="1"/>
    <x v="5"/>
    <n v="6000"/>
    <n v="47406"/>
    <n v="7.9009999999999998"/>
    <n v="-19250.307659999999"/>
    <x v="1"/>
    <d v="2099-12-31T08:00:00"/>
    <n v="1"/>
    <x v="2"/>
    <n v="1"/>
    <n v="6000"/>
    <n v="47406"/>
    <n v="28140"/>
    <x v="1"/>
    <s v="LONG"/>
    <x v="3"/>
    <n v="47406"/>
    <n v="7.9009999999999998"/>
    <n v="0"/>
    <n v="0"/>
    <s v="BINE"/>
    <s v="AXS PERP LONG"/>
  </r>
  <r>
    <x v="0"/>
    <x v="1"/>
    <x v="6"/>
    <n v="645300.4"/>
    <n v="648274.20236335997"/>
    <n v="1.0046084"/>
    <n v="8044.1663673000003"/>
    <x v="1"/>
    <d v="2099-12-31T08:00:00"/>
    <n v="1"/>
    <x v="3"/>
    <n v="1"/>
    <n v="645300.4"/>
    <n v="631117.55977524538"/>
    <n v="28140"/>
    <x v="1"/>
    <s v="LONG"/>
    <x v="3"/>
    <n v="648274.20236335997"/>
    <n v="1.0046084"/>
    <n v="0"/>
    <n v="0"/>
    <s v="BINE"/>
    <s v="EOS PERP LONG"/>
  </r>
  <r>
    <x v="0"/>
    <x v="1"/>
    <x v="7"/>
    <n v="-1715.2529999999999"/>
    <n v="-188214.71169"/>
    <n v="109.73"/>
    <n v="-6138.2706803199999"/>
    <x v="1"/>
    <d v="2099-12-31T08:00:00"/>
    <n v="1"/>
    <x v="4"/>
    <n v="1"/>
    <n v="-1715.2529999999999"/>
    <n v="-187148.67500899459"/>
    <n v="28140"/>
    <x v="1"/>
    <s v="SHORT"/>
    <x v="1"/>
    <n v="-188214.71169"/>
    <n v="109.73"/>
    <n v="0"/>
    <n v="0"/>
    <s v="BINE"/>
    <s v="BCH PERP SHORT"/>
  </r>
  <r>
    <x v="0"/>
    <x v="1"/>
    <x v="8"/>
    <n v="-29.902000000000001"/>
    <n v="-540664.04240000003"/>
    <n v="18081.2"/>
    <n v="-645.23858853000002"/>
    <x v="1"/>
    <d v="2099-12-31T08:00:00"/>
    <n v="1"/>
    <x v="0"/>
    <n v="1"/>
    <n v="-29.902000000000001"/>
    <n v="-532723.56195377116"/>
    <n v="28140"/>
    <x v="1"/>
    <s v="SHORT"/>
    <x v="1"/>
    <n v="-540664.04240000003"/>
    <n v="18081.2"/>
    <n v="0"/>
    <n v="0"/>
    <s v="BINE"/>
    <s v="BTC PERP SHORT"/>
  </r>
  <r>
    <x v="0"/>
    <x v="1"/>
    <x v="9"/>
    <n v="-8.5299999999999994"/>
    <n v="-165.24083404000001"/>
    <n v="19.371727320000002"/>
    <n v="11.31243772"/>
    <x v="1"/>
    <d v="2099-12-31T08:00:00"/>
    <n v="1"/>
    <x v="5"/>
    <n v="1"/>
    <n v="-8.5299999999999994"/>
    <n v="-160.25897205839783"/>
    <n v="28140"/>
    <x v="1"/>
    <s v="SHORT"/>
    <x v="1"/>
    <n v="-165.24083404000001"/>
    <n v="19.371727320000002"/>
    <n v="0"/>
    <n v="0"/>
    <s v="BINE"/>
    <s v="ETC PERP SHORT"/>
  </r>
  <r>
    <x v="0"/>
    <x v="1"/>
    <x v="10"/>
    <n v="-20870.772000000001"/>
    <n v="-27979810.940720402"/>
    <n v="1340.6217527900001"/>
    <n v="-330525.65157545998"/>
    <x v="1"/>
    <d v="2099-12-31T08:00:00"/>
    <n v="1"/>
    <x v="1"/>
    <n v="1"/>
    <n v="-20870.772000000001"/>
    <n v="-27326700.289329469"/>
    <n v="28140"/>
    <x v="1"/>
    <s v="SHORT"/>
    <x v="1"/>
    <n v="-27979810.940720402"/>
    <n v="1340.6217527900001"/>
    <n v="0"/>
    <n v="0"/>
    <s v="BINE"/>
    <s v="ETH PERP SHORT"/>
  </r>
  <r>
    <x v="0"/>
    <x v="1"/>
    <x v="11"/>
    <n v="-3392.3029999999999"/>
    <n v="-267344.75753834698"/>
    <n v="78.809221210000004"/>
    <n v="-2089.8192057000001"/>
    <x v="1"/>
    <d v="2099-12-31T08:00:00"/>
    <n v="1"/>
    <x v="6"/>
    <n v="1"/>
    <n v="-3392.3029999999999"/>
    <n v="-256036.99867437468"/>
    <n v="28140"/>
    <x v="1"/>
    <s v="SHORT"/>
    <x v="1"/>
    <n v="-267344.75753834698"/>
    <n v="78.809221210000004"/>
    <n v="0"/>
    <n v="0"/>
    <s v="BINE"/>
    <s v="LTC PERP SHORT"/>
  </r>
  <r>
    <x v="0"/>
    <x v="1"/>
    <x v="12"/>
    <n v="-24000"/>
    <n v="-28573.161840000001"/>
    <n v="1.1905484099999999"/>
    <n v="-709.86192000000005"/>
    <x v="1"/>
    <d v="2099-12-31T08:00:00"/>
    <n v="1"/>
    <x v="7"/>
    <n v="1"/>
    <n v="-24000"/>
    <n v="-28267.740665380799"/>
    <n v="28140"/>
    <x v="1"/>
    <s v="SHORT"/>
    <x v="1"/>
    <e v="#N/A"/>
    <e v="#N/A"/>
    <e v="#N/A"/>
    <e v="#N/A"/>
    <s v="BINE"/>
    <s v="OMG PERP SHORT"/>
  </r>
  <r>
    <x v="0"/>
    <x v="1"/>
    <x v="13"/>
    <n v="-836034"/>
    <n v="-18559.9548"/>
    <n v="2.2200000000000001E-2"/>
    <n v="131.24061732000001"/>
    <x v="1"/>
    <d v="2099-12-31T08:00:00"/>
    <n v="1"/>
    <x v="8"/>
    <n v="1"/>
    <n v="-836034"/>
    <n v="-18217.492629457171"/>
    <n v="28140"/>
    <x v="1"/>
    <s v="SHORT"/>
    <x v="1"/>
    <n v="-18559.9548"/>
    <n v="2.2200000000000001E-2"/>
    <n v="0"/>
    <n v="0"/>
    <s v="BINE"/>
    <s v="ZIL PERP SHORT"/>
  </r>
  <r>
    <x v="0"/>
    <x v="1"/>
    <x v="14"/>
    <n v="-200.97900000000001"/>
    <n v="-7992.9348300000001"/>
    <n v="39.770000000000003"/>
    <n v="1968.1015390099999"/>
    <x v="1"/>
    <d v="2099-12-31T08:00:00"/>
    <n v="1"/>
    <x v="9"/>
    <n v="1"/>
    <n v="-200.97900000000001"/>
    <n v="-7909.1746469742375"/>
    <n v="28140"/>
    <x v="1"/>
    <s v="SHORT"/>
    <x v="1"/>
    <n v="-7992.9348300000001"/>
    <n v="39.770000000000003"/>
    <n v="0"/>
    <n v="0"/>
    <s v="BINE"/>
    <s v="COMP PERP SHORT"/>
  </r>
  <r>
    <x v="0"/>
    <x v="1"/>
    <x v="15"/>
    <n v="-66041.94"/>
    <n v="-454962.92466000002"/>
    <n v="6.8890000000000002"/>
    <n v="-5442.1807823400004"/>
    <x v="1"/>
    <d v="2099-12-31T08:00:00"/>
    <n v="1"/>
    <x v="10"/>
    <n v="1"/>
    <n v="-66041.94"/>
    <n v="-444384.85884981666"/>
    <n v="28140"/>
    <x v="1"/>
    <s v="SHORT"/>
    <x v="1"/>
    <n v="-454962.92466000002"/>
    <n v="6.8890000000000002"/>
    <n v="0"/>
    <n v="0"/>
    <s v="BINE"/>
    <s v="LINK PERP SHORT"/>
  </r>
  <r>
    <x v="0"/>
    <x v="1"/>
    <x v="16"/>
    <n v="-168.59700000000001"/>
    <n v="-3054885.8626449802"/>
    <n v="18119.455640640001"/>
    <n v="-47227.332067930001"/>
    <x v="0"/>
    <d v="2022-12-30T08:00:00"/>
    <n v="1"/>
    <x v="0"/>
    <n v="1"/>
    <n v="-168.59700000000001"/>
    <n v="-3003665.1185445776"/>
    <n v="15"/>
    <x v="2"/>
    <s v="SHORT"/>
    <x v="2"/>
    <n v="-3085434.7212714301"/>
    <n v="18300.650197046401"/>
    <n v="0.01"/>
    <n v="-30548.858626449946"/>
    <s v="BINE"/>
    <s v="BTC Dec 22 SHORT"/>
  </r>
  <r>
    <x v="0"/>
    <x v="1"/>
    <x v="17"/>
    <n v="-386.97800000000001"/>
    <n v="-519033.077796834"/>
    <n v="1341.2469902600001"/>
    <n v="-3713.8092368699999"/>
    <x v="0"/>
    <d v="2022-12-30T08:00:00"/>
    <n v="1"/>
    <x v="1"/>
    <n v="1"/>
    <n v="-386.97800000000001"/>
    <n v="-506681.39274216298"/>
    <n v="15"/>
    <x v="2"/>
    <s v="SHORT"/>
    <x v="2"/>
    <n v="-524223.40857480234"/>
    <n v="1354.6594601626"/>
    <n v="0.01"/>
    <n v="-5190.3307779683382"/>
    <s v="BINE"/>
    <s v="ETH Dec 22 SHORT"/>
  </r>
  <r>
    <x v="0"/>
    <x v="2"/>
    <x v="8"/>
    <n v="43.777000000000001"/>
    <n v="791975.26269441703"/>
    <n v="18091.126908980001"/>
    <n v="7972.3690980499996"/>
    <x v="1"/>
    <d v="2099-12-31T08:00:00"/>
    <n v="1"/>
    <x v="0"/>
    <n v="1"/>
    <n v="43.777000000000001"/>
    <n v="779915.70368705248"/>
    <n v="28140"/>
    <x v="1"/>
    <s v="LONG"/>
    <x v="3"/>
    <n v="791975.26269441703"/>
    <n v="18091.126908980001"/>
    <n v="0"/>
    <n v="0"/>
    <s v="BINE"/>
    <s v="BTC PERP LONG"/>
  </r>
  <r>
    <x v="1"/>
    <x v="3"/>
    <x v="18"/>
    <n v="-1.4123000000000001"/>
    <n v="-25522.980780859001"/>
    <n v="18071.92578125"/>
    <n v="2007.843967"/>
    <x v="1"/>
    <d v="2099-12-31T08:00:00"/>
    <n v="1"/>
    <x v="0"/>
    <n v="1"/>
    <n v="-1.4123000000000001"/>
    <n v="-25161.042289723468"/>
    <n v="28140"/>
    <x v="1"/>
    <s v="SHORT"/>
    <x v="1"/>
    <n v="-25522.980780859001"/>
    <n v="18071.92578125"/>
    <n v="0"/>
    <n v="0"/>
    <s v="DYDX"/>
    <s v="BTC PERP SHORT"/>
  </r>
  <r>
    <x v="1"/>
    <x v="3"/>
    <x v="19"/>
    <n v="-426.6"/>
    <n v="-4213.2295194629996"/>
    <n v="9.8762998579999994"/>
    <n v="5143.0681100000002"/>
    <x v="1"/>
    <d v="2099-12-31T08:00:00"/>
    <n v="1"/>
    <x v="11"/>
    <n v="1"/>
    <n v="-426.6"/>
    <n v="-4099.2586031132605"/>
    <n v="28140"/>
    <x v="1"/>
    <s v="SHORT"/>
    <x v="1"/>
    <n v="-4213.2295194629996"/>
    <n v="9.8762998579999994"/>
    <n v="0"/>
    <n v="0"/>
    <s v="DYDX"/>
    <s v="ATOM PERP SHORT"/>
  </r>
  <r>
    <x v="2"/>
    <x v="4"/>
    <x v="20"/>
    <n v="2127"/>
    <n v="212700"/>
    <n v="18025.689999999999"/>
    <n v="0.19737890699999999"/>
    <x v="0"/>
    <d v="2022-12-30T08:00:00"/>
    <n v="0"/>
    <x v="0"/>
    <n v="100"/>
    <n v="11.799825693218956"/>
    <n v="210221.56289630223"/>
    <n v="15"/>
    <x v="2"/>
    <s v="LONG"/>
    <x v="4"/>
    <n v="214827"/>
    <n v="18205.946899999999"/>
    <n v="0.01"/>
    <n v="2127"/>
    <s v="FUBI"/>
    <s v="BTC Dec 22 LONG"/>
  </r>
  <r>
    <x v="2"/>
    <x v="4"/>
    <x v="21"/>
    <n v="64770"/>
    <n v="647700"/>
    <n v="1334.066"/>
    <n v="7.3256461310000001"/>
    <x v="0"/>
    <d v="2022-12-30T08:00:00"/>
    <n v="0"/>
    <x v="1"/>
    <n v="10"/>
    <n v="485.50821323682635"/>
    <n v="635689.82647745928"/>
    <n v="15"/>
    <x v="2"/>
    <s v="LONG"/>
    <x v="4"/>
    <n v="654177"/>
    <n v="1347.4066600000001"/>
    <n v="0.01"/>
    <n v="6477"/>
    <s v="FUBI"/>
    <s v="ETH Dec 22 LONG"/>
  </r>
  <r>
    <x v="2"/>
    <x v="5"/>
    <x v="22"/>
    <n v="14732"/>
    <n v="1473200"/>
    <n v="18083"/>
    <n v="1.1685359739999901"/>
    <x v="1"/>
    <d v="2099-12-31T08:00:00"/>
    <n v="0"/>
    <x v="0"/>
    <n v="100"/>
    <n v="81.46878283470663"/>
    <n v="1451419.3090677268"/>
    <n v="28140"/>
    <x v="1"/>
    <s v="LONG"/>
    <x v="3"/>
    <n v="1473200"/>
    <n v="18083"/>
    <n v="0"/>
    <n v="0"/>
    <s v="HUBI"/>
    <s v="BTC PERP LONG"/>
  </r>
  <r>
    <x v="2"/>
    <x v="5"/>
    <x v="23"/>
    <n v="-44600"/>
    <n v="-446000"/>
    <n v="1339.71"/>
    <n v="-3.5751686789999999"/>
    <x v="1"/>
    <d v="2099-12-31T08:00:00"/>
    <n v="0"/>
    <x v="1"/>
    <n v="10"/>
    <n v="-332.90786812071269"/>
    <n v="-435885.81850706507"/>
    <n v="28140"/>
    <x v="1"/>
    <s v="SHORT"/>
    <x v="1"/>
    <n v="-446000"/>
    <n v="1339.71"/>
    <n v="0"/>
    <n v="0"/>
    <s v="HUBI"/>
    <s v="ETH PERP SHORT"/>
  </r>
  <r>
    <x v="2"/>
    <x v="6"/>
    <x v="24"/>
    <n v="17.276"/>
    <n v="312201.50640000001"/>
    <n v="18071.400000000001"/>
    <n v="3347.4644647959999"/>
    <x v="1"/>
    <d v="2099-12-31T08:00:00"/>
    <n v="1"/>
    <x v="0"/>
    <n v="1"/>
    <n v="17.276"/>
    <n v="307783.16688894894"/>
    <n v="28140"/>
    <x v="1"/>
    <s v="LONG"/>
    <x v="3"/>
    <n v="312201.50640000001"/>
    <n v="18071.400000000001"/>
    <n v="0"/>
    <n v="0"/>
    <s v="HUBI"/>
    <s v="BTC PERP LONG"/>
  </r>
  <r>
    <x v="2"/>
    <x v="6"/>
    <x v="25"/>
    <n v="-96.99"/>
    <n v="-129992.7873"/>
    <n v="1340.27"/>
    <n v="-1262.468912888"/>
    <x v="1"/>
    <d v="2099-12-31T08:00:00"/>
    <n v="1"/>
    <x v="1"/>
    <n v="1"/>
    <n v="-96.99"/>
    <n v="-126991.78837572779"/>
    <n v="28140"/>
    <x v="1"/>
    <s v="SHORT"/>
    <x v="1"/>
    <n v="-129992.7873"/>
    <n v="1340.27"/>
    <n v="0"/>
    <n v="0"/>
    <s v="HUBI"/>
    <s v="ETH PERP SHORT"/>
  </r>
  <r>
    <x v="3"/>
    <x v="7"/>
    <x v="26"/>
    <n v="3548"/>
    <n v="38985.424580927996"/>
    <n v="109.88"/>
    <n v="623.70118567199995"/>
    <x v="1"/>
    <d v="2099-12-31T08:00:00"/>
    <n v="1"/>
    <x v="4"/>
    <n v="0.1"/>
    <n v="354.8"/>
    <n v="38711.694364149946"/>
    <n v="28140"/>
    <x v="1"/>
    <s v="LONG"/>
    <x v="3"/>
    <n v="38985.424580927996"/>
    <n v="109.88"/>
    <n v="0"/>
    <n v="0"/>
    <s v="OKEX"/>
    <s v="BCH PERP LONG"/>
  </r>
  <r>
    <x v="3"/>
    <x v="7"/>
    <x v="27"/>
    <n v="32648"/>
    <n v="5902007.3640798498"/>
    <n v="18077.7"/>
    <n v="39150.525126114"/>
    <x v="1"/>
    <d v="2099-12-31T08:00:00"/>
    <n v="1"/>
    <x v="0"/>
    <n v="0.01"/>
    <n v="326.48"/>
    <n v="5816453.3645464256"/>
    <n v="28140"/>
    <x v="1"/>
    <s v="LONG"/>
    <x v="3"/>
    <n v="5902007.3640798498"/>
    <n v="18077.7"/>
    <n v="0"/>
    <n v="0"/>
    <s v="OKEX"/>
    <s v="BTC PERP LONG"/>
  </r>
  <r>
    <x v="3"/>
    <x v="7"/>
    <x v="28"/>
    <n v="232"/>
    <n v="2328.8159999999998"/>
    <n v="1.0038"/>
    <n v="103.482391596"/>
    <x v="1"/>
    <d v="2099-12-31T08:00:00"/>
    <n v="1"/>
    <x v="3"/>
    <n v="10"/>
    <n v="2320"/>
    <n v="2269.0095011231501"/>
    <n v="28140"/>
    <x v="1"/>
    <s v="LONG"/>
    <x v="3"/>
    <n v="2328.8159999999998"/>
    <n v="1.0038"/>
    <n v="0"/>
    <n v="0"/>
    <s v="OKEX"/>
    <s v="EOS PERP LONG"/>
  </r>
  <r>
    <x v="3"/>
    <x v="7"/>
    <x v="29"/>
    <n v="13927"/>
    <n v="1865925.56080445"/>
    <n v="1339.79"/>
    <n v="139870.794260817"/>
    <x v="0"/>
    <d v="2022-12-30T08:00:00"/>
    <n v="1"/>
    <x v="1"/>
    <n v="0.1"/>
    <n v="1392.7"/>
    <n v="1823502.0483645333"/>
    <n v="15"/>
    <x v="2"/>
    <s v="LONG"/>
    <x v="4"/>
    <n v="1884584.8164124945"/>
    <n v="1353.1878999999999"/>
    <n v="0.01"/>
    <n v="18659.255608044565"/>
    <s v="OKEX"/>
    <s v="ETH Dec 22 LONG"/>
  </r>
  <r>
    <x v="3"/>
    <x v="7"/>
    <x v="30"/>
    <n v="4630"/>
    <n v="619873.66923683695"/>
    <n v="1338.82"/>
    <n v="14540.464708244999"/>
    <x v="0"/>
    <d v="2023-03-31T08:00:00"/>
    <n v="1"/>
    <x v="1"/>
    <n v="0.1"/>
    <n v="463"/>
    <n v="606219.1774199605"/>
    <n v="106"/>
    <x v="0"/>
    <s v="LONG"/>
    <x v="0"/>
    <n v="626072.40592920536"/>
    <n v="1352.2082"/>
    <n v="0.01"/>
    <n v="6198.7366923684021"/>
    <s v="OKEX"/>
    <s v="ETH Mar 23 LONG"/>
  </r>
  <r>
    <x v="3"/>
    <x v="7"/>
    <x v="31"/>
    <n v="-9554"/>
    <n v="-955400"/>
    <n v="18088.7"/>
    <n v="-0.79304966300000002"/>
    <x v="1"/>
    <d v="2099-12-31T08:00:00"/>
    <n v="0"/>
    <x v="0"/>
    <n v="100"/>
    <n v="-52.817504851094881"/>
    <n v="-940978.17262343166"/>
    <n v="28140"/>
    <x v="1"/>
    <s v="SHORT"/>
    <x v="1"/>
    <n v="-955400"/>
    <n v="18088.7"/>
    <n v="0"/>
    <n v="0"/>
    <s v="OKEX"/>
    <s v="BTC PERP SHORT"/>
  </r>
  <r>
    <x v="3"/>
    <x v="7"/>
    <x v="32"/>
    <n v="-96224"/>
    <n v="-962240"/>
    <n v="1340.19"/>
    <n v="-6.3702212730000003"/>
    <x v="1"/>
    <d v="2099-12-31T08:00:00"/>
    <n v="0"/>
    <x v="1"/>
    <n v="10"/>
    <n v="-717.98774800587978"/>
    <n v="-940081.94815061404"/>
    <n v="28140"/>
    <x v="1"/>
    <s v="SHORT"/>
    <x v="1"/>
    <n v="-962240"/>
    <n v="1340.19"/>
    <n v="0"/>
    <n v="0"/>
    <s v="OKEX"/>
    <s v="ETH PERP SHORT"/>
  </r>
  <r>
    <x v="3"/>
    <x v="7"/>
    <x v="33"/>
    <n v="-19875"/>
    <n v="-2663568.0396902501"/>
    <n v="1340.16"/>
    <n v="-31171.112554192001"/>
    <x v="1"/>
    <d v="2099-12-31T08:00:00"/>
    <n v="1"/>
    <x v="1"/>
    <n v="0.1"/>
    <n v="-1987.5"/>
    <n v="-2602290.7454042579"/>
    <n v="28140"/>
    <x v="1"/>
    <s v="SHORT"/>
    <x v="1"/>
    <n v="-2663568.0396902501"/>
    <n v="1340.16"/>
    <n v="0"/>
    <n v="0"/>
    <s v="OKEX"/>
    <s v="ETH PERP SHORT"/>
  </r>
  <r>
    <x v="3"/>
    <x v="7"/>
    <x v="34"/>
    <n v="-438"/>
    <n v="-34514.400000000001"/>
    <n v="78.8"/>
    <n v="-462.46031231400002"/>
    <x v="1"/>
    <d v="2099-12-31T08:00:00"/>
    <n v="1"/>
    <x v="6"/>
    <n v="1"/>
    <n v="-438"/>
    <n v="-33058.42827700713"/>
    <n v="28140"/>
    <x v="1"/>
    <s v="SHORT"/>
    <x v="1"/>
    <n v="-34514.400000000001"/>
    <n v="78.8"/>
    <n v="0"/>
    <n v="0"/>
    <s v="OKEX"/>
    <s v="LTC PERP SHORT"/>
  </r>
  <r>
    <x v="3"/>
    <x v="7"/>
    <x v="35"/>
    <n v="-11635"/>
    <n v="-1163500"/>
    <n v="18115.8"/>
    <n v="-0.60986192699999997"/>
    <x v="0"/>
    <d v="2022-12-30T08:00:00"/>
    <n v="0"/>
    <x v="0"/>
    <n v="100"/>
    <n v="-64.22570352951567"/>
    <n v="-1144222.6457504677"/>
    <n v="15"/>
    <x v="2"/>
    <s v="SHORT"/>
    <x v="2"/>
    <n v="-1175135"/>
    <n v="18296.957999999999"/>
    <n v="0.01"/>
    <n v="-11635"/>
    <s v="OKEX"/>
    <s v="BTC Dec 22 SHORT"/>
  </r>
  <r>
    <x v="3"/>
    <x v="7"/>
    <x v="36"/>
    <n v="-201184"/>
    <n v="-2011840"/>
    <n v="1341.52"/>
    <n v="-61.937708741000002"/>
    <x v="0"/>
    <d v="2022-12-30T08:00:00"/>
    <n v="0"/>
    <x v="1"/>
    <n v="10"/>
    <n v="-1499.6720138350529"/>
    <n v="-1963563.5737080374"/>
    <n v="15"/>
    <x v="2"/>
    <s v="SHORT"/>
    <x v="2"/>
    <n v="-2031958.4"/>
    <n v="1354.9351999999999"/>
    <n v="0.01"/>
    <n v="-20118.399999999907"/>
    <s v="OKEX"/>
    <s v="ETH Dec 22 SHORT"/>
  </r>
  <r>
    <x v="3"/>
    <x v="7"/>
    <x v="37"/>
    <n v="-33090"/>
    <n v="-227890.83"/>
    <n v="6.8869999999999996"/>
    <n v="-2522.956967355"/>
    <x v="1"/>
    <d v="2099-12-31T08:00:00"/>
    <n v="1"/>
    <x v="10"/>
    <n v="1"/>
    <n v="-33090"/>
    <n v="-222656.92042572392"/>
    <n v="28140"/>
    <x v="1"/>
    <s v="SHORT"/>
    <x v="1"/>
    <n v="-227890.83"/>
    <n v="6.8869999999999996"/>
    <n v="0"/>
    <n v="0"/>
    <s v="OKEX"/>
    <s v="LINK PERP SHORT"/>
  </r>
  <r>
    <x v="3"/>
    <x v="7"/>
    <x v="38"/>
    <n v="-89029"/>
    <n v="-815505.64"/>
    <n v="9.1600000000000004E-6"/>
    <n v="117404.765870498"/>
    <x v="1"/>
    <d v="2099-12-31T08:00:00"/>
    <n v="1"/>
    <x v="12"/>
    <n v="1000000"/>
    <n v="-89029000000"/>
    <n v="-798835.50910863047"/>
    <n v="28140"/>
    <x v="1"/>
    <s v="SHORT"/>
    <x v="1"/>
    <n v="-815505.64"/>
    <n v="9.1600000000000004E-6"/>
    <n v="0"/>
    <n v="0"/>
    <s v="OKEX"/>
    <s v="SHIB PERP SHORT"/>
  </r>
  <r>
    <x v="3"/>
    <x v="7"/>
    <x v="39"/>
    <n v="-16540"/>
    <n v="-2994517.3130673198"/>
    <n v="18104.7"/>
    <n v="-75115.642557642001"/>
    <x v="0"/>
    <d v="2022-12-30T08:00:00"/>
    <n v="1"/>
    <x v="0"/>
    <n v="0.01"/>
    <n v="-165.4"/>
    <n v="-2946708.4859592589"/>
    <n v="15"/>
    <x v="2"/>
    <s v="SHORT"/>
    <x v="2"/>
    <n v="-3024462.4861979932"/>
    <n v="18285.746999999999"/>
    <n v="0.01"/>
    <n v="-29945.173130673356"/>
    <s v="OKEX"/>
    <s v="BTC Dec 22 SHORT"/>
  </r>
  <r>
    <x v="3"/>
    <x v="8"/>
    <x v="31"/>
    <n v="624"/>
    <n v="62400"/>
    <n v="18090"/>
    <n v="0.31251752799999999"/>
    <x v="1"/>
    <d v="2099-12-31T08:00:00"/>
    <n v="0"/>
    <x v="0"/>
    <n v="100"/>
    <n v="3.4494195688225537"/>
    <n v="61453.6512399235"/>
    <n v="28140"/>
    <x v="1"/>
    <s v="LONG"/>
    <x v="3"/>
    <n v="62400"/>
    <n v="18090"/>
    <n v="0"/>
    <n v="0"/>
    <s v="OKEX"/>
    <s v="BTC PERP LONG"/>
  </r>
  <r>
    <x v="3"/>
    <x v="8"/>
    <x v="32"/>
    <n v="-1915"/>
    <n v="-19150"/>
    <n v="1340.19"/>
    <n v="-0.57658249800000005"/>
    <x v="1"/>
    <d v="2099-12-31T08:00:00"/>
    <n v="0"/>
    <x v="1"/>
    <n v="10"/>
    <n v="-14.289018721226094"/>
    <n v="-18709.021976933258"/>
    <n v="28140"/>
    <x v="1"/>
    <s v="SHORT"/>
    <x v="1"/>
    <n v="-19150"/>
    <n v="1340.19"/>
    <n v="0"/>
    <n v="0"/>
    <s v="OKEX"/>
    <s v="ETH PERP SHORT"/>
  </r>
  <r>
    <x v="3"/>
    <x v="8"/>
    <x v="36"/>
    <n v="-67"/>
    <n v="-670"/>
    <n v="1341.51"/>
    <n v="-6.0022476999999998E-2"/>
    <x v="0"/>
    <d v="2022-12-30T08:00:00"/>
    <n v="0"/>
    <x v="1"/>
    <n v="10"/>
    <n v="-0.49943720136264358"/>
    <n v="-653.92745007125041"/>
    <n v="15"/>
    <x v="2"/>
    <s v="SHORT"/>
    <x v="2"/>
    <n v="-676.7"/>
    <n v="1354.9250999999999"/>
    <n v="0.01"/>
    <n v="-6.7000000000000455"/>
    <s v="OKEX"/>
    <s v="ETH Dec 22 SHORT"/>
  </r>
  <r>
    <x v="3"/>
    <x v="9"/>
    <x v="35"/>
    <n v="2"/>
    <n v="200"/>
    <n v="18116.2"/>
    <n v="9.5463999999999998E-4"/>
    <x v="0"/>
    <d v="2022-12-30T08:00:00"/>
    <n v="0"/>
    <x v="0"/>
    <n v="100"/>
    <n v="1.1039842792638633E-2"/>
    <n v="196.68197364404125"/>
    <n v="15"/>
    <x v="2"/>
    <s v="LONG"/>
    <x v="4"/>
    <n v="202"/>
    <n v="18297.362000000001"/>
    <n v="0.01"/>
    <n v="2"/>
    <s v="OKEX"/>
    <s v="BTC Dec 22 LONG"/>
  </r>
  <r>
    <x v="3"/>
    <x v="9"/>
    <x v="39"/>
    <n v="1"/>
    <n v="181.06199595300001"/>
    <n v="18106.2"/>
    <n v="16.792542715"/>
    <x v="0"/>
    <d v="2022-12-30T08:00:00"/>
    <n v="1"/>
    <x v="0"/>
    <n v="0.01"/>
    <n v="0.01"/>
    <n v="178.156498546509"/>
    <n v="15"/>
    <x v="2"/>
    <s v="LONG"/>
    <x v="4"/>
    <n v="182.87261591253002"/>
    <n v="18287.262000000002"/>
    <n v="0.01"/>
    <n v="1.8106199595300154"/>
    <s v="OKEX"/>
    <s v="BTC Dec 22 LONG"/>
  </r>
  <r>
    <x v="3"/>
    <x v="9"/>
    <x v="29"/>
    <n v="9324"/>
    <n v="1249238.8626151001"/>
    <n v="1339.81"/>
    <n v="101340.866707761"/>
    <x v="0"/>
    <d v="2022-12-30T08:00:00"/>
    <n v="1"/>
    <x v="1"/>
    <n v="0.1"/>
    <n v="932.40000000000009"/>
    <n v="1220818.058372292"/>
    <n v="15"/>
    <x v="2"/>
    <s v="LONG"/>
    <x v="4"/>
    <n v="1261731.2512412511"/>
    <n v="1353.2081000000001"/>
    <n v="0.01"/>
    <n v="12492.38862615102"/>
    <s v="OKEX"/>
    <s v="ETH Dec 22 LONG"/>
  </r>
  <r>
    <x v="3"/>
    <x v="9"/>
    <x v="27"/>
    <n v="-1"/>
    <n v="-180.78499595900001"/>
    <n v="18078.5"/>
    <n v="-7.2885998699999996"/>
    <x v="1"/>
    <d v="2099-12-31T08:00:00"/>
    <n v="1"/>
    <x v="0"/>
    <n v="0.01"/>
    <n v="-0.01"/>
    <n v="-178.156498546509"/>
    <n v="28140"/>
    <x v="1"/>
    <s v="SHORT"/>
    <x v="1"/>
    <n v="-180.78499595900001"/>
    <n v="18078.5"/>
    <n v="0"/>
    <n v="0"/>
    <s v="OKEX"/>
    <s v="BTC PERP SHORT"/>
  </r>
  <r>
    <x v="3"/>
    <x v="9"/>
    <x v="33"/>
    <n v="-9324"/>
    <n v="-1249602.4986205201"/>
    <n v="1340.2"/>
    <n v="-109629.666586523"/>
    <x v="1"/>
    <d v="2099-12-31T08:00:00"/>
    <n v="1"/>
    <x v="1"/>
    <n v="0.1"/>
    <n v="-932.40000000000009"/>
    <n v="-1220818.058372292"/>
    <n v="28140"/>
    <x v="1"/>
    <s v="SHORT"/>
    <x v="1"/>
    <n v="-1249602.4986205201"/>
    <n v="1340.2"/>
    <n v="0"/>
    <n v="0"/>
    <s v="OKEX"/>
    <s v="ETH PERP SHORT"/>
  </r>
  <r>
    <x v="3"/>
    <x v="10"/>
    <x v="40"/>
    <n v="17440"/>
    <n v="13777.600205302"/>
    <n v="7.9"/>
    <n v="-17756.410061801002"/>
    <x v="1"/>
    <d v="2099-12-31T08:00:00"/>
    <n v="1"/>
    <x v="2"/>
    <n v="0.1"/>
    <n v="1744"/>
    <n v="13777.6"/>
    <n v="28140"/>
    <x v="1"/>
    <s v="LONG"/>
    <x v="3"/>
    <n v="13777.600205302"/>
    <n v="7.9"/>
    <n v="0"/>
    <n v="0"/>
    <s v="OKEX"/>
    <s v="AXS PERP LONG"/>
  </r>
  <r>
    <x v="4"/>
    <x v="11"/>
    <x v="41"/>
    <n v="380"/>
    <n v="24852000"/>
    <n v="1308"/>
    <n v="0"/>
    <x v="2"/>
    <d v="2022-12-30T00:00:00"/>
    <n v="1"/>
    <x v="1"/>
    <n v="50"/>
    <n v="19000"/>
    <n v="24877244.861726239"/>
    <n v="15"/>
    <x v="3"/>
    <s v="LONG"/>
    <x v="5"/>
    <n v="25100520"/>
    <n v="1321.08"/>
    <n v="0.01"/>
    <n v="248520"/>
    <s v="UNMBF222"/>
    <s v="ETH CME Dec 22 LONG"/>
  </r>
  <r>
    <x v="4"/>
    <x v="11"/>
    <x v="42"/>
    <n v="114"/>
    <n v="10143150"/>
    <n v="17795"/>
    <n v="0"/>
    <x v="2"/>
    <d v="2022-12-30T00:00:00"/>
    <n v="1"/>
    <x v="0"/>
    <n v="5"/>
    <n v="570"/>
    <n v="10154920.417151013"/>
    <n v="15"/>
    <x v="3"/>
    <s v="LONG"/>
    <x v="5"/>
    <n v="10244581.5"/>
    <n v="17972.95"/>
    <n v="0.01"/>
    <n v="101431.5"/>
    <s v="UNMBF222"/>
    <s v="BTC CME Dec 22 LONG"/>
  </r>
  <r>
    <x v="0"/>
    <x v="12"/>
    <x v="43"/>
    <n v="585.43739457000004"/>
    <n v="36626.655685099497"/>
    <n v="62.562890626420497"/>
    <n v="0"/>
    <x v="3"/>
    <d v="2022-12-15T00:00:00"/>
    <n v="1"/>
    <x v="13"/>
    <n v="1"/>
    <n v="585.43739457000004"/>
    <n v="36626.655685099497"/>
    <n v="0"/>
    <x v="4"/>
    <s v="LONG"/>
    <x v="6"/>
    <n v="36626.655685099497"/>
    <n v="62.562890626420497"/>
    <n v="0"/>
    <n v="0"/>
    <s v="BINE"/>
    <s v="AAVE COIN LONG"/>
  </r>
  <r>
    <x v="0"/>
    <x v="12"/>
    <x v="44"/>
    <n v="228897.2703"/>
    <n v="70531.089156587404"/>
    <n v="0.308134251946941"/>
    <n v="0"/>
    <x v="3"/>
    <d v="2022-12-15T00:00:00"/>
    <n v="1"/>
    <x v="14"/>
    <n v="1"/>
    <n v="228897.2703"/>
    <n v="70531.089156587259"/>
    <n v="0"/>
    <x v="4"/>
    <s v="LONG"/>
    <x v="6"/>
    <n v="70531.089156587404"/>
    <n v="0.308134251946941"/>
    <n v="0"/>
    <n v="0"/>
    <s v="BINE"/>
    <s v="ADA COIN LONG"/>
  </r>
  <r>
    <x v="0"/>
    <x v="12"/>
    <x v="45"/>
    <n v="137194.54519"/>
    <n v="30308.443673863399"/>
    <n v="0.220915807052601"/>
    <n v="0"/>
    <x v="3"/>
    <d v="2022-12-15T00:00:00"/>
    <n v="1"/>
    <x v="15"/>
    <n v="1"/>
    <n v="137194.54519"/>
    <n v="30308.443673863389"/>
    <n v="0"/>
    <x v="4"/>
    <s v="LONG"/>
    <x v="6"/>
    <n v="30308.443673863399"/>
    <n v="0.220915807052601"/>
    <n v="0"/>
    <n v="0"/>
    <s v="BINE"/>
    <s v="ALGO COIN LONG"/>
  </r>
  <r>
    <x v="0"/>
    <x v="12"/>
    <x v="46"/>
    <n v="4.2548999999999998E-3"/>
    <n v="4.08859245906859E-2"/>
    <n v="9.6091387789809204"/>
    <n v="0"/>
    <x v="3"/>
    <d v="2022-12-15T00:00:00"/>
    <n v="1"/>
    <x v="11"/>
    <n v="1"/>
    <n v="4.2548999999999998E-3"/>
    <n v="4.0885924590685914E-2"/>
    <n v="0"/>
    <x v="4"/>
    <s v="LONG"/>
    <x v="6"/>
    <n v="4.08859245906859E-2"/>
    <n v="9.6091387789809204"/>
    <n v="0"/>
    <n v="0"/>
    <s v="BINE"/>
    <s v="ATOM COIN LONG"/>
  </r>
  <r>
    <x v="0"/>
    <x v="12"/>
    <x v="47"/>
    <n v="1522.8681305699999"/>
    <n v="20905.262993237699"/>
    <n v="13.7275595789196"/>
    <n v="0"/>
    <x v="3"/>
    <d v="2022-12-15T00:00:00"/>
    <n v="1"/>
    <x v="16"/>
    <n v="1"/>
    <n v="1522.8681305699999"/>
    <n v="20905.262993237586"/>
    <n v="0"/>
    <x v="4"/>
    <s v="LONG"/>
    <x v="6"/>
    <n v="20905.262993237699"/>
    <n v="13.7275595789196"/>
    <n v="0"/>
    <n v="0"/>
    <s v="BINE"/>
    <s v="AVAX COIN LONG"/>
  </r>
  <r>
    <x v="0"/>
    <x v="12"/>
    <x v="48"/>
    <n v="91411.592165359994"/>
    <n v="20472.664150056"/>
    <n v="0.223961356159531"/>
    <n v="0"/>
    <x v="3"/>
    <d v="2022-12-15T00:00:00"/>
    <n v="1"/>
    <x v="17"/>
    <n v="1"/>
    <n v="91411.592165359994"/>
    <n v="20472.664150055982"/>
    <n v="0"/>
    <x v="4"/>
    <s v="LONG"/>
    <x v="6"/>
    <n v="20472.664150056"/>
    <n v="0.223961356159531"/>
    <n v="0"/>
    <n v="0"/>
    <s v="BINE"/>
    <s v="BAT COIN LONG"/>
  </r>
  <r>
    <x v="0"/>
    <x v="12"/>
    <x v="49"/>
    <n v="401.29513104"/>
    <n v="43784.708181065696"/>
    <n v="109.10849595307199"/>
    <n v="0"/>
    <x v="3"/>
    <d v="2022-12-15T00:00:00"/>
    <n v="1"/>
    <x v="4"/>
    <n v="1"/>
    <n v="401.29513104"/>
    <n v="43784.708181065333"/>
    <n v="0"/>
    <x v="4"/>
    <s v="LONG"/>
    <x v="6"/>
    <n v="43784.708181065696"/>
    <n v="109.10849595307199"/>
    <n v="0"/>
    <n v="0"/>
    <s v="BINE"/>
    <s v="BCH COIN LONG"/>
  </r>
  <r>
    <x v="0"/>
    <x v="12"/>
    <x v="50"/>
    <n v="144.75781040999999"/>
    <n v="38828.610565688999"/>
    <n v="268.231541052701"/>
    <n v="0"/>
    <x v="3"/>
    <d v="2022-12-15T00:00:00"/>
    <n v="1"/>
    <x v="18"/>
    <n v="1"/>
    <n v="144.75781040999999"/>
    <n v="38828.610565689021"/>
    <n v="0"/>
    <x v="4"/>
    <s v="LONG"/>
    <x v="6"/>
    <n v="38828.610565688999"/>
    <n v="268.231541052701"/>
    <n v="0"/>
    <n v="0"/>
    <s v="BINE"/>
    <s v="BNB COIN LONG"/>
  </r>
  <r>
    <x v="0"/>
    <x v="12"/>
    <x v="51"/>
    <n v="12.44551824"/>
    <n v="221724.99522351101"/>
    <n v="17815.649854650899"/>
    <n v="0"/>
    <x v="3"/>
    <d v="2022-12-15T00:00:00"/>
    <n v="1"/>
    <x v="0"/>
    <n v="1"/>
    <n v="12.44551824"/>
    <n v="221724.99522351113"/>
    <n v="0"/>
    <x v="4"/>
    <s v="LONG"/>
    <x v="6"/>
    <n v="221724.99522351101"/>
    <n v="17815.649854650899"/>
    <n v="0"/>
    <n v="0"/>
    <s v="BINE"/>
    <s v="BTC COIN LONG"/>
  </r>
  <r>
    <x v="0"/>
    <x v="12"/>
    <x v="52"/>
    <n v="196876.92648426001"/>
    <n v="196926.54031488299"/>
    <n v="1.0002520042927801"/>
    <n v="0"/>
    <x v="3"/>
    <d v="2022-12-15T00:00:00"/>
    <n v="1"/>
    <x v="19"/>
    <n v="1"/>
    <n v="196876.92648426001"/>
    <n v="196926.54031488337"/>
    <n v="0"/>
    <x v="4"/>
    <s v="LONG"/>
    <x v="6"/>
    <n v="196926.54031488299"/>
    <n v="1.0002520042927801"/>
    <n v="0"/>
    <n v="0"/>
    <s v="BINE"/>
    <s v="BUSD COIN LONG"/>
  </r>
  <r>
    <x v="0"/>
    <x v="12"/>
    <x v="53"/>
    <n v="0.86121729000000002"/>
    <n v="33.891689955686203"/>
    <n v="39.353239129333097"/>
    <n v="0"/>
    <x v="3"/>
    <d v="2022-12-15T00:00:00"/>
    <n v="1"/>
    <x v="9"/>
    <n v="1"/>
    <n v="0.86121729000000002"/>
    <n v="33.891689955686211"/>
    <n v="0"/>
    <x v="4"/>
    <s v="LONG"/>
    <x v="6"/>
    <n v="33.891689955686203"/>
    <n v="39.353239129333097"/>
    <n v="0"/>
    <n v="0"/>
    <s v="BINE"/>
    <s v="COMP COIN LONG"/>
  </r>
  <r>
    <x v="0"/>
    <x v="12"/>
    <x v="54"/>
    <n v="1.5637979999999999E-2"/>
    <n v="1.0109735336132099E-2"/>
    <n v="0.64648601265202699"/>
    <n v="0"/>
    <x v="3"/>
    <d v="2022-12-15T00:00:00"/>
    <n v="1"/>
    <x v="20"/>
    <n v="1"/>
    <n v="1.5637979999999999E-2"/>
    <n v="1.0109735336132145E-2"/>
    <n v="0"/>
    <x v="4"/>
    <s v="LONG"/>
    <x v="6"/>
    <n v="1.0109735336132099E-2"/>
    <n v="0.64648601265202699"/>
    <n v="0"/>
    <n v="0"/>
    <s v="BINE"/>
    <s v="CRV COIN LONG"/>
  </r>
  <r>
    <x v="0"/>
    <x v="12"/>
    <x v="55"/>
    <n v="497.31768"/>
    <n v="24290.779452657502"/>
    <n v="48.843587166773403"/>
    <n v="0"/>
    <x v="3"/>
    <d v="2022-12-15T00:00:00"/>
    <n v="1"/>
    <x v="21"/>
    <n v="1"/>
    <n v="497.31768"/>
    <n v="24290.779452657524"/>
    <n v="0"/>
    <x v="4"/>
    <s v="LONG"/>
    <x v="6"/>
    <n v="24290.779452657502"/>
    <n v="48.843587166773403"/>
    <n v="0"/>
    <n v="0"/>
    <s v="BINE"/>
    <s v="DASH COIN LONG"/>
  </r>
  <r>
    <x v="0"/>
    <x v="12"/>
    <x v="56"/>
    <n v="604880.55008426995"/>
    <n v="53540.6345540189"/>
    <n v="8.8514392712015305E-2"/>
    <n v="0"/>
    <x v="3"/>
    <d v="2022-12-15T00:00:00"/>
    <n v="1"/>
    <x v="22"/>
    <n v="1"/>
    <n v="604880.55008426995"/>
    <n v="53540.634554018914"/>
    <n v="0"/>
    <x v="4"/>
    <s v="LONG"/>
    <x v="6"/>
    <n v="53540.6345540189"/>
    <n v="8.8514392712015305E-2"/>
    <n v="0"/>
    <n v="0"/>
    <s v="BINE"/>
    <s v="DOGE COIN LONG"/>
  </r>
  <r>
    <x v="0"/>
    <x v="12"/>
    <x v="57"/>
    <n v="4998.7032519799995"/>
    <n v="26069.2859419087"/>
    <n v="5.21520975096543"/>
    <n v="0"/>
    <x v="3"/>
    <d v="2022-12-15T00:00:00"/>
    <n v="1"/>
    <x v="23"/>
    <n v="1"/>
    <n v="4998.7032519799995"/>
    <n v="26069.2859419087"/>
    <n v="0"/>
    <x v="4"/>
    <s v="LONG"/>
    <x v="6"/>
    <n v="26069.2859419087"/>
    <n v="5.21520975096543"/>
    <n v="0"/>
    <n v="0"/>
    <s v="BINE"/>
    <s v="DOT COIN LONG"/>
  </r>
  <r>
    <x v="0"/>
    <x v="12"/>
    <x v="58"/>
    <n v="30831.324700000001"/>
    <n v="9257.5375131300498"/>
    <n v="0.30026402054434098"/>
    <n v="0"/>
    <x v="3"/>
    <d v="2022-12-15T00:00:00"/>
    <n v="1"/>
    <x v="24"/>
    <n v="1"/>
    <n v="30831.324700000001"/>
    <n v="9257.537513130048"/>
    <n v="0"/>
    <x v="4"/>
    <s v="LONG"/>
    <x v="6"/>
    <n v="9257.5375131300498"/>
    <n v="0.30026402054434098"/>
    <n v="0"/>
    <n v="0"/>
    <s v="BINE"/>
    <s v="ENJ COIN LONG"/>
  </r>
  <r>
    <x v="0"/>
    <x v="12"/>
    <x v="59"/>
    <n v="79109.898400000005"/>
    <n v="77371.168578658195"/>
    <n v="0.97802133669101299"/>
    <n v="0"/>
    <x v="3"/>
    <d v="2022-12-15T00:00:00"/>
    <n v="1"/>
    <x v="3"/>
    <n v="1"/>
    <n v="79109.898400000005"/>
    <n v="77371.168578658238"/>
    <n v="0"/>
    <x v="4"/>
    <s v="LONG"/>
    <x v="6"/>
    <n v="77371.168578658195"/>
    <n v="0.97802133669101299"/>
    <n v="0"/>
    <n v="0"/>
    <s v="BINE"/>
    <s v="EOS COIN LONG"/>
  </r>
  <r>
    <x v="0"/>
    <x v="12"/>
    <x v="60"/>
    <n v="207.5909"/>
    <n v="271804.71844032197"/>
    <n v="1309.32867693296"/>
    <n v="0"/>
    <x v="3"/>
    <d v="2022-12-15T00:00:00"/>
    <n v="1"/>
    <x v="1"/>
    <n v="1"/>
    <n v="207.5909"/>
    <n v="271804.71844032238"/>
    <n v="0"/>
    <x v="4"/>
    <s v="LONG"/>
    <x v="6"/>
    <n v="271804.71844032197"/>
    <n v="1309.32867693296"/>
    <n v="0"/>
    <n v="0"/>
    <s v="BINE"/>
    <s v="ETH COIN LONG"/>
  </r>
  <r>
    <x v="0"/>
    <x v="12"/>
    <x v="61"/>
    <n v="796684.29277635005"/>
    <n v="851073.92944419105"/>
    <n v="1.0682700000000001"/>
    <n v="0"/>
    <x v="3"/>
    <d v="2022-12-15T00:00:00"/>
    <n v="1"/>
    <x v="25"/>
    <n v="1"/>
    <n v="796684.29277635005"/>
    <n v="851073.92944419151"/>
    <n v="0"/>
    <x v="5"/>
    <s v="LONG"/>
    <x v="7"/>
    <n v="851073.92944419105"/>
    <n v="1.0682700000000001"/>
    <n v="0"/>
    <n v="0"/>
    <s v="BINE"/>
    <s v="EUR CASH LONG"/>
  </r>
  <r>
    <x v="0"/>
    <x v="12"/>
    <x v="62"/>
    <n v="0.19800000000000001"/>
    <n v="0.83755776247018499"/>
    <n v="4.2300897094453704"/>
    <n v="0"/>
    <x v="3"/>
    <d v="2022-12-15T00:00:00"/>
    <n v="1"/>
    <x v="26"/>
    <n v="1"/>
    <n v="0.19800000000000001"/>
    <n v="0.83755776247018343"/>
    <n v="0"/>
    <x v="4"/>
    <s v="LONG"/>
    <x v="6"/>
    <n v="0.83755776247018499"/>
    <n v="4.2300897094453704"/>
    <n v="0"/>
    <n v="0"/>
    <s v="BINE"/>
    <s v="FIL COIN LONG"/>
  </r>
  <r>
    <x v="0"/>
    <x v="12"/>
    <x v="63"/>
    <n v="142175.21349967"/>
    <n v="34210.1105541367"/>
    <n v="0.24061937177408299"/>
    <n v="0"/>
    <x v="3"/>
    <d v="2022-12-15T00:00:00"/>
    <n v="1"/>
    <x v="27"/>
    <n v="1"/>
    <n v="142175.21349967"/>
    <n v="34210.110554136721"/>
    <n v="0"/>
    <x v="4"/>
    <s v="LONG"/>
    <x v="6"/>
    <n v="34210.1105541367"/>
    <n v="0.24061937177408299"/>
    <n v="0"/>
    <n v="0"/>
    <s v="BINE"/>
    <s v="FTM COIN LONG"/>
  </r>
  <r>
    <x v="0"/>
    <x v="12"/>
    <x v="64"/>
    <n v="239455.44699999999"/>
    <n v="15735.0778713698"/>
    <n v="6.5711922900504302E-2"/>
    <n v="0"/>
    <x v="3"/>
    <d v="2022-12-15T00:00:00"/>
    <n v="1"/>
    <x v="28"/>
    <n v="1"/>
    <n v="239455.44699999999"/>
    <n v="15735.077871369793"/>
    <n v="0"/>
    <x v="4"/>
    <s v="LONG"/>
    <x v="6"/>
    <n v="15735.0778713698"/>
    <n v="6.5711922900504302E-2"/>
    <n v="0"/>
    <n v="0"/>
    <s v="BINE"/>
    <s v="GRT COIN LONG"/>
  </r>
  <r>
    <x v="0"/>
    <x v="12"/>
    <x v="65"/>
    <n v="622005.60076897999"/>
    <n v="29034.5185808321"/>
    <n v="4.6678870005249097E-2"/>
    <n v="0"/>
    <x v="3"/>
    <d v="2022-12-15T00:00:00"/>
    <n v="1"/>
    <x v="29"/>
    <n v="1"/>
    <n v="622005.60076897999"/>
    <n v="29034.518580832086"/>
    <n v="0"/>
    <x v="4"/>
    <s v="LONG"/>
    <x v="6"/>
    <n v="29034.5185808321"/>
    <n v="4.6678870005249097E-2"/>
    <n v="0"/>
    <n v="0"/>
    <s v="BINE"/>
    <s v="HBAR COIN LONG"/>
  </r>
  <r>
    <x v="0"/>
    <x v="12"/>
    <x v="66"/>
    <n v="9313.9301735600002"/>
    <n v="62671.8346783046"/>
    <n v="6.72882805759214"/>
    <n v="0"/>
    <x v="3"/>
    <d v="2022-12-15T00:00:00"/>
    <n v="1"/>
    <x v="10"/>
    <n v="1"/>
    <n v="9313.9301735600002"/>
    <n v="62671.834678304556"/>
    <n v="0"/>
    <x v="4"/>
    <s v="LONG"/>
    <x v="6"/>
    <n v="62671.8346783046"/>
    <n v="6.72882805759214"/>
    <n v="0"/>
    <n v="0"/>
    <s v="BINE"/>
    <s v="LINK COIN LONG"/>
  </r>
  <r>
    <x v="0"/>
    <x v="12"/>
    <x v="67"/>
    <n v="690.72668716999999"/>
    <n v="52133.193257589402"/>
    <n v="75.475863646134997"/>
    <n v="0"/>
    <x v="3"/>
    <d v="2022-12-15T00:00:00"/>
    <n v="1"/>
    <x v="6"/>
    <n v="1"/>
    <n v="690.72668716999999"/>
    <n v="52133.193257589461"/>
    <n v="0"/>
    <x v="4"/>
    <s v="LONG"/>
    <x v="6"/>
    <n v="52133.193257589402"/>
    <n v="75.475863646134997"/>
    <n v="0"/>
    <n v="0"/>
    <s v="BINE"/>
    <s v="LTC COIN LONG"/>
  </r>
  <r>
    <x v="0"/>
    <x v="12"/>
    <x v="68"/>
    <n v="51976.868269259998"/>
    <n v="19847.9074793933"/>
    <n v="0.38186039560085799"/>
    <n v="0"/>
    <x v="3"/>
    <d v="2022-12-15T00:00:00"/>
    <n v="1"/>
    <x v="30"/>
    <n v="1"/>
    <n v="51976.868269259998"/>
    <n v="19847.907479393307"/>
    <n v="0"/>
    <x v="4"/>
    <s v="LONG"/>
    <x v="6"/>
    <n v="19847.9074793933"/>
    <n v="0.38186039560085799"/>
    <n v="0"/>
    <n v="0"/>
    <s v="BINE"/>
    <s v="MANA COIN LONG"/>
  </r>
  <r>
    <x v="0"/>
    <x v="12"/>
    <x v="69"/>
    <n v="56026.01335152"/>
    <n v="50610.950902394499"/>
    <n v="0.90334735375244002"/>
    <n v="0"/>
    <x v="3"/>
    <d v="2022-12-15T00:00:00"/>
    <n v="1"/>
    <x v="31"/>
    <n v="1"/>
    <n v="56026.01335152"/>
    <n v="50610.950902394463"/>
    <n v="0"/>
    <x v="4"/>
    <s v="LONG"/>
    <x v="6"/>
    <n v="50610.950902394499"/>
    <n v="0.90334735375244002"/>
    <n v="0"/>
    <n v="0"/>
    <s v="BINE"/>
    <s v="MATIC COIN LONG"/>
  </r>
  <r>
    <x v="0"/>
    <x v="12"/>
    <x v="70"/>
    <n v="14.148957319999999"/>
    <n v="8576.4989890877805"/>
    <n v="606.15766908594901"/>
    <n v="0"/>
    <x v="3"/>
    <d v="2022-12-15T00:00:00"/>
    <n v="1"/>
    <x v="32"/>
    <n v="1"/>
    <n v="14.148957319999999"/>
    <n v="8576.498989087775"/>
    <n v="0"/>
    <x v="4"/>
    <s v="LONG"/>
    <x v="6"/>
    <n v="8576.4989890877805"/>
    <n v="606.15766908594901"/>
    <n v="0"/>
    <n v="0"/>
    <s v="BINE"/>
    <s v="MKR COIN LONG"/>
  </r>
  <r>
    <x v="0"/>
    <x v="12"/>
    <x v="71"/>
    <n v="24304.849819300001"/>
    <n v="28626.799650125002"/>
    <n v="1.1778225277242"/>
    <n v="0"/>
    <x v="3"/>
    <d v="2022-12-15T00:00:00"/>
    <n v="1"/>
    <x v="7"/>
    <n v="1"/>
    <n v="24304.849819300001"/>
    <n v="28626.799650124995"/>
    <n v="0"/>
    <x v="4"/>
    <s v="LONG"/>
    <x v="6"/>
    <n v="28626.799650125002"/>
    <n v="1.1778225277242"/>
    <n v="0"/>
    <n v="0"/>
    <s v="BINE"/>
    <s v="OMG COIN LONG"/>
  </r>
  <r>
    <x v="0"/>
    <x v="12"/>
    <x v="72"/>
    <n v="579497.75941952004"/>
    <n v="47042.394575068101"/>
    <n v="8.1177871372945895E-2"/>
    <n v="0"/>
    <x v="3"/>
    <d v="2022-12-15T00:00:00"/>
    <n v="1"/>
    <x v="33"/>
    <n v="1"/>
    <n v="579497.75941952004"/>
    <n v="47042.394575068145"/>
    <n v="0"/>
    <x v="4"/>
    <s v="LONG"/>
    <x v="6"/>
    <n v="47042.394575068101"/>
    <n v="8.1177871372945895E-2"/>
    <n v="0"/>
    <n v="0"/>
    <s v="BINE"/>
    <s v="OXT COIN LONG"/>
  </r>
  <r>
    <x v="0"/>
    <x v="12"/>
    <x v="73"/>
    <n v="3891093088.6999998"/>
    <n v="34913.829521849402"/>
    <n v="8.9727561705582505E-6"/>
    <n v="0"/>
    <x v="3"/>
    <d v="2022-12-15T00:00:00"/>
    <n v="1"/>
    <x v="12"/>
    <n v="1"/>
    <n v="3891093088.6999998"/>
    <n v="34913.829521849482"/>
    <n v="0"/>
    <x v="4"/>
    <s v="LONG"/>
    <x v="6"/>
    <n v="34913.829521849402"/>
    <n v="8.9727561705582505E-6"/>
    <n v="0"/>
    <n v="0"/>
    <s v="BINE"/>
    <s v="SHIB COIN LONG"/>
  </r>
  <r>
    <x v="0"/>
    <x v="12"/>
    <x v="74"/>
    <n v="4911.3312864700001"/>
    <n v="69448.808727044394"/>
    <n v="14.1405261987448"/>
    <n v="0"/>
    <x v="3"/>
    <d v="2022-12-15T00:00:00"/>
    <n v="1"/>
    <x v="34"/>
    <n v="1"/>
    <n v="4911.3312864700001"/>
    <n v="69448.808727044045"/>
    <n v="0"/>
    <x v="4"/>
    <s v="LONG"/>
    <x v="6"/>
    <n v="69448.808727044394"/>
    <n v="14.1405261987448"/>
    <n v="0"/>
    <n v="0"/>
    <s v="BINE"/>
    <s v="SOL COIN LONG"/>
  </r>
  <r>
    <x v="0"/>
    <x v="12"/>
    <x v="75"/>
    <n v="28471.638187349999"/>
    <n v="31878.4033128544"/>
    <n v="1.1196546929645199"/>
    <n v="0"/>
    <x v="3"/>
    <d v="2022-12-15T00:00:00"/>
    <n v="1"/>
    <x v="35"/>
    <n v="1"/>
    <n v="28471.638187349999"/>
    <n v="31878.403312854265"/>
    <n v="0"/>
    <x v="4"/>
    <s v="LONG"/>
    <x v="6"/>
    <n v="31878.4033128544"/>
    <n v="1.1196546929645199"/>
    <n v="0"/>
    <n v="0"/>
    <s v="BINE"/>
    <s v="SUSHI COIN LONG"/>
  </r>
  <r>
    <x v="0"/>
    <x v="12"/>
    <x v="76"/>
    <n v="5519.2358653000001"/>
    <n v="32671.8752635192"/>
    <n v="5.9196374391119297"/>
    <n v="0"/>
    <x v="3"/>
    <d v="2022-12-15T00:00:00"/>
    <n v="1"/>
    <x v="36"/>
    <n v="1"/>
    <n v="5519.2358653000001"/>
    <n v="32671.875263519207"/>
    <n v="0"/>
    <x v="4"/>
    <s v="LONG"/>
    <x v="6"/>
    <n v="32671.8752635192"/>
    <n v="5.9196374391119297"/>
    <n v="0"/>
    <n v="0"/>
    <s v="BINE"/>
    <s v="UNI COIN LONG"/>
  </r>
  <r>
    <x v="0"/>
    <x v="12"/>
    <x v="77"/>
    <n v="1097551.0372077101"/>
    <n v="1097666.7304187301"/>
    <n v="1.0001054103245299"/>
    <n v="0"/>
    <x v="3"/>
    <d v="2022-12-15T00:00:00"/>
    <n v="1"/>
    <x v="37"/>
    <n v="1"/>
    <n v="1097551.0372077101"/>
    <n v="1097666.7304187303"/>
    <n v="0"/>
    <x v="4"/>
    <s v="LONG"/>
    <x v="6"/>
    <n v="1097666.7304187301"/>
    <n v="1.0001054103245299"/>
    <n v="0"/>
    <n v="0"/>
    <s v="BINE"/>
    <s v="USDT COIN LONG"/>
  </r>
  <r>
    <x v="0"/>
    <x v="12"/>
    <x v="78"/>
    <n v="497026.08497730002"/>
    <n v="41260.018665677497"/>
    <n v="8.3013789241186201E-2"/>
    <n v="0"/>
    <x v="3"/>
    <d v="2022-12-15T00:00:00"/>
    <n v="1"/>
    <x v="38"/>
    <n v="1"/>
    <n v="497026.08497730002"/>
    <n v="41260.018665677489"/>
    <n v="0"/>
    <x v="4"/>
    <s v="LONG"/>
    <x v="6"/>
    <n v="41260.018665677497"/>
    <n v="8.3013789241186201E-2"/>
    <n v="0"/>
    <n v="0"/>
    <s v="BINE"/>
    <s v="XLM COIN LONG"/>
  </r>
  <r>
    <x v="0"/>
    <x v="12"/>
    <x v="79"/>
    <n v="39920.39445"/>
    <n v="37982.312929221203"/>
    <n v="0.95145134341780602"/>
    <n v="0"/>
    <x v="3"/>
    <d v="2022-12-15T00:00:00"/>
    <n v="1"/>
    <x v="39"/>
    <n v="1"/>
    <n v="39920.39445"/>
    <n v="37982.312929221225"/>
    <n v="0"/>
    <x v="4"/>
    <s v="LONG"/>
    <x v="6"/>
    <n v="37982.312929221203"/>
    <n v="0.95145134341780602"/>
    <n v="0"/>
    <n v="0"/>
    <s v="BINE"/>
    <s v="XTZ COIN LONG"/>
  </r>
  <r>
    <x v="0"/>
    <x v="12"/>
    <x v="80"/>
    <n v="4.1090000000000002E-2"/>
    <n v="265.14477758245903"/>
    <n v="6452.7811531384496"/>
    <n v="0"/>
    <x v="3"/>
    <d v="2022-12-15T00:00:00"/>
    <n v="1"/>
    <x v="40"/>
    <n v="1"/>
    <n v="4.1090000000000002E-2"/>
    <n v="265.14477758245891"/>
    <n v="0"/>
    <x v="4"/>
    <s v="LONG"/>
    <x v="6"/>
    <n v="265.14477758245903"/>
    <n v="6452.7811531384496"/>
    <n v="0"/>
    <n v="0"/>
    <s v="BINE"/>
    <s v="YFI COIN LONG"/>
  </r>
  <r>
    <x v="0"/>
    <x v="0"/>
    <x v="51"/>
    <n v="755.24808492"/>
    <n v="13455235.434330299"/>
    <n v="17815.649854650899"/>
    <n v="0"/>
    <x v="3"/>
    <d v="2022-12-15T00:00:00"/>
    <n v="1"/>
    <x v="0"/>
    <n v="1"/>
    <n v="755.24808492"/>
    <n v="13455235.434330368"/>
    <n v="0"/>
    <x v="4"/>
    <s v="LONG"/>
    <x v="6"/>
    <n v="13455235.434330299"/>
    <n v="17815.649854650899"/>
    <n v="0"/>
    <n v="0"/>
    <s v="BINE"/>
    <s v="BTC COIN LONG"/>
  </r>
  <r>
    <x v="0"/>
    <x v="0"/>
    <x v="51"/>
    <n v="-1.3556931999999999"/>
    <n v="-24152.555361531198"/>
    <n v="17815.649854650899"/>
    <n v="0"/>
    <x v="4"/>
    <d v="2022-12-15T00:00:00"/>
    <n v="1"/>
    <x v="0"/>
    <n v="1"/>
    <n v="-1.3556931999999999"/>
    <n v="-24152.555361531213"/>
    <n v="0"/>
    <x v="4"/>
    <s v="SHORT"/>
    <x v="8"/>
    <n v="-24152.555361531198"/>
    <n v="17815.649854650899"/>
    <n v="0"/>
    <n v="0"/>
    <s v="BINE"/>
    <s v="BTC COIN SHORT"/>
  </r>
  <r>
    <x v="0"/>
    <x v="0"/>
    <x v="60"/>
    <n v="6196.1898552499997"/>
    <n v="8112849.06519992"/>
    <n v="1309.32867693296"/>
    <n v="0"/>
    <x v="3"/>
    <d v="2022-12-15T00:00:00"/>
    <n v="1"/>
    <x v="1"/>
    <n v="1"/>
    <n v="6196.1898552499997"/>
    <n v="8112849.0651999107"/>
    <n v="0"/>
    <x v="4"/>
    <s v="LONG"/>
    <x v="6"/>
    <n v="8112849.06519992"/>
    <n v="1309.32867693296"/>
    <n v="0"/>
    <n v="0"/>
    <s v="BINE"/>
    <s v="ETH COIN LONG"/>
  </r>
  <r>
    <x v="0"/>
    <x v="0"/>
    <x v="60"/>
    <n v="45.487666580000003"/>
    <n v="59558.306299959098"/>
    <n v="1309.32867693296"/>
    <n v="0"/>
    <x v="4"/>
    <d v="2022-12-15T00:00:00"/>
    <n v="1"/>
    <x v="1"/>
    <n v="1"/>
    <n v="45.487666580000003"/>
    <n v="59558.306299959026"/>
    <n v="0"/>
    <x v="4"/>
    <s v="LONG"/>
    <x v="6"/>
    <n v="59558.306299959098"/>
    <n v="1309.32867693296"/>
    <n v="0"/>
    <n v="0"/>
    <s v="BINE"/>
    <s v="ETH COIN LONG"/>
  </r>
  <r>
    <x v="0"/>
    <x v="13"/>
    <x v="50"/>
    <n v="2425.4498470899998"/>
    <n v="650582.15023098805"/>
    <n v="268.231541052701"/>
    <n v="0"/>
    <x v="3"/>
    <d v="2022-12-15T00:00:00"/>
    <n v="1"/>
    <x v="18"/>
    <n v="1"/>
    <n v="2425.4498470899998"/>
    <n v="650582.15023098863"/>
    <n v="0"/>
    <x v="4"/>
    <s v="LONG"/>
    <x v="6"/>
    <n v="650582.15023098805"/>
    <n v="268.231541052701"/>
    <n v="0"/>
    <n v="0"/>
    <s v="BINE"/>
    <s v="BNB COIN LONG"/>
  </r>
  <r>
    <x v="0"/>
    <x v="13"/>
    <x v="51"/>
    <n v="713.93965645000003"/>
    <n v="12719298.936662899"/>
    <n v="17815.649854650899"/>
    <n v="0"/>
    <x v="3"/>
    <d v="2022-12-15T00:00:00"/>
    <n v="1"/>
    <x v="0"/>
    <n v="1"/>
    <n v="713.93965645000003"/>
    <n v="12719298.936662955"/>
    <n v="0"/>
    <x v="4"/>
    <s v="LONG"/>
    <x v="6"/>
    <n v="12719298.936662899"/>
    <n v="17815.649854650899"/>
    <n v="0"/>
    <n v="0"/>
    <s v="BINE"/>
    <s v="BTC COIN LONG"/>
  </r>
  <r>
    <x v="0"/>
    <x v="13"/>
    <x v="59"/>
    <n v="27051.7"/>
    <n v="26457.1397937642"/>
    <n v="0.97802133669101299"/>
    <n v="0"/>
    <x v="3"/>
    <d v="2022-12-15T00:00:00"/>
    <n v="1"/>
    <x v="3"/>
    <n v="1"/>
    <n v="27051.7"/>
    <n v="26457.139793764276"/>
    <n v="0"/>
    <x v="4"/>
    <s v="LONG"/>
    <x v="6"/>
    <n v="26457.1397937642"/>
    <n v="0.97802133669101299"/>
    <n v="0"/>
    <n v="0"/>
    <s v="BINE"/>
    <s v="EOS COIN LONG"/>
  </r>
  <r>
    <x v="0"/>
    <x v="13"/>
    <x v="81"/>
    <n v="0.15721859999999999"/>
    <n v="2.9537738832896201"/>
    <n v="18.787687228417099"/>
    <n v="0"/>
    <x v="3"/>
    <d v="2022-12-15T00:00:00"/>
    <n v="1"/>
    <x v="5"/>
    <n v="1"/>
    <n v="0.15721859999999999"/>
    <n v="2.9537738832896161"/>
    <n v="0"/>
    <x v="4"/>
    <s v="LONG"/>
    <x v="6"/>
    <n v="2.9537738832896201"/>
    <n v="18.787687228417099"/>
    <n v="0"/>
    <n v="0"/>
    <s v="BINE"/>
    <s v="ETC COIN LONG"/>
  </r>
  <r>
    <x v="0"/>
    <x v="13"/>
    <x v="60"/>
    <n v="9580.5062999999991"/>
    <n v="12544031.6381269"/>
    <n v="1309.32867693296"/>
    <n v="0"/>
    <x v="3"/>
    <d v="2022-12-15T00:00:00"/>
    <n v="1"/>
    <x v="1"/>
    <n v="1"/>
    <n v="9580.5062999999991"/>
    <n v="12544031.638126887"/>
    <n v="0"/>
    <x v="4"/>
    <s v="LONG"/>
    <x v="6"/>
    <n v="12544031.6381269"/>
    <n v="1309.32867693296"/>
    <n v="0"/>
    <n v="0"/>
    <s v="BINE"/>
    <s v="ETH COIN LONG"/>
  </r>
  <r>
    <x v="0"/>
    <x v="1"/>
    <x v="50"/>
    <n v="66.815459570000002"/>
    <n v="17922.0136866055"/>
    <n v="268.231541052701"/>
    <n v="0"/>
    <x v="3"/>
    <d v="2022-12-15T00:00:00"/>
    <n v="1"/>
    <x v="18"/>
    <n v="1"/>
    <n v="66.815459570000002"/>
    <n v="17922.01368660554"/>
    <n v="0"/>
    <x v="4"/>
    <s v="LONG"/>
    <x v="6"/>
    <n v="17922.0136866055"/>
    <n v="268.231541052701"/>
    <n v="0"/>
    <n v="0"/>
    <s v="BINE"/>
    <s v="BNB COIN LONG"/>
  </r>
  <r>
    <x v="0"/>
    <x v="1"/>
    <x v="52"/>
    <n v="24200000"/>
    <n v="24206098.503885299"/>
    <n v="1.0002520042927801"/>
    <n v="0"/>
    <x v="3"/>
    <d v="2022-12-15T00:00:00"/>
    <n v="1"/>
    <x v="19"/>
    <n v="1"/>
    <n v="24200000"/>
    <n v="24206098.503885277"/>
    <n v="0"/>
    <x v="4"/>
    <s v="LONG"/>
    <x v="6"/>
    <n v="24206098.503885299"/>
    <n v="1.0002520042927801"/>
    <n v="0"/>
    <n v="0"/>
    <s v="BINE"/>
    <s v="BUSD COIN LONG"/>
  </r>
  <r>
    <x v="0"/>
    <x v="1"/>
    <x v="77"/>
    <n v="16280293.7164532"/>
    <n v="16282009.8274974"/>
    <n v="1.0001054103245299"/>
    <n v="0"/>
    <x v="3"/>
    <d v="2022-12-15T00:00:00"/>
    <n v="1"/>
    <x v="37"/>
    <n v="1"/>
    <n v="16280293.7164532"/>
    <n v="16282009.827497294"/>
    <n v="0"/>
    <x v="4"/>
    <s v="LONG"/>
    <x v="6"/>
    <n v="16282009.8274974"/>
    <n v="1.0001054103245299"/>
    <n v="0"/>
    <n v="0"/>
    <s v="BINE"/>
    <s v="USDT COIN LONG"/>
  </r>
  <r>
    <x v="0"/>
    <x v="1"/>
    <x v="77"/>
    <n v="198854.41619873"/>
    <n v="198875.37750727701"/>
    <n v="1.0001054103245299"/>
    <n v="0"/>
    <x v="4"/>
    <d v="2022-12-15T00:00:00"/>
    <n v="1"/>
    <x v="37"/>
    <n v="1"/>
    <n v="198854.41619873"/>
    <n v="198875.37750727573"/>
    <n v="0"/>
    <x v="4"/>
    <s v="LONG"/>
    <x v="6"/>
    <n v="198875.37750727701"/>
    <n v="1.0001054103245299"/>
    <n v="0"/>
    <n v="0"/>
    <s v="BINE"/>
    <s v="USDT COIN LONG"/>
  </r>
  <r>
    <x v="0"/>
    <x v="2"/>
    <x v="77"/>
    <n v="2083043.21306778"/>
    <n v="2083262.7873288901"/>
    <n v="1.0001054103245299"/>
    <n v="0"/>
    <x v="3"/>
    <d v="2022-12-15T00:00:00"/>
    <n v="1"/>
    <x v="37"/>
    <n v="1"/>
    <n v="2083043.21306778"/>
    <n v="2083262.7873288793"/>
    <n v="0"/>
    <x v="4"/>
    <s v="LONG"/>
    <x v="6"/>
    <n v="2083262.7873288901"/>
    <n v="1.0001054103245299"/>
    <n v="0"/>
    <n v="0"/>
    <s v="BINE"/>
    <s v="USDT COIN LONG"/>
  </r>
  <r>
    <x v="0"/>
    <x v="2"/>
    <x v="77"/>
    <n v="-2190.8285996300001"/>
    <n v="-2191.0595355836899"/>
    <n v="1.0001054103245299"/>
    <n v="0"/>
    <x v="4"/>
    <d v="2022-12-15T00:00:00"/>
    <n v="1"/>
    <x v="37"/>
    <n v="1"/>
    <n v="-2190.8285996300001"/>
    <n v="-2191.0595355836767"/>
    <n v="0"/>
    <x v="4"/>
    <s v="SHORT"/>
    <x v="8"/>
    <n v="-2191.0595355836899"/>
    <n v="1.0001054103245299"/>
    <n v="0"/>
    <n v="0"/>
    <s v="BINE"/>
    <s v="USDT COIN SHORT"/>
  </r>
  <r>
    <x v="5"/>
    <x v="14"/>
    <x v="51"/>
    <n v="7.9996000000000008E-3"/>
    <n v="142.518072577265"/>
    <n v="17815.649854650899"/>
    <n v="0"/>
    <x v="3"/>
    <d v="2022-12-15T00:00:00"/>
    <n v="1"/>
    <x v="0"/>
    <n v="1"/>
    <n v="7.9996000000000008E-3"/>
    <n v="142.51807257726534"/>
    <n v="0"/>
    <x v="4"/>
    <s v="LONG"/>
    <x v="6"/>
    <n v="142.518072577265"/>
    <n v="17815.649854650899"/>
    <n v="0"/>
    <n v="0"/>
    <s v="BTFX"/>
    <s v="BTC COIN LONG"/>
  </r>
  <r>
    <x v="5"/>
    <x v="14"/>
    <x v="60"/>
    <n v="0.02"/>
    <n v="26.1865735386592"/>
    <n v="1309.32867693296"/>
    <n v="0"/>
    <x v="3"/>
    <d v="2022-12-15T00:00:00"/>
    <n v="1"/>
    <x v="1"/>
    <n v="1"/>
    <n v="0.02"/>
    <n v="26.1865735386592"/>
    <n v="0"/>
    <x v="4"/>
    <s v="LONG"/>
    <x v="6"/>
    <n v="26.1865735386592"/>
    <n v="1309.32867693296"/>
    <n v="0"/>
    <n v="0"/>
    <s v="BTFX"/>
    <s v="ETH COIN LONG"/>
  </r>
  <r>
    <x v="5"/>
    <x v="14"/>
    <x v="82"/>
    <n v="0.02"/>
    <n v="7.0810243384961197E-2"/>
    <n v="3.5405121692480601"/>
    <n v="0"/>
    <x v="3"/>
    <d v="2022-12-15T00:00:00"/>
    <n v="1"/>
    <x v="41"/>
    <n v="1"/>
    <n v="0.02"/>
    <n v="7.0810243384961211E-2"/>
    <n v="0"/>
    <x v="4"/>
    <s v="LONG"/>
    <x v="6"/>
    <n v="7.0810243384961197E-2"/>
    <n v="3.5405121692480601"/>
    <n v="0"/>
    <n v="0"/>
    <s v="BTFX"/>
    <s v="ETHW COIN LONG"/>
  </r>
  <r>
    <x v="5"/>
    <x v="14"/>
    <x v="83"/>
    <n v="2.755467E-2"/>
    <n v="2.755467E-2"/>
    <n v="1"/>
    <n v="0"/>
    <x v="3"/>
    <d v="2022-12-15T00:00:00"/>
    <n v="1"/>
    <x v="42"/>
    <n v="1"/>
    <n v="2.755467E-2"/>
    <n v="2.755467E-2"/>
    <n v="0"/>
    <x v="5"/>
    <s v="LONG"/>
    <x v="7"/>
    <n v="2.755467E-2"/>
    <n v="1"/>
    <n v="0"/>
    <n v="0"/>
    <s v="BTFX"/>
    <s v="USD CASH LONG"/>
  </r>
  <r>
    <x v="5"/>
    <x v="14"/>
    <x v="84"/>
    <n v="29.9885932"/>
    <n v="0"/>
    <n v="0"/>
    <n v="0"/>
    <x v="3"/>
    <d v="2022-12-15T00:00:00"/>
    <n v="1"/>
    <x v="43"/>
    <n v="1"/>
    <n v="29.9885932"/>
    <n v="0"/>
    <n v="0"/>
    <x v="4"/>
    <s v="SHORT"/>
    <x v="8"/>
    <n v="0"/>
    <n v="0"/>
    <n v="0"/>
    <n v="0"/>
    <s v="BTFX"/>
    <s v="UST COIN SHORT"/>
  </r>
  <r>
    <x v="6"/>
    <x v="15"/>
    <x v="49"/>
    <n v="0.21932823000000001"/>
    <n v="23.9305732953496"/>
    <n v="109.10849595307199"/>
    <n v="0"/>
    <x v="3"/>
    <d v="2022-12-14T00:04:43"/>
    <n v="1"/>
    <x v="4"/>
    <n v="1"/>
    <n v="0.21932823000000001"/>
    <n v="23.930573295349443"/>
    <n v="0"/>
    <x v="4"/>
    <s v="LONG"/>
    <x v="6"/>
    <n v="23.9305732953496"/>
    <n v="109.10849595307199"/>
    <n v="0"/>
    <n v="0"/>
    <s v="BTSE"/>
    <s v="BCH COIN LONG"/>
  </r>
  <r>
    <x v="6"/>
    <x v="15"/>
    <x v="51"/>
    <n v="5.7861299999999997E-2"/>
    <n v="1030.83666093491"/>
    <n v="17815.649854650899"/>
    <n v="0"/>
    <x v="3"/>
    <d v="2022-12-14T00:04:44"/>
    <n v="1"/>
    <x v="0"/>
    <n v="1"/>
    <n v="5.7861299999999997E-2"/>
    <n v="1030.8366609349121"/>
    <n v="0"/>
    <x v="4"/>
    <s v="LONG"/>
    <x v="6"/>
    <n v="1030.83666093491"/>
    <n v="17815.649854650899"/>
    <n v="0"/>
    <n v="0"/>
    <s v="BTSE"/>
    <s v="BTC COIN LONG"/>
  </r>
  <r>
    <x v="6"/>
    <x v="15"/>
    <x v="60"/>
    <n v="0.73541904000000002"/>
    <n v="962.90523863450903"/>
    <n v="1309.32867693296"/>
    <n v="0"/>
    <x v="3"/>
    <d v="2022-12-14T00:04:45"/>
    <n v="1"/>
    <x v="1"/>
    <n v="1"/>
    <n v="0.73541904000000002"/>
    <n v="962.90523863450755"/>
    <n v="0"/>
    <x v="4"/>
    <s v="LONG"/>
    <x v="6"/>
    <n v="962.90523863450903"/>
    <n v="1309.32867693296"/>
    <n v="0"/>
    <n v="0"/>
    <s v="BTSE"/>
    <s v="ETH COIN LONG"/>
  </r>
  <r>
    <x v="6"/>
    <x v="15"/>
    <x v="85"/>
    <n v="22277.5319929"/>
    <n v="265.095232665955"/>
    <n v="1.1899667914311201E-2"/>
    <n v="0"/>
    <x v="3"/>
    <d v="2022-12-14T00:04:47"/>
    <n v="1"/>
    <x v="44"/>
    <n v="1"/>
    <n v="22277.5319929"/>
    <n v="265.0952326659534"/>
    <n v="0"/>
    <x v="4"/>
    <s v="LONG"/>
    <x v="6"/>
    <n v="265.095232665955"/>
    <n v="1.1899667914311201E-2"/>
    <n v="0"/>
    <n v="0"/>
    <s v="BTSE"/>
    <s v="SGB COIN LONG"/>
  </r>
  <r>
    <x v="6"/>
    <x v="15"/>
    <x v="83"/>
    <n v="114736.84"/>
    <n v="114736.84"/>
    <n v="1"/>
    <n v="0"/>
    <x v="3"/>
    <d v="2022-12-14T00:04:48"/>
    <n v="1"/>
    <x v="42"/>
    <n v="1"/>
    <n v="114736.84"/>
    <n v="114736.84"/>
    <n v="0"/>
    <x v="5"/>
    <s v="LONG"/>
    <x v="7"/>
    <n v="114736.84"/>
    <n v="1"/>
    <n v="0"/>
    <n v="0"/>
    <s v="BTSE"/>
    <s v="USD CASH LONG"/>
  </r>
  <r>
    <x v="6"/>
    <x v="15"/>
    <x v="86"/>
    <n v="116647.68407285"/>
    <n v="45074.265272861601"/>
    <n v="0.38641371777866901"/>
    <n v="0"/>
    <x v="3"/>
    <d v="2022-12-14T00:04:49"/>
    <n v="1"/>
    <x v="45"/>
    <n v="1"/>
    <n v="116647.68407285"/>
    <n v="45074.265272861601"/>
    <n v="0"/>
    <x v="4"/>
    <s v="LONG"/>
    <x v="6"/>
    <n v="45074.265272861601"/>
    <n v="0.38641371777866901"/>
    <n v="0"/>
    <n v="0"/>
    <s v="BTSE"/>
    <s v="XRP COIN LONG"/>
  </r>
  <r>
    <x v="7"/>
    <x v="16"/>
    <x v="51"/>
    <n v="1811.18993475"/>
    <n v="32267525.697774"/>
    <n v="17815.649854650899"/>
    <n v="0"/>
    <x v="3"/>
    <d v="2022-12-15T00:00:00"/>
    <n v="1"/>
    <x v="0"/>
    <n v="1"/>
    <n v="1811.18993475"/>
    <n v="32267525.697774008"/>
    <n v="0"/>
    <x v="4"/>
    <s v="LONG"/>
    <x v="6"/>
    <n v="32267525.697774"/>
    <n v="17815.649854650899"/>
    <n v="0"/>
    <n v="0"/>
    <s v="BULL"/>
    <s v="BTC COIN LONG"/>
  </r>
  <r>
    <x v="7"/>
    <x v="16"/>
    <x v="83"/>
    <n v="62054507.6281"/>
    <n v="62054507.6281"/>
    <n v="1"/>
    <n v="0"/>
    <x v="3"/>
    <d v="2022-12-15T00:00:00"/>
    <n v="1"/>
    <x v="42"/>
    <n v="1"/>
    <n v="62054507.6281"/>
    <n v="62054507.6281"/>
    <n v="0"/>
    <x v="5"/>
    <s v="LONG"/>
    <x v="7"/>
    <n v="62054507.6281"/>
    <n v="1"/>
    <n v="0"/>
    <n v="0"/>
    <s v="BULL"/>
    <s v="USD CASH LONG"/>
  </r>
  <r>
    <x v="7"/>
    <x v="16"/>
    <x v="87"/>
    <n v="101"/>
    <n v="100.997932055747"/>
    <n v="0.99997952530443501"/>
    <n v="0"/>
    <x v="3"/>
    <d v="2022-12-15T00:00:00"/>
    <n v="1"/>
    <x v="46"/>
    <n v="1"/>
    <n v="101"/>
    <n v="100.99793205574794"/>
    <n v="0"/>
    <x v="4"/>
    <s v="LONG"/>
    <x v="6"/>
    <n v="100.997932055747"/>
    <n v="0.99997952530443501"/>
    <n v="0"/>
    <n v="0"/>
    <s v="BULL"/>
    <s v="USDC COIN LONG"/>
  </r>
  <r>
    <x v="7"/>
    <x v="17"/>
    <x v="59"/>
    <n v="3305322.7056"/>
    <n v="3232676.1307260599"/>
    <n v="0.97802133669101299"/>
    <n v="0"/>
    <x v="3"/>
    <d v="2022-12-15T00:00:00"/>
    <n v="1"/>
    <x v="3"/>
    <n v="1"/>
    <n v="3305322.7056"/>
    <n v="3232676.1307260678"/>
    <n v="0"/>
    <x v="4"/>
    <s v="LONG"/>
    <x v="6"/>
    <n v="3232676.1307260599"/>
    <n v="0.97802133669101299"/>
    <n v="0"/>
    <n v="0"/>
    <s v="BULL"/>
    <s v="EOS COIN LONG"/>
  </r>
  <r>
    <x v="7"/>
    <x v="17"/>
    <x v="66"/>
    <n v="60029.229923910003"/>
    <n v="403926.36658765498"/>
    <n v="6.72882805759214"/>
    <n v="0"/>
    <x v="3"/>
    <d v="2022-12-15T00:00:00"/>
    <n v="1"/>
    <x v="10"/>
    <n v="1"/>
    <n v="60029.229923910003"/>
    <n v="403926.36658765533"/>
    <n v="0"/>
    <x v="4"/>
    <s v="LONG"/>
    <x v="6"/>
    <n v="403926.36658765498"/>
    <n v="6.72882805759214"/>
    <n v="0"/>
    <n v="0"/>
    <s v="BULL"/>
    <s v="LINK COIN LONG"/>
  </r>
  <r>
    <x v="7"/>
    <x v="17"/>
    <x v="67"/>
    <n v="6062.1725529100004"/>
    <n v="457547.709002777"/>
    <n v="75.475863646134997"/>
    <n v="0"/>
    <x v="3"/>
    <d v="2022-12-15T00:00:00"/>
    <n v="1"/>
    <x v="6"/>
    <n v="1"/>
    <n v="6062.1725529100004"/>
    <n v="457547.70900277729"/>
    <n v="0"/>
    <x v="4"/>
    <s v="LONG"/>
    <x v="6"/>
    <n v="457547.709002777"/>
    <n v="75.475863646134997"/>
    <n v="0"/>
    <n v="0"/>
    <s v="BULL"/>
    <s v="LTC COIN LONG"/>
  </r>
  <r>
    <x v="7"/>
    <x v="17"/>
    <x v="83"/>
    <n v="5014251.5754000004"/>
    <n v="5014251.5754000004"/>
    <n v="1"/>
    <n v="0"/>
    <x v="3"/>
    <d v="2022-12-15T00:00:00"/>
    <n v="1"/>
    <x v="42"/>
    <n v="1"/>
    <n v="5014251.5754000004"/>
    <n v="5014251.5754000004"/>
    <n v="0"/>
    <x v="5"/>
    <s v="LONG"/>
    <x v="7"/>
    <n v="5014251.5754000004"/>
    <n v="1"/>
    <n v="0"/>
    <n v="0"/>
    <s v="BULL"/>
    <s v="USD CASH LONG"/>
  </r>
  <r>
    <x v="7"/>
    <x v="18"/>
    <x v="60"/>
    <n v="15355.680843669999"/>
    <n v="20105633.2824472"/>
    <n v="1309.32867693296"/>
    <n v="0"/>
    <x v="3"/>
    <d v="2022-12-15T00:00:00"/>
    <n v="1"/>
    <x v="1"/>
    <n v="1"/>
    <n v="15355.680843669999"/>
    <n v="20105633.282447238"/>
    <n v="0"/>
    <x v="4"/>
    <s v="LONG"/>
    <x v="6"/>
    <n v="20105633.2824472"/>
    <n v="1309.32867693296"/>
    <n v="0"/>
    <n v="0"/>
    <s v="BULL"/>
    <s v="ETH COIN LONG"/>
  </r>
  <r>
    <x v="7"/>
    <x v="18"/>
    <x v="83"/>
    <n v="10179492.812899999"/>
    <n v="10179492.812899999"/>
    <n v="1"/>
    <n v="0"/>
    <x v="3"/>
    <d v="2022-12-15T00:00:00"/>
    <n v="1"/>
    <x v="42"/>
    <n v="1"/>
    <n v="10179492.812899999"/>
    <n v="10179492.812899999"/>
    <n v="0"/>
    <x v="5"/>
    <s v="LONG"/>
    <x v="7"/>
    <n v="10179492.812899999"/>
    <n v="1"/>
    <n v="0"/>
    <n v="0"/>
    <s v="BULL"/>
    <s v="USD CASH LONG"/>
  </r>
  <r>
    <x v="7"/>
    <x v="19"/>
    <x v="51"/>
    <n v="65.807786899999996"/>
    <n v="1172408.4891198799"/>
    <n v="17815.649854650899"/>
    <n v="0"/>
    <x v="3"/>
    <d v="2022-12-15T00:00:00"/>
    <n v="1"/>
    <x v="0"/>
    <n v="1"/>
    <n v="65.807786899999996"/>
    <n v="1172408.4891198822"/>
    <n v="0"/>
    <x v="4"/>
    <s v="LONG"/>
    <x v="6"/>
    <n v="1172408.4891198799"/>
    <n v="17815.649854650899"/>
    <n v="0"/>
    <n v="0"/>
    <s v="BULL"/>
    <s v="BTC COIN LONG"/>
  </r>
  <r>
    <x v="7"/>
    <x v="19"/>
    <x v="60"/>
    <n v="1094.7835571000001"/>
    <n v="1433431.5063457"/>
    <n v="1309.32867693296"/>
    <n v="0"/>
    <x v="3"/>
    <d v="2022-12-15T00:00:00"/>
    <n v="1"/>
    <x v="1"/>
    <n v="1"/>
    <n v="1094.7835571000001"/>
    <n v="1433431.5063457028"/>
    <n v="0"/>
    <x v="4"/>
    <s v="LONG"/>
    <x v="6"/>
    <n v="1433431.5063457"/>
    <n v="1309.32867693296"/>
    <n v="0"/>
    <n v="0"/>
    <s v="BULL"/>
    <s v="ETH COIN LONG"/>
  </r>
  <r>
    <x v="8"/>
    <x v="20"/>
    <x v="54"/>
    <n v="0.26739257999999999"/>
    <n v="0.17286556285693799"/>
    <n v="0.64648601265202699"/>
    <n v="0"/>
    <x v="3"/>
    <d v="2022-12-15T00:00:00"/>
    <n v="1"/>
    <x v="20"/>
    <n v="1"/>
    <n v="0.26739257999999999"/>
    <n v="0.17286556285693813"/>
    <n v="0"/>
    <x v="4"/>
    <s v="LONG"/>
    <x v="6"/>
    <n v="0.17286556285693799"/>
    <n v="0.64648601265202699"/>
    <n v="0"/>
    <n v="0"/>
    <s v="DEFI"/>
    <s v="CRV COIN LONG"/>
  </r>
  <r>
    <x v="8"/>
    <x v="20"/>
    <x v="54"/>
    <n v="9.7777784299999997"/>
    <n v="6.3211969898057001"/>
    <n v="0.64648601265202699"/>
    <n v="0"/>
    <x v="3"/>
    <d v="2022-12-15T00:00:00"/>
    <n v="1"/>
    <x v="20"/>
    <n v="1"/>
    <n v="9.7777784299999997"/>
    <n v="6.3211969898056966"/>
    <n v="0"/>
    <x v="4"/>
    <s v="LONG"/>
    <x v="6"/>
    <n v="6.3211969898057001"/>
    <n v="0.64648601265202699"/>
    <n v="0"/>
    <n v="0"/>
    <s v="DEFI"/>
    <s v="CRV COIN LONG"/>
  </r>
  <r>
    <x v="8"/>
    <x v="20"/>
    <x v="88"/>
    <n v="2.9103980000000002E-2"/>
    <n v="0.113727425027493"/>
    <n v="3.90762449079106"/>
    <n v="0"/>
    <x v="3"/>
    <d v="2022-12-15T00:00:00"/>
    <n v="1"/>
    <x v="47"/>
    <n v="1"/>
    <n v="2.9103980000000002E-2"/>
    <n v="0.1137274250274932"/>
    <n v="0"/>
    <x v="4"/>
    <s v="LONG"/>
    <x v="6"/>
    <n v="0.113727425027493"/>
    <n v="3.90762449079106"/>
    <n v="0"/>
    <n v="0"/>
    <s v="DEFI"/>
    <s v="CVX COIN LONG"/>
  </r>
  <r>
    <x v="8"/>
    <x v="20"/>
    <x v="60"/>
    <n v="3.67060545"/>
    <n v="4806.0289773914201"/>
    <n v="1309.32867693296"/>
    <n v="0"/>
    <x v="3"/>
    <d v="2022-12-15T00:00:00"/>
    <n v="1"/>
    <x v="1"/>
    <n v="1"/>
    <n v="3.67060545"/>
    <n v="4806.0289773914119"/>
    <n v="0"/>
    <x v="4"/>
    <s v="LONG"/>
    <x v="6"/>
    <n v="4806.0289773914201"/>
    <n v="1309.32867693296"/>
    <n v="0"/>
    <n v="0"/>
    <s v="DEFI"/>
    <s v="ETH COIN LONG"/>
  </r>
  <r>
    <x v="8"/>
    <x v="20"/>
    <x v="87"/>
    <n v="13972.219738"/>
    <n v="13971.9336610544"/>
    <n v="0.99997952530443501"/>
    <n v="0"/>
    <x v="3"/>
    <d v="2022-12-15T00:00:00"/>
    <n v="1"/>
    <x v="46"/>
    <n v="1"/>
    <n v="13972.219738"/>
    <n v="13971.933661054498"/>
    <n v="0"/>
    <x v="4"/>
    <s v="LONG"/>
    <x v="6"/>
    <n v="13971.9336610544"/>
    <n v="0.99997952530443501"/>
    <n v="0"/>
    <n v="0"/>
    <s v="DEFI"/>
    <s v="USDC COIN LONG"/>
  </r>
  <r>
    <x v="8"/>
    <x v="21"/>
    <x v="89"/>
    <n v="7000"/>
    <n v="0"/>
    <n v="0"/>
    <n v="0"/>
    <x v="3"/>
    <d v="2022-12-15T00:00:00"/>
    <n v="1"/>
    <x v="48"/>
    <n v="1"/>
    <n v="7000"/>
    <n v="0"/>
    <n v="0"/>
    <x v="4"/>
    <s v="SHORT"/>
    <x v="8"/>
    <n v="0"/>
    <n v="0"/>
    <n v="0"/>
    <n v="0"/>
    <s v="DEFI"/>
    <s v="$ USDCBONUS.COM &lt;- VISIT TO CLAIM BONUS COIN SHORT"/>
  </r>
  <r>
    <x v="8"/>
    <x v="21"/>
    <x v="90"/>
    <n v="7000"/>
    <n v="0"/>
    <n v="0"/>
    <n v="0"/>
    <x v="3"/>
    <d v="2022-12-15T00:00:00"/>
    <n v="1"/>
    <x v="49"/>
    <n v="1"/>
    <n v="7000"/>
    <n v="0"/>
    <n v="0"/>
    <x v="4"/>
    <s v="SHORT"/>
    <x v="8"/>
    <n v="0"/>
    <n v="0"/>
    <n v="0"/>
    <n v="0"/>
    <s v="DEFI"/>
    <s v="$ USDCGIFT.COM &lt;- VISIT TO CLAIM BONUS COIN SHORT"/>
  </r>
  <r>
    <x v="8"/>
    <x v="21"/>
    <x v="91"/>
    <n v="8"/>
    <n v="0"/>
    <n v="0"/>
    <n v="0"/>
    <x v="3"/>
    <d v="2022-12-15T00:00:00"/>
    <n v="1"/>
    <x v="50"/>
    <n v="1"/>
    <n v="8"/>
    <n v="0"/>
    <n v="0"/>
    <x v="4"/>
    <s v="SHORT"/>
    <x v="8"/>
    <n v="0"/>
    <n v="0"/>
    <n v="0"/>
    <n v="0"/>
    <s v="DEFI"/>
    <s v="927$ VISIT AUSDBONUS.COM TO CLAIM COIN SHORT"/>
  </r>
  <r>
    <x v="8"/>
    <x v="21"/>
    <x v="43"/>
    <n v="180.62351240000001"/>
    <n v="11300.329050841099"/>
    <n v="62.562890626420497"/>
    <n v="0"/>
    <x v="3"/>
    <d v="2022-12-15T00:00:00"/>
    <n v="1"/>
    <x v="13"/>
    <n v="1"/>
    <n v="180.62351240000001"/>
    <n v="11300.329050841106"/>
    <n v="0"/>
    <x v="4"/>
    <s v="LONG"/>
    <x v="6"/>
    <n v="11300.329050841099"/>
    <n v="62.562890626420497"/>
    <n v="0"/>
    <n v="0"/>
    <s v="DEFI"/>
    <s v="AAVE COIN LONG"/>
  </r>
  <r>
    <x v="8"/>
    <x v="21"/>
    <x v="47"/>
    <n v="69.006194350000001"/>
    <n v="947.28664425413604"/>
    <n v="13.7275595789196"/>
    <n v="0"/>
    <x v="3"/>
    <d v="2022-12-15T00:00:00"/>
    <n v="1"/>
    <x v="16"/>
    <n v="1"/>
    <n v="69.006194350000001"/>
    <n v="947.28664425413012"/>
    <n v="0"/>
    <x v="4"/>
    <s v="LONG"/>
    <x v="6"/>
    <n v="947.28664425413604"/>
    <n v="13.7275595789196"/>
    <n v="0"/>
    <n v="0"/>
    <s v="DEFI"/>
    <s v="AVAX COIN LONG"/>
  </r>
  <r>
    <x v="8"/>
    <x v="21"/>
    <x v="92"/>
    <n v="25"/>
    <n v="0"/>
    <n v="0"/>
    <n v="0"/>
    <x v="3"/>
    <d v="2022-12-15T00:00:00"/>
    <n v="1"/>
    <x v="51"/>
    <n v="1"/>
    <n v="25"/>
    <n v="0"/>
    <n v="0"/>
    <x v="4"/>
    <s v="SHORT"/>
    <x v="8"/>
    <n v="0"/>
    <n v="0"/>
    <n v="0"/>
    <n v="0"/>
    <s v="DEFI"/>
    <s v="BONUS. VISIT HTTPS://BITBONUS.TECH TO CLAIM REWARD. COIN SHORT"/>
  </r>
  <r>
    <x v="8"/>
    <x v="21"/>
    <x v="60"/>
    <n v="16.894087620000001"/>
    <n v="22119.9133914841"/>
    <n v="1309.32867693296"/>
    <n v="0"/>
    <x v="3"/>
    <d v="2022-12-15T00:00:00"/>
    <n v="1"/>
    <x v="1"/>
    <n v="1"/>
    <n v="16.894087620000001"/>
    <n v="22119.9133914841"/>
    <n v="0"/>
    <x v="4"/>
    <s v="LONG"/>
    <x v="6"/>
    <n v="22119.9133914841"/>
    <n v="1309.32867693296"/>
    <n v="0"/>
    <n v="0"/>
    <s v="DEFI"/>
    <s v="ETH COIN LONG"/>
  </r>
  <r>
    <x v="8"/>
    <x v="21"/>
    <x v="93"/>
    <n v="480000"/>
    <n v="0"/>
    <n v="0"/>
    <n v="0"/>
    <x v="3"/>
    <d v="2022-12-15T00:00:00"/>
    <n v="1"/>
    <x v="52"/>
    <n v="1"/>
    <n v="480000"/>
    <n v="0"/>
    <n v="0"/>
    <x v="4"/>
    <s v="SHORT"/>
    <x v="8"/>
    <n v="0"/>
    <n v="0"/>
    <n v="0"/>
    <n v="0"/>
    <s v="DEFI"/>
    <s v="INVITATION TOKEN. PLEASE VISIT HTTPS://AAKER.SITE AND CLAIM REWARDS. COIN SHORT"/>
  </r>
  <r>
    <x v="8"/>
    <x v="21"/>
    <x v="94"/>
    <n v="34311.93215886"/>
    <n v="0"/>
    <n v="0"/>
    <n v="0"/>
    <x v="3"/>
    <d v="2022-12-15T00:00:00"/>
    <n v="1"/>
    <x v="53"/>
    <n v="1"/>
    <n v="34311.93215886"/>
    <n v="0"/>
    <n v="0"/>
    <x v="4"/>
    <s v="SHORT"/>
    <x v="8"/>
    <n v="0"/>
    <n v="0"/>
    <n v="0"/>
    <n v="0"/>
    <s v="DEFI"/>
    <s v="OAAVEUSDC/AAVE-02DEC22-67.5C COIN SHORT"/>
  </r>
  <r>
    <x v="8"/>
    <x v="21"/>
    <x v="95"/>
    <n v="33793.379334129997"/>
    <n v="0"/>
    <n v="0"/>
    <n v="0"/>
    <x v="3"/>
    <d v="2022-12-15T00:00:00"/>
    <n v="1"/>
    <x v="54"/>
    <n v="1"/>
    <n v="33793.379334129997"/>
    <n v="0"/>
    <n v="0"/>
    <x v="4"/>
    <s v="SHORT"/>
    <x v="8"/>
    <n v="0"/>
    <n v="0"/>
    <n v="0"/>
    <n v="0"/>
    <s v="DEFI"/>
    <s v="OAAVEUSDC/AAVE-16DEC22-72.5C COIN SHORT"/>
  </r>
  <r>
    <x v="8"/>
    <x v="21"/>
    <x v="96"/>
    <n v="33991.374100820001"/>
    <n v="0"/>
    <n v="0"/>
    <n v="0"/>
    <x v="3"/>
    <d v="2022-12-15T00:00:00"/>
    <n v="1"/>
    <x v="55"/>
    <n v="1"/>
    <n v="33991.374100820001"/>
    <n v="0"/>
    <n v="0"/>
    <x v="4"/>
    <s v="SHORT"/>
    <x v="8"/>
    <n v="0"/>
    <n v="0"/>
    <n v="0"/>
    <n v="0"/>
    <s v="DEFI"/>
    <s v="OAAVEUSDC/AAVE-25NOV22-72.5C COIN SHORT"/>
  </r>
  <r>
    <x v="8"/>
    <x v="21"/>
    <x v="97"/>
    <n v="29214.150499390002"/>
    <n v="0"/>
    <n v="0"/>
    <n v="0"/>
    <x v="3"/>
    <d v="2022-12-15T00:00:00"/>
    <n v="1"/>
    <x v="56"/>
    <n v="1"/>
    <n v="29214.150499390002"/>
    <n v="0"/>
    <n v="0"/>
    <x v="4"/>
    <s v="SHORT"/>
    <x v="8"/>
    <n v="0"/>
    <n v="0"/>
    <n v="0"/>
    <n v="0"/>
    <s v="DEFI"/>
    <s v="OWAVAXUSDC.E/WAVAX-09DEC22-15.5C COIN SHORT"/>
  </r>
  <r>
    <x v="8"/>
    <x v="21"/>
    <x v="98"/>
    <n v="20213.414599259999"/>
    <n v="0"/>
    <n v="0"/>
    <n v="0"/>
    <x v="3"/>
    <d v="2022-12-15T00:00:00"/>
    <n v="1"/>
    <x v="57"/>
    <n v="1"/>
    <n v="20213.414599259999"/>
    <n v="0"/>
    <n v="0"/>
    <x v="4"/>
    <s v="SHORT"/>
    <x v="8"/>
    <n v="0"/>
    <n v="0"/>
    <n v="0"/>
    <n v="0"/>
    <s v="DEFI"/>
    <s v="OWAVAXUSDC.E/WAVAX-16DEC22-15.25C COIN SHORT"/>
  </r>
  <r>
    <x v="8"/>
    <x v="21"/>
    <x v="99"/>
    <n v="31925.004081070001"/>
    <n v="0"/>
    <n v="0"/>
    <n v="0"/>
    <x v="3"/>
    <d v="2022-12-15T00:00:00"/>
    <n v="1"/>
    <x v="58"/>
    <n v="1"/>
    <n v="31925.004081070001"/>
    <n v="0"/>
    <n v="0"/>
    <x v="4"/>
    <s v="SHORT"/>
    <x v="8"/>
    <n v="0"/>
    <n v="0"/>
    <n v="0"/>
    <n v="0"/>
    <s v="DEFI"/>
    <s v="OWAVAXUSDC.E/WAVAX-25NOV22-15.5C COIN SHORT"/>
  </r>
  <r>
    <x v="8"/>
    <x v="21"/>
    <x v="100"/>
    <n v="2698"/>
    <n v="0"/>
    <n v="0"/>
    <n v="0"/>
    <x v="3"/>
    <d v="2022-12-15T00:00:00"/>
    <n v="1"/>
    <x v="59"/>
    <n v="1"/>
    <n v="2698"/>
    <n v="0"/>
    <n v="0"/>
    <x v="4"/>
    <s v="SHORT"/>
    <x v="8"/>
    <n v="0"/>
    <n v="0"/>
    <n v="0"/>
    <n v="0"/>
    <s v="DEFI"/>
    <s v="OWETHUSDC/WETH-09DEC22-1450C COIN SHORT"/>
  </r>
  <r>
    <x v="8"/>
    <x v="21"/>
    <x v="101"/>
    <n v="2891"/>
    <n v="0"/>
    <n v="0"/>
    <n v="0"/>
    <x v="3"/>
    <d v="2022-12-15T00:00:00"/>
    <n v="1"/>
    <x v="60"/>
    <n v="1"/>
    <n v="2891"/>
    <n v="0"/>
    <n v="0"/>
    <x v="4"/>
    <s v="SHORT"/>
    <x v="8"/>
    <n v="0"/>
    <n v="0"/>
    <n v="0"/>
    <n v="0"/>
    <s v="DEFI"/>
    <s v="OWETHUSDC/WETH-16DEC22-1450C COIN SHORT"/>
  </r>
  <r>
    <x v="8"/>
    <x v="21"/>
    <x v="102"/>
    <n v="2904"/>
    <n v="0"/>
    <n v="0"/>
    <n v="0"/>
    <x v="3"/>
    <d v="2022-12-15T00:00:00"/>
    <n v="1"/>
    <x v="61"/>
    <n v="1"/>
    <n v="2904"/>
    <n v="0"/>
    <n v="0"/>
    <x v="4"/>
    <s v="SHORT"/>
    <x v="8"/>
    <n v="0"/>
    <n v="0"/>
    <n v="0"/>
    <n v="0"/>
    <s v="DEFI"/>
    <s v="OWETHUSDC/WETH-25NOV22-1400C COIN SHORT"/>
  </r>
  <r>
    <x v="8"/>
    <x v="21"/>
    <x v="103"/>
    <n v="9472.1338239899997"/>
    <n v="0"/>
    <n v="0"/>
    <n v="0"/>
    <x v="3"/>
    <d v="2022-12-15T00:00:00"/>
    <n v="1"/>
    <x v="62"/>
    <n v="1"/>
    <n v="9472.1338239899997"/>
    <n v="0"/>
    <n v="0"/>
    <x v="4"/>
    <s v="SHORT"/>
    <x v="8"/>
    <n v="0"/>
    <n v="0"/>
    <n v="0"/>
    <n v="0"/>
    <s v="DEFI"/>
    <s v="OWETHUSDC/WSTETH-02DEC22-1350C COIN SHORT"/>
  </r>
  <r>
    <x v="8"/>
    <x v="21"/>
    <x v="104"/>
    <n v="5625.02729593"/>
    <n v="0"/>
    <n v="0"/>
    <n v="0"/>
    <x v="3"/>
    <d v="2022-12-15T00:00:00"/>
    <n v="1"/>
    <x v="63"/>
    <n v="1"/>
    <n v="5625.02729593"/>
    <n v="0"/>
    <n v="0"/>
    <x v="4"/>
    <s v="SHORT"/>
    <x v="8"/>
    <n v="0"/>
    <n v="0"/>
    <n v="0"/>
    <n v="0"/>
    <s v="DEFI"/>
    <s v="OWETHUSDC/WSTETH-04NOV22-1700C COIN SHORT"/>
  </r>
  <r>
    <x v="8"/>
    <x v="21"/>
    <x v="105"/>
    <n v="5968"/>
    <n v="0"/>
    <n v="0"/>
    <n v="0"/>
    <x v="3"/>
    <d v="2022-12-15T00:00:00"/>
    <n v="1"/>
    <x v="64"/>
    <n v="1"/>
    <n v="5968"/>
    <n v="0"/>
    <n v="0"/>
    <x v="4"/>
    <s v="SHORT"/>
    <x v="8"/>
    <n v="0"/>
    <n v="0"/>
    <n v="0"/>
    <n v="0"/>
    <s v="DEFI"/>
    <s v="OWETHUSDC/WSTETH-09SEP22-1900C COIN SHORT"/>
  </r>
  <r>
    <x v="8"/>
    <x v="21"/>
    <x v="87"/>
    <n v="60000"/>
    <n v="59998.771518266098"/>
    <n v="0.99997952530443501"/>
    <n v="0"/>
    <x v="3"/>
    <d v="2022-12-15T00:00:00"/>
    <n v="1"/>
    <x v="46"/>
    <n v="1"/>
    <n v="60000"/>
    <n v="59998.771518266098"/>
    <n v="0"/>
    <x v="4"/>
    <s v="LONG"/>
    <x v="6"/>
    <n v="59998.771518266098"/>
    <n v="0.99997952530443501"/>
    <n v="0"/>
    <n v="0"/>
    <s v="DEFI"/>
    <s v="USDC COIN LONG"/>
  </r>
  <r>
    <x v="8"/>
    <x v="21"/>
    <x v="106"/>
    <n v="188.04277877999999"/>
    <n v="2579.1970989751999"/>
    <n v="13.7160124717829"/>
    <n v="0"/>
    <x v="3"/>
    <d v="2022-12-15T00:00:00"/>
    <n v="1"/>
    <x v="65"/>
    <n v="1"/>
    <n v="188.04277877999999"/>
    <n v="2579.1970989751926"/>
    <n v="0"/>
    <x v="4"/>
    <s v="LONG"/>
    <x v="6"/>
    <n v="2579.1970989751999"/>
    <n v="13.7160124717829"/>
    <n v="0"/>
    <n v="0"/>
    <s v="DEFI"/>
    <s v="WAVAX COIN LONG"/>
  </r>
  <r>
    <x v="8"/>
    <x v="21"/>
    <x v="107"/>
    <n v="154.70349367"/>
    <n v="202282.976567092"/>
    <n v="1307.5527369704"/>
    <n v="0"/>
    <x v="3"/>
    <d v="2022-12-15T00:00:00"/>
    <n v="1"/>
    <x v="66"/>
    <n v="1"/>
    <n v="154.70349367"/>
    <n v="202282.97656709145"/>
    <n v="0"/>
    <x v="4"/>
    <s v="LONG"/>
    <x v="6"/>
    <n v="202282.976567092"/>
    <n v="1307.5527369704"/>
    <n v="0"/>
    <n v="0"/>
    <s v="DEFI"/>
    <s v="WETH COIN LONG"/>
  </r>
  <r>
    <x v="8"/>
    <x v="22"/>
    <x v="54"/>
    <n v="95.239435409999999"/>
    <n v="61.570962845441201"/>
    <n v="0.64648601265202699"/>
    <n v="0"/>
    <x v="3"/>
    <d v="2022-12-15T00:00:00"/>
    <n v="1"/>
    <x v="20"/>
    <n v="1"/>
    <n v="95.239435409999999"/>
    <n v="61.570962845441166"/>
    <n v="0"/>
    <x v="4"/>
    <s v="LONG"/>
    <x v="6"/>
    <n v="61.570962845441201"/>
    <n v="0.64648601265202699"/>
    <n v="0"/>
    <n v="0"/>
    <s v="DEFI"/>
    <s v="CRV COIN LONG"/>
  </r>
  <r>
    <x v="8"/>
    <x v="22"/>
    <x v="88"/>
    <n v="3.4335947500000001"/>
    <n v="13.4171989365516"/>
    <n v="3.90762449079106"/>
    <n v="0"/>
    <x v="3"/>
    <d v="2022-12-15T00:00:00"/>
    <n v="1"/>
    <x v="47"/>
    <n v="1"/>
    <n v="3.4335947500000001"/>
    <n v="13.417198936551607"/>
    <n v="0"/>
    <x v="4"/>
    <s v="LONG"/>
    <x v="6"/>
    <n v="13.4171989365516"/>
    <n v="3.90762449079106"/>
    <n v="0"/>
    <n v="0"/>
    <s v="DEFI"/>
    <s v="CVX COIN LONG"/>
  </r>
  <r>
    <x v="8"/>
    <x v="22"/>
    <x v="108"/>
    <n v="168347.15939687999"/>
    <n v="168275.44119131"/>
    <n v="0.99957398624469695"/>
    <n v="0"/>
    <x v="3"/>
    <d v="2022-12-15T00:00:00"/>
    <n v="1"/>
    <x v="67"/>
    <n v="1"/>
    <n v="168347.15939687999"/>
    <n v="168275.44119131073"/>
    <n v="0"/>
    <x v="4"/>
    <s v="LONG"/>
    <x v="6"/>
    <n v="168275.44119131"/>
    <n v="0.99957398624469695"/>
    <n v="0"/>
    <n v="0"/>
    <s v="DEFI"/>
    <s v="DAI COIN LONG"/>
  </r>
  <r>
    <x v="8"/>
    <x v="22"/>
    <x v="60"/>
    <n v="0.56165878999999996"/>
    <n v="735.39596039846799"/>
    <n v="1309.32867693296"/>
    <n v="0"/>
    <x v="3"/>
    <d v="2022-12-15T00:00:00"/>
    <n v="1"/>
    <x v="1"/>
    <n v="1"/>
    <n v="0.56165878999999996"/>
    <n v="735.3959603984672"/>
    <n v="0"/>
    <x v="4"/>
    <s v="LONG"/>
    <x v="6"/>
    <n v="735.39596039846799"/>
    <n v="1309.32867693296"/>
    <n v="0"/>
    <n v="0"/>
    <s v="DEFI"/>
    <s v="ETH COIN LONG"/>
  </r>
  <r>
    <x v="8"/>
    <x v="22"/>
    <x v="109"/>
    <n v="524889.41030044004"/>
    <n v="522674.40974300198"/>
    <n v="0.99578006240177297"/>
    <n v="0"/>
    <x v="3"/>
    <d v="2022-12-15T00:00:00"/>
    <n v="1"/>
    <x v="68"/>
    <n v="1"/>
    <n v="524889.41030044004"/>
    <n v="522674.40974300198"/>
    <n v="0"/>
    <x v="4"/>
    <s v="LONG"/>
    <x v="6"/>
    <n v="522674.40974300198"/>
    <n v="0.99578006240177297"/>
    <n v="0"/>
    <n v="0"/>
    <s v="DEFI"/>
    <s v="MIM COIN LONG"/>
  </r>
  <r>
    <x v="8"/>
    <x v="22"/>
    <x v="87"/>
    <n v="160870.93304174001"/>
    <n v="160867.63925836"/>
    <n v="0.99997952530443501"/>
    <n v="0"/>
    <x v="3"/>
    <d v="2022-12-15T00:00:00"/>
    <n v="1"/>
    <x v="46"/>
    <n v="1"/>
    <n v="160870.93304174001"/>
    <n v="160867.63925836072"/>
    <n v="0"/>
    <x v="4"/>
    <s v="LONG"/>
    <x v="6"/>
    <n v="160867.63925836"/>
    <n v="0.99997952530443501"/>
    <n v="0"/>
    <n v="0"/>
    <s v="DEFI"/>
    <s v="USDC COIN LONG"/>
  </r>
  <r>
    <x v="8"/>
    <x v="22"/>
    <x v="87"/>
    <n v="1006533.600838"/>
    <n v="1006512.99236894"/>
    <n v="0.99997952530443501"/>
    <n v="0"/>
    <x v="3"/>
    <d v="2022-12-14T16:00:00"/>
    <n v="1"/>
    <x v="46"/>
    <n v="1"/>
    <n v="1006533.600838"/>
    <n v="1006512.9923689469"/>
    <n v="0"/>
    <x v="4"/>
    <s v="LONG"/>
    <x v="6"/>
    <n v="1006512.99236894"/>
    <n v="0.99997952530443501"/>
    <n v="0"/>
    <n v="0"/>
    <s v="DEFI"/>
    <s v="USDC COIN LONG"/>
  </r>
  <r>
    <x v="8"/>
    <x v="22"/>
    <x v="77"/>
    <n v="152185.53478941999"/>
    <n v="152201.576716032"/>
    <n v="1.0001054103245299"/>
    <n v="0"/>
    <x v="3"/>
    <d v="2022-12-15T00:00:00"/>
    <n v="1"/>
    <x v="37"/>
    <n v="1"/>
    <n v="152185.53478941999"/>
    <n v="152201.57671603092"/>
    <n v="0"/>
    <x v="4"/>
    <s v="LONG"/>
    <x v="6"/>
    <n v="152201.576716032"/>
    <n v="1.0001054103245299"/>
    <n v="0"/>
    <n v="0"/>
    <s v="DEFI"/>
    <s v="USDT COIN LONG"/>
  </r>
  <r>
    <x v="8"/>
    <x v="23"/>
    <x v="110"/>
    <n v="463.45655553"/>
    <n v="26.842364961398999"/>
    <n v="5.7917758722179802E-2"/>
    <n v="0"/>
    <x v="3"/>
    <d v="2022-12-15T00:00:00"/>
    <n v="1"/>
    <x v="69"/>
    <n v="1"/>
    <n v="463.45655553"/>
    <n v="26.842364961399067"/>
    <n v="0"/>
    <x v="4"/>
    <s v="LONG"/>
    <x v="6"/>
    <n v="26.842364961398999"/>
    <n v="5.7917758722179802E-2"/>
    <n v="0"/>
    <n v="0"/>
    <s v="DEFI"/>
    <s v="AURA COIN LONG"/>
  </r>
  <r>
    <x v="8"/>
    <x v="23"/>
    <x v="111"/>
    <n v="128.13018736000001"/>
    <n v="787.63144938300502"/>
    <n v="6.1471185331996896"/>
    <n v="0"/>
    <x v="3"/>
    <d v="2022-12-15T00:00:00"/>
    <n v="1"/>
    <x v="70"/>
    <n v="1"/>
    <n v="128.13018736000001"/>
    <n v="787.63144938300468"/>
    <n v="0"/>
    <x v="4"/>
    <s v="LONG"/>
    <x v="6"/>
    <n v="787.63144938300502"/>
    <n v="6.1471185331996896"/>
    <n v="0"/>
    <n v="0"/>
    <s v="DEFI"/>
    <s v="BAL COIN LONG"/>
  </r>
  <r>
    <x v="8"/>
    <x v="23"/>
    <x v="60"/>
    <n v="385.80857076000001"/>
    <n v="505150.22550258797"/>
    <n v="1309.32867693296"/>
    <n v="0"/>
    <x v="3"/>
    <d v="2022-12-15T00:00:00"/>
    <n v="1"/>
    <x v="1"/>
    <n v="1"/>
    <n v="385.80857076000001"/>
    <n v="505150.2255025871"/>
    <n v="0"/>
    <x v="4"/>
    <s v="LONG"/>
    <x v="6"/>
    <n v="505150.22550258797"/>
    <n v="1309.32867693296"/>
    <n v="0"/>
    <n v="0"/>
    <s v="DEFI"/>
    <s v="ETH COIN LONG"/>
  </r>
  <r>
    <x v="8"/>
    <x v="23"/>
    <x v="60"/>
    <n v="2.5209147500000002"/>
    <n v="3300.7059742782899"/>
    <n v="1309.32867693296"/>
    <n v="0"/>
    <x v="3"/>
    <d v="2022-12-15T00:00:00"/>
    <n v="1"/>
    <x v="1"/>
    <n v="1"/>
    <n v="2.5209147500000002"/>
    <n v="3300.705974278284"/>
    <n v="0"/>
    <x v="4"/>
    <s v="LONG"/>
    <x v="6"/>
    <n v="3300.7059742782899"/>
    <n v="1309.32867693296"/>
    <n v="0"/>
    <n v="0"/>
    <s v="DEFI"/>
    <s v="ETH COIN LONG"/>
  </r>
  <r>
    <x v="8"/>
    <x v="23"/>
    <x v="112"/>
    <n v="623.41986664000001"/>
    <n v="799906.53314526705"/>
    <n v="1283.0943894304501"/>
    <n v="0"/>
    <x v="3"/>
    <d v="2022-12-15T00:00:00"/>
    <n v="1"/>
    <x v="71"/>
    <n v="1"/>
    <n v="623.41986664000001"/>
    <n v="799906.53314526344"/>
    <n v="0"/>
    <x v="4"/>
    <s v="LONG"/>
    <x v="6"/>
    <n v="799906.53314526705"/>
    <n v="1283.0943894304501"/>
    <n v="0"/>
    <n v="0"/>
    <s v="DEFI"/>
    <s v="STETH COIN LONG"/>
  </r>
  <r>
    <x v="8"/>
    <x v="24"/>
    <x v="60"/>
    <n v="9.8779060000000002E-2"/>
    <n v="129.33425593848099"/>
    <n v="1309.32867693296"/>
    <n v="0"/>
    <x v="3"/>
    <d v="2022-12-15T00:00:00"/>
    <n v="1"/>
    <x v="1"/>
    <n v="1"/>
    <n v="9.8779060000000002E-2"/>
    <n v="129.33425593848148"/>
    <n v="0"/>
    <x v="4"/>
    <s v="LONG"/>
    <x v="6"/>
    <n v="129.33425593848099"/>
    <n v="1309.32867693296"/>
    <n v="0"/>
    <n v="0"/>
    <s v="DEFI"/>
    <s v="ETH COIN LONG"/>
  </r>
  <r>
    <x v="8"/>
    <x v="24"/>
    <x v="113"/>
    <n v="196525.25441796001"/>
    <n v="0"/>
    <n v="0"/>
    <n v="0"/>
    <x v="3"/>
    <d v="2022-12-15T00:00:00"/>
    <n v="1"/>
    <x v="72"/>
    <n v="1"/>
    <n v="196525.25441796001"/>
    <n v="0"/>
    <n v="0"/>
    <x v="4"/>
    <s v="SHORT"/>
    <x v="8"/>
    <n v="0"/>
    <n v="0"/>
    <n v="0"/>
    <n v="0"/>
    <s v="DEFI"/>
    <s v="OBALUSDC/BAL-30DEC22-7.6C COIN SHORT"/>
  </r>
  <r>
    <x v="8"/>
    <x v="24"/>
    <x v="114"/>
    <n v="201000.92417708001"/>
    <n v="0"/>
    <n v="0"/>
    <n v="0"/>
    <x v="3"/>
    <d v="2022-12-15T00:00:00"/>
    <n v="1"/>
    <x v="73"/>
    <n v="1"/>
    <n v="201000.92417708001"/>
    <n v="0"/>
    <n v="0"/>
    <x v="4"/>
    <s v="SHORT"/>
    <x v="8"/>
    <n v="0"/>
    <n v="0"/>
    <n v="0"/>
    <n v="0"/>
    <s v="DEFI"/>
    <s v="OPERPUSDC/PERP-30DEC22-0.54C COIN SHORT"/>
  </r>
  <r>
    <x v="8"/>
    <x v="24"/>
    <x v="115"/>
    <n v="100050250.667"/>
    <n v="0"/>
    <n v="0"/>
    <n v="0"/>
    <x v="3"/>
    <d v="2022-12-15T00:00:00"/>
    <n v="1"/>
    <x v="74"/>
    <n v="1"/>
    <n v="100050250.667"/>
    <n v="0"/>
    <n v="0"/>
    <x v="4"/>
    <s v="SHORT"/>
    <x v="8"/>
    <n v="0"/>
    <n v="0"/>
    <n v="0"/>
    <n v="0"/>
    <s v="DEFI"/>
    <s v="OSPELLUSDC/SPELL-30DEC22-0.00079C COIN SHORT"/>
  </r>
  <r>
    <x v="8"/>
    <x v="25"/>
    <x v="60"/>
    <n v="498.76775994000002"/>
    <n v="653050.93121905695"/>
    <n v="1309.32867693296"/>
    <n v="0"/>
    <x v="3"/>
    <d v="2022-12-12T23:00:00"/>
    <n v="1"/>
    <x v="1"/>
    <n v="1"/>
    <n v="498.76775994000002"/>
    <n v="653050.93121905648"/>
    <n v="0"/>
    <x v="4"/>
    <s v="LONG"/>
    <x v="6"/>
    <n v="653050.93121905695"/>
    <n v="1309.32867693296"/>
    <n v="0"/>
    <n v="0"/>
    <s v="DEFI"/>
    <s v="ETH COIN LONG"/>
  </r>
  <r>
    <x v="8"/>
    <x v="25"/>
    <x v="60"/>
    <n v="2.96051419"/>
    <n v="3876.2861274339598"/>
    <n v="1309.32867693296"/>
    <n v="0"/>
    <x v="3"/>
    <d v="2022-12-15T00:00:00"/>
    <n v="1"/>
    <x v="1"/>
    <n v="1"/>
    <n v="2.96051419"/>
    <n v="3876.2861274339539"/>
    <n v="0"/>
    <x v="4"/>
    <s v="LONG"/>
    <x v="6"/>
    <n v="3876.2861274339598"/>
    <n v="1309.32867693296"/>
    <n v="0"/>
    <n v="0"/>
    <s v="DEFI"/>
    <s v="ETH COIN LONG"/>
  </r>
  <r>
    <x v="8"/>
    <x v="25"/>
    <x v="116"/>
    <n v="498.37304568000002"/>
    <n v="0"/>
    <n v="0"/>
    <n v="0"/>
    <x v="3"/>
    <d v="2022-12-12T23:00:00"/>
    <n v="1"/>
    <x v="75"/>
    <n v="1"/>
    <n v="498.37304568000002"/>
    <n v="0"/>
    <n v="0"/>
    <x v="4"/>
    <s v="SHORT"/>
    <x v="8"/>
    <n v="0"/>
    <n v="0"/>
    <n v="0"/>
    <n v="0"/>
    <s v="DEFI"/>
    <s v="FRXETH COIN SHORT"/>
  </r>
  <r>
    <x v="1"/>
    <x v="3"/>
    <x v="87"/>
    <n v="172499.35324299999"/>
    <n v="172495.82137125701"/>
    <n v="0.99997952530443501"/>
    <n v="0"/>
    <x v="3"/>
    <d v="2022-12-15T00:00:00"/>
    <n v="1"/>
    <x v="46"/>
    <n v="1"/>
    <n v="172499.35324299999"/>
    <n v="172495.82137125719"/>
    <n v="0"/>
    <x v="4"/>
    <s v="LONG"/>
    <x v="6"/>
    <n v="172495.82137125701"/>
    <n v="0.99997952530443501"/>
    <n v="0"/>
    <n v="0"/>
    <s v="DYDX"/>
    <s v="USDC COIN LONG"/>
  </r>
  <r>
    <x v="2"/>
    <x v="26"/>
    <x v="44"/>
    <n v="1E-8"/>
    <n v="3.0813425194694101E-9"/>
    <n v="0.308134251946941"/>
    <n v="0"/>
    <x v="3"/>
    <d v="2022-12-15T00:00:00"/>
    <n v="1"/>
    <x v="14"/>
    <n v="1"/>
    <n v="1E-8"/>
    <n v="3.0813425194694101E-9"/>
    <n v="0"/>
    <x v="4"/>
    <s v="LONG"/>
    <x v="6"/>
    <n v="3.0813425194694101E-9"/>
    <n v="0.308134251946941"/>
    <n v="0"/>
    <n v="0"/>
    <s v="FUB2"/>
    <s v="ADA COIN LONG"/>
  </r>
  <r>
    <x v="2"/>
    <x v="26"/>
    <x v="49"/>
    <n v="4.9999999999999998E-8"/>
    <n v="5.4554247976536396E-6"/>
    <n v="109.10849595307199"/>
    <n v="0"/>
    <x v="3"/>
    <d v="2022-12-15T00:00:00"/>
    <n v="1"/>
    <x v="4"/>
    <n v="1"/>
    <n v="4.9999999999999998E-8"/>
    <n v="5.4554247976535998E-6"/>
    <n v="0"/>
    <x v="4"/>
    <s v="LONG"/>
    <x v="6"/>
    <n v="5.4554247976536396E-6"/>
    <n v="109.10849595307199"/>
    <n v="0"/>
    <n v="0"/>
    <s v="FUB2"/>
    <s v="BCH COIN LONG"/>
  </r>
  <r>
    <x v="2"/>
    <x v="26"/>
    <x v="117"/>
    <n v="0.47315189000000002"/>
    <n v="21.439278037545701"/>
    <n v="45.311618722574998"/>
    <n v="0"/>
    <x v="3"/>
    <d v="2022-12-15T00:00:00"/>
    <n v="1"/>
    <x v="76"/>
    <n v="1"/>
    <n v="0.47315189000000002"/>
    <n v="21.439278037545748"/>
    <n v="0"/>
    <x v="4"/>
    <s v="LONG"/>
    <x v="6"/>
    <n v="21.439278037545701"/>
    <n v="45.311618722574998"/>
    <n v="0"/>
    <n v="0"/>
    <s v="FUB2"/>
    <s v="BSV COIN LONG"/>
  </r>
  <r>
    <x v="2"/>
    <x v="26"/>
    <x v="51"/>
    <n v="4.0000000000000001E-8"/>
    <n v="7.1262599418603595E-4"/>
    <n v="17815.649854650899"/>
    <n v="0"/>
    <x v="3"/>
    <d v="2022-12-15T00:00:00"/>
    <n v="1"/>
    <x v="0"/>
    <n v="1"/>
    <n v="4.0000000000000001E-8"/>
    <n v="7.1262599418603595E-4"/>
    <n v="0"/>
    <x v="4"/>
    <s v="LONG"/>
    <x v="6"/>
    <n v="7.1262599418603595E-4"/>
    <n v="17815.649854650899"/>
    <n v="0"/>
    <n v="0"/>
    <s v="FUB2"/>
    <s v="BTC COIN LONG"/>
  </r>
  <r>
    <x v="2"/>
    <x v="26"/>
    <x v="59"/>
    <n v="2.9999999999999997E-8"/>
    <n v="2.9340640100730401E-8"/>
    <n v="0.97802133669101299"/>
    <n v="0"/>
    <x v="3"/>
    <d v="2022-12-15T00:00:00"/>
    <n v="1"/>
    <x v="3"/>
    <n v="1"/>
    <n v="2.9999999999999997E-8"/>
    <n v="2.9340640100730388E-8"/>
    <n v="0"/>
    <x v="4"/>
    <s v="LONG"/>
    <x v="6"/>
    <n v="2.9340640100730401E-8"/>
    <n v="0.97802133669101299"/>
    <n v="0"/>
    <n v="0"/>
    <s v="FUB2"/>
    <s v="EOS COIN LONG"/>
  </r>
  <r>
    <x v="2"/>
    <x v="26"/>
    <x v="81"/>
    <n v="1E-8"/>
    <n v="1.87876872284171E-7"/>
    <n v="18.787687228417099"/>
    <n v="0"/>
    <x v="3"/>
    <d v="2022-12-15T00:00:00"/>
    <n v="1"/>
    <x v="5"/>
    <n v="1"/>
    <n v="1E-8"/>
    <n v="1.87876872284171E-7"/>
    <n v="0"/>
    <x v="4"/>
    <s v="LONG"/>
    <x v="6"/>
    <n v="1.87876872284171E-7"/>
    <n v="18.787687228417099"/>
    <n v="0"/>
    <n v="0"/>
    <s v="FUB2"/>
    <s v="ETC COIN LONG"/>
  </r>
  <r>
    <x v="2"/>
    <x v="26"/>
    <x v="60"/>
    <n v="2.9999999999999997E-8"/>
    <n v="3.9279860307988803E-5"/>
    <n v="1309.32867693296"/>
    <n v="0"/>
    <x v="3"/>
    <d v="2022-12-15T00:00:00"/>
    <n v="1"/>
    <x v="1"/>
    <n v="1"/>
    <n v="2.9999999999999997E-8"/>
    <n v="3.9279860307988797E-5"/>
    <n v="0"/>
    <x v="4"/>
    <s v="LONG"/>
    <x v="6"/>
    <n v="3.9279860307988803E-5"/>
    <n v="1309.32867693296"/>
    <n v="0"/>
    <n v="0"/>
    <s v="FUB2"/>
    <s v="ETH COIN LONG"/>
  </r>
  <r>
    <x v="2"/>
    <x v="26"/>
    <x v="67"/>
    <n v="1E-8"/>
    <n v="7.5475863646134999E-7"/>
    <n v="75.475863646134997"/>
    <n v="0"/>
    <x v="3"/>
    <d v="2022-12-15T00:00:00"/>
    <n v="1"/>
    <x v="6"/>
    <n v="1"/>
    <n v="1E-8"/>
    <n v="7.5475863646134999E-7"/>
    <n v="0"/>
    <x v="4"/>
    <s v="LONG"/>
    <x v="6"/>
    <n v="7.5475863646134999E-7"/>
    <n v="75.475863646134997"/>
    <n v="0"/>
    <n v="0"/>
    <s v="FUB2"/>
    <s v="LTC COIN LONG"/>
  </r>
  <r>
    <x v="2"/>
    <x v="26"/>
    <x v="118"/>
    <n v="1E-8"/>
    <n v="5.5666357131219E-10"/>
    <n v="5.5666357131219001E-2"/>
    <n v="0"/>
    <x v="3"/>
    <d v="2022-12-15T00:00:00"/>
    <n v="1"/>
    <x v="77"/>
    <n v="1"/>
    <n v="1E-8"/>
    <n v="5.5666357131219E-10"/>
    <n v="0"/>
    <x v="4"/>
    <s v="LONG"/>
    <x v="6"/>
    <n v="5.5666357131219E-10"/>
    <n v="5.5666357131219001E-2"/>
    <n v="0"/>
    <n v="0"/>
    <s v="FUB2"/>
    <s v="TRX COIN LONG"/>
  </r>
  <r>
    <x v="2"/>
    <x v="26"/>
    <x v="86"/>
    <n v="9.9999999999999995E-8"/>
    <n v="3.8641371777866901E-8"/>
    <n v="0.38641371777866901"/>
    <n v="0"/>
    <x v="3"/>
    <d v="2022-12-15T00:00:00"/>
    <n v="1"/>
    <x v="45"/>
    <n v="1"/>
    <n v="9.9999999999999995E-8"/>
    <n v="3.8641371777866901E-8"/>
    <n v="0"/>
    <x v="4"/>
    <s v="LONG"/>
    <x v="6"/>
    <n v="3.8641371777866901E-8"/>
    <n v="0.38641371777866901"/>
    <n v="0"/>
    <n v="0"/>
    <s v="FUB2"/>
    <s v="XRP COIN LONG"/>
  </r>
  <r>
    <x v="2"/>
    <x v="4"/>
    <x v="44"/>
    <n v="5.7406599999999999E-3"/>
    <n v="1.7688939747817301E-3"/>
    <n v="0.308134251946941"/>
    <n v="0"/>
    <x v="3"/>
    <d v="2022-12-15T00:00:00"/>
    <n v="1"/>
    <x v="14"/>
    <n v="1"/>
    <n v="5.7406599999999999E-3"/>
    <n v="1.7688939747817262E-3"/>
    <n v="0"/>
    <x v="4"/>
    <s v="LONG"/>
    <x v="6"/>
    <n v="1.7688939747817301E-3"/>
    <n v="0.308134251946941"/>
    <n v="0"/>
    <n v="0"/>
    <s v="FUBI"/>
    <s v="ADA COIN LONG"/>
  </r>
  <r>
    <x v="2"/>
    <x v="4"/>
    <x v="49"/>
    <n v="0.72885027999999996"/>
    <n v="79.523757825776002"/>
    <n v="109.10849595307199"/>
    <n v="0"/>
    <x v="3"/>
    <d v="2022-12-15T00:00:00"/>
    <n v="1"/>
    <x v="4"/>
    <n v="1"/>
    <n v="0.72885027999999996"/>
    <n v="79.523757825775391"/>
    <n v="0"/>
    <x v="4"/>
    <s v="LONG"/>
    <x v="6"/>
    <n v="79.523757825776002"/>
    <n v="109.10849595307199"/>
    <n v="0"/>
    <n v="0"/>
    <s v="FUBI"/>
    <s v="BCH COIN LONG"/>
  </r>
  <r>
    <x v="2"/>
    <x v="4"/>
    <x v="117"/>
    <n v="0.11285791000000001"/>
    <n v="5.11377458774668"/>
    <n v="45.311618722574998"/>
    <n v="0"/>
    <x v="3"/>
    <d v="2022-12-15T00:00:00"/>
    <n v="1"/>
    <x v="76"/>
    <n v="1"/>
    <n v="0.11285791000000001"/>
    <n v="5.1137745877466845"/>
    <n v="0"/>
    <x v="4"/>
    <s v="LONG"/>
    <x v="6"/>
    <n v="5.11377458774668"/>
    <n v="45.311618722574998"/>
    <n v="0"/>
    <n v="0"/>
    <s v="FUBI"/>
    <s v="BSV COIN LONG"/>
  </r>
  <r>
    <x v="2"/>
    <x v="4"/>
    <x v="51"/>
    <n v="32.481357639999999"/>
    <n v="578676.49451792997"/>
    <n v="17815.649854650899"/>
    <n v="0"/>
    <x v="3"/>
    <d v="2022-12-15T00:00:00"/>
    <n v="1"/>
    <x v="0"/>
    <n v="1"/>
    <n v="32.481357639999999"/>
    <n v="578676.49451792985"/>
    <n v="0"/>
    <x v="4"/>
    <s v="LONG"/>
    <x v="6"/>
    <n v="578676.49451792997"/>
    <n v="17815.649854650899"/>
    <n v="0"/>
    <n v="0"/>
    <s v="FUBI"/>
    <s v="BTC COIN LONG"/>
  </r>
  <r>
    <x v="2"/>
    <x v="4"/>
    <x v="51"/>
    <n v="2.2719860000000001E-2"/>
    <n v="404.76907050668899"/>
    <n v="17815.649854650899"/>
    <n v="0"/>
    <x v="4"/>
    <d v="2022-12-15T00:00:00"/>
    <n v="1"/>
    <x v="0"/>
    <n v="1"/>
    <n v="2.2719860000000001E-2"/>
    <n v="404.76907050668882"/>
    <n v="0"/>
    <x v="4"/>
    <s v="LONG"/>
    <x v="6"/>
    <n v="404.76907050668899"/>
    <n v="17815.649854650899"/>
    <n v="0"/>
    <n v="0"/>
    <s v="FUBI"/>
    <s v="BTC COIN LONG"/>
  </r>
  <r>
    <x v="2"/>
    <x v="4"/>
    <x v="57"/>
    <n v="0.97764076"/>
    <n v="5.0986016244932602"/>
    <n v="5.21520975096543"/>
    <n v="0"/>
    <x v="3"/>
    <d v="2022-12-15T00:00:00"/>
    <n v="1"/>
    <x v="23"/>
    <n v="1"/>
    <n v="0.97764076"/>
    <n v="5.0986016244932539"/>
    <n v="0"/>
    <x v="4"/>
    <s v="LONG"/>
    <x v="6"/>
    <n v="5.0986016244932602"/>
    <n v="5.21520975096543"/>
    <n v="0"/>
    <n v="0"/>
    <s v="FUBI"/>
    <s v="DOT COIN LONG"/>
  </r>
  <r>
    <x v="2"/>
    <x v="4"/>
    <x v="59"/>
    <n v="3.7085149999999997E-2"/>
    <n v="3.6270067974386699E-2"/>
    <n v="0.97802133669101299"/>
    <n v="0"/>
    <x v="3"/>
    <d v="2022-12-15T00:00:00"/>
    <n v="1"/>
    <x v="3"/>
    <n v="1"/>
    <n v="3.7085149999999997E-2"/>
    <n v="3.627006797438672E-2"/>
    <n v="0"/>
    <x v="4"/>
    <s v="LONG"/>
    <x v="6"/>
    <n v="3.6270067974386699E-2"/>
    <n v="0.97802133669101299"/>
    <n v="0"/>
    <n v="0"/>
    <s v="FUBI"/>
    <s v="EOS COIN LONG"/>
  </r>
  <r>
    <x v="2"/>
    <x v="4"/>
    <x v="81"/>
    <n v="0.70701212999999996"/>
    <n v="13.283122765137"/>
    <n v="18.787687228417099"/>
    <n v="0"/>
    <x v="3"/>
    <d v="2022-12-15T00:00:00"/>
    <n v="1"/>
    <x v="5"/>
    <n v="1"/>
    <n v="0.70701212999999996"/>
    <n v="13.283122765136969"/>
    <n v="0"/>
    <x v="4"/>
    <s v="LONG"/>
    <x v="6"/>
    <n v="13.283122765137"/>
    <n v="18.787687228417099"/>
    <n v="0"/>
    <n v="0"/>
    <s v="FUBI"/>
    <s v="ETC COIN LONG"/>
  </r>
  <r>
    <x v="2"/>
    <x v="4"/>
    <x v="60"/>
    <n v="535.83104949000005"/>
    <n v="701578.95908834203"/>
    <n v="1309.32867693296"/>
    <n v="0"/>
    <x v="3"/>
    <d v="2022-12-15T00:00:00"/>
    <n v="1"/>
    <x v="1"/>
    <n v="1"/>
    <n v="535.83104949000005"/>
    <n v="701578.95908834122"/>
    <n v="0"/>
    <x v="4"/>
    <s v="LONG"/>
    <x v="6"/>
    <n v="701578.95908834203"/>
    <n v="1309.32867693296"/>
    <n v="0"/>
    <n v="0"/>
    <s v="FUBI"/>
    <s v="ETH COIN LONG"/>
  </r>
  <r>
    <x v="2"/>
    <x v="4"/>
    <x v="60"/>
    <n v="-3.7039113700000001"/>
    <n v="-4849.6373735590496"/>
    <n v="1309.32867693296"/>
    <n v="0"/>
    <x v="4"/>
    <d v="2022-12-15T00:00:00"/>
    <n v="1"/>
    <x v="1"/>
    <n v="1"/>
    <n v="-3.7039113700000001"/>
    <n v="-4849.6373735590478"/>
    <n v="0"/>
    <x v="4"/>
    <s v="SHORT"/>
    <x v="8"/>
    <n v="-4849.6373735590496"/>
    <n v="1309.32867693296"/>
    <n v="0"/>
    <n v="0"/>
    <s v="FUBI"/>
    <s v="ETH COIN SHORT"/>
  </r>
  <r>
    <x v="2"/>
    <x v="4"/>
    <x v="66"/>
    <n v="6.244243E-2"/>
    <n v="0.420164374968233"/>
    <n v="6.72882805759214"/>
    <n v="0"/>
    <x v="3"/>
    <d v="2022-12-15T00:00:00"/>
    <n v="1"/>
    <x v="10"/>
    <n v="1"/>
    <n v="6.244243E-2"/>
    <n v="0.42016437496823317"/>
    <n v="0"/>
    <x v="4"/>
    <s v="LONG"/>
    <x v="6"/>
    <n v="0.420164374968233"/>
    <n v="6.72882805759214"/>
    <n v="0"/>
    <n v="0"/>
    <s v="FUBI"/>
    <s v="LINK COIN LONG"/>
  </r>
  <r>
    <x v="2"/>
    <x v="4"/>
    <x v="67"/>
    <n v="7.1564416099999999"/>
    <n v="540.13861114788597"/>
    <n v="75.475863646134997"/>
    <n v="0"/>
    <x v="3"/>
    <d v="2022-12-15T00:00:00"/>
    <n v="1"/>
    <x v="6"/>
    <n v="1"/>
    <n v="7.1564416099999999"/>
    <n v="540.13861114788676"/>
    <n v="0"/>
    <x v="4"/>
    <s v="LONG"/>
    <x v="6"/>
    <n v="540.13861114788597"/>
    <n v="75.475863646134997"/>
    <n v="0"/>
    <n v="0"/>
    <s v="FUBI"/>
    <s v="LTC COIN LONG"/>
  </r>
  <r>
    <x v="2"/>
    <x v="4"/>
    <x v="118"/>
    <n v="0.95766242000000001"/>
    <n v="5.3309578282867497E-2"/>
    <n v="5.5666357131219001E-2"/>
    <n v="0"/>
    <x v="3"/>
    <d v="2022-12-15T00:00:00"/>
    <n v="1"/>
    <x v="77"/>
    <n v="1"/>
    <n v="0.95766242000000001"/>
    <n v="5.3309578282867448E-2"/>
    <n v="0"/>
    <x v="4"/>
    <s v="LONG"/>
    <x v="6"/>
    <n v="5.3309578282867497E-2"/>
    <n v="5.5666357131219001E-2"/>
    <n v="0"/>
    <n v="0"/>
    <s v="FUBI"/>
    <s v="TRX COIN LONG"/>
  </r>
  <r>
    <x v="2"/>
    <x v="4"/>
    <x v="86"/>
    <n v="0.54364484000000002"/>
    <n v="0.210071823775589"/>
    <n v="0.38641371777866901"/>
    <n v="0"/>
    <x v="3"/>
    <d v="2022-12-15T00:00:00"/>
    <n v="1"/>
    <x v="45"/>
    <n v="1"/>
    <n v="0.54364484000000002"/>
    <n v="0.21007182377558967"/>
    <n v="0"/>
    <x v="4"/>
    <s v="LONG"/>
    <x v="6"/>
    <n v="0.210071823775589"/>
    <n v="0.38641371777866901"/>
    <n v="0"/>
    <n v="0"/>
    <s v="FUBI"/>
    <s v="XRP COIN LONG"/>
  </r>
  <r>
    <x v="9"/>
    <x v="27"/>
    <x v="51"/>
    <n v="9.9829999999999998E-5"/>
    <n v="1.7785363249898001"/>
    <n v="17815.649854650899"/>
    <n v="0"/>
    <x v="3"/>
    <d v="2022-12-15T00:00:00"/>
    <n v="1"/>
    <x v="0"/>
    <n v="1"/>
    <n v="9.9829999999999998E-5"/>
    <n v="1.7785363249897992"/>
    <n v="0"/>
    <x v="4"/>
    <s v="LONG"/>
    <x v="6"/>
    <n v="1.7785363249898001"/>
    <n v="17815.649854650899"/>
    <n v="0"/>
    <n v="0"/>
    <s v="GATE"/>
    <s v="BTC COIN LONG"/>
  </r>
  <r>
    <x v="9"/>
    <x v="27"/>
    <x v="77"/>
    <n v="10195.084654329999"/>
    <n v="10196.159321512099"/>
    <n v="1.0001054103245299"/>
    <n v="0"/>
    <x v="3"/>
    <d v="2022-12-15T00:00:00"/>
    <n v="1"/>
    <x v="37"/>
    <n v="1"/>
    <n v="10195.084654329999"/>
    <n v="10196.159321512023"/>
    <n v="0"/>
    <x v="4"/>
    <s v="LONG"/>
    <x v="6"/>
    <n v="10196.159321512099"/>
    <n v="1.0001054103245299"/>
    <n v="0"/>
    <n v="0"/>
    <s v="GATE"/>
    <s v="USDT COIN LONG"/>
  </r>
  <r>
    <x v="9"/>
    <x v="28"/>
    <x v="51"/>
    <n v="1.899957E-2"/>
    <n v="338.48968650892903"/>
    <n v="17815.649854650899"/>
    <n v="0"/>
    <x v="3"/>
    <d v="2022-12-15T00:00:00"/>
    <n v="1"/>
    <x v="0"/>
    <n v="1"/>
    <n v="1.899957E-2"/>
    <n v="338.48968650892959"/>
    <n v="0"/>
    <x v="4"/>
    <s v="LONG"/>
    <x v="6"/>
    <n v="338.48968650892903"/>
    <n v="17815.649854650899"/>
    <n v="0"/>
    <n v="0"/>
    <s v="GATE"/>
    <s v="BTC COIN LONG"/>
  </r>
  <r>
    <x v="9"/>
    <x v="28"/>
    <x v="119"/>
    <n v="9.9825000000000001E-4"/>
    <n v="2.29614119617888E-4"/>
    <n v="0.23001664875320599"/>
    <n v="0"/>
    <x v="3"/>
    <d v="2022-12-15T00:00:00"/>
    <n v="1"/>
    <x v="78"/>
    <n v="1"/>
    <n v="9.9825000000000001E-4"/>
    <n v="2.2961411961788789E-4"/>
    <n v="0"/>
    <x v="4"/>
    <s v="LONG"/>
    <x v="6"/>
    <n v="2.29614119617888E-4"/>
    <n v="0.23001664875320599"/>
    <n v="0"/>
    <n v="0"/>
    <s v="GATE"/>
    <s v="ETHF COIN LONG"/>
  </r>
  <r>
    <x v="9"/>
    <x v="28"/>
    <x v="82"/>
    <n v="9.9825000000000001E-4"/>
    <n v="3.5343162729518799E-3"/>
    <n v="3.5405121692480601"/>
    <n v="0"/>
    <x v="3"/>
    <d v="2022-12-15T00:00:00"/>
    <n v="1"/>
    <x v="41"/>
    <n v="1"/>
    <n v="9.9825000000000001E-4"/>
    <n v="3.534316272951876E-3"/>
    <n v="0"/>
    <x v="4"/>
    <s v="LONG"/>
    <x v="6"/>
    <n v="3.5343162729518799E-3"/>
    <n v="3.5405121692480601"/>
    <n v="0"/>
    <n v="0"/>
    <s v="GATE"/>
    <s v="ETHW COIN LONG"/>
  </r>
  <r>
    <x v="9"/>
    <x v="28"/>
    <x v="120"/>
    <n v="9.5929999999999998E-5"/>
    <n v="4.2092775676247699E-6"/>
    <n v="4.3878636168297402E-2"/>
    <n v="0"/>
    <x v="3"/>
    <d v="2022-12-15T00:00:00"/>
    <n v="1"/>
    <x v="79"/>
    <n v="1"/>
    <n v="9.5929999999999998E-5"/>
    <n v="4.2092775676247699E-6"/>
    <n v="0"/>
    <x v="4"/>
    <s v="LONG"/>
    <x v="6"/>
    <n v="4.2092775676247699E-6"/>
    <n v="4.3878636168297402E-2"/>
    <n v="0"/>
    <n v="0"/>
    <s v="GATE"/>
    <s v="ROSE COIN LONG"/>
  </r>
  <r>
    <x v="9"/>
    <x v="28"/>
    <x v="77"/>
    <n v="27.162898349999999"/>
    <n v="27.165761599930399"/>
    <n v="1.0001054103245299"/>
    <n v="0"/>
    <x v="3"/>
    <d v="2022-12-15T00:00:00"/>
    <n v="1"/>
    <x v="37"/>
    <n v="1"/>
    <n v="27.162898349999999"/>
    <n v="27.165761599930246"/>
    <n v="0"/>
    <x v="4"/>
    <s v="LONG"/>
    <x v="6"/>
    <n v="27.165761599930399"/>
    <n v="1.0001054103245299"/>
    <n v="0"/>
    <n v="0"/>
    <s v="GATE"/>
    <s v="USDT COIN LONG"/>
  </r>
  <r>
    <x v="9"/>
    <x v="29"/>
    <x v="51"/>
    <n v="1.995E-4"/>
    <n v="3.55422214600285"/>
    <n v="17815.649854650899"/>
    <n v="0"/>
    <x v="3"/>
    <d v="2022-12-15T00:00:00"/>
    <n v="1"/>
    <x v="0"/>
    <n v="1"/>
    <n v="1.995E-4"/>
    <n v="3.5542221460028545"/>
    <n v="0"/>
    <x v="4"/>
    <s v="LONG"/>
    <x v="6"/>
    <n v="3.55422214600285"/>
    <n v="17815.649854650899"/>
    <n v="0"/>
    <n v="0"/>
    <s v="GATE"/>
    <s v="BTC COIN LONG"/>
  </r>
  <r>
    <x v="9"/>
    <x v="29"/>
    <x v="60"/>
    <n v="9.9825000000000001E-4"/>
    <n v="1.30703735174832"/>
    <n v="1309.32867693296"/>
    <n v="0"/>
    <x v="3"/>
    <d v="2022-12-15T00:00:00"/>
    <n v="1"/>
    <x v="1"/>
    <n v="1"/>
    <n v="9.9825000000000001E-4"/>
    <n v="1.3070373517483274"/>
    <n v="0"/>
    <x v="4"/>
    <s v="LONG"/>
    <x v="6"/>
    <n v="1.30703735174832"/>
    <n v="1309.32867693296"/>
    <n v="0"/>
    <n v="0"/>
    <s v="GATE"/>
    <s v="ETH COIN LONG"/>
  </r>
  <r>
    <x v="9"/>
    <x v="29"/>
    <x v="77"/>
    <n v="59.393906000000001"/>
    <n v="59.400166730907003"/>
    <n v="1.0001054103245299"/>
    <n v="0"/>
    <x v="3"/>
    <d v="2022-12-15T00:00:00"/>
    <n v="1"/>
    <x v="37"/>
    <n v="1"/>
    <n v="59.393906000000001"/>
    <n v="59.400166730906562"/>
    <n v="0"/>
    <x v="4"/>
    <s v="LONG"/>
    <x v="6"/>
    <n v="59.400166730907003"/>
    <n v="1.0001054103245299"/>
    <n v="0"/>
    <n v="0"/>
    <s v="GATE"/>
    <s v="USDT COIN LONG"/>
  </r>
  <r>
    <x v="9"/>
    <x v="30"/>
    <x v="77"/>
    <n v="10045.593615"/>
    <n v="10046.652524283099"/>
    <n v="1.0001054103245299"/>
    <n v="0"/>
    <x v="3"/>
    <d v="2022-12-15T00:00:00"/>
    <n v="1"/>
    <x v="37"/>
    <n v="1"/>
    <n v="10045.593615"/>
    <n v="10046.652524283052"/>
    <n v="0"/>
    <x v="4"/>
    <s v="LONG"/>
    <x v="6"/>
    <n v="10046.652524283099"/>
    <n v="1.0001054103245299"/>
    <n v="0"/>
    <n v="0"/>
    <s v="GATE"/>
    <s v="USDT COIN LONG"/>
  </r>
  <r>
    <x v="2"/>
    <x v="31"/>
    <x v="77"/>
    <n v="1E-8"/>
    <n v="1.00010541032453E-8"/>
    <n v="1.0001054103245299"/>
    <n v="0"/>
    <x v="3"/>
    <d v="2022-12-14T00:00:00"/>
    <n v="1"/>
    <x v="37"/>
    <n v="1"/>
    <n v="1E-8"/>
    <n v="1.00010541032453E-8"/>
    <n v="0"/>
    <x v="4"/>
    <s v="LONG"/>
    <x v="6"/>
    <n v="1.00010541032453E-8"/>
    <n v="1.0001054103245299"/>
    <n v="0"/>
    <n v="0"/>
    <s v="HUB2"/>
    <s v="USDT COIN LONG"/>
  </r>
  <r>
    <x v="2"/>
    <x v="31"/>
    <x v="86"/>
    <n v="7.4209999999999996E-5"/>
    <n v="2.8675761996355001E-5"/>
    <n v="0.38641371777866901"/>
    <n v="0"/>
    <x v="3"/>
    <d v="2022-12-14T00:00:00"/>
    <n v="1"/>
    <x v="45"/>
    <n v="1"/>
    <n v="7.4209999999999996E-5"/>
    <n v="2.8675761996355024E-5"/>
    <n v="0"/>
    <x v="4"/>
    <s v="LONG"/>
    <x v="6"/>
    <n v="2.8675761996355001E-5"/>
    <n v="0.38641371777866901"/>
    <n v="0"/>
    <n v="0"/>
    <s v="HUB2"/>
    <s v="XRP COIN LONG"/>
  </r>
  <r>
    <x v="2"/>
    <x v="32"/>
    <x v="44"/>
    <n v="1E-8"/>
    <n v="3.0813425194694101E-9"/>
    <n v="0.308134251946941"/>
    <n v="0"/>
    <x v="3"/>
    <d v="2022-12-15T00:00:00"/>
    <n v="1"/>
    <x v="14"/>
    <n v="1"/>
    <n v="1E-8"/>
    <n v="3.0813425194694101E-9"/>
    <n v="0"/>
    <x v="4"/>
    <s v="LONG"/>
    <x v="6"/>
    <n v="3.0813425194694101E-9"/>
    <n v="0.308134251946941"/>
    <n v="0"/>
    <n v="0"/>
    <s v="HUB2"/>
    <s v="ADA COIN LONG"/>
  </r>
  <r>
    <x v="2"/>
    <x v="32"/>
    <x v="49"/>
    <n v="1E-8"/>
    <n v="1.0910849595307199E-6"/>
    <n v="109.10849595307199"/>
    <n v="0"/>
    <x v="3"/>
    <d v="2022-12-15T00:00:00"/>
    <n v="1"/>
    <x v="4"/>
    <n v="1"/>
    <n v="1E-8"/>
    <n v="1.0910849595307199E-6"/>
    <n v="0"/>
    <x v="4"/>
    <s v="LONG"/>
    <x v="6"/>
    <n v="1.0910849595307199E-6"/>
    <n v="109.10849595307199"/>
    <n v="0"/>
    <n v="0"/>
    <s v="HUB2"/>
    <s v="BCH COIN LONG"/>
  </r>
  <r>
    <x v="2"/>
    <x v="32"/>
    <x v="117"/>
    <n v="1E-8"/>
    <n v="4.5311618722575001E-7"/>
    <n v="45.311618722574998"/>
    <n v="0"/>
    <x v="3"/>
    <d v="2022-12-15T00:00:00"/>
    <n v="1"/>
    <x v="76"/>
    <n v="1"/>
    <n v="1E-8"/>
    <n v="4.5311618722575001E-7"/>
    <n v="0"/>
    <x v="4"/>
    <s v="LONG"/>
    <x v="6"/>
    <n v="4.5311618722575001E-7"/>
    <n v="45.311618722574998"/>
    <n v="0"/>
    <n v="0"/>
    <s v="HUB2"/>
    <s v="BSV COIN LONG"/>
  </r>
  <r>
    <x v="2"/>
    <x v="32"/>
    <x v="59"/>
    <n v="1E-8"/>
    <n v="9.7802133669101293E-9"/>
    <n v="0.97802133669101299"/>
    <n v="0"/>
    <x v="3"/>
    <d v="2022-12-15T00:00:00"/>
    <n v="1"/>
    <x v="3"/>
    <n v="1"/>
    <n v="1E-8"/>
    <n v="9.7802133669101293E-9"/>
    <n v="0"/>
    <x v="4"/>
    <s v="LONG"/>
    <x v="6"/>
    <n v="9.7802133669101293E-9"/>
    <n v="0.97802133669101299"/>
    <n v="0"/>
    <n v="0"/>
    <s v="HUB2"/>
    <s v="EOS COIN LONG"/>
  </r>
  <r>
    <x v="2"/>
    <x v="32"/>
    <x v="81"/>
    <n v="1E-8"/>
    <n v="1.87876872284171E-7"/>
    <n v="18.787687228417099"/>
    <n v="0"/>
    <x v="3"/>
    <d v="2022-12-15T00:00:00"/>
    <n v="1"/>
    <x v="5"/>
    <n v="1"/>
    <n v="1E-8"/>
    <n v="1.87876872284171E-7"/>
    <n v="0"/>
    <x v="4"/>
    <s v="LONG"/>
    <x v="6"/>
    <n v="1.87876872284171E-7"/>
    <n v="18.787687228417099"/>
    <n v="0"/>
    <n v="0"/>
    <s v="HUB2"/>
    <s v="ETC COIN LONG"/>
  </r>
  <r>
    <x v="2"/>
    <x v="32"/>
    <x v="60"/>
    <n v="1E-8"/>
    <n v="1.3093286769329599E-5"/>
    <n v="1309.32867693296"/>
    <n v="0"/>
    <x v="3"/>
    <d v="2022-12-15T00:00:00"/>
    <n v="1"/>
    <x v="1"/>
    <n v="1"/>
    <n v="1E-8"/>
    <n v="1.3093286769329599E-5"/>
    <n v="0"/>
    <x v="4"/>
    <s v="LONG"/>
    <x v="6"/>
    <n v="1.3093286769329599E-5"/>
    <n v="1309.32867693296"/>
    <n v="0"/>
    <n v="0"/>
    <s v="HUB2"/>
    <s v="ETH COIN LONG"/>
  </r>
  <r>
    <x v="2"/>
    <x v="32"/>
    <x v="66"/>
    <n v="1E-8"/>
    <n v="6.7288280575921401E-8"/>
    <n v="6.72882805759214"/>
    <n v="0"/>
    <x v="3"/>
    <d v="2022-12-15T00:00:00"/>
    <n v="1"/>
    <x v="10"/>
    <n v="1"/>
    <n v="1E-8"/>
    <n v="6.7288280575921401E-8"/>
    <n v="0"/>
    <x v="4"/>
    <s v="LONG"/>
    <x v="6"/>
    <n v="6.7288280575921401E-8"/>
    <n v="6.72882805759214"/>
    <n v="0"/>
    <n v="0"/>
    <s v="HUB2"/>
    <s v="LINK COIN LONG"/>
  </r>
  <r>
    <x v="2"/>
    <x v="32"/>
    <x v="67"/>
    <n v="1E-8"/>
    <n v="7.5475863646134999E-7"/>
    <n v="75.475863646134997"/>
    <n v="0"/>
    <x v="3"/>
    <d v="2022-12-15T00:00:00"/>
    <n v="1"/>
    <x v="6"/>
    <n v="1"/>
    <n v="1E-8"/>
    <n v="7.5475863646134999E-7"/>
    <n v="0"/>
    <x v="4"/>
    <s v="LONG"/>
    <x v="6"/>
    <n v="7.5475863646134999E-7"/>
    <n v="75.475863646134997"/>
    <n v="0"/>
    <n v="0"/>
    <s v="HUB2"/>
    <s v="LTC COIN LONG"/>
  </r>
  <r>
    <x v="2"/>
    <x v="32"/>
    <x v="77"/>
    <n v="3.2621029500000001"/>
    <n v="3.2624468093306298"/>
    <n v="1.0001054103245299"/>
    <n v="0"/>
    <x v="3"/>
    <d v="2022-12-15T00:00:00"/>
    <n v="1"/>
    <x v="37"/>
    <n v="1"/>
    <n v="3.2621029500000001"/>
    <n v="3.2624468093306098"/>
    <n v="0"/>
    <x v="4"/>
    <s v="LONG"/>
    <x v="6"/>
    <n v="3.2624468093306298"/>
    <n v="1.0001054103245299"/>
    <n v="0"/>
    <n v="0"/>
    <s v="HUB2"/>
    <s v="USDT COIN LONG"/>
  </r>
  <r>
    <x v="2"/>
    <x v="32"/>
    <x v="86"/>
    <n v="6.4869999999999994E-5"/>
    <n v="2.5066657872302201E-5"/>
    <n v="0.38641371777866901"/>
    <n v="0"/>
    <x v="3"/>
    <d v="2022-12-15T00:00:00"/>
    <n v="1"/>
    <x v="45"/>
    <n v="1"/>
    <n v="6.4869999999999994E-5"/>
    <n v="2.5066657872302255E-5"/>
    <n v="0"/>
    <x v="4"/>
    <s v="LONG"/>
    <x v="6"/>
    <n v="2.5066657872302201E-5"/>
    <n v="0.38641371777866901"/>
    <n v="0"/>
    <n v="0"/>
    <s v="HUB2"/>
    <s v="XRP COIN LONG"/>
  </r>
  <r>
    <x v="2"/>
    <x v="5"/>
    <x v="43"/>
    <n v="0.10014646000000001"/>
    <n v="6.2654520236031903"/>
    <n v="62.562890626420497"/>
    <n v="0"/>
    <x v="3"/>
    <d v="2022-12-15T00:00:00"/>
    <n v="1"/>
    <x v="13"/>
    <n v="1"/>
    <n v="0.10014646000000001"/>
    <n v="6.2654520236031956"/>
    <n v="0"/>
    <x v="4"/>
    <s v="LONG"/>
    <x v="6"/>
    <n v="6.2654520236031903"/>
    <n v="62.562890626420497"/>
    <n v="0"/>
    <n v="0"/>
    <s v="HUBI"/>
    <s v="AAVE COIN LONG"/>
  </r>
  <r>
    <x v="2"/>
    <x v="5"/>
    <x v="44"/>
    <n v="3.2091999999999998E-4"/>
    <n v="9.8886444134812601E-5"/>
    <n v="0.308134251946941"/>
    <n v="0"/>
    <x v="3"/>
    <d v="2022-12-15T00:00:00"/>
    <n v="1"/>
    <x v="14"/>
    <n v="1"/>
    <n v="3.2091999999999998E-4"/>
    <n v="9.8886444134812303E-5"/>
    <n v="0"/>
    <x v="4"/>
    <s v="LONG"/>
    <x v="6"/>
    <n v="9.8886444134812601E-5"/>
    <n v="0.308134251946941"/>
    <n v="0"/>
    <n v="0"/>
    <s v="HUBI"/>
    <s v="ADA COIN LONG"/>
  </r>
  <r>
    <x v="2"/>
    <x v="5"/>
    <x v="49"/>
    <n v="5.3552000000000005E-4"/>
    <n v="5.8429781752789602E-2"/>
    <n v="109.10849595307199"/>
    <n v="0"/>
    <x v="3"/>
    <d v="2022-12-15T00:00:00"/>
    <n v="1"/>
    <x v="4"/>
    <n v="1"/>
    <n v="5.3552000000000005E-4"/>
    <n v="5.8429781752789123E-2"/>
    <n v="0"/>
    <x v="4"/>
    <s v="LONG"/>
    <x v="6"/>
    <n v="5.8429781752789602E-2"/>
    <n v="109.10849595307199"/>
    <n v="0"/>
    <n v="0"/>
    <s v="HUBI"/>
    <s v="BCH COIN LONG"/>
  </r>
  <r>
    <x v="2"/>
    <x v="5"/>
    <x v="117"/>
    <n v="2.9999999999999997E-8"/>
    <n v="1.35934856167725E-6"/>
    <n v="45.311618722574998"/>
    <n v="0"/>
    <x v="3"/>
    <d v="2022-12-15T00:00:00"/>
    <n v="1"/>
    <x v="76"/>
    <n v="1"/>
    <n v="2.9999999999999997E-8"/>
    <n v="1.3593485616772498E-6"/>
    <n v="0"/>
    <x v="4"/>
    <s v="LONG"/>
    <x v="6"/>
    <n v="1.35934856167725E-6"/>
    <n v="45.311618722574998"/>
    <n v="0"/>
    <n v="0"/>
    <s v="HUBI"/>
    <s v="BSV COIN LONG"/>
  </r>
  <r>
    <x v="2"/>
    <x v="5"/>
    <x v="51"/>
    <n v="144.50993141000001"/>
    <n v="2574538.3385201702"/>
    <n v="17815.649854650899"/>
    <n v="0"/>
    <x v="3"/>
    <d v="2022-12-15T00:00:00"/>
    <n v="1"/>
    <x v="0"/>
    <n v="1"/>
    <n v="144.50993141000001"/>
    <n v="2574538.3385201781"/>
    <n v="0"/>
    <x v="4"/>
    <s v="LONG"/>
    <x v="6"/>
    <n v="2574538.3385201702"/>
    <n v="17815.649854650899"/>
    <n v="0"/>
    <n v="0"/>
    <s v="HUBI"/>
    <s v="BTC COIN LONG"/>
  </r>
  <r>
    <x v="2"/>
    <x v="5"/>
    <x v="51"/>
    <n v="-1.6966316299999999"/>
    <n v="-30226.595052405599"/>
    <n v="17815.649854650899"/>
    <n v="0"/>
    <x v="4"/>
    <d v="2022-12-15T00:00:00"/>
    <n v="1"/>
    <x v="0"/>
    <n v="1"/>
    <n v="-1.6966316299999999"/>
    <n v="-30226.595052405617"/>
    <n v="0"/>
    <x v="4"/>
    <s v="SHORT"/>
    <x v="8"/>
    <n v="-30226.595052405599"/>
    <n v="17815.649854650899"/>
    <n v="0"/>
    <n v="0"/>
    <s v="HUBI"/>
    <s v="BTC COIN SHORT"/>
  </r>
  <r>
    <x v="2"/>
    <x v="5"/>
    <x v="57"/>
    <n v="3.8972899999999999E-3"/>
    <n v="2.032518481034E-2"/>
    <n v="5.21520975096543"/>
    <n v="0"/>
    <x v="3"/>
    <d v="2022-12-15T00:00:00"/>
    <n v="1"/>
    <x v="23"/>
    <n v="1"/>
    <n v="3.8972899999999999E-3"/>
    <n v="2.0325184810340059E-2"/>
    <n v="0"/>
    <x v="4"/>
    <s v="LONG"/>
    <x v="6"/>
    <n v="2.032518481034E-2"/>
    <n v="5.21520975096543"/>
    <n v="0"/>
    <n v="0"/>
    <s v="HUBI"/>
    <s v="DOT COIN LONG"/>
  </r>
  <r>
    <x v="2"/>
    <x v="5"/>
    <x v="81"/>
    <n v="0.1010306"/>
    <n v="1.8981313132993201"/>
    <n v="18.787687228417099"/>
    <n v="0"/>
    <x v="3"/>
    <d v="2022-12-15T00:00:00"/>
    <n v="1"/>
    <x v="5"/>
    <n v="1"/>
    <n v="0.1010306"/>
    <n v="1.8981313132993165"/>
    <n v="0"/>
    <x v="4"/>
    <s v="LONG"/>
    <x v="6"/>
    <n v="1.8981313132993201"/>
    <n v="18.787687228417099"/>
    <n v="0"/>
    <n v="0"/>
    <s v="HUBI"/>
    <s v="ETC COIN LONG"/>
  </r>
  <r>
    <x v="2"/>
    <x v="5"/>
    <x v="60"/>
    <n v="1440.6756141000001"/>
    <n v="1886317.8956991299"/>
    <n v="1309.32867693296"/>
    <n v="0"/>
    <x v="3"/>
    <d v="2022-12-15T00:00:00"/>
    <n v="1"/>
    <x v="1"/>
    <n v="1"/>
    <n v="1440.6756141000001"/>
    <n v="1886317.8956991327"/>
    <n v="0"/>
    <x v="4"/>
    <s v="LONG"/>
    <x v="6"/>
    <n v="1886317.8956991299"/>
    <n v="1309.32867693296"/>
    <n v="0"/>
    <n v="0"/>
    <s v="HUBI"/>
    <s v="ETH COIN LONG"/>
  </r>
  <r>
    <x v="2"/>
    <x v="5"/>
    <x v="60"/>
    <n v="0.47374295999999999"/>
    <n v="620.28524302310495"/>
    <n v="1309.32867693296"/>
    <n v="0"/>
    <x v="4"/>
    <d v="2022-12-15T00:00:00"/>
    <n v="1"/>
    <x v="1"/>
    <n v="1"/>
    <n v="0.47374295999999999"/>
    <n v="620.28524302310416"/>
    <n v="0"/>
    <x v="4"/>
    <s v="LONG"/>
    <x v="6"/>
    <n v="620.28524302310495"/>
    <n v="1309.32867693296"/>
    <n v="0"/>
    <n v="0"/>
    <s v="HUBI"/>
    <s v="ETH COIN LONG"/>
  </r>
  <r>
    <x v="2"/>
    <x v="5"/>
    <x v="66"/>
    <n v="9.5620999999999998E-4"/>
    <n v="6.4341726769501801E-3"/>
    <n v="6.72882805759214"/>
    <n v="0"/>
    <x v="3"/>
    <d v="2022-12-15T00:00:00"/>
    <n v="1"/>
    <x v="10"/>
    <n v="1"/>
    <n v="9.5620999999999998E-4"/>
    <n v="6.4341726769501801E-3"/>
    <n v="0"/>
    <x v="4"/>
    <s v="LONG"/>
    <x v="6"/>
    <n v="6.4341726769501801E-3"/>
    <n v="6.72882805759214"/>
    <n v="0"/>
    <n v="0"/>
    <s v="HUBI"/>
    <s v="LINK COIN LONG"/>
  </r>
  <r>
    <x v="2"/>
    <x v="5"/>
    <x v="67"/>
    <n v="2.4771099999999998E-3"/>
    <n v="0.18696201659647699"/>
    <n v="75.475863646134997"/>
    <n v="0"/>
    <x v="3"/>
    <d v="2022-12-15T00:00:00"/>
    <n v="1"/>
    <x v="6"/>
    <n v="1"/>
    <n v="2.4771099999999998E-3"/>
    <n v="0.18696201659647746"/>
    <n v="0"/>
    <x v="4"/>
    <s v="LONG"/>
    <x v="6"/>
    <n v="0.18696201659647699"/>
    <n v="75.475863646134997"/>
    <n v="0"/>
    <n v="0"/>
    <s v="HUBI"/>
    <s v="LTC COIN LONG"/>
  </r>
  <r>
    <x v="2"/>
    <x v="5"/>
    <x v="73"/>
    <n v="71073.205401560001"/>
    <n v="0.63772254232820103"/>
    <n v="8.9727561705582505E-6"/>
    <n v="0"/>
    <x v="3"/>
    <d v="2022-12-15T00:00:00"/>
    <n v="1"/>
    <x v="12"/>
    <n v="1"/>
    <n v="71073.205401560001"/>
    <n v="0.63772254232820147"/>
    <n v="0"/>
    <x v="4"/>
    <s v="LONG"/>
    <x v="6"/>
    <n v="0.63772254232820103"/>
    <n v="8.9727561705582505E-6"/>
    <n v="0"/>
    <n v="0"/>
    <s v="HUBI"/>
    <s v="SHIB COIN LONG"/>
  </r>
  <r>
    <x v="2"/>
    <x v="5"/>
    <x v="118"/>
    <n v="4.8644999999999998E-4"/>
    <n v="2.7078899426481499E-5"/>
    <n v="5.5666357131219001E-2"/>
    <n v="0"/>
    <x v="3"/>
    <d v="2022-12-15T00:00:00"/>
    <n v="1"/>
    <x v="77"/>
    <n v="1"/>
    <n v="4.8644999999999998E-4"/>
    <n v="2.7078899426481482E-5"/>
    <n v="0"/>
    <x v="4"/>
    <s v="LONG"/>
    <x v="6"/>
    <n v="2.7078899426481499E-5"/>
    <n v="5.5666357131219001E-2"/>
    <n v="0"/>
    <n v="0"/>
    <s v="HUBI"/>
    <s v="TRX COIN LONG"/>
  </r>
  <r>
    <x v="2"/>
    <x v="5"/>
    <x v="86"/>
    <n v="1.9184000000000001E-4"/>
    <n v="7.4129607618659903E-5"/>
    <n v="0.38641371777866901"/>
    <n v="0"/>
    <x v="3"/>
    <d v="2022-12-15T00:00:00"/>
    <n v="1"/>
    <x v="45"/>
    <n v="1"/>
    <n v="1.9184000000000001E-4"/>
    <n v="7.4129607618659863E-5"/>
    <n v="0"/>
    <x v="4"/>
    <s v="LONG"/>
    <x v="6"/>
    <n v="7.4129607618659903E-5"/>
    <n v="0.38641371777866901"/>
    <n v="0"/>
    <n v="0"/>
    <s v="HUBI"/>
    <s v="XRP COIN LONG"/>
  </r>
  <r>
    <x v="2"/>
    <x v="5"/>
    <x v="121"/>
    <n v="2.4299999999999999E-3"/>
    <n v="3.2644562323836799"/>
    <n v="1343.3976264953401"/>
    <n v="0"/>
    <x v="3"/>
    <d v="2022-12-15T00:00:00"/>
    <n v="1"/>
    <x v="80"/>
    <n v="1"/>
    <n v="2.4299999999999999E-3"/>
    <n v="3.2644562323836763"/>
    <n v="0"/>
    <x v="4"/>
    <s v="LONG"/>
    <x v="6"/>
    <n v="3.2644562323836799"/>
    <n v="1343.3976264953401"/>
    <n v="0"/>
    <n v="0"/>
    <s v="HUBI"/>
    <s v="YFII COIN LONG"/>
  </r>
  <r>
    <x v="2"/>
    <x v="6"/>
    <x v="77"/>
    <n v="644486.57262072002"/>
    <n v="644554.50815949996"/>
    <n v="1.0001054103245299"/>
    <n v="0"/>
    <x v="3"/>
    <d v="2022-12-15T00:00:00"/>
    <n v="1"/>
    <x v="37"/>
    <n v="1"/>
    <n v="644486.57262072002"/>
    <n v="644554.50815949519"/>
    <n v="0"/>
    <x v="4"/>
    <s v="LONG"/>
    <x v="6"/>
    <n v="644554.50815949996"/>
    <n v="1.0001054103245299"/>
    <n v="0"/>
    <n v="0"/>
    <s v="HUBI"/>
    <s v="USDT COIN LONG"/>
  </r>
  <r>
    <x v="2"/>
    <x v="6"/>
    <x v="77"/>
    <n v="44.808952169999998"/>
    <n v="44.813675496190399"/>
    <n v="1.0001054103245299"/>
    <n v="0"/>
    <x v="4"/>
    <d v="2022-12-15T00:00:00"/>
    <n v="1"/>
    <x v="37"/>
    <n v="1"/>
    <n v="44.808952169999998"/>
    <n v="44.813675496190086"/>
    <n v="0"/>
    <x v="4"/>
    <s v="LONG"/>
    <x v="6"/>
    <n v="44.813675496190399"/>
    <n v="1.0001054103245299"/>
    <n v="0"/>
    <n v="0"/>
    <s v="HUBI"/>
    <s v="USDT COIN LONG"/>
  </r>
  <r>
    <x v="2"/>
    <x v="33"/>
    <x v="122"/>
    <n v="377.09760540000002"/>
    <n v="0.11125551983738501"/>
    <n v="2.95031096045738E-4"/>
    <n v="0"/>
    <x v="3"/>
    <d v="2022-12-15T00:00:00"/>
    <n v="1"/>
    <x v="81"/>
    <n v="1"/>
    <n v="377.09760540000002"/>
    <n v="0.11125551983738521"/>
    <n v="0"/>
    <x v="4"/>
    <s v="LONG"/>
    <x v="6"/>
    <n v="0.11125551983738501"/>
    <n v="2.95031096045738E-4"/>
    <n v="0"/>
    <n v="0"/>
    <s v="HUBI"/>
    <s v="AAC COIN LONG"/>
  </r>
  <r>
    <x v="2"/>
    <x v="33"/>
    <x v="44"/>
    <n v="1.1000000000000001E-7"/>
    <n v="3.3894767714163602E-8"/>
    <n v="0.308134251946941"/>
    <n v="0"/>
    <x v="3"/>
    <d v="2022-12-15T00:00:00"/>
    <n v="1"/>
    <x v="14"/>
    <n v="1"/>
    <n v="1.1000000000000001E-7"/>
    <n v="3.389476771416351E-8"/>
    <n v="0"/>
    <x v="4"/>
    <s v="LONG"/>
    <x v="6"/>
    <n v="3.3894767714163602E-8"/>
    <n v="0.308134251946941"/>
    <n v="0"/>
    <n v="0"/>
    <s v="HUBI"/>
    <s v="ADA COIN LONG"/>
  </r>
  <r>
    <x v="2"/>
    <x v="33"/>
    <x v="45"/>
    <n v="2.6E-7"/>
    <n v="5.7438109833676303E-8"/>
    <n v="0.220915807052601"/>
    <n v="0"/>
    <x v="3"/>
    <d v="2022-12-15T00:00:00"/>
    <n v="1"/>
    <x v="15"/>
    <n v="1"/>
    <n v="2.6E-7"/>
    <n v="5.7438109833676256E-8"/>
    <n v="0"/>
    <x v="4"/>
    <s v="LONG"/>
    <x v="6"/>
    <n v="5.7438109833676303E-8"/>
    <n v="0.220915807052601"/>
    <n v="0"/>
    <n v="0"/>
    <s v="HUBI"/>
    <s v="ALGO COIN LONG"/>
  </r>
  <r>
    <x v="2"/>
    <x v="33"/>
    <x v="123"/>
    <n v="0.53247394999999997"/>
    <n v="1.5597477765298099E-2"/>
    <n v="2.9292471050082598E-2"/>
    <n v="0"/>
    <x v="3"/>
    <d v="2022-12-15T00:00:00"/>
    <n v="1"/>
    <x v="82"/>
    <n v="1"/>
    <n v="0.53247394999999997"/>
    <n v="1.5597477765298129E-2"/>
    <n v="0"/>
    <x v="4"/>
    <s v="LONG"/>
    <x v="6"/>
    <n v="1.5597477765298099E-2"/>
    <n v="2.9292471050082598E-2"/>
    <n v="0"/>
    <n v="0"/>
    <s v="HUBI"/>
    <s v="ARPA COIN LONG"/>
  </r>
  <r>
    <x v="2"/>
    <x v="33"/>
    <x v="46"/>
    <n v="4.3657420000000002E-2"/>
    <n v="0.41951020751225698"/>
    <n v="9.6091387789809204"/>
    <n v="0"/>
    <x v="3"/>
    <d v="2022-12-15T00:00:00"/>
    <n v="1"/>
    <x v="11"/>
    <n v="1"/>
    <n v="4.3657420000000002E-2"/>
    <n v="0.41951020751225726"/>
    <n v="0"/>
    <x v="4"/>
    <s v="LONG"/>
    <x v="6"/>
    <n v="0.41951020751225698"/>
    <n v="9.6091387789809204"/>
    <n v="0"/>
    <n v="0"/>
    <s v="HUBI"/>
    <s v="ATOM COIN LONG"/>
  </r>
  <r>
    <x v="2"/>
    <x v="33"/>
    <x v="47"/>
    <n v="1.5389969999999999E-2"/>
    <n v="0.21126673009278599"/>
    <n v="13.7275595789196"/>
    <n v="0"/>
    <x v="3"/>
    <d v="2022-12-15T00:00:00"/>
    <n v="1"/>
    <x v="16"/>
    <n v="1"/>
    <n v="1.5389969999999999E-2"/>
    <n v="0.21126673009278527"/>
    <n v="0"/>
    <x v="4"/>
    <s v="LONG"/>
    <x v="6"/>
    <n v="0.21126673009278599"/>
    <n v="13.7275595789196"/>
    <n v="0"/>
    <n v="0"/>
    <s v="HUBI"/>
    <s v="AVAX COIN LONG"/>
  </r>
  <r>
    <x v="2"/>
    <x v="33"/>
    <x v="48"/>
    <n v="2.0454320000000002E-2"/>
    <n v="4.5809772465210301E-3"/>
    <n v="0.223961356159531"/>
    <n v="0"/>
    <x v="3"/>
    <d v="2022-12-15T00:00:00"/>
    <n v="1"/>
    <x v="17"/>
    <n v="1"/>
    <n v="2.0454320000000002E-2"/>
    <n v="4.5809772465210188E-3"/>
    <n v="0"/>
    <x v="4"/>
    <s v="LONG"/>
    <x v="6"/>
    <n v="4.5809772465210301E-3"/>
    <n v="0.223961356159531"/>
    <n v="0"/>
    <n v="0"/>
    <s v="HUBI"/>
    <s v="BAT COIN LONG"/>
  </r>
  <r>
    <x v="2"/>
    <x v="33"/>
    <x v="49"/>
    <n v="838.04330769000001"/>
    <n v="91437.644845594201"/>
    <n v="109.10849595307199"/>
    <n v="0"/>
    <x v="3"/>
    <d v="2022-12-15T00:00:00"/>
    <n v="1"/>
    <x v="4"/>
    <n v="1"/>
    <n v="838.04330769000001"/>
    <n v="91437.64484559343"/>
    <n v="0"/>
    <x v="4"/>
    <s v="LONG"/>
    <x v="6"/>
    <n v="91437.644845594201"/>
    <n v="109.10849595307199"/>
    <n v="0"/>
    <n v="0"/>
    <s v="HUBI"/>
    <s v="BCH COIN LONG"/>
  </r>
  <r>
    <x v="2"/>
    <x v="33"/>
    <x v="124"/>
    <n v="2.5033500000000001E-3"/>
    <n v="1.9953523672060501E-4"/>
    <n v="7.97072869237644E-2"/>
    <n v="0"/>
    <x v="3"/>
    <d v="2022-12-15T00:00:00"/>
    <n v="1"/>
    <x v="83"/>
    <n v="1"/>
    <n v="2.5033500000000001E-3"/>
    <n v="1.9953523672060561E-4"/>
    <n v="0"/>
    <x v="4"/>
    <s v="LONG"/>
    <x v="6"/>
    <n v="1.9953523672060501E-4"/>
    <n v="7.97072869237644E-2"/>
    <n v="0"/>
    <n v="0"/>
    <s v="HUBI"/>
    <s v="BHD COIN LONG"/>
  </r>
  <r>
    <x v="2"/>
    <x v="33"/>
    <x v="125"/>
    <n v="115.29838952"/>
    <n v="7.2493053638472196"/>
    <n v="6.2874298539874501E-2"/>
    <n v="0"/>
    <x v="3"/>
    <d v="2022-12-15T00:00:00"/>
    <n v="1"/>
    <x v="84"/>
    <n v="1"/>
    <n v="115.29838952"/>
    <n v="7.2493053638472178"/>
    <n v="0"/>
    <x v="4"/>
    <s v="LONG"/>
    <x v="6"/>
    <n v="7.2493053638472196"/>
    <n v="6.2874298539874501E-2"/>
    <n v="0"/>
    <n v="0"/>
    <s v="HUBI"/>
    <s v="BLZ COIN LONG"/>
  </r>
  <r>
    <x v="2"/>
    <x v="33"/>
    <x v="126"/>
    <n v="14.7502"/>
    <n v="3.0301948775707701"/>
    <n v="0.205434155304387"/>
    <n v="0"/>
    <x v="3"/>
    <d v="2022-12-15T00:00:00"/>
    <n v="1"/>
    <x v="85"/>
    <n v="1"/>
    <n v="14.7502"/>
    <n v="3.0301948775707688"/>
    <n v="0"/>
    <x v="4"/>
    <s v="LONG"/>
    <x v="6"/>
    <n v="3.0301948775707701"/>
    <n v="0.205434155304387"/>
    <n v="0"/>
    <n v="0"/>
    <s v="HUBI"/>
    <s v="BOBA COIN LONG"/>
  </r>
  <r>
    <x v="2"/>
    <x v="33"/>
    <x v="117"/>
    <n v="7.7951899999999996E-3"/>
    <n v="0.35321267715002902"/>
    <n v="45.311618722574998"/>
    <n v="0"/>
    <x v="3"/>
    <d v="2022-12-15T00:00:00"/>
    <n v="1"/>
    <x v="76"/>
    <n v="1"/>
    <n v="7.7951899999999996E-3"/>
    <n v="0.35321267715002941"/>
    <n v="0"/>
    <x v="4"/>
    <s v="LONG"/>
    <x v="6"/>
    <n v="0.35321267715002902"/>
    <n v="45.311618722574998"/>
    <n v="0"/>
    <n v="0"/>
    <s v="HUBI"/>
    <s v="BSV COIN LONG"/>
  </r>
  <r>
    <x v="2"/>
    <x v="33"/>
    <x v="51"/>
    <n v="287.47491647999999"/>
    <n v="5121552.4540026896"/>
    <n v="17815.649854650899"/>
    <n v="0"/>
    <x v="3"/>
    <d v="2022-12-15T00:00:00"/>
    <n v="1"/>
    <x v="0"/>
    <n v="1"/>
    <n v="287.47491647999999"/>
    <n v="5121552.4540026914"/>
    <n v="0"/>
    <x v="4"/>
    <s v="LONG"/>
    <x v="6"/>
    <n v="5121552.4540026896"/>
    <n v="17815.649854650899"/>
    <n v="0"/>
    <n v="0"/>
    <s v="HUBI"/>
    <s v="BTC COIN LONG"/>
  </r>
  <r>
    <x v="2"/>
    <x v="33"/>
    <x v="127"/>
    <n v="0.33565571999999999"/>
    <n v="4.5998341691350798E-3"/>
    <n v="1.3704024376927301E-2"/>
    <n v="0"/>
    <x v="3"/>
    <d v="2022-12-15T00:00:00"/>
    <n v="1"/>
    <x v="86"/>
    <n v="1"/>
    <n v="0.33565571999999999"/>
    <n v="4.5998341691350841E-3"/>
    <n v="0"/>
    <x v="4"/>
    <s v="LONG"/>
    <x v="6"/>
    <n v="4.5998341691350798E-3"/>
    <n v="1.3704024376927301E-2"/>
    <n v="0"/>
    <n v="0"/>
    <s v="HUBI"/>
    <s v="BTM COIN LONG"/>
  </r>
  <r>
    <x v="2"/>
    <x v="33"/>
    <x v="128"/>
    <n v="1367501156.8785999"/>
    <n v="926.78176959022505"/>
    <n v="6.7771918504672998E-7"/>
    <n v="0"/>
    <x v="3"/>
    <d v="2022-12-15T00:00:00"/>
    <n v="1"/>
    <x v="87"/>
    <n v="1"/>
    <n v="1367501156.8785999"/>
    <n v="926.78176959022517"/>
    <n v="0"/>
    <x v="4"/>
    <s v="LONG"/>
    <x v="6"/>
    <n v="926.78176959022505"/>
    <n v="6.7771918504672998E-7"/>
    <n v="0"/>
    <n v="0"/>
    <s v="HUBI"/>
    <s v="BTT COIN LONG"/>
  </r>
  <r>
    <x v="2"/>
    <x v="33"/>
    <x v="129"/>
    <n v="1.7855998900000001"/>
    <n v="6.6804407083560597E-3"/>
    <n v="3.7412864694766901E-3"/>
    <n v="0"/>
    <x v="3"/>
    <d v="2022-12-15T00:00:00"/>
    <n v="1"/>
    <x v="88"/>
    <n v="1"/>
    <n v="1.7855998900000001"/>
    <n v="6.6804407083560667E-3"/>
    <n v="0"/>
    <x v="4"/>
    <s v="LONG"/>
    <x v="6"/>
    <n v="6.6804407083560597E-3"/>
    <n v="3.7412864694766901E-3"/>
    <n v="0"/>
    <n v="0"/>
    <s v="HUBI"/>
    <s v="CMT COIN LONG"/>
  </r>
  <r>
    <x v="2"/>
    <x v="33"/>
    <x v="130"/>
    <n v="0.30791584"/>
    <n v="1.9071477542135899E-2"/>
    <n v="6.1937305798025602E-2"/>
    <n v="0"/>
    <x v="3"/>
    <d v="2022-12-15T00:00:00"/>
    <n v="1"/>
    <x v="89"/>
    <n v="1"/>
    <n v="0.30791584"/>
    <n v="1.9071477542135923E-2"/>
    <n v="0"/>
    <x v="4"/>
    <s v="LONG"/>
    <x v="6"/>
    <n v="1.9071477542135899E-2"/>
    <n v="6.1937305798025602E-2"/>
    <n v="0"/>
    <n v="0"/>
    <s v="HUBI"/>
    <s v="CRO COIN LONG"/>
  </r>
  <r>
    <x v="2"/>
    <x v="33"/>
    <x v="55"/>
    <n v="5.6119999999999998E-5"/>
    <n v="2.7411021117993198E-3"/>
    <n v="48.843587166773403"/>
    <n v="0"/>
    <x v="3"/>
    <d v="2022-12-15T00:00:00"/>
    <n v="1"/>
    <x v="21"/>
    <n v="1"/>
    <n v="5.6119999999999998E-5"/>
    <n v="2.7411021117993233E-3"/>
    <n v="0"/>
    <x v="4"/>
    <s v="LONG"/>
    <x v="6"/>
    <n v="2.7411021117993198E-3"/>
    <n v="48.843587166773403"/>
    <n v="0"/>
    <n v="0"/>
    <s v="HUBI"/>
    <s v="DASH COIN LONG"/>
  </r>
  <r>
    <x v="2"/>
    <x v="33"/>
    <x v="131"/>
    <n v="5.9800000000000001E-4"/>
    <n v="2.9903151768703602E-6"/>
    <n v="5.0005270516226804E-3"/>
    <n v="0"/>
    <x v="3"/>
    <d v="2022-12-15T00:00:00"/>
    <n v="1"/>
    <x v="90"/>
    <n v="1"/>
    <n v="5.9800000000000001E-4"/>
    <n v="2.9903151768703628E-6"/>
    <n v="0"/>
    <x v="4"/>
    <s v="LONG"/>
    <x v="6"/>
    <n v="2.9903151768703602E-6"/>
    <n v="5.0005270516226804E-3"/>
    <n v="0"/>
    <n v="0"/>
    <s v="HUBI"/>
    <s v="DON COIN LONG"/>
  </r>
  <r>
    <x v="2"/>
    <x v="33"/>
    <x v="57"/>
    <n v="40134.758036849998"/>
    <n v="209311.181466418"/>
    <n v="5.21520975096543"/>
    <n v="0"/>
    <x v="3"/>
    <d v="2022-12-15T00:00:00"/>
    <n v="1"/>
    <x v="23"/>
    <n v="1"/>
    <n v="40134.758036849998"/>
    <n v="209311.18146641826"/>
    <n v="0"/>
    <x v="4"/>
    <s v="LONG"/>
    <x v="6"/>
    <n v="209311.181466418"/>
    <n v="5.21520975096543"/>
    <n v="0"/>
    <n v="0"/>
    <s v="HUBI"/>
    <s v="DOT COIN LONG"/>
  </r>
  <r>
    <x v="2"/>
    <x v="33"/>
    <x v="58"/>
    <n v="1E-8"/>
    <n v="3.00264020544341E-9"/>
    <n v="0.30026402054434098"/>
    <n v="0"/>
    <x v="3"/>
    <d v="2022-12-15T00:00:00"/>
    <n v="1"/>
    <x v="24"/>
    <n v="1"/>
    <n v="1E-8"/>
    <n v="3.00264020544341E-9"/>
    <n v="0"/>
    <x v="4"/>
    <s v="LONG"/>
    <x v="6"/>
    <n v="3.00264020544341E-9"/>
    <n v="0.30026402054434098"/>
    <n v="0"/>
    <n v="0"/>
    <s v="HUBI"/>
    <s v="ENJ COIN LONG"/>
  </r>
  <r>
    <x v="2"/>
    <x v="33"/>
    <x v="59"/>
    <n v="28537.08774997"/>
    <n v="27909.880706494401"/>
    <n v="0.97802133669101299"/>
    <n v="0"/>
    <x v="3"/>
    <d v="2022-12-15T00:00:00"/>
    <n v="1"/>
    <x v="3"/>
    <n v="1"/>
    <n v="28537.08774997"/>
    <n v="27909.88070649439"/>
    <n v="0"/>
    <x v="4"/>
    <s v="LONG"/>
    <x v="6"/>
    <n v="27909.880706494401"/>
    <n v="0.97802133669101299"/>
    <n v="0"/>
    <n v="0"/>
    <s v="HUBI"/>
    <s v="EOS COIN LONG"/>
  </r>
  <r>
    <x v="2"/>
    <x v="33"/>
    <x v="81"/>
    <n v="9625.8346537899997"/>
    <n v="180847.170787865"/>
    <n v="18.787687228417099"/>
    <n v="0"/>
    <x v="3"/>
    <d v="2022-12-15T00:00:00"/>
    <n v="1"/>
    <x v="5"/>
    <n v="1"/>
    <n v="9625.8346537899997"/>
    <n v="180847.17078786509"/>
    <n v="0"/>
    <x v="4"/>
    <s v="LONG"/>
    <x v="6"/>
    <n v="180847.170787865"/>
    <n v="18.787687228417099"/>
    <n v="0"/>
    <n v="0"/>
    <s v="HUBI"/>
    <s v="ETC COIN LONG"/>
  </r>
  <r>
    <x v="2"/>
    <x v="33"/>
    <x v="60"/>
    <n v="4359.2729806400002"/>
    <n v="5707721.1241309801"/>
    <n v="1309.32867693296"/>
    <n v="0"/>
    <x v="3"/>
    <d v="2022-12-15T00:00:00"/>
    <n v="1"/>
    <x v="1"/>
    <n v="1"/>
    <n v="4359.2729806400002"/>
    <n v="5707721.1241309727"/>
    <n v="0"/>
    <x v="4"/>
    <s v="LONG"/>
    <x v="6"/>
    <n v="5707721.1241309801"/>
    <n v="1309.32867693296"/>
    <n v="0"/>
    <n v="0"/>
    <s v="HUBI"/>
    <s v="ETH COIN LONG"/>
  </r>
  <r>
    <x v="2"/>
    <x v="33"/>
    <x v="119"/>
    <n v="9823.8364263999993"/>
    <n v="2259.6459327001999"/>
    <n v="0.23001664875320599"/>
    <n v="0"/>
    <x v="3"/>
    <d v="2022-12-15T00:00:00"/>
    <n v="1"/>
    <x v="78"/>
    <n v="1"/>
    <n v="9823.8364263999993"/>
    <n v="2259.645932700199"/>
    <n v="0"/>
    <x v="4"/>
    <s v="LONG"/>
    <x v="6"/>
    <n v="2259.6459327001999"/>
    <n v="0.23001664875320599"/>
    <n v="0"/>
    <n v="0"/>
    <s v="HUBI"/>
    <s v="ETHF COIN LONG"/>
  </r>
  <r>
    <x v="2"/>
    <x v="33"/>
    <x v="82"/>
    <n v="3460.93190667"/>
    <n v="12253.471532504"/>
    <n v="3.5405121692480601"/>
    <n v="0"/>
    <x v="3"/>
    <d v="2022-12-15T00:00:00"/>
    <n v="1"/>
    <x v="41"/>
    <n v="1"/>
    <n v="3460.93190667"/>
    <n v="12253.471532504027"/>
    <n v="0"/>
    <x v="4"/>
    <s v="LONG"/>
    <x v="6"/>
    <n v="12253.471532504"/>
    <n v="3.5405121692480601"/>
    <n v="0"/>
    <n v="0"/>
    <s v="HUBI"/>
    <s v="ETHW COIN LONG"/>
  </r>
  <r>
    <x v="2"/>
    <x v="33"/>
    <x v="132"/>
    <n v="340001.49837544002"/>
    <n v="363234.29147343902"/>
    <n v="1.0683314432701201"/>
    <n v="0"/>
    <x v="3"/>
    <d v="2022-12-15T00:00:00"/>
    <n v="1"/>
    <x v="91"/>
    <n v="1"/>
    <n v="340001.49837544002"/>
    <n v="363234.29147343722"/>
    <n v="0"/>
    <x v="4"/>
    <s v="LONG"/>
    <x v="6"/>
    <n v="363234.29147343902"/>
    <n v="1.0683314432701201"/>
    <n v="0"/>
    <n v="0"/>
    <s v="HUBI"/>
    <s v="EUROC COIN LONG"/>
  </r>
  <r>
    <x v="2"/>
    <x v="33"/>
    <x v="62"/>
    <n v="1.0244641699999999"/>
    <n v="4.3335753432124999"/>
    <n v="4.2300897094453704"/>
    <n v="0"/>
    <x v="3"/>
    <d v="2022-12-15T00:00:00"/>
    <n v="1"/>
    <x v="26"/>
    <n v="1"/>
    <n v="1.0244641699999999"/>
    <n v="4.3335753432124919"/>
    <n v="0"/>
    <x v="4"/>
    <s v="LONG"/>
    <x v="6"/>
    <n v="4.3335753432124999"/>
    <n v="4.2300897094453704"/>
    <n v="0"/>
    <n v="0"/>
    <s v="HUBI"/>
    <s v="FIL COIN LONG"/>
  </r>
  <r>
    <x v="2"/>
    <x v="33"/>
    <x v="133"/>
    <n v="0.68557060000000003"/>
    <n v="0.94009218100883196"/>
    <n v="1.37125509905009"/>
    <n v="0"/>
    <x v="3"/>
    <d v="2022-12-15T00:00:00"/>
    <n v="1"/>
    <x v="92"/>
    <n v="1"/>
    <n v="0.68557060000000003"/>
    <n v="0.94009218100882974"/>
    <n v="0"/>
    <x v="4"/>
    <s v="LONG"/>
    <x v="6"/>
    <n v="0.94009218100883196"/>
    <n v="1.37125509905009"/>
    <n v="0"/>
    <n v="0"/>
    <s v="HUBI"/>
    <s v="FTT COIN LONG"/>
  </r>
  <r>
    <x v="2"/>
    <x v="33"/>
    <x v="134"/>
    <n v="54.776400000000002"/>
    <n v="126.89314937976"/>
    <n v="2.31656606457818"/>
    <n v="0"/>
    <x v="3"/>
    <d v="2022-12-15T00:00:00"/>
    <n v="1"/>
    <x v="93"/>
    <n v="1"/>
    <n v="54.776400000000002"/>
    <n v="126.89314937976023"/>
    <n v="0"/>
    <x v="4"/>
    <s v="LONG"/>
    <x v="6"/>
    <n v="126.89314937976"/>
    <n v="2.31656606457818"/>
    <n v="0"/>
    <n v="0"/>
    <s v="HUBI"/>
    <s v="GAS COIN LONG"/>
  </r>
  <r>
    <x v="2"/>
    <x v="33"/>
    <x v="65"/>
    <n v="3.4060489999999999E-2"/>
    <n v="1.5899051850250801E-3"/>
    <n v="4.6678870005249097E-2"/>
    <n v="0"/>
    <x v="3"/>
    <d v="2022-12-15T00:00:00"/>
    <n v="1"/>
    <x v="29"/>
    <n v="1"/>
    <n v="3.4060489999999999E-2"/>
    <n v="1.5899051850250868E-3"/>
    <n v="0"/>
    <x v="4"/>
    <s v="LONG"/>
    <x v="6"/>
    <n v="1.5899051850250801E-3"/>
    <n v="4.6678870005249097E-2"/>
    <n v="0"/>
    <n v="0"/>
    <s v="HUBI"/>
    <s v="HBAR COIN LONG"/>
  </r>
  <r>
    <x v="2"/>
    <x v="33"/>
    <x v="135"/>
    <n v="5337.6979873099999"/>
    <n v="4.2889520671411701"/>
    <n v="8.0352093305725597E-4"/>
    <n v="0"/>
    <x v="3"/>
    <d v="2022-12-15T00:00:00"/>
    <n v="1"/>
    <x v="94"/>
    <n v="1"/>
    <n v="5337.6979873099999"/>
    <n v="4.2889520671411683"/>
    <n v="0"/>
    <x v="4"/>
    <s v="LONG"/>
    <x v="6"/>
    <n v="4.2889520671411701"/>
    <n v="8.0352093305725597E-4"/>
    <n v="0"/>
    <n v="0"/>
    <s v="HUBI"/>
    <s v="HPT COIN LONG"/>
  </r>
  <r>
    <x v="2"/>
    <x v="33"/>
    <x v="136"/>
    <n v="2231.62166088"/>
    <n v="14057.7194527379"/>
    <n v="6.2993291825257502"/>
    <n v="0"/>
    <x v="3"/>
    <d v="2022-12-15T00:00:00"/>
    <n v="1"/>
    <x v="95"/>
    <n v="1"/>
    <n v="2231.62166088"/>
    <n v="14057.719452737967"/>
    <n v="0"/>
    <x v="4"/>
    <s v="LONG"/>
    <x v="6"/>
    <n v="14057.7194527379"/>
    <n v="6.2993291825257502"/>
    <n v="0"/>
    <n v="0"/>
    <s v="HUBI"/>
    <s v="HT COIN LONG"/>
  </r>
  <r>
    <x v="2"/>
    <x v="33"/>
    <x v="137"/>
    <n v="14.785856219999999"/>
    <n v="0.12275501988460601"/>
    <n v="8.3021921800215306E-3"/>
    <n v="0"/>
    <x v="3"/>
    <d v="2022-12-15T00:00:00"/>
    <n v="1"/>
    <x v="96"/>
    <n v="1"/>
    <n v="14.785856219999999"/>
    <n v="0.1227550198846067"/>
    <n v="0"/>
    <x v="4"/>
    <s v="LONG"/>
    <x v="6"/>
    <n v="0.12275501988460601"/>
    <n v="8.3021921800215306E-3"/>
    <n v="0"/>
    <n v="0"/>
    <s v="HUBI"/>
    <s v="IOST COIN LONG"/>
  </r>
  <r>
    <x v="2"/>
    <x v="33"/>
    <x v="138"/>
    <n v="0.81765067999999996"/>
    <n v="1.1601565558051599E-2"/>
    <n v="1.41889022315148E-2"/>
    <n v="0"/>
    <x v="3"/>
    <d v="2022-12-15T00:00:00"/>
    <n v="1"/>
    <x v="97"/>
    <n v="1"/>
    <n v="0.81765067999999996"/>
    <n v="1.1601565558051594E-2"/>
    <n v="0"/>
    <x v="4"/>
    <s v="LONG"/>
    <x v="6"/>
    <n v="1.1601565558051599E-2"/>
    <n v="1.41889022315148E-2"/>
    <n v="0"/>
    <n v="0"/>
    <s v="HUBI"/>
    <s v="IRIS COIN LONG"/>
  </r>
  <r>
    <x v="2"/>
    <x v="33"/>
    <x v="139"/>
    <n v="9.1121815000000002"/>
    <n v="0.20402093989553599"/>
    <n v="2.2389911778594E-2"/>
    <n v="0"/>
    <x v="3"/>
    <d v="2022-12-15T00:00:00"/>
    <n v="1"/>
    <x v="98"/>
    <n v="1"/>
    <n v="9.1121815000000002"/>
    <n v="0.20402093989553635"/>
    <n v="0"/>
    <x v="4"/>
    <s v="LONG"/>
    <x v="6"/>
    <n v="0.20402093989553599"/>
    <n v="2.2389911778594E-2"/>
    <n v="0"/>
    <n v="0"/>
    <s v="HUBI"/>
    <s v="JST COIN LONG"/>
  </r>
  <r>
    <x v="2"/>
    <x v="33"/>
    <x v="140"/>
    <n v="1.4966E-4"/>
    <n v="4.1227324713276198E-3"/>
    <n v="27.547323742667501"/>
    <n v="0"/>
    <x v="3"/>
    <d v="2022-12-15T00:00:00"/>
    <n v="1"/>
    <x v="99"/>
    <n v="1"/>
    <n v="1.4966E-4"/>
    <n v="4.122732471327618E-3"/>
    <n v="0"/>
    <x v="4"/>
    <s v="LONG"/>
    <x v="6"/>
    <n v="4.1227324713276198E-3"/>
    <n v="27.547323742667501"/>
    <n v="0"/>
    <n v="0"/>
    <s v="HUBI"/>
    <s v="KSM COIN LONG"/>
  </r>
  <r>
    <x v="2"/>
    <x v="33"/>
    <x v="141"/>
    <n v="0.24234807999999999"/>
    <n v="3.0911104955718202E-4"/>
    <n v="1.27548379816825E-3"/>
    <n v="0"/>
    <x v="3"/>
    <d v="2022-12-15T00:00:00"/>
    <n v="1"/>
    <x v="100"/>
    <n v="1"/>
    <n v="0.24234807999999999"/>
    <n v="3.0911104955718289E-4"/>
    <n v="0"/>
    <x v="4"/>
    <s v="LONG"/>
    <x v="6"/>
    <n v="3.0911104955718202E-4"/>
    <n v="1.27548379816825E-3"/>
    <n v="0"/>
    <n v="0"/>
    <s v="HUBI"/>
    <s v="LAMB COIN LONG"/>
  </r>
  <r>
    <x v="2"/>
    <x v="33"/>
    <x v="142"/>
    <n v="1E-8"/>
    <n v="0"/>
    <n v="0"/>
    <n v="0"/>
    <x v="3"/>
    <d v="2022-12-15T00:00:00"/>
    <n v="1"/>
    <x v="101"/>
    <n v="1"/>
    <n v="1E-8"/>
    <n v="0"/>
    <n v="0"/>
    <x v="4"/>
    <s v="SHORT"/>
    <x v="8"/>
    <n v="0"/>
    <n v="0"/>
    <n v="0"/>
    <n v="0"/>
    <s v="HUBI"/>
    <s v="LEND COIN SHORT"/>
  </r>
  <r>
    <x v="2"/>
    <x v="33"/>
    <x v="66"/>
    <n v="24008.678678230001"/>
    <n v="161550.27071578801"/>
    <n v="6.72882805759214"/>
    <n v="0"/>
    <x v="3"/>
    <d v="2022-12-15T00:00:00"/>
    <n v="1"/>
    <x v="10"/>
    <n v="1"/>
    <n v="24008.678678230001"/>
    <n v="161550.27071578821"/>
    <n v="0"/>
    <x v="4"/>
    <s v="LONG"/>
    <x v="6"/>
    <n v="161550.27071578801"/>
    <n v="6.72882805759214"/>
    <n v="0"/>
    <n v="0"/>
    <s v="HUBI"/>
    <s v="LINK COIN LONG"/>
  </r>
  <r>
    <x v="2"/>
    <x v="33"/>
    <x v="143"/>
    <n v="4.3289484800000002"/>
    <n v="1.23866429375467E-6"/>
    <n v="2.8613514332115E-7"/>
    <n v="0"/>
    <x v="3"/>
    <d v="2022-12-15T00:00:00"/>
    <n v="1"/>
    <x v="102"/>
    <n v="1"/>
    <n v="4.3289484800000002"/>
    <n v="1.2386642937546744E-6"/>
    <n v="0"/>
    <x v="4"/>
    <s v="LONG"/>
    <x v="6"/>
    <n v="1.23866429375467E-6"/>
    <n v="2.8613514332115E-7"/>
    <n v="0"/>
    <n v="0"/>
    <s v="HUBI"/>
    <s v="LOL COIN LONG"/>
  </r>
  <r>
    <x v="2"/>
    <x v="33"/>
    <x v="67"/>
    <n v="8986.5232711400004"/>
    <n v="678265.60506538104"/>
    <n v="75.475863646134997"/>
    <n v="0"/>
    <x v="3"/>
    <d v="2022-12-15T00:00:00"/>
    <n v="1"/>
    <x v="6"/>
    <n v="1"/>
    <n v="8986.5232711400004"/>
    <n v="678265.60506538174"/>
    <n v="0"/>
    <x v="4"/>
    <s v="LONG"/>
    <x v="6"/>
    <n v="678265.60506538104"/>
    <n v="75.475863646134997"/>
    <n v="0"/>
    <n v="0"/>
    <s v="HUBI"/>
    <s v="LTC COIN LONG"/>
  </r>
  <r>
    <x v="2"/>
    <x v="33"/>
    <x v="144"/>
    <n v="0.66495972999999997"/>
    <n v="1.4231638225488101E-4"/>
    <n v="2.1402255780945099E-4"/>
    <n v="0"/>
    <x v="3"/>
    <d v="2022-12-15T00:00:00"/>
    <n v="1"/>
    <x v="103"/>
    <n v="1"/>
    <n v="0.66495972999999997"/>
    <n v="1.4231638225488191E-4"/>
    <n v="0"/>
    <x v="4"/>
    <s v="LONG"/>
    <x v="6"/>
    <n v="1.4231638225488101E-4"/>
    <n v="2.1402255780945099E-4"/>
    <n v="0"/>
    <n v="0"/>
    <s v="HUBI"/>
    <s v="LXT COIN LONG"/>
  </r>
  <r>
    <x v="2"/>
    <x v="33"/>
    <x v="68"/>
    <n v="0.34"/>
    <n v="0.129832534504292"/>
    <n v="0.38186039560085799"/>
    <n v="0"/>
    <x v="3"/>
    <d v="2022-12-15T00:00:00"/>
    <n v="1"/>
    <x v="30"/>
    <n v="1"/>
    <n v="0.34"/>
    <n v="0.12983253450429172"/>
    <n v="0"/>
    <x v="4"/>
    <s v="LONG"/>
    <x v="6"/>
    <n v="0.129832534504292"/>
    <n v="0.38186039560085799"/>
    <n v="0"/>
    <n v="0"/>
    <s v="HUBI"/>
    <s v="MANA COIN LONG"/>
  </r>
  <r>
    <x v="2"/>
    <x v="33"/>
    <x v="145"/>
    <n v="0.89105878000000005"/>
    <n v="6.3936605193977698"/>
    <n v="7.1753521349037896"/>
    <n v="0"/>
    <x v="3"/>
    <d v="2022-12-15T00:00:00"/>
    <n v="1"/>
    <x v="104"/>
    <n v="1"/>
    <n v="0.89105878000000005"/>
    <n v="6.3936605193977663"/>
    <n v="0"/>
    <x v="4"/>
    <s v="LONG"/>
    <x v="6"/>
    <n v="6.3936605193977698"/>
    <n v="7.1753521349037896"/>
    <n v="0"/>
    <n v="0"/>
    <s v="HUBI"/>
    <s v="NEO COIN LONG"/>
  </r>
  <r>
    <x v="2"/>
    <x v="33"/>
    <x v="146"/>
    <n v="40.704174029999997"/>
    <n v="6.95299664114117E-3"/>
    <n v="1.7081777991654199E-4"/>
    <n v="0"/>
    <x v="3"/>
    <d v="2022-12-15T00:00:00"/>
    <n v="1"/>
    <x v="105"/>
    <n v="1"/>
    <n v="40.704174029999997"/>
    <n v="6.9529966411411639E-3"/>
    <n v="0"/>
    <x v="4"/>
    <s v="LONG"/>
    <x v="6"/>
    <n v="6.95299664114117E-3"/>
    <n v="1.7081777991654199E-4"/>
    <n v="0"/>
    <n v="0"/>
    <s v="HUBI"/>
    <s v="NEW COIN LONG"/>
  </r>
  <r>
    <x v="2"/>
    <x v="33"/>
    <x v="147"/>
    <n v="3045130004.3544402"/>
    <n v="1441.74270216525"/>
    <n v="4.7345850591062001E-7"/>
    <n v="0"/>
    <x v="3"/>
    <d v="2022-12-15T00:00:00"/>
    <n v="1"/>
    <x v="106"/>
    <n v="1"/>
    <n v="3045130004.3544402"/>
    <n v="1441.7427021652531"/>
    <n v="0"/>
    <x v="4"/>
    <s v="LONG"/>
    <x v="6"/>
    <n v="1441.74270216525"/>
    <n v="4.7345850591062001E-7"/>
    <n v="0"/>
    <n v="0"/>
    <s v="HUBI"/>
    <s v="NFT COIN LONG"/>
  </r>
  <r>
    <x v="2"/>
    <x v="33"/>
    <x v="148"/>
    <n v="4.3068300000000002E-3"/>
    <n v="9.1859295588851404E-4"/>
    <n v="0.213287488916097"/>
    <n v="0"/>
    <x v="3"/>
    <d v="2022-12-15T00:00:00"/>
    <n v="1"/>
    <x v="107"/>
    <n v="1"/>
    <n v="4.3068300000000002E-3"/>
    <n v="9.1859295588851404E-4"/>
    <n v="0"/>
    <x v="4"/>
    <s v="LONG"/>
    <x v="6"/>
    <n v="9.1859295588851404E-4"/>
    <n v="0.213287488916097"/>
    <n v="0"/>
    <n v="0"/>
    <s v="HUBI"/>
    <s v="NULS COIN LONG"/>
  </r>
  <r>
    <x v="2"/>
    <x v="33"/>
    <x v="149"/>
    <n v="0.34782034000000001"/>
    <n v="9.2591922833754503E-2"/>
    <n v="0.26620617653859602"/>
    <n v="0"/>
    <x v="3"/>
    <d v="2022-12-15T00:00:00"/>
    <n v="1"/>
    <x v="108"/>
    <n v="1"/>
    <n v="0.34782034000000001"/>
    <n v="9.2591922833754489E-2"/>
    <n v="0"/>
    <x v="4"/>
    <s v="LONG"/>
    <x v="6"/>
    <n v="9.2591922833754503E-2"/>
    <n v="0.26620617653859602"/>
    <n v="0"/>
    <n v="0"/>
    <s v="HUBI"/>
    <s v="ONG COIN LONG"/>
  </r>
  <r>
    <x v="2"/>
    <x v="33"/>
    <x v="72"/>
    <n v="787825.66037626006"/>
    <n v="63954.010122330197"/>
    <n v="8.1177871372945895E-2"/>
    <n v="0"/>
    <x v="3"/>
    <d v="2022-12-15T00:00:00"/>
    <n v="1"/>
    <x v="33"/>
    <n v="1"/>
    <n v="787825.66037626006"/>
    <n v="63954.010122330197"/>
    <n v="0"/>
    <x v="4"/>
    <s v="LONG"/>
    <x v="6"/>
    <n v="63954.010122330197"/>
    <n v="8.1177871372945895E-2"/>
    <n v="0"/>
    <n v="0"/>
    <s v="HUBI"/>
    <s v="OXT COIN LONG"/>
  </r>
  <r>
    <x v="2"/>
    <x v="33"/>
    <x v="150"/>
    <n v="3.0962099999999998E-3"/>
    <n v="7.3057120862182502E-3"/>
    <n v="2.3595660779527998"/>
    <n v="0"/>
    <x v="3"/>
    <d v="2022-12-15T00:00:00"/>
    <n v="1"/>
    <x v="109"/>
    <n v="1"/>
    <n v="3.0962099999999998E-3"/>
    <n v="7.3057120862182381E-3"/>
    <n v="0"/>
    <x v="4"/>
    <s v="LONG"/>
    <x v="6"/>
    <n v="7.3057120862182502E-3"/>
    <n v="2.3595660779527998"/>
    <n v="0"/>
    <n v="0"/>
    <s v="HUBI"/>
    <s v="QTUM COIN LONG"/>
  </r>
  <r>
    <x v="2"/>
    <x v="33"/>
    <x v="151"/>
    <n v="2.6598900000000002E-2"/>
    <n v="6.6126062963526102E-4"/>
    <n v="2.4860450230470399E-2"/>
    <n v="0"/>
    <x v="3"/>
    <d v="2022-12-15T00:00:00"/>
    <n v="1"/>
    <x v="110"/>
    <n v="1"/>
    <n v="2.6598900000000002E-2"/>
    <n v="6.6126062963525918E-4"/>
    <n v="0"/>
    <x v="4"/>
    <s v="LONG"/>
    <x v="6"/>
    <n v="6.6126062963526102E-4"/>
    <n v="2.4860450230470399E-2"/>
    <n v="0"/>
    <n v="0"/>
    <s v="HUBI"/>
    <s v="REI COIN LONG"/>
  </r>
  <r>
    <x v="2"/>
    <x v="33"/>
    <x v="85"/>
    <n v="1214222.2371159999"/>
    <n v="14448.8413958525"/>
    <n v="1.1899667914311201E-2"/>
    <n v="0"/>
    <x v="3"/>
    <d v="2022-12-15T00:00:00"/>
    <n v="1"/>
    <x v="44"/>
    <n v="1"/>
    <n v="1214222.2371159999"/>
    <n v="14448.841395852431"/>
    <n v="0"/>
    <x v="4"/>
    <s v="LONG"/>
    <x v="6"/>
    <n v="14448.8413958525"/>
    <n v="1.1899667914311201E-2"/>
    <n v="0"/>
    <n v="0"/>
    <s v="HUBI"/>
    <s v="SGB COIN LONG"/>
  </r>
  <r>
    <x v="2"/>
    <x v="33"/>
    <x v="73"/>
    <n v="1387387.30453923"/>
    <n v="12.448687997758499"/>
    <n v="8.9727561705582505E-6"/>
    <n v="0"/>
    <x v="3"/>
    <d v="2022-12-15T00:00:00"/>
    <n v="1"/>
    <x v="12"/>
    <n v="1"/>
    <n v="1387387.30453923"/>
    <n v="12.448687997758555"/>
    <n v="0"/>
    <x v="4"/>
    <s v="LONG"/>
    <x v="6"/>
    <n v="12.448687997758499"/>
    <n v="8.9727561705582505E-6"/>
    <n v="0"/>
    <n v="0"/>
    <s v="HUBI"/>
    <s v="SHIB COIN LONG"/>
  </r>
  <r>
    <x v="2"/>
    <x v="33"/>
    <x v="74"/>
    <n v="0.14106867000000001"/>
    <n v="1.99478522395709"/>
    <n v="14.1405261987448"/>
    <n v="0"/>
    <x v="3"/>
    <d v="2022-12-15T00:00:00"/>
    <n v="1"/>
    <x v="34"/>
    <n v="1"/>
    <n v="0.14106867000000001"/>
    <n v="1.9947852239570847"/>
    <n v="0"/>
    <x v="4"/>
    <s v="LONG"/>
    <x v="6"/>
    <n v="1.99478522395709"/>
    <n v="14.1405261987448"/>
    <n v="0"/>
    <n v="0"/>
    <s v="HUBI"/>
    <s v="SOL COIN LONG"/>
  </r>
  <r>
    <x v="2"/>
    <x v="33"/>
    <x v="152"/>
    <n v="38753.774400000002"/>
    <n v="5874.2456954794798"/>
    <n v="0.15157867295319399"/>
    <n v="0"/>
    <x v="3"/>
    <d v="2022-12-15T00:00:00"/>
    <n v="1"/>
    <x v="111"/>
    <n v="1"/>
    <n v="38753.774400000002"/>
    <n v="5874.2456954794625"/>
    <n v="0"/>
    <x v="4"/>
    <s v="LONG"/>
    <x v="6"/>
    <n v="5874.2456954794798"/>
    <n v="0.15157867295319399"/>
    <n v="0"/>
    <n v="0"/>
    <s v="HUBI"/>
    <s v="SOLO COIN LONG"/>
  </r>
  <r>
    <x v="2"/>
    <x v="33"/>
    <x v="153"/>
    <n v="29.76350429"/>
    <n v="9.9667326333820299"/>
    <n v="0.33486421949080297"/>
    <n v="0"/>
    <x v="3"/>
    <d v="2022-12-15T00:00:00"/>
    <n v="1"/>
    <x v="112"/>
    <n v="1"/>
    <n v="29.76350429"/>
    <n v="9.9667326333820156"/>
    <n v="0"/>
    <x v="4"/>
    <s v="LONG"/>
    <x v="6"/>
    <n v="9.9667326333820299"/>
    <n v="0.33486421949080297"/>
    <n v="0"/>
    <n v="0"/>
    <s v="HUBI"/>
    <s v="STORJ COIN LONG"/>
  </r>
  <r>
    <x v="2"/>
    <x v="33"/>
    <x v="118"/>
    <n v="44.266270740000003"/>
    <n v="2.4641420358800699"/>
    <n v="5.5666357131219001E-2"/>
    <n v="0"/>
    <x v="3"/>
    <d v="2022-12-15T00:00:00"/>
    <n v="1"/>
    <x v="77"/>
    <n v="1"/>
    <n v="44.266270740000003"/>
    <n v="2.4641420358800703"/>
    <n v="0"/>
    <x v="4"/>
    <s v="LONG"/>
    <x v="6"/>
    <n v="2.4641420358800699"/>
    <n v="5.5666357131219001E-2"/>
    <n v="0"/>
    <n v="0"/>
    <s v="HUBI"/>
    <s v="TRX COIN LONG"/>
  </r>
  <r>
    <x v="2"/>
    <x v="33"/>
    <x v="154"/>
    <n v="6.3152970000000003E-2"/>
    <n v="2.4075889084370101E-4"/>
    <n v="3.8123130368009801E-3"/>
    <n v="0"/>
    <x v="3"/>
    <d v="2022-12-15T00:00:00"/>
    <n v="1"/>
    <x v="113"/>
    <n v="1"/>
    <n v="6.3152970000000003E-2"/>
    <n v="2.407588908437012E-4"/>
    <n v="0"/>
    <x v="4"/>
    <s v="LONG"/>
    <x v="6"/>
    <n v="2.4075889084370101E-4"/>
    <n v="3.8123130368009801E-3"/>
    <n v="0"/>
    <n v="0"/>
    <s v="HUBI"/>
    <s v="TT COIN LONG"/>
  </r>
  <r>
    <x v="2"/>
    <x v="33"/>
    <x v="155"/>
    <n v="20"/>
    <n v="19.9996805291984"/>
    <n v="0.99998402645992202"/>
    <n v="0"/>
    <x v="3"/>
    <d v="2022-12-15T00:00:00"/>
    <n v="1"/>
    <x v="114"/>
    <n v="1"/>
    <n v="20"/>
    <n v="19.999680529198439"/>
    <n v="0"/>
    <x v="4"/>
    <s v="LONG"/>
    <x v="6"/>
    <n v="19.9996805291984"/>
    <n v="0.99998402645992202"/>
    <n v="0"/>
    <n v="0"/>
    <s v="HUBI"/>
    <s v="TUSD COIN LONG"/>
  </r>
  <r>
    <x v="2"/>
    <x v="33"/>
    <x v="76"/>
    <n v="1E-8"/>
    <n v="5.9196374391119299E-8"/>
    <n v="5.9196374391119297"/>
    <n v="0"/>
    <x v="3"/>
    <d v="2022-12-15T00:00:00"/>
    <n v="1"/>
    <x v="36"/>
    <n v="1"/>
    <n v="1E-8"/>
    <n v="5.9196374391119299E-8"/>
    <n v="0"/>
    <x v="4"/>
    <s v="LONG"/>
    <x v="6"/>
    <n v="5.9196374391119299E-8"/>
    <n v="5.9196374391119297"/>
    <n v="0"/>
    <n v="0"/>
    <s v="HUBI"/>
    <s v="UNI COIN LONG"/>
  </r>
  <r>
    <x v="2"/>
    <x v="33"/>
    <x v="87"/>
    <n v="5.6000000000000004E-7"/>
    <n v="5.5998853417048301E-7"/>
    <n v="0.99997952530443501"/>
    <n v="0"/>
    <x v="3"/>
    <d v="2022-12-15T00:00:00"/>
    <n v="1"/>
    <x v="46"/>
    <n v="1"/>
    <n v="5.6000000000000004E-7"/>
    <n v="5.5998853417048365E-7"/>
    <n v="0"/>
    <x v="4"/>
    <s v="LONG"/>
    <x v="6"/>
    <n v="5.5998853417048301E-7"/>
    <n v="0.99997952530443501"/>
    <n v="0"/>
    <n v="0"/>
    <s v="HUBI"/>
    <s v="USDC COIN LONG"/>
  </r>
  <r>
    <x v="2"/>
    <x v="33"/>
    <x v="156"/>
    <n v="0.34680431"/>
    <n v="0.34804517992871897"/>
    <n v="1.0035780118439599"/>
    <n v="0"/>
    <x v="3"/>
    <d v="2022-12-15T00:00:00"/>
    <n v="1"/>
    <x v="115"/>
    <n v="1"/>
    <n v="0.34680431"/>
    <n v="0.34804517992871636"/>
    <n v="0"/>
    <x v="4"/>
    <s v="LONG"/>
    <x v="6"/>
    <n v="0.34804517992871897"/>
    <n v="1.0035780118439599"/>
    <n v="0"/>
    <n v="0"/>
    <s v="HUBI"/>
    <s v="USDP COIN LONG"/>
  </r>
  <r>
    <x v="2"/>
    <x v="33"/>
    <x v="77"/>
    <n v="55130.491809560001"/>
    <n v="55136.303132593501"/>
    <n v="1.0001054103245299"/>
    <n v="0"/>
    <x v="3"/>
    <d v="2022-12-15T00:00:00"/>
    <n v="1"/>
    <x v="37"/>
    <n v="1"/>
    <n v="55130.491809560001"/>
    <n v="55136.303132593144"/>
    <n v="0"/>
    <x v="4"/>
    <s v="LONG"/>
    <x v="6"/>
    <n v="55136.303132593501"/>
    <n v="1.0001054103245299"/>
    <n v="0"/>
    <n v="0"/>
    <s v="HUBI"/>
    <s v="USDT COIN LONG"/>
  </r>
  <r>
    <x v="2"/>
    <x v="33"/>
    <x v="157"/>
    <n v="25.959481520000001"/>
    <n v="0.48659952986674698"/>
    <n v="1.8744578141587899E-2"/>
    <n v="0"/>
    <x v="3"/>
    <d v="2022-12-15T00:00:00"/>
    <n v="1"/>
    <x v="116"/>
    <n v="1"/>
    <n v="25.959481520000001"/>
    <n v="0.48659952986674704"/>
    <n v="0"/>
    <x v="4"/>
    <s v="LONG"/>
    <x v="6"/>
    <n v="0.48659952986674698"/>
    <n v="1.8744578141587899E-2"/>
    <n v="0"/>
    <n v="0"/>
    <s v="HUBI"/>
    <s v="VET COIN LONG"/>
  </r>
  <r>
    <x v="2"/>
    <x v="33"/>
    <x v="158"/>
    <n v="0.20872535"/>
    <n v="2.1650087385953701E-4"/>
    <n v="1.03725241739701E-3"/>
    <n v="0"/>
    <x v="3"/>
    <d v="2022-12-15T00:00:00"/>
    <n v="1"/>
    <x v="117"/>
    <n v="1"/>
    <n v="0.20872535"/>
    <n v="2.1650087385953701E-4"/>
    <n v="0"/>
    <x v="4"/>
    <s v="LONG"/>
    <x v="6"/>
    <n v="2.1650087385953701E-4"/>
    <n v="1.03725241739701E-3"/>
    <n v="0"/>
    <n v="0"/>
    <s v="HUBI"/>
    <s v="VSYS COIN LONG"/>
  </r>
  <r>
    <x v="2"/>
    <x v="33"/>
    <x v="159"/>
    <n v="97856389.900000006"/>
    <n v="2824.1968203913998"/>
    <n v="2.8860627530583E-5"/>
    <n v="0"/>
    <x v="3"/>
    <d v="2022-12-15T00:00:00"/>
    <n v="1"/>
    <x v="118"/>
    <n v="1"/>
    <n v="97856389.900000006"/>
    <n v="2824.1968203914043"/>
    <n v="0"/>
    <x v="4"/>
    <s v="LONG"/>
    <x v="6"/>
    <n v="2824.1968203913998"/>
    <n v="2.8860627530583E-5"/>
    <n v="0"/>
    <n v="0"/>
    <s v="HUBI"/>
    <s v="XEC COIN LONG"/>
  </r>
  <r>
    <x v="2"/>
    <x v="33"/>
    <x v="78"/>
    <n v="0.55556267999999998"/>
    <n v="4.6119363227788597E-2"/>
    <n v="8.3013789241186201E-2"/>
    <n v="0"/>
    <x v="3"/>
    <d v="2022-12-15T00:00:00"/>
    <n v="1"/>
    <x v="38"/>
    <n v="1"/>
    <n v="0.55556267999999998"/>
    <n v="4.6119363227788569E-2"/>
    <n v="0"/>
    <x v="4"/>
    <s v="LONG"/>
    <x v="6"/>
    <n v="4.6119363227788597E-2"/>
    <n v="8.3013789241186201E-2"/>
    <n v="0"/>
    <n v="0"/>
    <s v="HUBI"/>
    <s v="XLM COIN LONG"/>
  </r>
  <r>
    <x v="2"/>
    <x v="33"/>
    <x v="86"/>
    <n v="108.13630258000001"/>
    <n v="41.785350706776903"/>
    <n v="0.38641371777866901"/>
    <n v="0"/>
    <x v="3"/>
    <d v="2022-12-15T00:00:00"/>
    <n v="1"/>
    <x v="45"/>
    <n v="1"/>
    <n v="108.13630258000001"/>
    <n v="41.785350706776882"/>
    <n v="0"/>
    <x v="4"/>
    <s v="LONG"/>
    <x v="6"/>
    <n v="41.785350706776903"/>
    <n v="0.38641371777866901"/>
    <n v="0"/>
    <n v="0"/>
    <s v="HUBI"/>
    <s v="XRP COIN LONG"/>
  </r>
  <r>
    <x v="2"/>
    <x v="33"/>
    <x v="79"/>
    <n v="3.9304560899999998"/>
    <n v="3.7396377270751899"/>
    <n v="0.95145134341780602"/>
    <n v="0"/>
    <x v="3"/>
    <d v="2022-12-15T00:00:00"/>
    <n v="1"/>
    <x v="39"/>
    <n v="1"/>
    <n v="3.9304560899999998"/>
    <n v="3.739637727075197"/>
    <n v="0"/>
    <x v="4"/>
    <s v="LONG"/>
    <x v="6"/>
    <n v="3.7396377270751899"/>
    <n v="0.95145134341780602"/>
    <n v="0"/>
    <n v="0"/>
    <s v="HUBI"/>
    <s v="XTZ COIN LONG"/>
  </r>
  <r>
    <x v="2"/>
    <x v="33"/>
    <x v="121"/>
    <n v="1.329583E-2"/>
    <n v="17.861586464285502"/>
    <n v="1343.3976264953401"/>
    <n v="0"/>
    <x v="3"/>
    <d v="2022-12-15T00:00:00"/>
    <n v="1"/>
    <x v="80"/>
    <n v="1"/>
    <n v="1.329583E-2"/>
    <n v="17.861586464285537"/>
    <n v="0"/>
    <x v="4"/>
    <s v="LONG"/>
    <x v="6"/>
    <n v="17.861586464285502"/>
    <n v="1343.3976264953401"/>
    <n v="0"/>
    <n v="0"/>
    <s v="HUBI"/>
    <s v="YFII COIN LONG"/>
  </r>
  <r>
    <x v="2"/>
    <x v="33"/>
    <x v="160"/>
    <n v="2.173E-4"/>
    <n v="1.0078858162692401E-2"/>
    <n v="46.382228084180497"/>
    <n v="0"/>
    <x v="3"/>
    <d v="2022-12-15T00:00:00"/>
    <n v="1"/>
    <x v="119"/>
    <n v="1"/>
    <n v="2.173E-4"/>
    <n v="1.0078858162692422E-2"/>
    <n v="0"/>
    <x v="4"/>
    <s v="LONG"/>
    <x v="6"/>
    <n v="1.0078858162692401E-2"/>
    <n v="46.382228084180497"/>
    <n v="0"/>
    <n v="0"/>
    <s v="HUBI"/>
    <s v="ZEC COIN LONG"/>
  </r>
  <r>
    <x v="2"/>
    <x v="33"/>
    <x v="161"/>
    <n v="19012302.002175301"/>
    <n v="414285.150596319"/>
    <n v="2.1790372914806299E-2"/>
    <n v="0"/>
    <x v="3"/>
    <d v="2022-12-15T00:00:00"/>
    <n v="1"/>
    <x v="8"/>
    <n v="1"/>
    <n v="19012302.002175301"/>
    <n v="414285.15059631824"/>
    <n v="0"/>
    <x v="4"/>
    <s v="LONG"/>
    <x v="6"/>
    <n v="414285.150596319"/>
    <n v="2.1790372914806299E-2"/>
    <n v="0"/>
    <n v="0"/>
    <s v="HUBI"/>
    <s v="ZIL COIN LONG"/>
  </r>
  <r>
    <x v="2"/>
    <x v="34"/>
    <x v="49"/>
    <n v="0.10004001"/>
    <n v="10.9152150262303"/>
    <n v="109.10849595307199"/>
    <n v="0"/>
    <x v="3"/>
    <d v="2022-12-15T00:00:00"/>
    <n v="1"/>
    <x v="4"/>
    <n v="1"/>
    <n v="0.10004001"/>
    <n v="10.915215026230282"/>
    <n v="0"/>
    <x v="4"/>
    <s v="LONG"/>
    <x v="6"/>
    <n v="10.9152150262303"/>
    <n v="109.10849595307199"/>
    <n v="0"/>
    <n v="0"/>
    <s v="HUBI"/>
    <s v="BCH COIN LONG"/>
  </r>
  <r>
    <x v="2"/>
    <x v="34"/>
    <x v="59"/>
    <n v="720921.74999677006"/>
    <n v="705076.85358146497"/>
    <n v="0.97802133669101299"/>
    <n v="0"/>
    <x v="3"/>
    <d v="2022-12-15T00:00:00"/>
    <n v="1"/>
    <x v="3"/>
    <n v="1"/>
    <n v="720921.74999677006"/>
    <n v="705076.85358146532"/>
    <n v="0"/>
    <x v="4"/>
    <s v="LONG"/>
    <x v="6"/>
    <n v="705076.85358146497"/>
    <n v="0.97802133669101299"/>
    <n v="0"/>
    <n v="0"/>
    <s v="HUBI"/>
    <s v="EOS COIN LONG"/>
  </r>
  <r>
    <x v="2"/>
    <x v="34"/>
    <x v="81"/>
    <n v="1E-8"/>
    <n v="1.87876872284171E-7"/>
    <n v="18.787687228417099"/>
    <n v="0"/>
    <x v="3"/>
    <d v="2022-12-15T00:00:00"/>
    <n v="1"/>
    <x v="5"/>
    <n v="1"/>
    <n v="1E-8"/>
    <n v="1.87876872284171E-7"/>
    <n v="0"/>
    <x v="4"/>
    <s v="LONG"/>
    <x v="6"/>
    <n v="1.87876872284171E-7"/>
    <n v="18.787687228417099"/>
    <n v="0"/>
    <n v="0"/>
    <s v="HUBI"/>
    <s v="ETC COIN LONG"/>
  </r>
  <r>
    <x v="2"/>
    <x v="34"/>
    <x v="67"/>
    <n v="5942.5685764899999"/>
    <n v="448520.495586965"/>
    <n v="75.475863646134997"/>
    <n v="0"/>
    <x v="3"/>
    <d v="2022-12-15T00:00:00"/>
    <n v="1"/>
    <x v="6"/>
    <n v="1"/>
    <n v="5942.5685764899999"/>
    <n v="448520.49558696576"/>
    <n v="0"/>
    <x v="4"/>
    <s v="LONG"/>
    <x v="6"/>
    <n v="448520.495586965"/>
    <n v="75.475863646134997"/>
    <n v="0"/>
    <n v="0"/>
    <s v="HUBI"/>
    <s v="LTC COIN LONG"/>
  </r>
  <r>
    <x v="2"/>
    <x v="34"/>
    <x v="118"/>
    <n v="1E-8"/>
    <n v="5.5666357131219E-10"/>
    <n v="5.5666357131219001E-2"/>
    <n v="0"/>
    <x v="3"/>
    <d v="2022-12-15T00:00:00"/>
    <n v="1"/>
    <x v="77"/>
    <n v="1"/>
    <n v="1E-8"/>
    <n v="5.5666357131219E-10"/>
    <n v="0"/>
    <x v="4"/>
    <s v="LONG"/>
    <x v="6"/>
    <n v="5.5666357131219E-10"/>
    <n v="5.5666357131219001E-2"/>
    <n v="0"/>
    <n v="0"/>
    <s v="HUBI"/>
    <s v="TRX COIN LONG"/>
  </r>
  <r>
    <x v="2"/>
    <x v="34"/>
    <x v="77"/>
    <n v="638678.88282727997"/>
    <n v="638746.20617559401"/>
    <n v="1.0001054103245299"/>
    <n v="0"/>
    <x v="3"/>
    <d v="2022-12-15T00:00:00"/>
    <n v="1"/>
    <x v="37"/>
    <n v="1"/>
    <n v="638678.88282727997"/>
    <n v="638746.20617558924"/>
    <n v="0"/>
    <x v="4"/>
    <s v="LONG"/>
    <x v="6"/>
    <n v="638746.20617559401"/>
    <n v="1.0001054103245299"/>
    <n v="0"/>
    <n v="0"/>
    <s v="HUBI"/>
    <s v="USDT COIN LONG"/>
  </r>
  <r>
    <x v="2"/>
    <x v="34"/>
    <x v="86"/>
    <n v="7.6039999999999997E-5"/>
    <n v="2.9382899099889999E-5"/>
    <n v="0.38641371777866901"/>
    <n v="0"/>
    <x v="3"/>
    <d v="2022-12-15T00:00:00"/>
    <n v="1"/>
    <x v="45"/>
    <n v="1"/>
    <n v="7.6039999999999997E-5"/>
    <n v="2.9382899099889989E-5"/>
    <n v="0"/>
    <x v="4"/>
    <s v="LONG"/>
    <x v="6"/>
    <n v="2.9382899099889999E-5"/>
    <n v="0.38641371777866901"/>
    <n v="0"/>
    <n v="0"/>
    <s v="HUBI"/>
    <s v="XRP COIN LONG"/>
  </r>
  <r>
    <x v="10"/>
    <x v="35"/>
    <x v="46"/>
    <n v="0.331542"/>
    <n v="3.1858330890608899"/>
    <n v="9.6091387789809204"/>
    <n v="0"/>
    <x v="3"/>
    <d v="2022-12-14T22:00:27"/>
    <n v="1"/>
    <x v="11"/>
    <n v="1"/>
    <n v="0.331542"/>
    <n v="3.1858330890608921"/>
    <n v="0"/>
    <x v="4"/>
    <s v="LONG"/>
    <x v="6"/>
    <n v="3.1858330890608899"/>
    <n v="9.6091387789809204"/>
    <n v="0"/>
    <n v="0"/>
    <s v="KRKE"/>
    <s v="ATOM COIN LONG"/>
  </r>
  <r>
    <x v="10"/>
    <x v="35"/>
    <x v="49"/>
    <n v="1.7695412699999999"/>
    <n v="193.07198649659"/>
    <n v="109.10849595307199"/>
    <n v="0"/>
    <x v="3"/>
    <d v="2022-12-14T22:00:27"/>
    <n v="1"/>
    <x v="4"/>
    <n v="1"/>
    <n v="1.7695412699999999"/>
    <n v="193.07198649658886"/>
    <n v="0"/>
    <x v="4"/>
    <s v="LONG"/>
    <x v="6"/>
    <n v="193.07198649659"/>
    <n v="109.10849595307199"/>
    <n v="0"/>
    <n v="0"/>
    <s v="KRKE"/>
    <s v="BCH COIN LONG"/>
  </r>
  <r>
    <x v="10"/>
    <x v="35"/>
    <x v="51"/>
    <n v="1.8847760000000002E-2"/>
    <n v="335.78509270449501"/>
    <n v="17815.649854650899"/>
    <n v="0"/>
    <x v="3"/>
    <d v="2022-12-14T22:00:27"/>
    <n v="1"/>
    <x v="0"/>
    <n v="1"/>
    <n v="1.8847760000000002E-2"/>
    <n v="335.78509270449507"/>
    <n v="0"/>
    <x v="4"/>
    <s v="LONG"/>
    <x v="6"/>
    <n v="335.78509270449501"/>
    <n v="17815.649854650899"/>
    <n v="0"/>
    <n v="0"/>
    <s v="KRKE"/>
    <s v="BTC COIN LONG"/>
  </r>
  <r>
    <x v="10"/>
    <x v="35"/>
    <x v="59"/>
    <n v="9.9499194400000004"/>
    <n v="9.7312335106767005"/>
    <n v="0.97802133669101299"/>
    <n v="0"/>
    <x v="3"/>
    <d v="2022-12-14T22:00:27"/>
    <n v="1"/>
    <x v="3"/>
    <n v="1"/>
    <n v="9.9499194400000004"/>
    <n v="9.7312335106766952"/>
    <n v="0"/>
    <x v="4"/>
    <s v="LONG"/>
    <x v="6"/>
    <n v="9.7312335106767005"/>
    <n v="0.97802133669101299"/>
    <n v="0"/>
    <n v="0"/>
    <s v="KRKE"/>
    <s v="EOS COIN LONG"/>
  </r>
  <r>
    <x v="10"/>
    <x v="35"/>
    <x v="82"/>
    <n v="3.4037359"/>
    <n v="12.050968374856501"/>
    <n v="3.5405121692480601"/>
    <n v="0"/>
    <x v="3"/>
    <d v="2022-12-14T22:00:27"/>
    <n v="1"/>
    <x v="41"/>
    <n v="1"/>
    <n v="3.4037359"/>
    <n v="12.050968374856499"/>
    <n v="0"/>
    <x v="4"/>
    <s v="LONG"/>
    <x v="6"/>
    <n v="12.050968374856501"/>
    <n v="3.5405121692480601"/>
    <n v="0"/>
    <n v="0"/>
    <s v="KRKE"/>
    <s v="ETHW COIN LONG"/>
  </r>
  <r>
    <x v="10"/>
    <x v="35"/>
    <x v="67"/>
    <n v="9.1421368100000002"/>
    <n v="690.01067130587103"/>
    <n v="75.475863646134997"/>
    <n v="0"/>
    <x v="3"/>
    <d v="2022-12-14T22:00:27"/>
    <n v="1"/>
    <x v="6"/>
    <n v="1"/>
    <n v="9.1421368100000002"/>
    <n v="690.0106713058716"/>
    <n v="0"/>
    <x v="4"/>
    <s v="LONG"/>
    <x v="6"/>
    <n v="690.01067130587103"/>
    <n v="75.475863646134997"/>
    <n v="0"/>
    <n v="0"/>
    <s v="KRKE"/>
    <s v="LTC COIN LONG"/>
  </r>
  <r>
    <x v="10"/>
    <x v="35"/>
    <x v="72"/>
    <n v="608071.39262864005"/>
    <n v="49361.9412963758"/>
    <n v="8.1177871372945895E-2"/>
    <n v="0"/>
    <x v="3"/>
    <d v="2022-12-14T22:00:27"/>
    <n v="1"/>
    <x v="33"/>
    <n v="1"/>
    <n v="608071.39262864005"/>
    <n v="49361.941296375822"/>
    <n v="0"/>
    <x v="4"/>
    <s v="LONG"/>
    <x v="6"/>
    <n v="49361.9412963758"/>
    <n v="8.1177871372945895E-2"/>
    <n v="0"/>
    <n v="0"/>
    <s v="KRKE"/>
    <s v="OXT COIN LONG"/>
  </r>
  <r>
    <x v="10"/>
    <x v="35"/>
    <x v="85"/>
    <n v="0.10834547999999999"/>
    <n v="1.2892752320166499E-3"/>
    <n v="1.1899667914311201E-2"/>
    <n v="0"/>
    <x v="3"/>
    <d v="2022-12-14T22:00:27"/>
    <n v="1"/>
    <x v="44"/>
    <n v="1"/>
    <n v="0.10834547999999999"/>
    <n v="1.2892752320166458E-3"/>
    <n v="0"/>
    <x v="4"/>
    <s v="LONG"/>
    <x v="6"/>
    <n v="1.2892752320166499E-3"/>
    <n v="1.1899667914311201E-2"/>
    <n v="0"/>
    <n v="0"/>
    <s v="KRKE"/>
    <s v="SGB COIN LONG"/>
  </r>
  <r>
    <x v="10"/>
    <x v="35"/>
    <x v="83"/>
    <n v="134422.20680000001"/>
    <n v="134422.20680000001"/>
    <n v="1"/>
    <n v="0"/>
    <x v="3"/>
    <d v="2022-12-14T22:00:27"/>
    <n v="1"/>
    <x v="42"/>
    <n v="1"/>
    <n v="134422.20680000001"/>
    <n v="134422.20680000001"/>
    <n v="0"/>
    <x v="5"/>
    <s v="LONG"/>
    <x v="7"/>
    <n v="134422.20680000001"/>
    <n v="1"/>
    <n v="0"/>
    <n v="0"/>
    <s v="KRKE"/>
    <s v="USD CASH LONG"/>
  </r>
  <r>
    <x v="10"/>
    <x v="35"/>
    <x v="77"/>
    <n v="1.182861E-2"/>
    <n v="1.1829856857618899E-2"/>
    <n v="1.0001054103245299"/>
    <n v="0"/>
    <x v="3"/>
    <d v="2022-12-14T22:00:27"/>
    <n v="1"/>
    <x v="37"/>
    <n v="1"/>
    <n v="1.182861E-2"/>
    <n v="1.1829856857618838E-2"/>
    <n v="0"/>
    <x v="4"/>
    <s v="LONG"/>
    <x v="6"/>
    <n v="1.1829856857618899E-2"/>
    <n v="1.0001054103245299"/>
    <n v="0"/>
    <n v="0"/>
    <s v="KRKE"/>
    <s v="USDT COIN LONG"/>
  </r>
  <r>
    <x v="10"/>
    <x v="35"/>
    <x v="78"/>
    <n v="8.93329E-3"/>
    <n v="7.4158625329039595E-4"/>
    <n v="8.3013789241186201E-2"/>
    <n v="0"/>
    <x v="3"/>
    <d v="2022-12-14T22:00:27"/>
    <n v="1"/>
    <x v="38"/>
    <n v="1"/>
    <n v="8.93329E-3"/>
    <n v="7.4158625329039628E-4"/>
    <n v="0"/>
    <x v="4"/>
    <s v="LONG"/>
    <x v="6"/>
    <n v="7.4158625329039595E-4"/>
    <n v="8.3013789241186201E-2"/>
    <n v="0"/>
    <n v="0"/>
    <s v="KRKE"/>
    <s v="XLM COIN LONG"/>
  </r>
  <r>
    <x v="10"/>
    <x v="35"/>
    <x v="86"/>
    <n v="0.71704489000000005"/>
    <n v="0.27707598175909598"/>
    <n v="0.38641371777866901"/>
    <n v="0"/>
    <x v="3"/>
    <d v="2022-12-14T22:00:27"/>
    <n v="1"/>
    <x v="45"/>
    <n v="1"/>
    <n v="0.71704489000000005"/>
    <n v="0.27707598175909676"/>
    <n v="0"/>
    <x v="4"/>
    <s v="LONG"/>
    <x v="6"/>
    <n v="0.27707598175909598"/>
    <n v="0.38641371777866901"/>
    <n v="0"/>
    <n v="0"/>
    <s v="KRKE"/>
    <s v="XRP COIN LONG"/>
  </r>
  <r>
    <x v="11"/>
    <x v="36"/>
    <x v="49"/>
    <n v="5377"/>
    <n v="586676.38273967302"/>
    <n v="109.10849595307199"/>
    <n v="0"/>
    <x v="3"/>
    <d v="2022-12-14T00:00:00"/>
    <n v="1"/>
    <x v="4"/>
    <n v="1"/>
    <n v="5377"/>
    <n v="586676.38273966813"/>
    <n v="0"/>
    <x v="4"/>
    <s v="LONG"/>
    <x v="6"/>
    <n v="586676.38273967302"/>
    <n v="109.10849595307199"/>
    <n v="0"/>
    <n v="0"/>
    <s v="LEND"/>
    <s v="BCH COIN LONG"/>
  </r>
  <r>
    <x v="11"/>
    <x v="36"/>
    <x v="53"/>
    <n v="5000"/>
    <n v="196766.195646665"/>
    <n v="39.353239129333097"/>
    <n v="0"/>
    <x v="3"/>
    <d v="2022-12-14T00:00:00"/>
    <n v="1"/>
    <x v="9"/>
    <n v="1"/>
    <n v="5000"/>
    <n v="196766.1956466655"/>
    <n v="0"/>
    <x v="4"/>
    <s v="LONG"/>
    <x v="6"/>
    <n v="196766.195646665"/>
    <n v="39.353239129333097"/>
    <n v="0"/>
    <n v="0"/>
    <s v="LEND"/>
    <s v="COMP COIN LONG"/>
  </r>
  <r>
    <x v="11"/>
    <x v="36"/>
    <x v="81"/>
    <n v="98000"/>
    <n v="1841193.34838488"/>
    <n v="18.787687228417099"/>
    <n v="0"/>
    <x v="3"/>
    <d v="2022-12-14T00:00:00"/>
    <n v="1"/>
    <x v="5"/>
    <n v="1"/>
    <n v="98000"/>
    <n v="1841193.3483848756"/>
    <n v="0"/>
    <x v="4"/>
    <s v="LONG"/>
    <x v="6"/>
    <n v="1841193.34838488"/>
    <n v="18.787687228417099"/>
    <n v="0"/>
    <n v="0"/>
    <s v="LEND"/>
    <s v="ETC COIN LONG"/>
  </r>
  <r>
    <x v="11"/>
    <x v="36"/>
    <x v="73"/>
    <n v="187000000000"/>
    <n v="1677905.40389439"/>
    <n v="8.9727561705582505E-6"/>
    <n v="0"/>
    <x v="3"/>
    <d v="2022-12-14T00:00:00"/>
    <n v="1"/>
    <x v="12"/>
    <n v="1"/>
    <n v="187000000000"/>
    <n v="1677905.4038943928"/>
    <n v="0"/>
    <x v="4"/>
    <s v="LONG"/>
    <x v="6"/>
    <n v="1677905.40389439"/>
    <n v="8.9727561705582505E-6"/>
    <n v="0"/>
    <n v="0"/>
    <s v="LEND"/>
    <s v="SHIB COIN LONG"/>
  </r>
  <r>
    <x v="11"/>
    <x v="36"/>
    <x v="80"/>
    <n v="4"/>
    <n v="25811.124612553798"/>
    <n v="6452.7811531384496"/>
    <n v="0"/>
    <x v="3"/>
    <d v="2022-12-14T00:00:00"/>
    <n v="1"/>
    <x v="40"/>
    <n v="1"/>
    <n v="4"/>
    <n v="25811.124612553798"/>
    <n v="0"/>
    <x v="4"/>
    <s v="LONG"/>
    <x v="6"/>
    <n v="25811.124612553798"/>
    <n v="6452.7811531384496"/>
    <n v="0"/>
    <n v="0"/>
    <s v="LEND"/>
    <s v="YFI COIN LONG"/>
  </r>
  <r>
    <x v="12"/>
    <x v="37"/>
    <x v="60"/>
    <n v="5.0000000000000001E-4"/>
    <n v="0.65466433846648098"/>
    <n v="1309.32867693296"/>
    <n v="0"/>
    <x v="3"/>
    <d v="2022-12-14T00:00:00"/>
    <n v="1"/>
    <x v="1"/>
    <n v="1"/>
    <n v="5.0000000000000001E-4"/>
    <n v="0.65466433846647998"/>
    <n v="0"/>
    <x v="4"/>
    <s v="LONG"/>
    <x v="6"/>
    <n v="0.65466433846648098"/>
    <n v="1309.32867693296"/>
    <n v="0"/>
    <n v="0"/>
    <s v="LMAC"/>
    <s v="ETH COIN LONG"/>
  </r>
  <r>
    <x v="12"/>
    <x v="37"/>
    <x v="83"/>
    <n v="2.63E-3"/>
    <n v="2.63E-3"/>
    <n v="1"/>
    <n v="0"/>
    <x v="3"/>
    <d v="2022-12-14T00:00:00"/>
    <n v="1"/>
    <x v="42"/>
    <n v="1"/>
    <n v="2.63E-3"/>
    <n v="2.63E-3"/>
    <n v="0"/>
    <x v="5"/>
    <s v="LONG"/>
    <x v="7"/>
    <n v="2.63E-3"/>
    <n v="1"/>
    <n v="0"/>
    <n v="0"/>
    <s v="LMAC"/>
    <s v="USD CASH LONG"/>
  </r>
  <r>
    <x v="13"/>
    <x v="38"/>
    <x v="83"/>
    <n v="10137.885630000001"/>
    <n v="10137.885630000001"/>
    <n v="1"/>
    <n v="0"/>
    <x v="3"/>
    <d v="2022-12-14T00:00:00"/>
    <n v="1"/>
    <x v="42"/>
    <n v="1"/>
    <n v="10137.885630000001"/>
    <n v="10137.885630000001"/>
    <n v="0"/>
    <x v="5"/>
    <s v="LONG"/>
    <x v="7"/>
    <n v="10137.885630000001"/>
    <n v="1"/>
    <n v="0"/>
    <n v="0"/>
    <s v="LMAX"/>
    <s v="USD CASH LONG"/>
  </r>
  <r>
    <x v="3"/>
    <x v="8"/>
    <x v="51"/>
    <n v="8.9691284600000003"/>
    <n v="159790.85214474401"/>
    <n v="17815.649854650899"/>
    <n v="0"/>
    <x v="3"/>
    <d v="2022-12-15T00:00:00"/>
    <n v="1"/>
    <x v="0"/>
    <n v="1"/>
    <n v="8.9691284600000003"/>
    <n v="159790.85214474425"/>
    <n v="0"/>
    <x v="4"/>
    <s v="LONG"/>
    <x v="6"/>
    <n v="159790.85214474401"/>
    <n v="17815.649854650899"/>
    <n v="0"/>
    <n v="0"/>
    <s v="OKEX"/>
    <s v="BTC COIN LONG"/>
  </r>
  <r>
    <x v="3"/>
    <x v="8"/>
    <x v="51"/>
    <n v="0.25889719999999999"/>
    <n v="4612.4218635495199"/>
    <n v="17815.649854650899"/>
    <n v="0"/>
    <x v="4"/>
    <d v="2022-12-15T00:00:00"/>
    <n v="1"/>
    <x v="0"/>
    <n v="1"/>
    <n v="0.25889719999999999"/>
    <n v="4612.4218635495245"/>
    <n v="0"/>
    <x v="4"/>
    <s v="LONG"/>
    <x v="6"/>
    <n v="4612.4218635495199"/>
    <n v="17815.649854650899"/>
    <n v="0"/>
    <n v="0"/>
    <s v="OKEX"/>
    <s v="BTC COIN LONG"/>
  </r>
  <r>
    <x v="3"/>
    <x v="8"/>
    <x v="60"/>
    <n v="20.316267499999999"/>
    <n v="26600.6716459911"/>
    <n v="1309.32867693296"/>
    <n v="0"/>
    <x v="3"/>
    <d v="2022-12-15T00:00:00"/>
    <n v="1"/>
    <x v="1"/>
    <n v="1"/>
    <n v="20.316267499999999"/>
    <n v="26600.671645991093"/>
    <n v="0"/>
    <x v="4"/>
    <s v="LONG"/>
    <x v="6"/>
    <n v="26600.6716459911"/>
    <n v="1309.32867693296"/>
    <n v="0"/>
    <n v="0"/>
    <s v="OKEX"/>
    <s v="ETH COIN LONG"/>
  </r>
  <r>
    <x v="3"/>
    <x v="8"/>
    <x v="60"/>
    <n v="-0.27192326"/>
    <n v="-356.03692224309702"/>
    <n v="1309.32867693296"/>
    <n v="0"/>
    <x v="4"/>
    <d v="2022-12-15T00:00:00"/>
    <n v="1"/>
    <x v="1"/>
    <n v="1"/>
    <n v="-0.27192326"/>
    <n v="-356.03692224309725"/>
    <n v="0"/>
    <x v="4"/>
    <s v="SHORT"/>
    <x v="8"/>
    <n v="-356.03692224309702"/>
    <n v="1309.32867693296"/>
    <n v="0"/>
    <n v="0"/>
    <s v="OKEX"/>
    <s v="ETH COIN SHORT"/>
  </r>
  <r>
    <x v="3"/>
    <x v="8"/>
    <x v="86"/>
    <n v="0.44933625999999999"/>
    <n v="0.17362969475936199"/>
    <n v="0.38641371777866901"/>
    <n v="0"/>
    <x v="3"/>
    <d v="2022-12-15T00:00:00"/>
    <n v="1"/>
    <x v="45"/>
    <n v="1"/>
    <n v="0.44933625999999999"/>
    <n v="0.17362969475936263"/>
    <n v="0"/>
    <x v="4"/>
    <s v="LONG"/>
    <x v="6"/>
    <n v="0.17362969475936199"/>
    <n v="0.38641371777866901"/>
    <n v="0"/>
    <n v="0"/>
    <s v="OKEX"/>
    <s v="XRP COIN LONG"/>
  </r>
  <r>
    <x v="3"/>
    <x v="9"/>
    <x v="51"/>
    <n v="5.0953451200000002"/>
    <n v="90776.884546524205"/>
    <n v="17815.649854650899"/>
    <n v="0"/>
    <x v="3"/>
    <d v="2022-12-15T00:00:00"/>
    <n v="1"/>
    <x v="0"/>
    <n v="1"/>
    <n v="5.0953451200000002"/>
    <n v="90776.884546524176"/>
    <n v="0"/>
    <x v="4"/>
    <s v="LONG"/>
    <x v="6"/>
    <n v="90776.884546524205"/>
    <n v="17815.649854650899"/>
    <n v="0"/>
    <n v="0"/>
    <s v="OKEX"/>
    <s v="BTC COIN LONG"/>
  </r>
  <r>
    <x v="3"/>
    <x v="9"/>
    <x v="51"/>
    <n v="7.7485E-4"/>
    <n v="13.8044562898762"/>
    <n v="17815.649854650899"/>
    <n v="0"/>
    <x v="4"/>
    <d v="2022-12-15T00:00:00"/>
    <n v="1"/>
    <x v="0"/>
    <n v="1"/>
    <n v="7.7485E-4"/>
    <n v="13.804456289876249"/>
    <n v="0"/>
    <x v="4"/>
    <s v="LONG"/>
    <x v="6"/>
    <n v="13.8044562898762"/>
    <n v="17815.649854650899"/>
    <n v="0"/>
    <n v="0"/>
    <s v="OKEX"/>
    <s v="BTC COIN LONG"/>
  </r>
  <r>
    <x v="3"/>
    <x v="9"/>
    <x v="60"/>
    <n v="10"/>
    <n v="13093.286769329599"/>
    <n v="1309.32867693296"/>
    <n v="0"/>
    <x v="3"/>
    <d v="2022-12-15T00:00:00"/>
    <n v="1"/>
    <x v="1"/>
    <n v="1"/>
    <n v="10"/>
    <n v="13093.286769329599"/>
    <n v="0"/>
    <x v="4"/>
    <s v="LONG"/>
    <x v="6"/>
    <n v="13093.286769329599"/>
    <n v="1309.32867693296"/>
    <n v="0"/>
    <n v="0"/>
    <s v="OKEX"/>
    <s v="ETH COIN LONG"/>
  </r>
  <r>
    <x v="3"/>
    <x v="9"/>
    <x v="77"/>
    <n v="237486.28396321001"/>
    <n v="237511.31746947501"/>
    <n v="1.0001054103245299"/>
    <n v="0"/>
    <x v="3"/>
    <d v="2022-12-15T00:00:00"/>
    <n v="1"/>
    <x v="37"/>
    <n v="1"/>
    <n v="237486.28396321001"/>
    <n v="237511.31746947399"/>
    <n v="0"/>
    <x v="4"/>
    <s v="LONG"/>
    <x v="6"/>
    <n v="237511.31746947501"/>
    <n v="1.0001054103245299"/>
    <n v="0"/>
    <n v="0"/>
    <s v="OKEX"/>
    <s v="USDT COIN LONG"/>
  </r>
  <r>
    <x v="3"/>
    <x v="9"/>
    <x v="77"/>
    <n v="-8464.4245849700001"/>
    <n v="-8465.3168227125207"/>
    <n v="1.0001054103245299"/>
    <n v="0"/>
    <x v="4"/>
    <d v="2022-12-15T00:00:00"/>
    <n v="1"/>
    <x v="37"/>
    <n v="1"/>
    <n v="-8464.4245849700001"/>
    <n v="-8465.3168227124606"/>
    <n v="0"/>
    <x v="4"/>
    <s v="SHORT"/>
    <x v="8"/>
    <n v="-8465.3168227125207"/>
    <n v="1.0001054103245299"/>
    <n v="0"/>
    <n v="0"/>
    <s v="OKEX"/>
    <s v="USDT COIN SHORT"/>
  </r>
  <r>
    <x v="3"/>
    <x v="10"/>
    <x v="51"/>
    <n v="4.2557053800000002"/>
    <n v="75818.156934634098"/>
    <n v="17815.649854650899"/>
    <n v="0"/>
    <x v="3"/>
    <d v="2022-12-15T00:00:00"/>
    <n v="1"/>
    <x v="0"/>
    <n v="1"/>
    <n v="4.2557053800000002"/>
    <n v="75818.156934634055"/>
    <n v="0"/>
    <x v="4"/>
    <s v="LONG"/>
    <x v="6"/>
    <n v="75818.156934634098"/>
    <n v="17815.649854650899"/>
    <n v="0"/>
    <n v="0"/>
    <s v="OKEX"/>
    <s v="BTC COIN LONG"/>
  </r>
  <r>
    <x v="3"/>
    <x v="10"/>
    <x v="77"/>
    <n v="-18052.890061800001"/>
    <n v="-18054.793022800201"/>
    <n v="1.0001054103245299"/>
    <n v="0"/>
    <x v="4"/>
    <d v="2022-12-15T00:00:00"/>
    <n v="1"/>
    <x v="37"/>
    <n v="1"/>
    <n v="-18052.890061800001"/>
    <n v="-18054.793022800117"/>
    <n v="0"/>
    <x v="4"/>
    <s v="SHORT"/>
    <x v="8"/>
    <n v="-18054.793022800201"/>
    <n v="1.0001054103245299"/>
    <n v="0"/>
    <n v="0"/>
    <s v="OKEX"/>
    <s v="USDT COIN SHORT"/>
  </r>
  <r>
    <x v="3"/>
    <x v="7"/>
    <x v="51"/>
    <n v="764.01100843999996"/>
    <n v="13611352.6114657"/>
    <n v="17815.649854650899"/>
    <n v="0"/>
    <x v="3"/>
    <d v="2022-12-15T00:00:00"/>
    <n v="1"/>
    <x v="0"/>
    <n v="1"/>
    <n v="764.01100843999996"/>
    <n v="13611352.611465773"/>
    <n v="0"/>
    <x v="4"/>
    <s v="LONG"/>
    <x v="6"/>
    <n v="13611352.6114657"/>
    <n v="17815.649854650899"/>
    <n v="0"/>
    <n v="0"/>
    <s v="OKEX"/>
    <s v="BTC COIN LONG"/>
  </r>
  <r>
    <x v="3"/>
    <x v="7"/>
    <x v="51"/>
    <n v="1.3770048500000001"/>
    <n v="24532.236255756099"/>
    <n v="17815.649854650899"/>
    <n v="0"/>
    <x v="4"/>
    <d v="2022-12-15T00:00:00"/>
    <n v="1"/>
    <x v="0"/>
    <n v="1"/>
    <n v="1.3770048500000001"/>
    <n v="24532.236255756085"/>
    <n v="0"/>
    <x v="4"/>
    <s v="LONG"/>
    <x v="6"/>
    <n v="24532.236255756099"/>
    <n v="17815.649854650899"/>
    <n v="0"/>
    <n v="0"/>
    <s v="OKEX"/>
    <s v="BTC COIN LONG"/>
  </r>
  <r>
    <x v="3"/>
    <x v="7"/>
    <x v="59"/>
    <n v="38721.420911499998"/>
    <n v="37870.375838440501"/>
    <n v="0.97802133669101299"/>
    <n v="0"/>
    <x v="3"/>
    <d v="2022-12-15T00:00:00"/>
    <n v="1"/>
    <x v="3"/>
    <n v="1"/>
    <n v="38721.420911499998"/>
    <n v="37870.375838440574"/>
    <n v="0"/>
    <x v="4"/>
    <s v="LONG"/>
    <x v="6"/>
    <n v="37870.375838440501"/>
    <n v="0.97802133669101299"/>
    <n v="0"/>
    <n v="0"/>
    <s v="OKEX"/>
    <s v="EOS COIN LONG"/>
  </r>
  <r>
    <x v="3"/>
    <x v="7"/>
    <x v="60"/>
    <n v="2557.3184111800001"/>
    <n v="3348370.3318066099"/>
    <n v="1309.32867693296"/>
    <n v="0"/>
    <x v="3"/>
    <d v="2022-12-15T00:00:00"/>
    <n v="1"/>
    <x v="1"/>
    <n v="1"/>
    <n v="2557.3184111800001"/>
    <n v="3348370.3318066089"/>
    <n v="0"/>
    <x v="4"/>
    <s v="LONG"/>
    <x v="6"/>
    <n v="3348370.3318066099"/>
    <n v="1309.32867693296"/>
    <n v="0"/>
    <n v="0"/>
    <s v="OKEX"/>
    <s v="ETH COIN LONG"/>
  </r>
  <r>
    <x v="3"/>
    <x v="7"/>
    <x v="60"/>
    <n v="-15.32692119"/>
    <n v="-20067.977443158401"/>
    <n v="1309.32867693296"/>
    <n v="0"/>
    <x v="4"/>
    <d v="2022-12-15T00:00:00"/>
    <n v="1"/>
    <x v="1"/>
    <n v="1"/>
    <n v="-15.32692119"/>
    <n v="-20067.977443158448"/>
    <n v="0"/>
    <x v="4"/>
    <s v="SHORT"/>
    <x v="8"/>
    <n v="-20067.977443158401"/>
    <n v="1309.32867693296"/>
    <n v="0"/>
    <n v="0"/>
    <s v="OKEX"/>
    <s v="ETH COIN SHORT"/>
  </r>
  <r>
    <x v="3"/>
    <x v="7"/>
    <x v="67"/>
    <n v="137.25004552999999"/>
    <n v="10359.065721848099"/>
    <n v="75.475863646134997"/>
    <n v="0"/>
    <x v="3"/>
    <d v="2022-12-15T00:00:00"/>
    <n v="1"/>
    <x v="6"/>
    <n v="1"/>
    <n v="137.25004552999999"/>
    <n v="10359.065721848099"/>
    <n v="0"/>
    <x v="4"/>
    <s v="LONG"/>
    <x v="6"/>
    <n v="10359.065721848099"/>
    <n v="75.475863646134997"/>
    <n v="0"/>
    <n v="0"/>
    <s v="OKEX"/>
    <s v="LTC COIN LONG"/>
  </r>
  <r>
    <x v="3"/>
    <x v="7"/>
    <x v="72"/>
    <n v="635986.32306369999"/>
    <n v="51628.015928617897"/>
    <n v="8.1177871372945895E-2"/>
    <n v="0"/>
    <x v="3"/>
    <d v="2022-12-15T00:00:00"/>
    <n v="1"/>
    <x v="33"/>
    <n v="1"/>
    <n v="635986.32306369999"/>
    <n v="51628.015928617853"/>
    <n v="0"/>
    <x v="4"/>
    <s v="LONG"/>
    <x v="6"/>
    <n v="51628.015928617897"/>
    <n v="8.1177871372945895E-2"/>
    <n v="0"/>
    <n v="0"/>
    <s v="OKEX"/>
    <s v="OXT COIN LONG"/>
  </r>
  <r>
    <x v="3"/>
    <x v="7"/>
    <x v="77"/>
    <n v="204481.77734043999"/>
    <n v="204503.33183095101"/>
    <n v="1.0001054103245299"/>
    <n v="0"/>
    <x v="4"/>
    <d v="2022-12-15T00:00:00"/>
    <n v="1"/>
    <x v="37"/>
    <n v="1"/>
    <n v="204481.77734043999"/>
    <n v="204503.3318309499"/>
    <n v="0"/>
    <x v="4"/>
    <s v="LONG"/>
    <x v="6"/>
    <n v="204503.33183095101"/>
    <n v="1.0001054103245299"/>
    <n v="0"/>
    <n v="0"/>
    <s v="OKEX"/>
    <s v="USDT COIN LONG"/>
  </r>
  <r>
    <x v="3"/>
    <x v="7"/>
    <x v="86"/>
    <n v="14324.333393569999"/>
    <n v="5535.1189213105199"/>
    <n v="0.38641371777866901"/>
    <n v="0"/>
    <x v="3"/>
    <d v="2022-12-15T00:00:00"/>
    <n v="1"/>
    <x v="45"/>
    <n v="1"/>
    <n v="14324.333393569999"/>
    <n v="5535.1189213105217"/>
    <n v="0"/>
    <x v="4"/>
    <s v="LONG"/>
    <x v="6"/>
    <n v="5535.1189213105199"/>
    <n v="0.38641371777866901"/>
    <n v="0"/>
    <n v="0"/>
    <s v="OKEX"/>
    <s v="XRP COIN LONG"/>
  </r>
  <r>
    <x v="3"/>
    <x v="7"/>
    <x v="161"/>
    <n v="1887327.67139451"/>
    <n v="41125.573772119402"/>
    <n v="2.1790372914806299E-2"/>
    <n v="0"/>
    <x v="3"/>
    <d v="2022-12-15T00:00:00"/>
    <n v="1"/>
    <x v="8"/>
    <n v="1"/>
    <n v="1887327.67139451"/>
    <n v="41125.573772119373"/>
    <n v="0"/>
    <x v="4"/>
    <s v="LONG"/>
    <x v="6"/>
    <n v="41125.573772119402"/>
    <n v="2.1790372914806299E-2"/>
    <n v="0"/>
    <n v="0"/>
    <s v="OKEX"/>
    <s v="ZIL COIN LONG"/>
  </r>
  <r>
    <x v="3"/>
    <x v="39"/>
    <x v="49"/>
    <n v="7.381E-5"/>
    <n v="8.0532980862963108E-3"/>
    <n v="109.10849595307199"/>
    <n v="0"/>
    <x v="3"/>
    <d v="2022-12-15T00:00:00"/>
    <n v="1"/>
    <x v="4"/>
    <n v="1"/>
    <n v="7.381E-5"/>
    <n v="8.0532980862962431E-3"/>
    <n v="0"/>
    <x v="4"/>
    <s v="LONG"/>
    <x v="6"/>
    <n v="8.0532980862963108E-3"/>
    <n v="109.10849595307199"/>
    <n v="0"/>
    <n v="0"/>
    <s v="OKEX"/>
    <s v="BCH COIN LONG"/>
  </r>
  <r>
    <x v="3"/>
    <x v="39"/>
    <x v="117"/>
    <n v="0.86729455"/>
    <n v="39.298519969767199"/>
    <n v="45.311618722574998"/>
    <n v="0"/>
    <x v="3"/>
    <d v="2022-12-15T00:00:00"/>
    <n v="1"/>
    <x v="76"/>
    <n v="1"/>
    <n v="0.86729455"/>
    <n v="39.298519969767256"/>
    <n v="0"/>
    <x v="4"/>
    <s v="LONG"/>
    <x v="6"/>
    <n v="39.298519969767199"/>
    <n v="45.311618722574998"/>
    <n v="0"/>
    <n v="0"/>
    <s v="OKEX"/>
    <s v="BSV COIN LONG"/>
  </r>
  <r>
    <x v="3"/>
    <x v="39"/>
    <x v="57"/>
    <n v="6.8575999999999999E-4"/>
    <n v="3.5763822388220502E-3"/>
    <n v="5.21520975096543"/>
    <n v="0"/>
    <x v="3"/>
    <d v="2022-12-15T00:00:00"/>
    <n v="1"/>
    <x v="23"/>
    <n v="1"/>
    <n v="6.8575999999999999E-4"/>
    <n v="3.5763822388220532E-3"/>
    <n v="0"/>
    <x v="4"/>
    <s v="LONG"/>
    <x v="6"/>
    <n v="3.5763822388220502E-3"/>
    <n v="5.21520975096543"/>
    <n v="0"/>
    <n v="0"/>
    <s v="OKEX"/>
    <s v="DOT COIN LONG"/>
  </r>
  <r>
    <x v="3"/>
    <x v="39"/>
    <x v="82"/>
    <n v="8.7929999999999993E-5"/>
    <n v="3.11317235041982E-4"/>
    <n v="3.5405121692480601"/>
    <n v="0"/>
    <x v="3"/>
    <d v="2022-12-15T00:00:00"/>
    <n v="1"/>
    <x v="41"/>
    <n v="1"/>
    <n v="8.7929999999999993E-5"/>
    <n v="3.1131723504198189E-4"/>
    <n v="0"/>
    <x v="4"/>
    <s v="LONG"/>
    <x v="6"/>
    <n v="3.11317235041982E-4"/>
    <n v="3.5405121692480601"/>
    <n v="0"/>
    <n v="0"/>
    <s v="OKEX"/>
    <s v="ETHW COIN LONG"/>
  </r>
  <r>
    <x v="3"/>
    <x v="39"/>
    <x v="66"/>
    <n v="7.5870867500000001"/>
    <n v="51.052202198785501"/>
    <n v="6.72882805759214"/>
    <n v="0"/>
    <x v="3"/>
    <d v="2022-12-15T00:00:00"/>
    <n v="1"/>
    <x v="10"/>
    <n v="1"/>
    <n v="7.5870867500000001"/>
    <n v="51.052202198785565"/>
    <n v="0"/>
    <x v="4"/>
    <s v="LONG"/>
    <x v="6"/>
    <n v="51.052202198785501"/>
    <n v="6.72882805759214"/>
    <n v="0"/>
    <n v="0"/>
    <s v="OKEX"/>
    <s v="LINK COIN LONG"/>
  </r>
  <r>
    <x v="3"/>
    <x v="39"/>
    <x v="67"/>
    <n v="6.758E-5"/>
    <n v="5.1006588652058003E-3"/>
    <n v="75.475863646134997"/>
    <n v="0"/>
    <x v="3"/>
    <d v="2022-12-15T00:00:00"/>
    <n v="1"/>
    <x v="6"/>
    <n v="1"/>
    <n v="6.758E-5"/>
    <n v="5.1006588652058029E-3"/>
    <n v="0"/>
    <x v="4"/>
    <s v="LONG"/>
    <x v="6"/>
    <n v="5.1006588652058003E-3"/>
    <n v="75.475863646134997"/>
    <n v="0"/>
    <n v="0"/>
    <s v="OKEX"/>
    <s v="LTC COIN LONG"/>
  </r>
  <r>
    <x v="3"/>
    <x v="39"/>
    <x v="73"/>
    <n v="8.1457000000000003E-4"/>
    <n v="7.3089379938516298E-9"/>
    <n v="8.9727561705582505E-6"/>
    <n v="0"/>
    <x v="3"/>
    <d v="2022-12-15T00:00:00"/>
    <n v="1"/>
    <x v="12"/>
    <n v="1"/>
    <n v="8.1457000000000003E-4"/>
    <n v="7.3089379938516347E-9"/>
    <n v="0"/>
    <x v="4"/>
    <s v="LONG"/>
    <x v="6"/>
    <n v="7.3089379938516298E-9"/>
    <n v="8.9727561705582505E-6"/>
    <n v="0"/>
    <n v="0"/>
    <s v="OKEX"/>
    <s v="SHIB COIN LONG"/>
  </r>
  <r>
    <x v="3"/>
    <x v="39"/>
    <x v="159"/>
    <n v="5.47"/>
    <n v="1.57867632592289E-4"/>
    <n v="2.8860627530583E-5"/>
    <n v="0"/>
    <x v="3"/>
    <d v="2022-12-15T00:00:00"/>
    <n v="1"/>
    <x v="118"/>
    <n v="1"/>
    <n v="5.47"/>
    <n v="1.57867632592289E-4"/>
    <n v="0"/>
    <x v="4"/>
    <s v="LONG"/>
    <x v="6"/>
    <n v="1.57867632592289E-4"/>
    <n v="2.8860627530583E-5"/>
    <n v="0"/>
    <n v="0"/>
    <s v="OKEX"/>
    <s v="XEC COIN LONG"/>
  </r>
  <r>
    <x v="3"/>
    <x v="39"/>
    <x v="86"/>
    <n v="6.9987000000000001E-4"/>
    <n v="2.7043936866175702E-4"/>
    <n v="0.38641371777866901"/>
    <n v="0"/>
    <x v="3"/>
    <d v="2022-12-15T00:00:00"/>
    <n v="1"/>
    <x v="45"/>
    <n v="1"/>
    <n v="6.9987000000000001E-4"/>
    <n v="2.7043936866175708E-4"/>
    <n v="0"/>
    <x v="4"/>
    <s v="LONG"/>
    <x v="6"/>
    <n v="2.7043936866175702E-4"/>
    <n v="0.38641371777866901"/>
    <n v="0"/>
    <n v="0"/>
    <s v="OKEX"/>
    <s v="XRP COIN LONG"/>
  </r>
  <r>
    <x v="14"/>
    <x v="40"/>
    <x v="60"/>
    <n v="7.1361999999999999E-4"/>
    <n v="0.93436313043289998"/>
    <n v="1309.32867693296"/>
    <n v="0"/>
    <x v="3"/>
    <d v="2022-12-14T21:59:02"/>
    <n v="1"/>
    <x v="1"/>
    <n v="1"/>
    <n v="7.1361999999999999E-4"/>
    <n v="0.93436313043289887"/>
    <n v="0"/>
    <x v="4"/>
    <s v="LONG"/>
    <x v="6"/>
    <n v="0.93436313043289998"/>
    <n v="1309.32867693296"/>
    <n v="0"/>
    <n v="0"/>
    <s v="PITX"/>
    <s v="ETH COIN LONG"/>
  </r>
  <r>
    <x v="14"/>
    <x v="40"/>
    <x v="61"/>
    <n v="0.01"/>
    <n v="1.06827E-2"/>
    <n v="1.0682700000000001"/>
    <n v="0"/>
    <x v="3"/>
    <d v="2022-12-14T21:59:02"/>
    <n v="1"/>
    <x v="25"/>
    <n v="1"/>
    <n v="0.01"/>
    <n v="1.0682700000000002E-2"/>
    <n v="0"/>
    <x v="5"/>
    <s v="LONG"/>
    <x v="7"/>
    <n v="1.06827E-2"/>
    <n v="1.0682700000000001"/>
    <n v="0"/>
    <n v="0"/>
    <s v="PITX"/>
    <s v="EUR CASH LONG"/>
  </r>
  <r>
    <x v="14"/>
    <x v="40"/>
    <x v="162"/>
    <n v="0.01"/>
    <n v="1.24276499999999E-2"/>
    <n v="1.2427649999999999"/>
    <n v="0"/>
    <x v="3"/>
    <d v="2022-12-14T21:59:02"/>
    <n v="1"/>
    <x v="120"/>
    <n v="1"/>
    <n v="0.01"/>
    <n v="1.2427649999999998E-2"/>
    <n v="0"/>
    <x v="4"/>
    <s v="LONG"/>
    <x v="6"/>
    <n v="1.24276499999999E-2"/>
    <n v="1.2427649999999999"/>
    <n v="0"/>
    <n v="0"/>
    <s v="PITX"/>
    <s v="GBP COIN LONG"/>
  </r>
  <r>
    <x v="14"/>
    <x v="40"/>
    <x v="163"/>
    <n v="0.10983253"/>
    <n v="5.8358694645149999E-3"/>
    <n v="5.3134253253703599E-2"/>
    <n v="0"/>
    <x v="3"/>
    <d v="2022-12-14T21:59:02"/>
    <n v="1"/>
    <x v="121"/>
    <n v="1"/>
    <n v="0.10983253"/>
    <n v="5.8358694645149981E-3"/>
    <n v="0"/>
    <x v="4"/>
    <s v="LONG"/>
    <x v="6"/>
    <n v="5.8358694645149999E-3"/>
    <n v="5.3134253253703599E-2"/>
    <n v="0"/>
    <n v="0"/>
    <s v="PITX"/>
    <s v="TRY COIN LONG"/>
  </r>
  <r>
    <x v="14"/>
    <x v="40"/>
    <x v="83"/>
    <n v="6.5778299999999998E-3"/>
    <n v="6.5778299999999998E-3"/>
    <n v="1"/>
    <n v="0"/>
    <x v="3"/>
    <d v="2022-12-14T21:59:02"/>
    <n v="1"/>
    <x v="42"/>
    <n v="1"/>
    <n v="6.5778299999999998E-3"/>
    <n v="6.5778299999999998E-3"/>
    <n v="0"/>
    <x v="5"/>
    <s v="LONG"/>
    <x v="7"/>
    <n v="6.5778299999999998E-3"/>
    <n v="1"/>
    <n v="0"/>
    <n v="0"/>
    <s v="PITX"/>
    <s v="USD CASH LONG"/>
  </r>
  <r>
    <x v="14"/>
    <x v="40"/>
    <x v="77"/>
    <n v="9.9996000000000004E-4"/>
    <n v="1.0000654061081201E-3"/>
    <n v="1.0001054103245299"/>
    <n v="0"/>
    <x v="3"/>
    <d v="2022-12-14T21:59:02"/>
    <n v="1"/>
    <x v="37"/>
    <n v="1"/>
    <n v="9.9996000000000004E-4"/>
    <n v="1.000065406108117E-3"/>
    <n v="0"/>
    <x v="4"/>
    <s v="LONG"/>
    <x v="6"/>
    <n v="1.0000654061081201E-3"/>
    <n v="1.0001054103245299"/>
    <n v="0"/>
    <n v="0"/>
    <s v="PITX"/>
    <s v="USDT COIN LONG"/>
  </r>
  <r>
    <x v="14"/>
    <x v="40"/>
    <x v="78"/>
    <n v="9.9999999999999995E-8"/>
    <n v="8.3013789241186207E-9"/>
    <n v="8.3013789241186201E-2"/>
    <n v="0"/>
    <x v="3"/>
    <d v="2022-12-14T21:59:02"/>
    <n v="1"/>
    <x v="38"/>
    <n v="1"/>
    <n v="9.9999999999999995E-8"/>
    <n v="8.301378924118619E-9"/>
    <n v="0"/>
    <x v="4"/>
    <s v="LONG"/>
    <x v="6"/>
    <n v="8.3013789241186207E-9"/>
    <n v="8.3013789241186201E-2"/>
    <n v="0"/>
    <n v="0"/>
    <s v="PITX"/>
    <s v="XLM COIN LONG"/>
  </r>
  <r>
    <x v="15"/>
    <x v="41"/>
    <x v="164"/>
    <n v="3393052.5294192201"/>
    <n v="31408.321681189798"/>
    <n v="9.2566564793401199E-3"/>
    <n v="0"/>
    <x v="3"/>
    <d v="2022-12-15T00:00:00"/>
    <n v="1"/>
    <x v="122"/>
    <n v="1"/>
    <n v="3393052.5294192201"/>
    <n v="31408.321681189806"/>
    <n v="0"/>
    <x v="4"/>
    <s v="LONG"/>
    <x v="6"/>
    <n v="31408.321681189798"/>
    <n v="9.2566564793401199E-3"/>
    <n v="0"/>
    <n v="0"/>
    <s v="SHFT"/>
    <s v="SHFT COIN LONG"/>
  </r>
  <r>
    <x v="16"/>
    <x v="42"/>
    <x v="44"/>
    <n v="59"/>
    <n v="18.179920864869501"/>
    <n v="0.308134251946941"/>
    <n v="0"/>
    <x v="3"/>
    <d v="2022-12-15T00:00:00"/>
    <n v="1"/>
    <x v="14"/>
    <n v="1"/>
    <n v="59"/>
    <n v="18.179920864869519"/>
    <n v="0"/>
    <x v="4"/>
    <s v="LONG"/>
    <x v="6"/>
    <n v="18.179920864869501"/>
    <n v="0.308134251946941"/>
    <n v="0"/>
    <n v="0"/>
    <s v="WOOX"/>
    <s v="ADA COIN LONG"/>
  </r>
  <r>
    <x v="16"/>
    <x v="42"/>
    <x v="51"/>
    <n v="349.04641047000001"/>
    <n v="6218488.63195627"/>
    <n v="17815.649854650899"/>
    <n v="0"/>
    <x v="3"/>
    <d v="2022-12-15T00:00:00"/>
    <n v="1"/>
    <x v="0"/>
    <n v="1"/>
    <n v="349.04641047000001"/>
    <n v="6218488.6319562737"/>
    <n v="0"/>
    <x v="4"/>
    <s v="LONG"/>
    <x v="6"/>
    <n v="6218488.63195627"/>
    <n v="17815.649854650899"/>
    <n v="0"/>
    <n v="0"/>
    <s v="WOOX"/>
    <s v="BTC COIN LONG"/>
  </r>
  <r>
    <x v="16"/>
    <x v="42"/>
    <x v="60"/>
    <n v="2104.7725880100002"/>
    <n v="2755839.1079039001"/>
    <n v="1309.32867693296"/>
    <n v="0"/>
    <x v="3"/>
    <d v="2022-12-15T00:00:00"/>
    <n v="1"/>
    <x v="1"/>
    <n v="1"/>
    <n v="2104.7725880100002"/>
    <n v="2755839.1079038954"/>
    <n v="0"/>
    <x v="4"/>
    <s v="LONG"/>
    <x v="6"/>
    <n v="2755839.1079039001"/>
    <n v="1309.32867693296"/>
    <n v="0"/>
    <n v="0"/>
    <s v="WOOX"/>
    <s v="ETH COIN LONG"/>
  </r>
  <r>
    <x v="16"/>
    <x v="42"/>
    <x v="82"/>
    <n v="1267.7570125100001"/>
    <n v="4488.5091304412199"/>
    <n v="3.5405121692480601"/>
    <n v="0"/>
    <x v="3"/>
    <d v="2022-12-15T00:00:00"/>
    <n v="1"/>
    <x v="41"/>
    <n v="1"/>
    <n v="1267.7570125100001"/>
    <n v="4488.5091304412208"/>
    <n v="0"/>
    <x v="4"/>
    <s v="LONG"/>
    <x v="6"/>
    <n v="4488.5091304412199"/>
    <n v="3.5405121692480601"/>
    <n v="0"/>
    <n v="0"/>
    <s v="WOOX"/>
    <s v="ETHW COIN LONG"/>
  </r>
  <r>
    <x v="16"/>
    <x v="42"/>
    <x v="165"/>
    <n v="1644286.05309931"/>
    <n v="222148.28450126699"/>
    <n v="0.135103186019574"/>
    <n v="0"/>
    <x v="3"/>
    <d v="2022-12-15T00:00:00"/>
    <n v="1"/>
    <x v="123"/>
    <n v="1"/>
    <n v="1644286.05309931"/>
    <n v="222148.28450126722"/>
    <n v="0"/>
    <x v="4"/>
    <s v="LONG"/>
    <x v="6"/>
    <n v="222148.28450126699"/>
    <n v="0.135103186019574"/>
    <n v="0"/>
    <n v="0"/>
    <s v="WOOX"/>
    <s v="WOO COIN LONG"/>
  </r>
  <r>
    <x v="17"/>
    <x v="43"/>
    <x v="43"/>
    <n v="21.553935809999999"/>
    <n v="1348.4765286499101"/>
    <n v="62.562890626420497"/>
    <n v="0"/>
    <x v="3"/>
    <d v="2022-12-15T00:27:54"/>
    <n v="1"/>
    <x v="13"/>
    <n v="1"/>
    <n v="21.553935809999999"/>
    <n v="1348.476528649918"/>
    <n v="0"/>
    <x v="4"/>
    <s v="LONG"/>
    <x v="6"/>
    <n v="1348.4765286499101"/>
    <n v="62.562890626420497"/>
    <n v="0"/>
    <n v="0"/>
    <s v="FBLK"/>
    <s v="AAVE COIN LONG"/>
  </r>
  <r>
    <x v="17"/>
    <x v="43"/>
    <x v="44"/>
    <n v="72355.023579999994"/>
    <n v="22295.061065426598"/>
    <n v="0.308134251946941"/>
    <n v="0"/>
    <x v="3"/>
    <d v="2022-12-15T00:27:54"/>
    <n v="1"/>
    <x v="14"/>
    <n v="1"/>
    <n v="72355.023579999994"/>
    <n v="22295.061065426573"/>
    <n v="0"/>
    <x v="4"/>
    <s v="LONG"/>
    <x v="6"/>
    <n v="22295.061065426598"/>
    <n v="0.308134251946941"/>
    <n v="0"/>
    <n v="0"/>
    <s v="FBLK"/>
    <s v="ADA COIN LONG"/>
  </r>
  <r>
    <x v="17"/>
    <x v="43"/>
    <x v="45"/>
    <n v="7939.9443799999999"/>
    <n v="1754.0592206604599"/>
    <n v="0.220915807052601"/>
    <n v="0"/>
    <x v="3"/>
    <d v="2022-12-15T00:27:54"/>
    <n v="1"/>
    <x v="15"/>
    <n v="1"/>
    <n v="7939.9443799999999"/>
    <n v="1754.0592206604636"/>
    <n v="0"/>
    <x v="4"/>
    <s v="LONG"/>
    <x v="6"/>
    <n v="1754.0592206604599"/>
    <n v="0.220915807052601"/>
    <n v="0"/>
    <n v="0"/>
    <s v="FBLK"/>
    <s v="ALGO COIN LONG"/>
  </r>
  <r>
    <x v="17"/>
    <x v="43"/>
    <x v="47"/>
    <n v="1336.2276758400001"/>
    <n v="18343.1450310949"/>
    <n v="13.7275595789196"/>
    <n v="0"/>
    <x v="3"/>
    <d v="2022-12-15T00:27:54"/>
    <n v="1"/>
    <x v="16"/>
    <n v="1"/>
    <n v="1336.2276758400001"/>
    <n v="18343.145031094868"/>
    <n v="0"/>
    <x v="4"/>
    <s v="LONG"/>
    <x v="6"/>
    <n v="18343.1450310949"/>
    <n v="13.7275595789196"/>
    <n v="0"/>
    <n v="0"/>
    <s v="FBLK"/>
    <s v="AVAX COIN LONG"/>
  </r>
  <r>
    <x v="17"/>
    <x v="43"/>
    <x v="48"/>
    <n v="8346.3712095800001"/>
    <n v="1869.2646151084"/>
    <n v="0.223961356159531"/>
    <n v="0"/>
    <x v="3"/>
    <d v="2022-12-15T00:27:54"/>
    <n v="1"/>
    <x v="17"/>
    <n v="1"/>
    <n v="8346.3712095800001"/>
    <n v="1869.264615108402"/>
    <n v="0"/>
    <x v="4"/>
    <s v="LONG"/>
    <x v="6"/>
    <n v="1869.2646151084"/>
    <n v="0.223961356159531"/>
    <n v="0"/>
    <n v="0"/>
    <s v="FBLK"/>
    <s v="BAT COIN LONG"/>
  </r>
  <r>
    <x v="17"/>
    <x v="43"/>
    <x v="49"/>
    <n v="0.826766"/>
    <n v="90.207194765138198"/>
    <n v="109.10849595307199"/>
    <n v="0"/>
    <x v="3"/>
    <d v="2022-12-15T00:27:54"/>
    <n v="1"/>
    <x v="4"/>
    <n v="1"/>
    <n v="0.826766"/>
    <n v="90.207194765137515"/>
    <n v="0"/>
    <x v="4"/>
    <s v="LONG"/>
    <x v="6"/>
    <n v="90.207194765138198"/>
    <n v="109.10849595307199"/>
    <n v="0"/>
    <n v="0"/>
    <s v="FBLK"/>
    <s v="BCH COIN LONG"/>
  </r>
  <r>
    <x v="17"/>
    <x v="43"/>
    <x v="51"/>
    <n v="598.26817843000003"/>
    <n v="10658536.3860886"/>
    <n v="17815.649854650899"/>
    <n v="0"/>
    <x v="3"/>
    <d v="2022-12-15T00:27:54"/>
    <n v="1"/>
    <x v="0"/>
    <n v="1"/>
    <n v="598.26817843000003"/>
    <n v="10658536.386088688"/>
    <n v="0"/>
    <x v="4"/>
    <s v="LONG"/>
    <x v="6"/>
    <n v="10658536.3860886"/>
    <n v="17815.649854650899"/>
    <n v="0"/>
    <n v="0"/>
    <s v="FBLK"/>
    <s v="BTC COIN LONG"/>
  </r>
  <r>
    <x v="17"/>
    <x v="43"/>
    <x v="53"/>
    <n v="107.31036570000001"/>
    <n v="4223.0104824482896"/>
    <n v="39.353239129333097"/>
    <n v="0"/>
    <x v="3"/>
    <d v="2022-12-15T00:27:54"/>
    <n v="1"/>
    <x v="9"/>
    <n v="1"/>
    <n v="107.31036570000001"/>
    <n v="4223.0104824482842"/>
    <n v="0"/>
    <x v="4"/>
    <s v="LONG"/>
    <x v="6"/>
    <n v="4223.0104824482896"/>
    <n v="39.353239129333097"/>
    <n v="0"/>
    <n v="0"/>
    <s v="FBLK"/>
    <s v="COMP COIN LONG"/>
  </r>
  <r>
    <x v="17"/>
    <x v="43"/>
    <x v="55"/>
    <n v="2.5788782800000001"/>
    <n v="125.961666061678"/>
    <n v="48.843587166773403"/>
    <n v="0"/>
    <x v="3"/>
    <d v="2022-12-15T00:27:54"/>
    <n v="1"/>
    <x v="21"/>
    <n v="1"/>
    <n v="2.5788782800000001"/>
    <n v="125.96166606167867"/>
    <n v="0"/>
    <x v="4"/>
    <s v="LONG"/>
    <x v="6"/>
    <n v="125.961666061678"/>
    <n v="48.843587166773403"/>
    <n v="0"/>
    <n v="0"/>
    <s v="FBLK"/>
    <s v="DASH COIN LONG"/>
  </r>
  <r>
    <x v="17"/>
    <x v="43"/>
    <x v="56"/>
    <n v="5680.2592693400002"/>
    <n v="502.78469967242597"/>
    <n v="8.8514392712015305E-2"/>
    <n v="0"/>
    <x v="3"/>
    <d v="2022-12-15T00:27:54"/>
    <n v="1"/>
    <x v="22"/>
    <n v="1"/>
    <n v="5680.2592693400002"/>
    <n v="502.78469967242592"/>
    <n v="0"/>
    <x v="4"/>
    <s v="LONG"/>
    <x v="6"/>
    <n v="502.78469967242597"/>
    <n v="8.8514392712015305E-2"/>
    <n v="0"/>
    <n v="0"/>
    <s v="FBLK"/>
    <s v="DOGE COIN LONG"/>
  </r>
  <r>
    <x v="17"/>
    <x v="43"/>
    <x v="57"/>
    <n v="2.0019999999999998"/>
    <n v="10.4408499214328"/>
    <n v="5.21520975096543"/>
    <n v="0"/>
    <x v="3"/>
    <d v="2022-12-15T00:27:54"/>
    <n v="1"/>
    <x v="23"/>
    <n v="1"/>
    <n v="2.0019999999999998"/>
    <n v="10.44084992143279"/>
    <n v="0"/>
    <x v="4"/>
    <s v="LONG"/>
    <x v="6"/>
    <n v="10.4408499214328"/>
    <n v="5.21520975096543"/>
    <n v="0"/>
    <n v="0"/>
    <s v="FBLK"/>
    <s v="DOT COIN LONG"/>
  </r>
  <r>
    <x v="17"/>
    <x v="43"/>
    <x v="58"/>
    <n v="170.34154862"/>
    <n v="51.147438254390501"/>
    <n v="0.30026402054434098"/>
    <n v="0"/>
    <x v="3"/>
    <d v="2022-12-15T00:27:54"/>
    <n v="1"/>
    <x v="24"/>
    <n v="1"/>
    <n v="170.34154862"/>
    <n v="51.147438254390536"/>
    <n v="0"/>
    <x v="4"/>
    <s v="LONG"/>
    <x v="6"/>
    <n v="51.147438254390501"/>
    <n v="0.30026402054434098"/>
    <n v="0"/>
    <n v="0"/>
    <s v="FBLK"/>
    <s v="ENJ COIN LONG"/>
  </r>
  <r>
    <x v="17"/>
    <x v="43"/>
    <x v="59"/>
    <n v="885.21320000000003"/>
    <n v="865.75739712052905"/>
    <n v="0.97802133669101299"/>
    <n v="0"/>
    <x v="3"/>
    <d v="2022-12-15T00:27:54"/>
    <n v="1"/>
    <x v="3"/>
    <n v="1"/>
    <n v="885.21320000000003"/>
    <n v="865.75739712052905"/>
    <n v="0"/>
    <x v="4"/>
    <s v="LONG"/>
    <x v="6"/>
    <n v="865.75739712052905"/>
    <n v="0.97802133669101299"/>
    <n v="0"/>
    <n v="0"/>
    <s v="FBLK"/>
    <s v="EOS COIN LONG"/>
  </r>
  <r>
    <x v="17"/>
    <x v="43"/>
    <x v="81"/>
    <n v="5.8852999999999998E-4"/>
    <n v="1.10571175645403E-2"/>
    <n v="18.787687228417099"/>
    <n v="0"/>
    <x v="3"/>
    <d v="2022-12-15T00:27:54"/>
    <n v="1"/>
    <x v="5"/>
    <n v="1"/>
    <n v="5.8852999999999998E-4"/>
    <n v="1.1057117564540314E-2"/>
    <n v="0"/>
    <x v="4"/>
    <s v="LONG"/>
    <x v="6"/>
    <n v="1.10571175645403E-2"/>
    <n v="18.787687228417099"/>
    <n v="0"/>
    <n v="0"/>
    <s v="FBLK"/>
    <s v="ETC COIN LONG"/>
  </r>
  <r>
    <x v="17"/>
    <x v="43"/>
    <x v="60"/>
    <n v="3813.7481754699902"/>
    <n v="4993449.8527436303"/>
    <n v="1309.32867693296"/>
    <n v="0"/>
    <x v="3"/>
    <d v="2022-12-15T00:27:54"/>
    <n v="1"/>
    <x v="1"/>
    <n v="1"/>
    <n v="3813.7481754699902"/>
    <n v="4993449.8527436126"/>
    <n v="0"/>
    <x v="4"/>
    <s v="LONG"/>
    <x v="6"/>
    <n v="4993449.8527436303"/>
    <n v="1309.32867693296"/>
    <n v="0"/>
    <n v="0"/>
    <s v="FBLK"/>
    <s v="ETH COIN LONG"/>
  </r>
  <r>
    <x v="17"/>
    <x v="43"/>
    <x v="82"/>
    <n v="0.42501022999999999"/>
    <n v="1.5047538913699099"/>
    <n v="3.5405121692480601"/>
    <n v="0"/>
    <x v="3"/>
    <d v="2022-12-15T00:27:54"/>
    <n v="1"/>
    <x v="41"/>
    <n v="1"/>
    <n v="0.42501022999999999"/>
    <n v="1.504753891369917"/>
    <n v="0"/>
    <x v="4"/>
    <s v="LONG"/>
    <x v="6"/>
    <n v="1.5047538913699099"/>
    <n v="3.5405121692480601"/>
    <n v="0"/>
    <n v="0"/>
    <s v="FBLK"/>
    <s v="ETHW COIN LONG"/>
  </r>
  <r>
    <x v="17"/>
    <x v="43"/>
    <x v="132"/>
    <n v="5024"/>
    <n v="5367.2971709891099"/>
    <n v="1.0683314432701201"/>
    <n v="0"/>
    <x v="3"/>
    <d v="2022-12-15T00:27:54"/>
    <n v="1"/>
    <x v="91"/>
    <n v="1"/>
    <n v="5024"/>
    <n v="5367.2971709890835"/>
    <n v="0"/>
    <x v="4"/>
    <s v="LONG"/>
    <x v="6"/>
    <n v="5367.2971709891099"/>
    <n v="1.0683314432701201"/>
    <n v="0"/>
    <n v="0"/>
    <s v="FBLK"/>
    <s v="EUROC COIN LONG"/>
  </r>
  <r>
    <x v="17"/>
    <x v="43"/>
    <x v="63"/>
    <n v="3969.6552405000002"/>
    <n v="955.17595012880599"/>
    <n v="0.24061937177408299"/>
    <n v="0"/>
    <x v="3"/>
    <d v="2022-12-15T00:27:54"/>
    <n v="1"/>
    <x v="27"/>
    <n v="1"/>
    <n v="3969.6552405000002"/>
    <n v="955.17595012880633"/>
    <n v="0"/>
    <x v="4"/>
    <s v="LONG"/>
    <x v="6"/>
    <n v="955.17595012880599"/>
    <n v="0.24061937177408299"/>
    <n v="0"/>
    <n v="0"/>
    <s v="FBLK"/>
    <s v="FTM COIN LONG"/>
  </r>
  <r>
    <x v="17"/>
    <x v="43"/>
    <x v="133"/>
    <n v="2.53888889"/>
    <n v="3.4814643363341302"/>
    <n v="1.37125509905009"/>
    <n v="0"/>
    <x v="3"/>
    <d v="2022-12-15T00:27:54"/>
    <n v="1"/>
    <x v="92"/>
    <n v="1"/>
    <n v="2.53888889"/>
    <n v="3.4814643363341231"/>
    <n v="0"/>
    <x v="4"/>
    <s v="LONG"/>
    <x v="6"/>
    <n v="3.4814643363341302"/>
    <n v="1.37125509905009"/>
    <n v="0"/>
    <n v="0"/>
    <s v="FBLK"/>
    <s v="FTT COIN LONG"/>
  </r>
  <r>
    <x v="17"/>
    <x v="43"/>
    <x v="64"/>
    <n v="401.2307831"/>
    <n v="26.365646284376101"/>
    <n v="6.5711922900504302E-2"/>
    <n v="0"/>
    <x v="3"/>
    <d v="2022-12-15T00:27:54"/>
    <n v="1"/>
    <x v="28"/>
    <n v="1"/>
    <n v="401.2307831"/>
    <n v="26.365646284376165"/>
    <n v="0"/>
    <x v="4"/>
    <s v="LONG"/>
    <x v="6"/>
    <n v="26.365646284376101"/>
    <n v="6.5711922900504302E-2"/>
    <n v="0"/>
    <n v="0"/>
    <s v="FBLK"/>
    <s v="GRT COIN LONG"/>
  </r>
  <r>
    <x v="17"/>
    <x v="43"/>
    <x v="65"/>
    <n v="6955.5320218500001"/>
    <n v="324.67637506528399"/>
    <n v="4.6678870005249097E-2"/>
    <n v="0"/>
    <x v="3"/>
    <d v="2022-12-15T00:27:54"/>
    <n v="1"/>
    <x v="29"/>
    <n v="1"/>
    <n v="6955.5320218500001"/>
    <n v="324.67637506528359"/>
    <n v="0"/>
    <x v="4"/>
    <s v="LONG"/>
    <x v="6"/>
    <n v="324.67637506528399"/>
    <n v="4.6678870005249097E-2"/>
    <n v="0"/>
    <n v="0"/>
    <s v="FBLK"/>
    <s v="HBAR COIN LONG"/>
  </r>
  <r>
    <x v="17"/>
    <x v="43"/>
    <x v="140"/>
    <n v="9.2269799999999992E-3"/>
    <n v="0.25417860522711799"/>
    <n v="27.547323742667501"/>
    <n v="0"/>
    <x v="3"/>
    <d v="2022-12-15T00:27:54"/>
    <n v="1"/>
    <x v="99"/>
    <n v="1"/>
    <n v="9.2269799999999992E-3"/>
    <n v="0.25417860522711816"/>
    <n v="0"/>
    <x v="4"/>
    <s v="LONG"/>
    <x v="6"/>
    <n v="0.25417860522711799"/>
    <n v="27.547323742667501"/>
    <n v="0"/>
    <n v="0"/>
    <s v="FBLK"/>
    <s v="KSM COIN LONG"/>
  </r>
  <r>
    <x v="17"/>
    <x v="43"/>
    <x v="66"/>
    <n v="991.68718306000005"/>
    <n v="6672.89254172864"/>
    <n v="6.72882805759214"/>
    <n v="0"/>
    <x v="3"/>
    <d v="2022-12-15T00:27:54"/>
    <n v="1"/>
    <x v="10"/>
    <n v="1"/>
    <n v="991.68718306000005"/>
    <n v="6672.8925417286409"/>
    <n v="0"/>
    <x v="4"/>
    <s v="LONG"/>
    <x v="6"/>
    <n v="6672.89254172864"/>
    <n v="6.72882805759214"/>
    <n v="0"/>
    <n v="0"/>
    <s v="FBLK"/>
    <s v="LINK COIN LONG"/>
  </r>
  <r>
    <x v="17"/>
    <x v="43"/>
    <x v="67"/>
    <n v="6.3299567400000001"/>
    <n v="477.75895179417302"/>
    <n v="75.475863646134997"/>
    <n v="0"/>
    <x v="3"/>
    <d v="2022-12-15T00:27:54"/>
    <n v="1"/>
    <x v="6"/>
    <n v="1"/>
    <n v="6.3299567400000001"/>
    <n v="477.75895179417319"/>
    <n v="0"/>
    <x v="4"/>
    <s v="LONG"/>
    <x v="6"/>
    <n v="477.75895179417302"/>
    <n v="75.475863646134997"/>
    <n v="0"/>
    <n v="0"/>
    <s v="FBLK"/>
    <s v="LTC COIN LONG"/>
  </r>
  <r>
    <x v="17"/>
    <x v="43"/>
    <x v="68"/>
    <n v="1894.9818869999999"/>
    <n v="723.61853302628197"/>
    <n v="0.38186039560085799"/>
    <n v="0"/>
    <x v="3"/>
    <d v="2022-12-15T00:27:54"/>
    <n v="1"/>
    <x v="30"/>
    <n v="1"/>
    <n v="1894.9818869999999"/>
    <n v="723.61853302628037"/>
    <n v="0"/>
    <x v="4"/>
    <s v="LONG"/>
    <x v="6"/>
    <n v="723.61853302628197"/>
    <n v="0.38186039560085799"/>
    <n v="0"/>
    <n v="0"/>
    <s v="FBLK"/>
    <s v="MANA COIN LONG"/>
  </r>
  <r>
    <x v="17"/>
    <x v="43"/>
    <x v="69"/>
    <n v="9754.9953736700008"/>
    <n v="8812.1492566720899"/>
    <n v="0.90334735375244002"/>
    <n v="0"/>
    <x v="3"/>
    <d v="2022-12-15T00:27:54"/>
    <n v="1"/>
    <x v="31"/>
    <n v="1"/>
    <n v="9754.9953736700008"/>
    <n v="8812.1492566720899"/>
    <n v="0"/>
    <x v="4"/>
    <s v="LONG"/>
    <x v="6"/>
    <n v="8812.1492566720899"/>
    <n v="0.90334735375244002"/>
    <n v="0"/>
    <n v="0"/>
    <s v="FBLK"/>
    <s v="MATIC COIN LONG"/>
  </r>
  <r>
    <x v="17"/>
    <x v="43"/>
    <x v="70"/>
    <n v="0.77666018999999997"/>
    <n v="470.77853044224997"/>
    <n v="606.15766908594901"/>
    <n v="0"/>
    <x v="3"/>
    <d v="2022-12-15T00:27:54"/>
    <n v="1"/>
    <x v="32"/>
    <n v="1"/>
    <n v="0.77666018999999997"/>
    <n v="470.77853044225026"/>
    <n v="0"/>
    <x v="4"/>
    <s v="LONG"/>
    <x v="6"/>
    <n v="470.77853044224997"/>
    <n v="606.15766908594901"/>
    <n v="0"/>
    <n v="0"/>
    <s v="FBLK"/>
    <s v="MKR COIN LONG"/>
  </r>
  <r>
    <x v="17"/>
    <x v="43"/>
    <x v="71"/>
    <n v="106.971"/>
    <n v="125.99285361318501"/>
    <n v="1.1778225277242"/>
    <n v="0"/>
    <x v="3"/>
    <d v="2022-12-15T00:27:54"/>
    <n v="1"/>
    <x v="7"/>
    <n v="1"/>
    <n v="106.971"/>
    <n v="125.9928536131854"/>
    <n v="0"/>
    <x v="4"/>
    <s v="LONG"/>
    <x v="6"/>
    <n v="125.99285361318501"/>
    <n v="1.1778225277242"/>
    <n v="0"/>
    <n v="0"/>
    <s v="FBLK"/>
    <s v="OMG COIN LONG"/>
  </r>
  <r>
    <x v="17"/>
    <x v="43"/>
    <x v="72"/>
    <n v="24.565999999999999"/>
    <n v="1.9942155881477901"/>
    <n v="8.1177871372945895E-2"/>
    <n v="0"/>
    <x v="3"/>
    <d v="2022-12-15T00:27:54"/>
    <n v="1"/>
    <x v="33"/>
    <n v="1"/>
    <n v="24.565999999999999"/>
    <n v="1.9942155881477888"/>
    <n v="0"/>
    <x v="4"/>
    <s v="LONG"/>
    <x v="6"/>
    <n v="1.9942155881477901"/>
    <n v="8.1177871372945895E-2"/>
    <n v="0"/>
    <n v="0"/>
    <s v="FBLK"/>
    <s v="OXT COIN LONG"/>
  </r>
  <r>
    <x v="17"/>
    <x v="43"/>
    <x v="73"/>
    <n v="664916118.04308903"/>
    <n v="5966.1302010747604"/>
    <n v="8.9727561705582505E-6"/>
    <n v="0"/>
    <x v="3"/>
    <d v="2022-12-15T00:27:54"/>
    <n v="1"/>
    <x v="12"/>
    <n v="1"/>
    <n v="664916118.04308903"/>
    <n v="5966.130201074765"/>
    <n v="0"/>
    <x v="4"/>
    <s v="LONG"/>
    <x v="6"/>
    <n v="5966.1302010747604"/>
    <n v="8.9727561705582505E-6"/>
    <n v="0"/>
    <n v="0"/>
    <s v="FBLK"/>
    <s v="SHIB COIN LONG"/>
  </r>
  <r>
    <x v="17"/>
    <x v="43"/>
    <x v="74"/>
    <n v="464.53931548000003"/>
    <n v="6568.8303608919496"/>
    <n v="14.1405261987448"/>
    <n v="0"/>
    <x v="3"/>
    <d v="2022-12-15T00:27:54"/>
    <n v="1"/>
    <x v="34"/>
    <n v="1"/>
    <n v="464.53931548000003"/>
    <n v="6568.8303608919159"/>
    <n v="0"/>
    <x v="4"/>
    <s v="LONG"/>
    <x v="6"/>
    <n v="6568.8303608919496"/>
    <n v="14.1405261987448"/>
    <n v="0"/>
    <n v="0"/>
    <s v="FBLK"/>
    <s v="SOL COIN LONG"/>
  </r>
  <r>
    <x v="17"/>
    <x v="43"/>
    <x v="75"/>
    <n v="1600.35402912"/>
    <n v="1791.8438991088899"/>
    <n v="1.1196546929645199"/>
    <n v="0"/>
    <x v="3"/>
    <d v="2022-12-15T00:27:54"/>
    <n v="1"/>
    <x v="35"/>
    <n v="1"/>
    <n v="1600.35402912"/>
    <n v="1791.8438991088858"/>
    <n v="0"/>
    <x v="4"/>
    <s v="LONG"/>
    <x v="6"/>
    <n v="1791.8438991088899"/>
    <n v="1.1196546929645199"/>
    <n v="0"/>
    <n v="0"/>
    <s v="FBLK"/>
    <s v="SUSHI COIN LONG"/>
  </r>
  <r>
    <x v="17"/>
    <x v="43"/>
    <x v="76"/>
    <n v="733.96397166999998"/>
    <n v="4344.8006056570202"/>
    <n v="5.9196374391119297"/>
    <n v="0"/>
    <x v="3"/>
    <d v="2022-12-15T00:27:54"/>
    <n v="1"/>
    <x v="36"/>
    <n v="1"/>
    <n v="733.96397166999998"/>
    <n v="4344.8006056570193"/>
    <n v="0"/>
    <x v="4"/>
    <s v="LONG"/>
    <x v="6"/>
    <n v="4344.8006056570202"/>
    <n v="5.9196374391119297"/>
    <n v="0"/>
    <n v="0"/>
    <s v="FBLK"/>
    <s v="UNI COIN LONG"/>
  </r>
  <r>
    <x v="17"/>
    <x v="43"/>
    <x v="87"/>
    <n v="28895.690009999998"/>
    <n v="28895.098379543899"/>
    <n v="0.99997952530443501"/>
    <n v="0"/>
    <x v="3"/>
    <d v="2022-12-15T00:27:54"/>
    <n v="1"/>
    <x v="46"/>
    <n v="1"/>
    <n v="28895.690009999998"/>
    <n v="28895.098379543902"/>
    <n v="0"/>
    <x v="4"/>
    <s v="LONG"/>
    <x v="6"/>
    <n v="28895.098379543899"/>
    <n v="0.99997952530443501"/>
    <n v="0"/>
    <n v="0"/>
    <s v="FBLK"/>
    <s v="USDC COIN LONG"/>
  </r>
  <r>
    <x v="17"/>
    <x v="43"/>
    <x v="77"/>
    <n v="4892269.848123"/>
    <n v="4892785.5438754102"/>
    <n v="1.0001054103245299"/>
    <n v="0"/>
    <x v="3"/>
    <d v="2022-12-15T00:27:54"/>
    <n v="1"/>
    <x v="37"/>
    <n v="1"/>
    <n v="4892269.848123"/>
    <n v="4892785.5438753786"/>
    <n v="0"/>
    <x v="4"/>
    <s v="LONG"/>
    <x v="6"/>
    <n v="4892785.5438754102"/>
    <n v="1.0001054103245299"/>
    <n v="0"/>
    <n v="0"/>
    <s v="FBLK"/>
    <s v="USDT COIN LONG"/>
  </r>
  <r>
    <x v="17"/>
    <x v="43"/>
    <x v="78"/>
    <n v="5546.1452737"/>
    <n v="460.40653485193297"/>
    <n v="8.3013789241186201E-2"/>
    <n v="0"/>
    <x v="3"/>
    <d v="2022-12-15T00:27:54"/>
    <n v="1"/>
    <x v="38"/>
    <n v="1"/>
    <n v="5546.1452737"/>
    <n v="460.40653485193275"/>
    <n v="0"/>
    <x v="4"/>
    <s v="LONG"/>
    <x v="6"/>
    <n v="460.40653485193297"/>
    <n v="8.3013789241186201E-2"/>
    <n v="0"/>
    <n v="0"/>
    <s v="FBLK"/>
    <s v="XLM COIN LONG"/>
  </r>
  <r>
    <x v="17"/>
    <x v="43"/>
    <x v="86"/>
    <n v="313.68986200000001"/>
    <n v="121.214065804897"/>
    <n v="0.38641371777866901"/>
    <n v="0"/>
    <x v="3"/>
    <d v="2022-12-15T00:27:54"/>
    <n v="1"/>
    <x v="45"/>
    <n v="1"/>
    <n v="313.68986200000001"/>
    <n v="121.21406580489763"/>
    <n v="0"/>
    <x v="4"/>
    <s v="LONG"/>
    <x v="6"/>
    <n v="121.214065804897"/>
    <n v="0.38641371777866901"/>
    <n v="0"/>
    <n v="0"/>
    <s v="FBLK"/>
    <s v="XRP COIN LONG"/>
  </r>
  <r>
    <x v="17"/>
    <x v="43"/>
    <x v="79"/>
    <n v="74.496399999999994"/>
    <n v="70.879699859790193"/>
    <n v="0.95145134341780602"/>
    <n v="0"/>
    <x v="3"/>
    <d v="2022-12-15T00:27:54"/>
    <n v="1"/>
    <x v="39"/>
    <n v="1"/>
    <n v="74.496399999999994"/>
    <n v="70.879699859790236"/>
    <n v="0"/>
    <x v="4"/>
    <s v="LONG"/>
    <x v="6"/>
    <n v="70.879699859790193"/>
    <n v="0.95145134341780602"/>
    <n v="0"/>
    <n v="0"/>
    <s v="FBLK"/>
    <s v="XTZ COIN LONG"/>
  </r>
  <r>
    <x v="17"/>
    <x v="43"/>
    <x v="80"/>
    <n v="1.9935830000000002E-2"/>
    <n v="128.64154809617199"/>
    <n v="6452.7811531384496"/>
    <n v="0"/>
    <x v="3"/>
    <d v="2022-12-15T00:27:54"/>
    <n v="1"/>
    <x v="40"/>
    <n v="1"/>
    <n v="1.9935830000000002E-2"/>
    <n v="128.6415480961721"/>
    <n v="0"/>
    <x v="4"/>
    <s v="LONG"/>
    <x v="6"/>
    <n v="128.64154809617199"/>
    <n v="6452.7811531384496"/>
    <n v="0"/>
    <n v="0"/>
    <s v="FBLK"/>
    <s v="YFI COIN LONG"/>
  </r>
  <r>
    <x v="0"/>
    <x v="44"/>
    <x v="43"/>
    <n v="-600"/>
    <n v="-37537.734375852298"/>
    <n v="62.562890626420497"/>
    <n v="0"/>
    <x v="5"/>
    <d v="2022-12-15T00:00:00"/>
    <n v="1"/>
    <x v="13"/>
    <n v="1"/>
    <n v="-600"/>
    <n v="-37537.734375852298"/>
    <n v="0"/>
    <x v="4"/>
    <s v="SHORT"/>
    <x v="8"/>
    <n v="-37537.734375852298"/>
    <n v="62.562890626420497"/>
    <n v="0"/>
    <n v="0"/>
    <s v="BINE"/>
    <s v="AAVE COIN SHORT"/>
  </r>
  <r>
    <x v="0"/>
    <x v="44"/>
    <x v="44"/>
    <n v="-300000"/>
    <n v="-92440.275584082498"/>
    <n v="0.308134251946941"/>
    <n v="0"/>
    <x v="5"/>
    <d v="2022-12-15T00:00:00"/>
    <n v="1"/>
    <x v="14"/>
    <n v="1"/>
    <n v="-300000"/>
    <n v="-92440.275584082294"/>
    <n v="0"/>
    <x v="4"/>
    <s v="SHORT"/>
    <x v="8"/>
    <n v="-92440.275584082498"/>
    <n v="0.308134251946941"/>
    <n v="0"/>
    <n v="0"/>
    <s v="BINE"/>
    <s v="ADA COIN SHORT"/>
  </r>
  <r>
    <x v="0"/>
    <x v="44"/>
    <x v="45"/>
    <n v="-140000"/>
    <n v="-30928.212987364099"/>
    <n v="0.220915807052601"/>
    <n v="0"/>
    <x v="5"/>
    <d v="2022-12-15T00:00:00"/>
    <n v="1"/>
    <x v="15"/>
    <n v="1"/>
    <n v="-140000"/>
    <n v="-30928.212987364139"/>
    <n v="0"/>
    <x v="4"/>
    <s v="SHORT"/>
    <x v="8"/>
    <n v="-30928.212987364099"/>
    <n v="0.220915807052601"/>
    <n v="0"/>
    <n v="0"/>
    <s v="BINE"/>
    <s v="ALGO COIN SHORT"/>
  </r>
  <r>
    <x v="0"/>
    <x v="44"/>
    <x v="47"/>
    <n v="-3000"/>
    <n v="-41182.678736759"/>
    <n v="13.7275595789196"/>
    <n v="0"/>
    <x v="5"/>
    <d v="2022-12-15T00:00:00"/>
    <n v="1"/>
    <x v="16"/>
    <n v="1"/>
    <n v="-3000"/>
    <n v="-41182.678736758797"/>
    <n v="0"/>
    <x v="4"/>
    <s v="SHORT"/>
    <x v="8"/>
    <n v="-41182.678736759"/>
    <n v="13.7275595789196"/>
    <n v="0"/>
    <n v="0"/>
    <s v="BINE"/>
    <s v="AVAX COIN SHORT"/>
  </r>
  <r>
    <x v="0"/>
    <x v="44"/>
    <x v="48"/>
    <n v="-100000"/>
    <n v="-22396.135615953099"/>
    <n v="0.223961356159531"/>
    <n v="0"/>
    <x v="5"/>
    <d v="2022-12-15T00:00:00"/>
    <n v="1"/>
    <x v="17"/>
    <n v="1"/>
    <n v="-100000"/>
    <n v="-22396.135615953099"/>
    <n v="0"/>
    <x v="4"/>
    <s v="SHORT"/>
    <x v="8"/>
    <n v="-22396.135615953099"/>
    <n v="0.223961356159531"/>
    <n v="0"/>
    <n v="0"/>
    <s v="BINE"/>
    <s v="BAT COIN SHORT"/>
  </r>
  <r>
    <x v="0"/>
    <x v="44"/>
    <x v="49"/>
    <n v="-90"/>
    <n v="-9819.7646357765607"/>
    <n v="109.10849595307199"/>
    <n v="0"/>
    <x v="5"/>
    <d v="2022-12-15T00:00:00"/>
    <n v="1"/>
    <x v="4"/>
    <n v="1"/>
    <n v="-90"/>
    <n v="-9819.7646357764788"/>
    <n v="0"/>
    <x v="4"/>
    <s v="SHORT"/>
    <x v="8"/>
    <n v="-9819.7646357765607"/>
    <n v="109.10849595307199"/>
    <n v="0"/>
    <n v="0"/>
    <s v="BINE"/>
    <s v="BCH COIN SHORT"/>
  </r>
  <r>
    <x v="0"/>
    <x v="44"/>
    <x v="52"/>
    <n v="-3677799.0840893998"/>
    <n v="-3678725.90524658"/>
    <n v="1.0002520042927801"/>
    <n v="0"/>
    <x v="5"/>
    <d v="2022-12-15T00:00:00"/>
    <n v="1"/>
    <x v="19"/>
    <n v="1"/>
    <n v="-3677799.0840893998"/>
    <n v="-3678725.905246573"/>
    <n v="0"/>
    <x v="4"/>
    <s v="SHORT"/>
    <x v="8"/>
    <n v="-3678725.90524658"/>
    <n v="1.0002520042927801"/>
    <n v="0"/>
    <n v="0"/>
    <s v="BINE"/>
    <s v="BUSD COIN SHORT"/>
  </r>
  <r>
    <x v="0"/>
    <x v="44"/>
    <x v="53"/>
    <n v="-4800"/>
    <n v="-188895.54782079899"/>
    <n v="39.353239129333097"/>
    <n v="0"/>
    <x v="5"/>
    <d v="2022-12-15T00:00:00"/>
    <n v="1"/>
    <x v="9"/>
    <n v="1"/>
    <n v="-4800"/>
    <n v="-188895.54782079888"/>
    <n v="0"/>
    <x v="4"/>
    <s v="SHORT"/>
    <x v="8"/>
    <n v="-188895.54782079899"/>
    <n v="39.353239129333097"/>
    <n v="0"/>
    <n v="0"/>
    <s v="BINE"/>
    <s v="COMP COIN SHORT"/>
  </r>
  <r>
    <x v="0"/>
    <x v="44"/>
    <x v="55"/>
    <n v="-500"/>
    <n v="-24421.793583386701"/>
    <n v="48.843587166773403"/>
    <n v="0"/>
    <x v="5"/>
    <d v="2022-12-15T00:00:00"/>
    <n v="1"/>
    <x v="21"/>
    <n v="1"/>
    <n v="-500"/>
    <n v="-24421.793583386701"/>
    <n v="0"/>
    <x v="4"/>
    <s v="SHORT"/>
    <x v="8"/>
    <n v="-24421.793583386701"/>
    <n v="48.843587166773403"/>
    <n v="0"/>
    <n v="0"/>
    <s v="BINE"/>
    <s v="DASH COIN SHORT"/>
  </r>
  <r>
    <x v="0"/>
    <x v="44"/>
    <x v="56"/>
    <n v="-500000"/>
    <n v="-44257.196356007596"/>
    <n v="8.8514392712015305E-2"/>
    <n v="0"/>
    <x v="5"/>
    <d v="2022-12-15T00:00:00"/>
    <n v="1"/>
    <x v="22"/>
    <n v="1"/>
    <n v="-500000"/>
    <n v="-44257.196356007655"/>
    <n v="0"/>
    <x v="4"/>
    <s v="SHORT"/>
    <x v="8"/>
    <n v="-44257.196356007596"/>
    <n v="8.8514392712015305E-2"/>
    <n v="0"/>
    <n v="0"/>
    <s v="BINE"/>
    <s v="DOGE COIN SHORT"/>
  </r>
  <r>
    <x v="0"/>
    <x v="44"/>
    <x v="57"/>
    <n v="-5000"/>
    <n v="-26076.048754827101"/>
    <n v="5.21520975096543"/>
    <n v="0"/>
    <x v="5"/>
    <d v="2022-12-15T00:00:00"/>
    <n v="1"/>
    <x v="23"/>
    <n v="1"/>
    <n v="-5000"/>
    <n v="-26076.048754827149"/>
    <n v="0"/>
    <x v="4"/>
    <s v="SHORT"/>
    <x v="8"/>
    <n v="-26076.048754827101"/>
    <n v="5.21520975096543"/>
    <n v="0"/>
    <n v="0"/>
    <s v="BINE"/>
    <s v="DOT COIN SHORT"/>
  </r>
  <r>
    <x v="0"/>
    <x v="44"/>
    <x v="58"/>
    <n v="-30000"/>
    <n v="-9007.9206163302297"/>
    <n v="0.30026402054434098"/>
    <n v="0"/>
    <x v="5"/>
    <d v="2022-12-15T00:00:00"/>
    <n v="1"/>
    <x v="24"/>
    <n v="1"/>
    <n v="-30000"/>
    <n v="-9007.9206163302297"/>
    <n v="0"/>
    <x v="4"/>
    <s v="SHORT"/>
    <x v="8"/>
    <n v="-9007.9206163302297"/>
    <n v="0.30026402054434098"/>
    <n v="0"/>
    <n v="0"/>
    <s v="BINE"/>
    <s v="ENJ COIN SHORT"/>
  </r>
  <r>
    <x v="0"/>
    <x v="44"/>
    <x v="63"/>
    <n v="-150000"/>
    <n v="-36092.905766112402"/>
    <n v="0.24061937177408299"/>
    <n v="0"/>
    <x v="5"/>
    <d v="2022-12-15T00:00:00"/>
    <n v="1"/>
    <x v="27"/>
    <n v="1"/>
    <n v="-150000"/>
    <n v="-36092.905766112446"/>
    <n v="0"/>
    <x v="4"/>
    <s v="SHORT"/>
    <x v="8"/>
    <n v="-36092.905766112402"/>
    <n v="0.24061937177408299"/>
    <n v="0"/>
    <n v="0"/>
    <s v="BINE"/>
    <s v="FTM COIN SHORT"/>
  </r>
  <r>
    <x v="0"/>
    <x v="44"/>
    <x v="64"/>
    <n v="-240000"/>
    <n v="-15770.861496121001"/>
    <n v="6.5711922900504302E-2"/>
    <n v="0"/>
    <x v="5"/>
    <d v="2022-12-15T00:00:00"/>
    <n v="1"/>
    <x v="28"/>
    <n v="1"/>
    <n v="-240000"/>
    <n v="-15770.861496121033"/>
    <n v="0"/>
    <x v="4"/>
    <s v="SHORT"/>
    <x v="8"/>
    <n v="-15770.861496121001"/>
    <n v="6.5711922900504302E-2"/>
    <n v="0"/>
    <n v="0"/>
    <s v="BINE"/>
    <s v="GRT COIN SHORT"/>
  </r>
  <r>
    <x v="0"/>
    <x v="44"/>
    <x v="65"/>
    <n v="-628800"/>
    <n v="-29351.6734593006"/>
    <n v="4.6678870005249097E-2"/>
    <n v="0"/>
    <x v="5"/>
    <d v="2022-12-15T00:00:00"/>
    <n v="1"/>
    <x v="29"/>
    <n v="1"/>
    <n v="-628800"/>
    <n v="-29351.673459300633"/>
    <n v="0"/>
    <x v="4"/>
    <s v="SHORT"/>
    <x v="8"/>
    <n v="-29351.6734593006"/>
    <n v="4.6678870005249097E-2"/>
    <n v="0"/>
    <n v="0"/>
    <s v="BINE"/>
    <s v="HBAR COIN SHORT"/>
  </r>
  <r>
    <x v="0"/>
    <x v="44"/>
    <x v="66"/>
    <n v="-12506.5"/>
    <n v="-84154.088102276102"/>
    <n v="6.72882805759214"/>
    <n v="0"/>
    <x v="5"/>
    <d v="2022-12-15T00:00:00"/>
    <n v="1"/>
    <x v="10"/>
    <n v="1"/>
    <n v="-12506.5"/>
    <n v="-84154.088102276102"/>
    <n v="0"/>
    <x v="4"/>
    <s v="SHORT"/>
    <x v="8"/>
    <n v="-84154.088102276102"/>
    <n v="6.72882805759214"/>
    <n v="0"/>
    <n v="0"/>
    <s v="BINE"/>
    <s v="LINK COIN SHORT"/>
  </r>
  <r>
    <x v="0"/>
    <x v="44"/>
    <x v="67"/>
    <n v="-928.62699999999995"/>
    <n v="-70088.924830119402"/>
    <n v="75.475863646134997"/>
    <n v="0"/>
    <x v="5"/>
    <d v="2022-12-15T00:00:00"/>
    <n v="1"/>
    <x v="6"/>
    <n v="1"/>
    <n v="-928.62699999999995"/>
    <n v="-70088.924830119402"/>
    <n v="0"/>
    <x v="4"/>
    <s v="SHORT"/>
    <x v="8"/>
    <n v="-70088.924830119402"/>
    <n v="75.475863646134997"/>
    <n v="0"/>
    <n v="0"/>
    <s v="BINE"/>
    <s v="LTC COIN SHORT"/>
  </r>
  <r>
    <x v="0"/>
    <x v="44"/>
    <x v="68"/>
    <n v="-45000"/>
    <n v="-17183.717802038602"/>
    <n v="0.38186039560085799"/>
    <n v="0"/>
    <x v="5"/>
    <d v="2022-12-15T00:00:00"/>
    <n v="1"/>
    <x v="30"/>
    <n v="1"/>
    <n v="-45000"/>
    <n v="-17183.717802038609"/>
    <n v="0"/>
    <x v="4"/>
    <s v="SHORT"/>
    <x v="8"/>
    <n v="-17183.717802038602"/>
    <n v="0.38186039560085799"/>
    <n v="0"/>
    <n v="0"/>
    <s v="BINE"/>
    <s v="MANA COIN SHORT"/>
  </r>
  <r>
    <x v="0"/>
    <x v="44"/>
    <x v="69"/>
    <n v="-50000"/>
    <n v="-45167.367687621998"/>
    <n v="0.90334735375244002"/>
    <n v="0"/>
    <x v="5"/>
    <d v="2022-12-15T00:00:00"/>
    <n v="1"/>
    <x v="31"/>
    <n v="1"/>
    <n v="-50000"/>
    <n v="-45167.367687621998"/>
    <n v="0"/>
    <x v="4"/>
    <s v="SHORT"/>
    <x v="8"/>
    <n v="-45167.367687621998"/>
    <n v="0.90334735375244002"/>
    <n v="0"/>
    <n v="0"/>
    <s v="BINE"/>
    <s v="MATIC COIN SHORT"/>
  </r>
  <r>
    <x v="0"/>
    <x v="44"/>
    <x v="70"/>
    <n v="-14"/>
    <n v="-8486.2073672032893"/>
    <n v="606.15766908594901"/>
    <n v="0"/>
    <x v="5"/>
    <d v="2022-12-15T00:00:00"/>
    <n v="1"/>
    <x v="32"/>
    <n v="1"/>
    <n v="-14"/>
    <n v="-8486.2073672032857"/>
    <n v="0"/>
    <x v="4"/>
    <s v="SHORT"/>
    <x v="8"/>
    <n v="-8486.2073672032893"/>
    <n v="606.15766908594901"/>
    <n v="0"/>
    <n v="0"/>
    <s v="BINE"/>
    <s v="MKR COIN SHORT"/>
  </r>
  <r>
    <x v="0"/>
    <x v="44"/>
    <x v="71"/>
    <n v="-290.39999999999998"/>
    <n v="-342.039662051108"/>
    <n v="1.1778225277242"/>
    <n v="0"/>
    <x v="5"/>
    <d v="2022-12-13T03:24:43"/>
    <n v="1"/>
    <x v="7"/>
    <n v="1"/>
    <n v="-290.39999999999998"/>
    <n v="-342.03966205110765"/>
    <n v="0"/>
    <x v="4"/>
    <s v="SHORT"/>
    <x v="8"/>
    <n v="-342.039662051108"/>
    <n v="1.1778225277242"/>
    <n v="0"/>
    <n v="0"/>
    <s v="BINE"/>
    <s v="OMG COIN SHORT"/>
  </r>
  <r>
    <x v="0"/>
    <x v="44"/>
    <x v="73"/>
    <n v="-6000000000"/>
    <n v="-53836.537023349498"/>
    <n v="8.9727561705582505E-6"/>
    <n v="0"/>
    <x v="5"/>
    <d v="2022-12-15T00:00:00"/>
    <n v="1"/>
    <x v="12"/>
    <n v="1"/>
    <n v="-6000000000"/>
    <n v="-53836.537023349505"/>
    <n v="0"/>
    <x v="4"/>
    <s v="SHORT"/>
    <x v="8"/>
    <n v="-53836.537023349498"/>
    <n v="8.9727561705582505E-6"/>
    <n v="0"/>
    <n v="0"/>
    <s v="BINE"/>
    <s v="SHIB COIN SHORT"/>
  </r>
  <r>
    <x v="0"/>
    <x v="44"/>
    <x v="74"/>
    <n v="-5000"/>
    <n v="-70702.630993724306"/>
    <n v="14.1405261987448"/>
    <n v="0"/>
    <x v="5"/>
    <d v="2022-12-15T00:00:00"/>
    <n v="1"/>
    <x v="34"/>
    <n v="1"/>
    <n v="-5000"/>
    <n v="-70702.630993724"/>
    <n v="0"/>
    <x v="4"/>
    <s v="SHORT"/>
    <x v="8"/>
    <n v="-70702.630993724306"/>
    <n v="14.1405261987448"/>
    <n v="0"/>
    <n v="0"/>
    <s v="BINE"/>
    <s v="SOL COIN SHORT"/>
  </r>
  <r>
    <x v="0"/>
    <x v="44"/>
    <x v="75"/>
    <n v="-30000"/>
    <n v="-33589.6407889357"/>
    <n v="1.1196546929645199"/>
    <n v="0"/>
    <x v="5"/>
    <d v="2022-12-15T00:00:00"/>
    <n v="1"/>
    <x v="35"/>
    <n v="1"/>
    <n v="-30000"/>
    <n v="-33589.640788935598"/>
    <n v="0"/>
    <x v="4"/>
    <s v="SHORT"/>
    <x v="8"/>
    <n v="-33589.6407889357"/>
    <n v="1.1196546929645199"/>
    <n v="0"/>
    <n v="0"/>
    <s v="BINE"/>
    <s v="SUSHI COIN SHORT"/>
  </r>
  <r>
    <x v="0"/>
    <x v="44"/>
    <x v="76"/>
    <n v="-6000"/>
    <n v="-35517.824634671597"/>
    <n v="5.9196374391119297"/>
    <n v="0"/>
    <x v="5"/>
    <d v="2022-12-15T00:00:00"/>
    <n v="1"/>
    <x v="36"/>
    <n v="1"/>
    <n v="-6000"/>
    <n v="-35517.824634671575"/>
    <n v="0"/>
    <x v="4"/>
    <s v="SHORT"/>
    <x v="8"/>
    <n v="-35517.824634671597"/>
    <n v="5.9196374391119297"/>
    <n v="0"/>
    <n v="0"/>
    <s v="BINE"/>
    <s v="UNI COIN SHORT"/>
  </r>
  <r>
    <x v="0"/>
    <x v="44"/>
    <x v="77"/>
    <n v="-4696108.9971914096"/>
    <n v="-4696604.0155648598"/>
    <n v="1.0001054103245299"/>
    <n v="0"/>
    <x v="5"/>
    <d v="2022-12-15T00:00:00"/>
    <n v="1"/>
    <x v="37"/>
    <n v="1"/>
    <n v="-4696108.9971914096"/>
    <n v="-4696604.0155648319"/>
    <n v="0"/>
    <x v="4"/>
    <s v="SHORT"/>
    <x v="8"/>
    <n v="-4696604.0155648598"/>
    <n v="1.0001054103245299"/>
    <n v="0"/>
    <n v="0"/>
    <s v="BINE"/>
    <s v="USDT COIN SHORT"/>
  </r>
  <r>
    <x v="0"/>
    <x v="44"/>
    <x v="157"/>
    <n v="-100"/>
    <n v="-1.87445781415879"/>
    <n v="1.8744578141587899E-2"/>
    <n v="0"/>
    <x v="5"/>
    <d v="2022-12-15T00:00:00"/>
    <n v="1"/>
    <x v="116"/>
    <n v="1"/>
    <n v="-100"/>
    <n v="-1.87445781415879"/>
    <n v="0"/>
    <x v="4"/>
    <s v="SHORT"/>
    <x v="8"/>
    <n v="-1.87445781415879"/>
    <n v="1.8744578141587899E-2"/>
    <n v="0"/>
    <n v="0"/>
    <s v="BINE"/>
    <s v="VET COIN SHORT"/>
  </r>
  <r>
    <x v="0"/>
    <x v="44"/>
    <x v="78"/>
    <n v="-500000"/>
    <n v="-41506.894620593099"/>
    <n v="8.3013789241186201E-2"/>
    <n v="0"/>
    <x v="5"/>
    <d v="2022-12-15T00:00:00"/>
    <n v="1"/>
    <x v="38"/>
    <n v="1"/>
    <n v="-500000"/>
    <n v="-41506.894620593099"/>
    <n v="0"/>
    <x v="4"/>
    <s v="SHORT"/>
    <x v="8"/>
    <n v="-41506.894620593099"/>
    <n v="8.3013789241186201E-2"/>
    <n v="0"/>
    <n v="0"/>
    <s v="BINE"/>
    <s v="XLM COIN SHORT"/>
  </r>
  <r>
    <x v="0"/>
    <x v="44"/>
    <x v="79"/>
    <n v="-40000"/>
    <n v="-38058.053736712201"/>
    <n v="0.95145134341780602"/>
    <n v="0"/>
    <x v="5"/>
    <d v="2022-12-15T00:00:00"/>
    <n v="1"/>
    <x v="39"/>
    <n v="1"/>
    <n v="-40000"/>
    <n v="-38058.053736712238"/>
    <n v="0"/>
    <x v="4"/>
    <s v="SHORT"/>
    <x v="8"/>
    <n v="-38058.053736712201"/>
    <n v="0.95145134341780602"/>
    <n v="0"/>
    <n v="0"/>
    <s v="BINE"/>
    <s v="XTZ COIN SHORT"/>
  </r>
  <r>
    <x v="2"/>
    <x v="45"/>
    <x v="59"/>
    <n v="-457203"/>
    <n v="-447154.28919914103"/>
    <n v="0.97802133669101299"/>
    <n v="0"/>
    <x v="5"/>
    <d v="2022-12-15T00:00:00"/>
    <n v="1"/>
    <x v="3"/>
    <n v="1"/>
    <n v="-457203"/>
    <n v="-447154.2891991412"/>
    <n v="0"/>
    <x v="4"/>
    <s v="SHORT"/>
    <x v="8"/>
    <n v="-447154.28919914103"/>
    <n v="0.97802133669101299"/>
    <n v="0"/>
    <n v="0"/>
    <s v="HUBI"/>
    <s v="EOS COIN SHORT"/>
  </r>
  <r>
    <x v="2"/>
    <x v="45"/>
    <x v="66"/>
    <n v="-2073"/>
    <n v="-13948.8605633885"/>
    <n v="6.72882805759214"/>
    <n v="0"/>
    <x v="5"/>
    <d v="2022-12-15T00:00:00"/>
    <n v="1"/>
    <x v="10"/>
    <n v="1"/>
    <n v="-2073"/>
    <n v="-13948.860563388505"/>
    <n v="0"/>
    <x v="4"/>
    <s v="SHORT"/>
    <x v="8"/>
    <n v="-13948.8605633885"/>
    <n v="6.72882805759214"/>
    <n v="0"/>
    <n v="0"/>
    <s v="HUBI"/>
    <s v="LINK COIN SHORT"/>
  </r>
  <r>
    <x v="2"/>
    <x v="45"/>
    <x v="67"/>
    <n v="-6100"/>
    <n v="-460402.76824142301"/>
    <n v="75.475863646134997"/>
    <n v="0"/>
    <x v="5"/>
    <d v="2022-12-15T00:00:00"/>
    <n v="1"/>
    <x v="6"/>
    <n v="1"/>
    <n v="-6100"/>
    <n v="-460402.76824142347"/>
    <n v="0"/>
    <x v="4"/>
    <s v="SHORT"/>
    <x v="8"/>
    <n v="-460402.76824142301"/>
    <n v="75.475863646134997"/>
    <n v="0"/>
    <n v="0"/>
    <s v="HUBI"/>
    <s v="LTC COIN SHORT"/>
  </r>
  <r>
    <x v="2"/>
    <x v="45"/>
    <x v="77"/>
    <n v="-200000"/>
    <n v="-200021.08206490701"/>
    <n v="1.0001054103245299"/>
    <n v="0"/>
    <x v="5"/>
    <d v="2022-12-15T00:00:00"/>
    <n v="1"/>
    <x v="37"/>
    <n v="1"/>
    <n v="-200000"/>
    <n v="-200021.08206490599"/>
    <n v="0"/>
    <x v="4"/>
    <s v="SHORT"/>
    <x v="8"/>
    <n v="-200021.08206490701"/>
    <n v="1.0001054103245299"/>
    <n v="0"/>
    <n v="0"/>
    <s v="HUBI"/>
    <s v="USDT COIN SHORT"/>
  </r>
  <r>
    <x v="7"/>
    <x v="46"/>
    <x v="51"/>
    <n v="-3350"/>
    <n v="-59682427.0130805"/>
    <n v="17815.649854650899"/>
    <n v="0"/>
    <x v="6"/>
    <d v="2022-12-14T00:00:00"/>
    <n v="1"/>
    <x v="0"/>
    <n v="1"/>
    <n v="-3350"/>
    <n v="-59682427.013080515"/>
    <n v="0"/>
    <x v="4"/>
    <s v="SHORT"/>
    <x v="8"/>
    <n v="-59682427.0130805"/>
    <n v="17815.649854650899"/>
    <n v="0"/>
    <n v="0"/>
    <s v="LEND"/>
    <s v="BTC COIN SHORT"/>
  </r>
  <r>
    <x v="7"/>
    <x v="46"/>
    <x v="59"/>
    <n v="-4350822.18"/>
    <n v="-4255196.9241885003"/>
    <n v="0.97802133669101299"/>
    <n v="0"/>
    <x v="6"/>
    <d v="2022-12-14T00:00:00"/>
    <n v="1"/>
    <x v="3"/>
    <n v="1"/>
    <n v="-4350822.18"/>
    <n v="-4255196.9241885068"/>
    <n v="0"/>
    <x v="4"/>
    <s v="SHORT"/>
    <x v="8"/>
    <n v="-4255196.9241885003"/>
    <n v="0.97802133669101299"/>
    <n v="0"/>
    <n v="0"/>
    <s v="LEND"/>
    <s v="EOS COIN SHORT"/>
  </r>
  <r>
    <x v="7"/>
    <x v="46"/>
    <x v="60"/>
    <n v="-6499.9949999999999"/>
    <n v="-8510629.8534208704"/>
    <n v="1309.32867693296"/>
    <n v="0"/>
    <x v="6"/>
    <d v="2022-12-14T00:00:00"/>
    <n v="1"/>
    <x v="1"/>
    <n v="1"/>
    <n v="-6499.9949999999999"/>
    <n v="-8510629.8534208555"/>
    <n v="0"/>
    <x v="4"/>
    <s v="SHORT"/>
    <x v="8"/>
    <n v="-8510629.8534208704"/>
    <n v="1309.32867693296"/>
    <n v="0"/>
    <n v="0"/>
    <s v="LEND"/>
    <s v="ETH COIN SHORT"/>
  </r>
  <r>
    <x v="11"/>
    <x v="36"/>
    <x v="51"/>
    <n v="-1340.01684679"/>
    <n v="-23873270.941744"/>
    <n v="17815.649854650899"/>
    <n v="0"/>
    <x v="7"/>
    <d v="2022-12-14T00:00:00"/>
    <n v="1"/>
    <x v="0"/>
    <n v="1"/>
    <n v="-1340.01684679"/>
    <n v="-23873270.941744022"/>
    <n v="0"/>
    <x v="4"/>
    <s v="SHORT"/>
    <x v="8"/>
    <n v="-23873270.941744"/>
    <n v="17815.649854650899"/>
    <n v="0"/>
    <n v="0"/>
    <s v="LEND"/>
    <s v="BTC COIN SHORT"/>
  </r>
  <r>
    <x v="11"/>
    <x v="36"/>
    <x v="60"/>
    <n v="-25855"/>
    <n v="-33852692.942101702"/>
    <n v="1309.32867693296"/>
    <n v="0"/>
    <x v="7"/>
    <d v="2022-12-14T00:00:00"/>
    <n v="1"/>
    <x v="1"/>
    <n v="1"/>
    <n v="-25855"/>
    <n v="-33852692.94210168"/>
    <n v="0"/>
    <x v="4"/>
    <s v="SHORT"/>
    <x v="8"/>
    <n v="-33852692.942101702"/>
    <n v="1309.32867693296"/>
    <n v="0"/>
    <n v="0"/>
    <s v="LEND"/>
    <s v="ETH COIN SHORT"/>
  </r>
  <r>
    <x v="11"/>
    <x v="36"/>
    <x v="61"/>
    <n v="-30000000"/>
    <n v="-32048100"/>
    <n v="1.0682700000000001"/>
    <n v="0"/>
    <x v="7"/>
    <d v="2022-12-14T00:00:00"/>
    <n v="1"/>
    <x v="25"/>
    <n v="1"/>
    <n v="-30000000"/>
    <n v="-32048100"/>
    <n v="0"/>
    <x v="5"/>
    <s v="SHORT"/>
    <x v="9"/>
    <n v="-32048100"/>
    <n v="1.0682700000000001"/>
    <n v="0"/>
    <n v="0"/>
    <s v="LEND"/>
    <s v="EUR CASH SHORT"/>
  </r>
  <r>
    <x v="11"/>
    <x v="36"/>
    <x v="132"/>
    <n v="-15000000"/>
    <n v="-16024971.6490518"/>
    <n v="1.0683314432701201"/>
    <n v="0"/>
    <x v="7"/>
    <d v="2022-12-14T00:00:00"/>
    <n v="1"/>
    <x v="91"/>
    <n v="1"/>
    <n v="-15000000"/>
    <n v="-16024971.6490518"/>
    <n v="0"/>
    <x v="4"/>
    <s v="SHORT"/>
    <x v="8"/>
    <n v="-16024971.6490518"/>
    <n v="1.0683314432701201"/>
    <n v="0"/>
    <n v="0"/>
    <s v="LEND"/>
    <s v="EUROC COIN SHORT"/>
  </r>
  <r>
    <x v="11"/>
    <x v="36"/>
    <x v="83"/>
    <n v="-42800000"/>
    <n v="-42800000"/>
    <n v="1"/>
    <n v="0"/>
    <x v="7"/>
    <d v="2022-12-14T00:00:00"/>
    <n v="1"/>
    <x v="42"/>
    <n v="1"/>
    <n v="-42800000"/>
    <n v="-42800000"/>
    <n v="0"/>
    <x v="5"/>
    <s v="SHORT"/>
    <x v="9"/>
    <n v="-42800000"/>
    <n v="1"/>
    <n v="0"/>
    <n v="0"/>
    <s v="LEND"/>
    <s v="USD CASH SHORT"/>
  </r>
  <r>
    <x v="11"/>
    <x v="36"/>
    <x v="87"/>
    <n v="-56500000"/>
    <n v="-56498843.179700501"/>
    <n v="0.99997952530443501"/>
    <n v="0"/>
    <x v="7"/>
    <d v="2022-12-14T00:00:00"/>
    <n v="1"/>
    <x v="46"/>
    <n v="1"/>
    <n v="-56500000"/>
    <n v="-56498843.179700576"/>
    <n v="0"/>
    <x v="4"/>
    <s v="SHORT"/>
    <x v="8"/>
    <n v="-56498843.179700501"/>
    <n v="0.99997952530443501"/>
    <n v="0"/>
    <n v="0"/>
    <s v="LEND"/>
    <s v="USDC COIN SHORT"/>
  </r>
  <r>
    <x v="11"/>
    <x v="36"/>
    <x v="161"/>
    <n v="-20000000"/>
    <n v="-435807.45829612599"/>
    <n v="2.1790372914806299E-2"/>
    <n v="0"/>
    <x v="7"/>
    <d v="2022-12-14T00:00:00"/>
    <n v="1"/>
    <x v="8"/>
    <n v="1"/>
    <n v="-20000000"/>
    <n v="-435807.45829612599"/>
    <n v="0"/>
    <x v="4"/>
    <s v="SHORT"/>
    <x v="8"/>
    <n v="-435807.45829612599"/>
    <n v="2.1790372914806299E-2"/>
    <n v="0"/>
    <n v="0"/>
    <s v="LEND"/>
    <s v="ZIL COIN SHORT"/>
  </r>
  <r>
    <x v="2"/>
    <x v="47"/>
    <x v="49"/>
    <n v="-5000"/>
    <n v="-545542.47976536397"/>
    <n v="109.10849595307199"/>
    <n v="0"/>
    <x v="6"/>
    <d v="2022-12-14T00:00:00"/>
    <n v="1"/>
    <x v="4"/>
    <n v="1"/>
    <n v="-5000"/>
    <n v="-545542.47976536001"/>
    <n v="0"/>
    <x v="4"/>
    <s v="SHORT"/>
    <x v="8"/>
    <n v="-545542.47976536397"/>
    <n v="109.10849595307199"/>
    <n v="0"/>
    <n v="0"/>
    <s v="LEND"/>
    <s v="BCH COIN SHORT"/>
  </r>
  <r>
    <x v="2"/>
    <x v="47"/>
    <x v="57"/>
    <n v="-40000"/>
    <n v="-208608.39003861701"/>
    <n v="5.21520975096543"/>
    <n v="0"/>
    <x v="6"/>
    <d v="2022-12-14T00:00:00"/>
    <n v="1"/>
    <x v="23"/>
    <n v="1"/>
    <n v="-40000"/>
    <n v="-208608.39003861719"/>
    <n v="0"/>
    <x v="4"/>
    <s v="SHORT"/>
    <x v="8"/>
    <n v="-208608.39003861701"/>
    <n v="5.21520975096543"/>
    <n v="0"/>
    <n v="0"/>
    <s v="LEND"/>
    <s v="DOT COIN SHORT"/>
  </r>
  <r>
    <x v="2"/>
    <x v="47"/>
    <x v="59"/>
    <n v="-160000"/>
    <n v="-156483.41387056201"/>
    <n v="0.97802133669101299"/>
    <n v="0"/>
    <x v="6"/>
    <d v="2022-12-14T00:00:00"/>
    <n v="1"/>
    <x v="3"/>
    <n v="1"/>
    <n v="-160000"/>
    <n v="-156483.41387056207"/>
    <n v="0"/>
    <x v="4"/>
    <s v="SHORT"/>
    <x v="8"/>
    <n v="-156483.41387056201"/>
    <n v="0.97802133669101299"/>
    <n v="0"/>
    <n v="0"/>
    <s v="LEND"/>
    <s v="EOS COIN SHORT"/>
  </r>
  <r>
    <x v="2"/>
    <x v="47"/>
    <x v="81"/>
    <n v="-108000"/>
    <n v="-2029070.22066905"/>
    <n v="18.787687228417099"/>
    <n v="0"/>
    <x v="6"/>
    <d v="2022-12-14T00:00:00"/>
    <n v="1"/>
    <x v="5"/>
    <n v="1"/>
    <n v="-108000"/>
    <n v="-2029070.2206690467"/>
    <n v="0"/>
    <x v="4"/>
    <s v="SHORT"/>
    <x v="8"/>
    <n v="-2029070.22066905"/>
    <n v="18.787687228417099"/>
    <n v="0"/>
    <n v="0"/>
    <s v="LEND"/>
    <s v="ETC COIN SHORT"/>
  </r>
  <r>
    <x v="2"/>
    <x v="47"/>
    <x v="60"/>
    <n v="-4600"/>
    <n v="-6022911.91389162"/>
    <n v="1309.32867693296"/>
    <n v="0"/>
    <x v="6"/>
    <d v="2022-12-14T00:00:00"/>
    <n v="1"/>
    <x v="1"/>
    <n v="1"/>
    <n v="-4600"/>
    <n v="-6022911.9138916163"/>
    <n v="0"/>
    <x v="4"/>
    <s v="SHORT"/>
    <x v="8"/>
    <n v="-6022911.91389162"/>
    <n v="1309.32867693296"/>
    <n v="0"/>
    <n v="0"/>
    <s v="LEND"/>
    <s v="ETH COIN SHORT"/>
  </r>
  <r>
    <x v="2"/>
    <x v="47"/>
    <x v="66"/>
    <n v="-17000"/>
    <n v="-114390.076979066"/>
    <n v="6.72882805759214"/>
    <n v="0"/>
    <x v="6"/>
    <d v="2022-12-14T00:00:00"/>
    <n v="1"/>
    <x v="10"/>
    <n v="1"/>
    <n v="-17000"/>
    <n v="-114390.07697906638"/>
    <n v="0"/>
    <x v="4"/>
    <s v="SHORT"/>
    <x v="8"/>
    <n v="-114390.076979066"/>
    <n v="6.72882805759214"/>
    <n v="0"/>
    <n v="0"/>
    <s v="LEND"/>
    <s v="LINK COIN SHORT"/>
  </r>
  <r>
    <x v="2"/>
    <x v="47"/>
    <x v="67"/>
    <n v="-11800"/>
    <n v="-890615.19102439296"/>
    <n v="75.475863646134997"/>
    <n v="0"/>
    <x v="6"/>
    <d v="2022-12-14T00:00:00"/>
    <n v="1"/>
    <x v="6"/>
    <n v="1"/>
    <n v="-11800"/>
    <n v="-890615.19102439296"/>
    <n v="0"/>
    <x v="4"/>
    <s v="SHORT"/>
    <x v="8"/>
    <n v="-890615.19102439296"/>
    <n v="75.475863646134997"/>
    <n v="0"/>
    <n v="0"/>
    <s v="LEND"/>
    <s v="LTC COIN SHORT"/>
  </r>
  <r>
    <x v="18"/>
    <x v="48"/>
    <x v="72"/>
    <n v="-2600208"/>
    <n v="-211079.35056690499"/>
    <n v="8.1177871372945895E-2"/>
    <n v="0"/>
    <x v="8"/>
    <d v="2022-12-14T00:00:00"/>
    <n v="1"/>
    <x v="33"/>
    <n v="1"/>
    <n v="-2600208"/>
    <n v="-211079.3505669049"/>
    <n v="0"/>
    <x v="4"/>
    <s v="SHORT"/>
    <x v="8"/>
    <n v="-211079.35056690499"/>
    <n v="8.1177871372945895E-2"/>
    <n v="0"/>
    <n v="0"/>
    <s v="LEND"/>
    <s v="OXT COIN SHORT"/>
  </r>
  <r>
    <x v="18"/>
    <x v="48"/>
    <x v="87"/>
    <n v="-1000000"/>
    <n v="-999979.52530443505"/>
    <n v="0.99997952530443501"/>
    <n v="0"/>
    <x v="8"/>
    <d v="2022-12-14T00:00:00"/>
    <n v="1"/>
    <x v="46"/>
    <n v="1"/>
    <n v="-1000000"/>
    <n v="-999979.52530443505"/>
    <n v="0"/>
    <x v="4"/>
    <s v="SHORT"/>
    <x v="8"/>
    <n v="-999979.52530443505"/>
    <n v="0.99997952530443501"/>
    <n v="0"/>
    <n v="0"/>
    <s v="LEND"/>
    <s v="USDC COIN SHORT"/>
  </r>
  <r>
    <x v="19"/>
    <x v="49"/>
    <x v="86"/>
    <n v="-201.17"/>
    <n v="-77.734847605534796"/>
    <n v="0.38641371777866901"/>
    <n v="0"/>
    <x v="8"/>
    <d v="2022-12-14T00:00:00"/>
    <n v="1"/>
    <x v="45"/>
    <n v="1"/>
    <n v="-201.17"/>
    <n v="-77.734847605534839"/>
    <n v="0"/>
    <x v="4"/>
    <s v="SHORT"/>
    <x v="8"/>
    <n v="-77.734847605534796"/>
    <n v="0.38641371777866901"/>
    <n v="0"/>
    <n v="0"/>
    <s v="LEND"/>
    <s v="XRP COIN SHORT"/>
  </r>
  <r>
    <x v="3"/>
    <x v="50"/>
    <x v="77"/>
    <n v="-22591.087326270001"/>
    <n v="-22593.468660116701"/>
    <n v="1.0001054103245299"/>
    <n v="0"/>
    <x v="5"/>
    <d v="2022-12-15T00:00:00"/>
    <n v="1"/>
    <x v="37"/>
    <n v="1"/>
    <n v="-22591.087326270001"/>
    <n v="-22593.468660116549"/>
    <n v="0"/>
    <x v="4"/>
    <s v="SHORT"/>
    <x v="8"/>
    <n v="-22593.468660116701"/>
    <n v="1.0001054103245299"/>
    <n v="0"/>
    <n v="0"/>
    <s v="OKEX"/>
    <s v="USDT COIN SHORT"/>
  </r>
  <r>
    <x v="3"/>
    <x v="51"/>
    <x v="49"/>
    <n v="-1.9866326700000001"/>
    <n v="-216.758502634937"/>
    <n v="109.10849595307199"/>
    <n v="0"/>
    <x v="5"/>
    <d v="2022-12-15T00:00:00"/>
    <n v="1"/>
    <x v="4"/>
    <n v="1"/>
    <n v="-1.9866326700000001"/>
    <n v="-216.75850263493561"/>
    <n v="0"/>
    <x v="4"/>
    <s v="SHORT"/>
    <x v="8"/>
    <n v="-216.758502634937"/>
    <n v="109.10849595307199"/>
    <n v="0"/>
    <n v="0"/>
    <s v="OKEX"/>
    <s v="BCH COIN SHORT"/>
  </r>
  <r>
    <x v="3"/>
    <x v="51"/>
    <x v="57"/>
    <n v="-33.055893580000003"/>
    <n v="-172.393418525291"/>
    <n v="5.21520975096543"/>
    <n v="0"/>
    <x v="5"/>
    <d v="2022-12-15T00:00:00"/>
    <n v="1"/>
    <x v="23"/>
    <n v="1"/>
    <n v="-33.055893580000003"/>
    <n v="-172.39341852529157"/>
    <n v="0"/>
    <x v="4"/>
    <s v="SHORT"/>
    <x v="8"/>
    <n v="-172.393418525291"/>
    <n v="5.21520975096543"/>
    <n v="0"/>
    <n v="0"/>
    <s v="OKEX"/>
    <s v="DOT COIN SHORT"/>
  </r>
  <r>
    <x v="3"/>
    <x v="51"/>
    <x v="81"/>
    <n v="-0.40742539"/>
    <n v="-7.6545807962358801"/>
    <n v="18.787687228417099"/>
    <n v="0"/>
    <x v="5"/>
    <d v="2022-12-15T00:00:00"/>
    <n v="1"/>
    <x v="5"/>
    <n v="1"/>
    <n v="-0.40742539"/>
    <n v="-7.6545807962358552"/>
    <n v="0"/>
    <x v="4"/>
    <s v="SHORT"/>
    <x v="8"/>
    <n v="-7.6545807962358801"/>
    <n v="18.787687228417099"/>
    <n v="0"/>
    <n v="0"/>
    <s v="OKEX"/>
    <s v="ETC COIN SHORT"/>
  </r>
  <r>
    <x v="3"/>
    <x v="51"/>
    <x v="62"/>
    <n v="-3.6931970000000001E-2"/>
    <n v="-0.156225546246545"/>
    <n v="4.2300897094453704"/>
    <n v="0"/>
    <x v="5"/>
    <d v="2022-12-15T00:00:00"/>
    <n v="1"/>
    <x v="26"/>
    <n v="1"/>
    <n v="-3.6931970000000001E-2"/>
    <n v="-0.15622554624654514"/>
    <n v="0"/>
    <x v="4"/>
    <s v="SHORT"/>
    <x v="8"/>
    <n v="-0.156225546246545"/>
    <n v="4.2300897094453704"/>
    <n v="0"/>
    <n v="0"/>
    <s v="OKEX"/>
    <s v="FIL COIN SHORT"/>
  </r>
  <r>
    <x v="3"/>
    <x v="51"/>
    <x v="73"/>
    <n v="-10039049522.907801"/>
    <n v="-90077.943553211197"/>
    <n v="8.9727561705582505E-6"/>
    <n v="0"/>
    <x v="5"/>
    <d v="2022-12-15T00:00:00"/>
    <n v="1"/>
    <x v="12"/>
    <n v="1"/>
    <n v="-10039049522.907801"/>
    <n v="-90077.943553210833"/>
    <n v="0"/>
    <x v="4"/>
    <s v="SHORT"/>
    <x v="8"/>
    <n v="-90077.943553211197"/>
    <n v="8.9727561705582505E-6"/>
    <n v="0"/>
    <n v="0"/>
    <s v="OKEX"/>
    <s v="SHIB COIN SHORT"/>
  </r>
  <r>
    <x v="3"/>
    <x v="51"/>
    <x v="87"/>
    <n v="-66891.138748700003"/>
    <n v="-66889.769172998102"/>
    <n v="0.99997952530443501"/>
    <n v="0"/>
    <x v="5"/>
    <d v="2022-12-15T00:00:00"/>
    <n v="1"/>
    <x v="46"/>
    <n v="1"/>
    <n v="-66891.138748700003"/>
    <n v="-66889.769172998131"/>
    <n v="0"/>
    <x v="4"/>
    <s v="SHORT"/>
    <x v="8"/>
    <n v="-66889.769172998102"/>
    <n v="0.99997952530443501"/>
    <n v="0"/>
    <n v="0"/>
    <s v="OKEX"/>
    <s v="USDC COIN SHORT"/>
  </r>
  <r>
    <x v="3"/>
    <x v="51"/>
    <x v="77"/>
    <n v="-2453174.9918184001"/>
    <n v="-2453433.58179043"/>
    <n v="1.0001054103245299"/>
    <n v="0"/>
    <x v="5"/>
    <d v="2022-12-15T00:00:00"/>
    <n v="1"/>
    <x v="37"/>
    <n v="1"/>
    <n v="-2453174.9918184001"/>
    <n v="-2453433.5817904165"/>
    <n v="0"/>
    <x v="4"/>
    <s v="SHORT"/>
    <x v="8"/>
    <n v="-2453433.58179043"/>
    <n v="1.0001054103245299"/>
    <n v="0"/>
    <n v="0"/>
    <s v="OKEX"/>
    <s v="USDT COIN SHORT"/>
  </r>
  <r>
    <x v="16"/>
    <x v="52"/>
    <x v="77"/>
    <n v="-5926778.0706390496"/>
    <n v="-5927402.8142389301"/>
    <n v="1.0001054103245299"/>
    <n v="0"/>
    <x v="5"/>
    <d v="2022-12-15T00:00:00"/>
    <n v="1"/>
    <x v="37"/>
    <n v="1"/>
    <n v="-5926778.0706390496"/>
    <n v="-5927402.8142388929"/>
    <n v="0"/>
    <x v="4"/>
    <s v="SHORT"/>
    <x v="8"/>
    <n v="-5927402.8142389301"/>
    <n v="1.0001054103245299"/>
    <n v="0"/>
    <n v="0"/>
    <s v="WOOX"/>
    <s v="USDT COIN SHORT"/>
  </r>
  <r>
    <x v="20"/>
    <x v="53"/>
    <x v="83"/>
    <n v="8579966.9199999999"/>
    <n v="8579966.9199999999"/>
    <n v="1"/>
    <n v="0"/>
    <x v="9"/>
    <d v="2022-12-15T00:00:00"/>
    <n v="1"/>
    <x v="42"/>
    <n v="1"/>
    <n v="8579966.9199999999"/>
    <n v="8579966.9199999999"/>
    <n v="0"/>
    <x v="5"/>
    <s v="LONG"/>
    <x v="7"/>
    <n v="8579966.9199999999"/>
    <n v="1"/>
    <n v="0"/>
    <n v="0"/>
    <s v="WEDBUSH"/>
    <s v="USD CASH LONG"/>
  </r>
  <r>
    <x v="21"/>
    <x v="54"/>
    <x v="83"/>
    <n v="233100.16999999899"/>
    <n v="233100.16999999899"/>
    <n v="1"/>
    <n v="0"/>
    <x v="3"/>
    <d v="2022-12-15T00:00:00"/>
    <n v="1"/>
    <x v="42"/>
    <n v="1"/>
    <n v="233100.16999999899"/>
    <n v="233100.16999999899"/>
    <n v="0"/>
    <x v="5"/>
    <s v="LONG"/>
    <x v="7"/>
    <n v="233100.16999999899"/>
    <n v="1"/>
    <n v="0"/>
    <n v="0"/>
    <s v="CASH"/>
    <s v="USD CASH LONG"/>
  </r>
  <r>
    <x v="4"/>
    <x v="55"/>
    <x v="83"/>
    <n v="30714150.289999999"/>
    <n v="30714150.289999999"/>
    <n v="1"/>
    <n v="0"/>
    <x v="9"/>
    <d v="2022-12-15T00:00:00"/>
    <n v="1"/>
    <x v="42"/>
    <n v="1"/>
    <n v="30714150.289999999"/>
    <n v="30714150.289999999"/>
    <n v="0"/>
    <x v="5"/>
    <s v="LONG"/>
    <x v="7"/>
    <n v="30714150.289999999"/>
    <n v="1"/>
    <n v="0"/>
    <n v="0"/>
    <s v="ED&amp;F Man Capital"/>
    <s v="USD CASH LONG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s v=""/>
    <s v=""/>
    <s v=""/>
    <s v=""/>
    <x v="6"/>
    <s v=""/>
    <x v="10"/>
    <s v=""/>
    <s v=""/>
    <s v=""/>
    <s v=""/>
    <s v=""/>
    <s v=""/>
  </r>
  <r>
    <x v="22"/>
    <x v="56"/>
    <x v="166"/>
    <m/>
    <m/>
    <m/>
    <m/>
    <x v="10"/>
    <m/>
    <m/>
    <x v="124"/>
    <m/>
    <m/>
    <m/>
    <m/>
    <x v="7"/>
    <m/>
    <x v="11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585.43739457000004"/>
    <n v="36626.655685099497"/>
    <n v="62.562890626420497"/>
    <n v="0"/>
    <s v="ASSET"/>
    <d v="2022-12-15T00:00:00"/>
    <n v="1"/>
    <x v="0"/>
    <n v="0"/>
    <s v="COIN"/>
    <s v="LONG"/>
    <s v="COIN LONG"/>
    <n v="0"/>
    <n v="0"/>
    <n v="0"/>
    <n v="0"/>
    <s v="BINE"/>
    <s v="AAVE COIN LONG"/>
  </r>
  <r>
    <s v="ADA"/>
    <n v="228897.2703"/>
    <n v="70531.089156587404"/>
    <n v="0.308134251946941"/>
    <n v="0"/>
    <s v="ASSET"/>
    <d v="2022-12-15T00:00:00"/>
    <n v="1"/>
    <x v="1"/>
    <n v="0"/>
    <s v="COIN"/>
    <s v="LONG"/>
    <s v="COIN LONG"/>
    <n v="0"/>
    <n v="0"/>
    <n v="0"/>
    <n v="0"/>
    <s v="BINE"/>
    <s v="ADA COIN LONG"/>
  </r>
  <r>
    <s v="ALGO"/>
    <n v="137194.54519"/>
    <n v="30308.443673863399"/>
    <n v="0.220915807052601"/>
    <n v="0"/>
    <s v="ASSET"/>
    <d v="2022-12-15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n v="4.08859245906859E-2"/>
    <n v="9.6091387789809204"/>
    <n v="0"/>
    <s v="ASSET"/>
    <d v="2022-12-15T00:00:00"/>
    <n v="1"/>
    <x v="3"/>
    <n v="0"/>
    <s v="COIN"/>
    <s v="LONG"/>
    <s v="COIN LONG"/>
    <n v="0"/>
    <n v="0"/>
    <n v="0"/>
    <n v="0"/>
    <s v="BINE"/>
    <s v="ATOM COIN LONG"/>
  </r>
  <r>
    <s v="AVAX"/>
    <n v="1522.8681305699999"/>
    <n v="20905.262993237699"/>
    <n v="13.7275595789196"/>
    <n v="0"/>
    <s v="ASSET"/>
    <d v="2022-12-15T00:00:00"/>
    <n v="1"/>
    <x v="4"/>
    <n v="0"/>
    <s v="COIN"/>
    <s v="LONG"/>
    <s v="COIN LONG"/>
    <n v="0"/>
    <n v="0"/>
    <n v="0"/>
    <n v="0"/>
    <s v="BINE"/>
    <s v="AVAX COIN LONG"/>
  </r>
  <r>
    <s v="BAT"/>
    <n v="91411.592165359994"/>
    <n v="20472.664150056"/>
    <n v="0.223961356159531"/>
    <n v="0"/>
    <s v="ASSET"/>
    <d v="2022-12-15T00:00:00"/>
    <n v="1"/>
    <x v="5"/>
    <n v="0"/>
    <s v="COIN"/>
    <s v="LONG"/>
    <s v="COIN LONG"/>
    <n v="0"/>
    <n v="0"/>
    <n v="0"/>
    <n v="0"/>
    <s v="BINE"/>
    <s v="BAT COIN LONG"/>
  </r>
  <r>
    <s v="BCH"/>
    <n v="401.29513104"/>
    <n v="43784.708181065696"/>
    <n v="109.10849595307199"/>
    <n v="0"/>
    <s v="ASSET"/>
    <d v="2022-12-15T00:00:00"/>
    <n v="1"/>
    <x v="6"/>
    <n v="0"/>
    <s v="COIN"/>
    <s v="LONG"/>
    <s v="COIN LONG"/>
    <n v="0"/>
    <n v="0"/>
    <n v="0"/>
    <n v="0"/>
    <s v="BINE"/>
    <s v="BCH COIN LONG"/>
  </r>
  <r>
    <s v="BNB"/>
    <n v="144.75781040999999"/>
    <n v="38828.610565688999"/>
    <n v="268.231541052701"/>
    <n v="0"/>
    <s v="ASSET"/>
    <d v="2022-12-15T00:00:00"/>
    <n v="1"/>
    <x v="7"/>
    <n v="0"/>
    <s v="COIN"/>
    <s v="LONG"/>
    <s v="COIN LONG"/>
    <n v="0"/>
    <n v="0"/>
    <n v="0"/>
    <n v="0"/>
    <s v="BINE"/>
    <s v="BNB COIN LONG"/>
  </r>
  <r>
    <s v="BTC"/>
    <n v="12.44551824"/>
    <n v="221724.99522351101"/>
    <n v="17815.649854650899"/>
    <n v="0"/>
    <s v="ASSET"/>
    <d v="2022-12-15T00:00:00"/>
    <n v="1"/>
    <x v="8"/>
    <n v="0"/>
    <s v="COIN"/>
    <s v="LONG"/>
    <s v="COIN LONG"/>
    <n v="0"/>
    <n v="0"/>
    <n v="0"/>
    <n v="0"/>
    <s v="BINE"/>
    <s v="BTC COIN LONG"/>
  </r>
  <r>
    <s v="BUSD"/>
    <n v="196876.92648426001"/>
    <n v="196926.54031488299"/>
    <n v="1.0002520042927801"/>
    <n v="0"/>
    <s v="ASSET"/>
    <d v="2022-12-15T00:00:00"/>
    <n v="1"/>
    <x v="9"/>
    <n v="0"/>
    <s v="COIN"/>
    <s v="LONG"/>
    <s v="COIN LONG"/>
    <n v="0"/>
    <n v="0"/>
    <n v="0"/>
    <n v="0"/>
    <s v="BINE"/>
    <s v="BUSD COIN LONG"/>
  </r>
  <r>
    <s v="COMP"/>
    <n v="0.86121729000000002"/>
    <n v="33.891689955686203"/>
    <n v="39.353239129333097"/>
    <n v="0"/>
    <s v="ASSET"/>
    <d v="2022-12-15T00:00:00"/>
    <n v="1"/>
    <x v="10"/>
    <n v="0"/>
    <s v="COIN"/>
    <s v="LONG"/>
    <s v="COIN LONG"/>
    <n v="0"/>
    <n v="0"/>
    <n v="0"/>
    <n v="0"/>
    <s v="BINE"/>
    <s v="COMP COIN LONG"/>
  </r>
  <r>
    <s v="CRV"/>
    <n v="1.5637979999999999E-2"/>
    <n v="1.0109735336132099E-2"/>
    <n v="0.64648601265202699"/>
    <n v="0"/>
    <s v="ASSET"/>
    <d v="2022-12-15T00:00:00"/>
    <n v="1"/>
    <x v="11"/>
    <n v="0"/>
    <s v="COIN"/>
    <s v="LONG"/>
    <s v="COIN LONG"/>
    <n v="0"/>
    <n v="0"/>
    <n v="0"/>
    <n v="0"/>
    <s v="BINE"/>
    <s v="CRV COIN LONG"/>
  </r>
  <r>
    <s v="DASH"/>
    <n v="497.31768"/>
    <n v="24290.779452657502"/>
    <n v="48.843587166773403"/>
    <n v="0"/>
    <s v="ASSET"/>
    <d v="2022-12-15T00:00:00"/>
    <n v="1"/>
    <x v="12"/>
    <n v="0"/>
    <s v="COIN"/>
    <s v="LONG"/>
    <s v="COIN LONG"/>
    <n v="0"/>
    <n v="0"/>
    <n v="0"/>
    <n v="0"/>
    <s v="BINE"/>
    <s v="DASH COIN LONG"/>
  </r>
  <r>
    <s v="DOGE"/>
    <n v="604880.55008426995"/>
    <n v="53540.6345540189"/>
    <n v="8.8514392712015305E-2"/>
    <n v="0"/>
    <s v="ASSET"/>
    <d v="2022-12-15T00:00:00"/>
    <n v="1"/>
    <x v="13"/>
    <n v="0"/>
    <s v="COIN"/>
    <s v="LONG"/>
    <s v="COIN LONG"/>
    <n v="0"/>
    <n v="0"/>
    <n v="0"/>
    <n v="0"/>
    <s v="BINE"/>
    <s v="DOGE COIN LONG"/>
  </r>
  <r>
    <s v="DOT"/>
    <n v="4998.7032519799995"/>
    <n v="26069.2859419087"/>
    <n v="5.21520975096543"/>
    <n v="0"/>
    <s v="ASSET"/>
    <d v="2022-12-15T00:00:00"/>
    <n v="1"/>
    <x v="14"/>
    <n v="0"/>
    <s v="COIN"/>
    <s v="LONG"/>
    <s v="COIN LONG"/>
    <n v="0"/>
    <n v="0"/>
    <n v="0"/>
    <n v="0"/>
    <s v="BINE"/>
    <s v="DOT COIN LONG"/>
  </r>
  <r>
    <s v="ENJ"/>
    <n v="30831.324700000001"/>
    <n v="9257.5375131300498"/>
    <n v="0.30026402054434098"/>
    <n v="0"/>
    <s v="ASSET"/>
    <d v="2022-12-15T00:00:00"/>
    <n v="1"/>
    <x v="15"/>
    <n v="0"/>
    <s v="COIN"/>
    <s v="LONG"/>
    <s v="COIN LONG"/>
    <n v="0"/>
    <n v="0"/>
    <n v="0"/>
    <n v="0"/>
    <s v="BINE"/>
    <s v="ENJ COIN LONG"/>
  </r>
  <r>
    <s v="EOS"/>
    <n v="79109.898400000005"/>
    <n v="77371.168578658195"/>
    <n v="0.97802133669101299"/>
    <n v="0"/>
    <s v="ASSET"/>
    <d v="2022-12-15T00:00:00"/>
    <n v="1"/>
    <x v="16"/>
    <n v="0"/>
    <s v="COIN"/>
    <s v="LONG"/>
    <s v="COIN LONG"/>
    <n v="0"/>
    <n v="0"/>
    <n v="0"/>
    <n v="0"/>
    <s v="BINE"/>
    <s v="EOS COIN LONG"/>
  </r>
  <r>
    <s v="ETH"/>
    <n v="207.5909"/>
    <n v="271804.71844032197"/>
    <n v="1309.32867693296"/>
    <n v="0"/>
    <s v="ASSET"/>
    <d v="2022-12-15T00:00:00"/>
    <n v="1"/>
    <x v="17"/>
    <n v="0"/>
    <s v="COIN"/>
    <s v="LONG"/>
    <s v="COIN LONG"/>
    <n v="0"/>
    <n v="0"/>
    <n v="0"/>
    <n v="0"/>
    <s v="BINE"/>
    <s v="ETH COIN LONG"/>
  </r>
  <r>
    <s v="EUR"/>
    <n v="796684.29277635005"/>
    <n v="851073.92944419105"/>
    <n v="1.0682700000000001"/>
    <n v="0"/>
    <s v="ASSET"/>
    <d v="2022-12-15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n v="0.83755776247018499"/>
    <n v="4.2300897094453704"/>
    <n v="0"/>
    <s v="ASSET"/>
    <d v="2022-12-15T00:00:00"/>
    <n v="1"/>
    <x v="19"/>
    <n v="0"/>
    <s v="COIN"/>
    <s v="LONG"/>
    <s v="COIN LONG"/>
    <n v="0"/>
    <n v="0"/>
    <n v="0"/>
    <n v="0"/>
    <s v="BINE"/>
    <s v="FIL COIN LONG"/>
  </r>
  <r>
    <s v="FTM"/>
    <n v="142175.21349967"/>
    <n v="34210.1105541367"/>
    <n v="0.24061937177408299"/>
    <n v="0"/>
    <s v="ASSET"/>
    <d v="2022-12-15T00:00:00"/>
    <n v="1"/>
    <x v="20"/>
    <n v="0"/>
    <s v="COIN"/>
    <s v="LONG"/>
    <s v="COIN LONG"/>
    <n v="0"/>
    <n v="0"/>
    <n v="0"/>
    <n v="0"/>
    <s v="BINE"/>
    <s v="FTM COIN LONG"/>
  </r>
  <r>
    <s v="GRT"/>
    <n v="239455.44699999999"/>
    <n v="15735.0778713698"/>
    <n v="6.5711922900504302E-2"/>
    <n v="0"/>
    <s v="ASSET"/>
    <d v="2022-12-15T00:00:00"/>
    <n v="1"/>
    <x v="21"/>
    <n v="0"/>
    <s v="COIN"/>
    <s v="LONG"/>
    <s v="COIN LONG"/>
    <n v="0"/>
    <n v="0"/>
    <n v="0"/>
    <n v="0"/>
    <s v="BINE"/>
    <s v="GRT COIN LONG"/>
  </r>
  <r>
    <s v="HBAR"/>
    <n v="622005.60076897999"/>
    <n v="29034.5185808321"/>
    <n v="4.6678870005249097E-2"/>
    <n v="0"/>
    <s v="ASSET"/>
    <d v="2022-12-15T00:00:00"/>
    <n v="1"/>
    <x v="22"/>
    <n v="0"/>
    <s v="COIN"/>
    <s v="LONG"/>
    <s v="COIN LONG"/>
    <n v="0"/>
    <n v="0"/>
    <n v="0"/>
    <n v="0"/>
    <s v="BINE"/>
    <s v="HBAR COIN LONG"/>
  </r>
  <r>
    <s v="LINK"/>
    <n v="9313.9301735600002"/>
    <n v="62671.8346783046"/>
    <n v="6.72882805759214"/>
    <n v="0"/>
    <s v="ASSET"/>
    <d v="2022-12-15T00:00:00"/>
    <n v="1"/>
    <x v="23"/>
    <n v="0"/>
    <s v="COIN"/>
    <s v="LONG"/>
    <s v="COIN LONG"/>
    <n v="0"/>
    <n v="0"/>
    <n v="0"/>
    <n v="0"/>
    <s v="BINE"/>
    <s v="LINK COIN LONG"/>
  </r>
  <r>
    <s v="LTC"/>
    <n v="690.72668716999999"/>
    <n v="52133.193257589402"/>
    <n v="75.475863646134997"/>
    <n v="0"/>
    <s v="ASSET"/>
    <d v="2022-12-15T00:00:00"/>
    <n v="1"/>
    <x v="24"/>
    <n v="0"/>
    <s v="COIN"/>
    <s v="LONG"/>
    <s v="COIN LONG"/>
    <n v="0"/>
    <n v="0"/>
    <n v="0"/>
    <n v="0"/>
    <s v="BINE"/>
    <s v="LTC COIN LONG"/>
  </r>
  <r>
    <s v="MANA"/>
    <n v="51976.868269259998"/>
    <n v="19847.9074793933"/>
    <n v="0.38186039560085799"/>
    <n v="0"/>
    <s v="ASSET"/>
    <d v="2022-12-15T00:00:00"/>
    <n v="1"/>
    <x v="25"/>
    <n v="0"/>
    <s v="COIN"/>
    <s v="LONG"/>
    <s v="COIN LONG"/>
    <n v="0"/>
    <n v="0"/>
    <n v="0"/>
    <n v="0"/>
    <s v="BINE"/>
    <s v="MANA COIN LONG"/>
  </r>
  <r>
    <s v="MATIC"/>
    <n v="56026.01335152"/>
    <n v="50610.950902394499"/>
    <n v="0.90334735375244002"/>
    <n v="0"/>
    <s v="ASSET"/>
    <d v="2022-12-15T00:00:00"/>
    <n v="1"/>
    <x v="26"/>
    <n v="0"/>
    <s v="COIN"/>
    <s v="LONG"/>
    <s v="COIN LONG"/>
    <n v="0"/>
    <n v="0"/>
    <n v="0"/>
    <n v="0"/>
    <s v="BINE"/>
    <s v="MATIC COIN LONG"/>
  </r>
  <r>
    <s v="MKR"/>
    <n v="14.148957319999999"/>
    <n v="8576.4989890877805"/>
    <n v="606.15766908594901"/>
    <n v="0"/>
    <s v="ASSET"/>
    <d v="2022-12-15T00:00:00"/>
    <n v="1"/>
    <x v="27"/>
    <n v="0"/>
    <s v="COIN"/>
    <s v="LONG"/>
    <s v="COIN LONG"/>
    <n v="0"/>
    <n v="0"/>
    <n v="0"/>
    <n v="0"/>
    <s v="BINE"/>
    <s v="MKR COIN LONG"/>
  </r>
  <r>
    <s v="OMG"/>
    <n v="24304.849819300001"/>
    <n v="28626.799650125002"/>
    <n v="1.1778225277242"/>
    <n v="0"/>
    <s v="ASSET"/>
    <d v="2022-12-15T00:00:00"/>
    <n v="1"/>
    <x v="28"/>
    <n v="0"/>
    <s v="COIN"/>
    <s v="LONG"/>
    <s v="COIN LONG"/>
    <n v="0"/>
    <n v="0"/>
    <n v="0"/>
    <n v="0"/>
    <s v="BINE"/>
    <s v="OMG COIN LONG"/>
  </r>
  <r>
    <s v="OXT"/>
    <n v="579497.75941952004"/>
    <n v="47042.394575068101"/>
    <n v="8.1177871372945895E-2"/>
    <n v="0"/>
    <s v="ASSET"/>
    <d v="2022-12-15T00:00:00"/>
    <n v="1"/>
    <x v="29"/>
    <n v="0"/>
    <s v="COIN"/>
    <s v="LONG"/>
    <s v="COIN LONG"/>
    <n v="0"/>
    <n v="0"/>
    <n v="0"/>
    <n v="0"/>
    <s v="BINE"/>
    <s v="OXT COIN LONG"/>
  </r>
  <r>
    <s v="SHIB"/>
    <n v="3891093088.6999998"/>
    <n v="34913.829521849402"/>
    <n v="8.9727561705582505E-6"/>
    <n v="0"/>
    <s v="ASSET"/>
    <d v="2022-12-15T00:00:00"/>
    <n v="1"/>
    <x v="30"/>
    <n v="0"/>
    <s v="COIN"/>
    <s v="LONG"/>
    <s v="COIN LONG"/>
    <n v="0"/>
    <n v="0"/>
    <n v="0"/>
    <n v="0"/>
    <s v="BINE"/>
    <s v="SHIB COIN LONG"/>
  </r>
  <r>
    <s v="SOL"/>
    <n v="4911.3312864700001"/>
    <n v="69448.808727044394"/>
    <n v="14.1405261987448"/>
    <n v="0"/>
    <s v="ASSET"/>
    <d v="2022-12-15T00:00:00"/>
    <n v="1"/>
    <x v="31"/>
    <n v="0"/>
    <s v="COIN"/>
    <s v="LONG"/>
    <s v="COIN LONG"/>
    <n v="0"/>
    <n v="0"/>
    <n v="0"/>
    <n v="0"/>
    <s v="BINE"/>
    <s v="SOL COIN LONG"/>
  </r>
  <r>
    <s v="SUSHI"/>
    <n v="28471.638187349999"/>
    <n v="31878.4033128544"/>
    <n v="1.1196546929645199"/>
    <n v="0"/>
    <s v="ASSET"/>
    <d v="2022-12-15T00:00:00"/>
    <n v="1"/>
    <x v="32"/>
    <n v="0"/>
    <s v="COIN"/>
    <s v="LONG"/>
    <s v="COIN LONG"/>
    <n v="0"/>
    <n v="0"/>
    <n v="0"/>
    <n v="0"/>
    <s v="BINE"/>
    <s v="SUSHI COIN LONG"/>
  </r>
  <r>
    <s v="UNI"/>
    <n v="5519.2358653000001"/>
    <n v="32671.8752635192"/>
    <n v="5.9196374391119297"/>
    <n v="0"/>
    <s v="ASSET"/>
    <d v="2022-12-15T00:00:00"/>
    <n v="1"/>
    <x v="33"/>
    <n v="0"/>
    <s v="COIN"/>
    <s v="LONG"/>
    <s v="COIN LONG"/>
    <n v="0"/>
    <n v="0"/>
    <n v="0"/>
    <n v="0"/>
    <s v="BINE"/>
    <s v="UNI COIN LONG"/>
  </r>
  <r>
    <s v="USDT"/>
    <n v="1097551.0372077101"/>
    <n v="1097666.7304187301"/>
    <n v="1.0001054103245299"/>
    <n v="0"/>
    <s v="ASSET"/>
    <d v="2022-12-15T00:00:00"/>
    <n v="1"/>
    <x v="34"/>
    <n v="0"/>
    <s v="COIN"/>
    <s v="LONG"/>
    <s v="COIN LONG"/>
    <n v="0"/>
    <n v="0"/>
    <n v="0"/>
    <n v="0"/>
    <s v="BINE"/>
    <s v="USDT COIN LONG"/>
  </r>
  <r>
    <s v="XLM"/>
    <n v="497026.08497730002"/>
    <n v="41260.018665677497"/>
    <n v="8.3013789241186201E-2"/>
    <n v="0"/>
    <s v="ASSET"/>
    <d v="2022-12-15T00:00:00"/>
    <n v="1"/>
    <x v="35"/>
    <n v="0"/>
    <s v="COIN"/>
    <s v="LONG"/>
    <s v="COIN LONG"/>
    <n v="0"/>
    <n v="0"/>
    <n v="0"/>
    <n v="0"/>
    <s v="BINE"/>
    <s v="XLM COIN LONG"/>
  </r>
  <r>
    <s v="XTZ"/>
    <n v="39920.39445"/>
    <n v="37982.312929221203"/>
    <n v="0.95145134341780602"/>
    <n v="0"/>
    <s v="ASSET"/>
    <d v="2022-12-15T00:00:00"/>
    <n v="1"/>
    <x v="36"/>
    <n v="0"/>
    <s v="COIN"/>
    <s v="LONG"/>
    <s v="COIN LONG"/>
    <n v="0"/>
    <n v="0"/>
    <n v="0"/>
    <n v="0"/>
    <s v="BINE"/>
    <s v="XTZ COIN LONG"/>
  </r>
  <r>
    <s v="YFI"/>
    <n v="4.1090000000000002E-2"/>
    <n v="265.14477758245903"/>
    <n v="6452.7811531384496"/>
    <n v="0"/>
    <s v="ASSET"/>
    <d v="2022-12-15T00:00:00"/>
    <n v="1"/>
    <x v="37"/>
    <n v="0"/>
    <s v="COIN"/>
    <s v="LONG"/>
    <s v="COIN LONG"/>
    <n v="0"/>
    <n v="0"/>
    <n v="0"/>
    <n v="0"/>
    <s v="BINE"/>
    <s v="YFI COIN LONG"/>
  </r>
  <r>
    <s v="BTC"/>
    <n v="755.24808492"/>
    <n v="13455235.434330299"/>
    <n v="17815.649854650899"/>
    <n v="0"/>
    <s v="ASSET"/>
    <d v="2022-12-15T00:00:00"/>
    <n v="1"/>
    <x v="8"/>
    <n v="0"/>
    <s v="COIN"/>
    <s v="LONG"/>
    <s v="COIN LONG"/>
    <n v="0"/>
    <n v="0"/>
    <n v="0"/>
    <n v="0"/>
    <s v="BINE"/>
    <s v="BTC COIN LONG"/>
  </r>
  <r>
    <s v="BTC"/>
    <n v="-1.3556931999999999"/>
    <n v="-24152.555361531198"/>
    <n v="17815.649854650899"/>
    <n v="0"/>
    <s v="UNREALIZED"/>
    <d v="2022-12-15T00:00:00"/>
    <n v="1"/>
    <x v="8"/>
    <n v="0"/>
    <s v="COIN"/>
    <s v="SHORT"/>
    <s v="COIN SHORT"/>
    <n v="0"/>
    <n v="0"/>
    <n v="0"/>
    <n v="0"/>
    <s v="BINE"/>
    <s v="BTC COIN SHORT"/>
  </r>
  <r>
    <s v="ETH"/>
    <n v="6196.1898552499997"/>
    <n v="8112849.06519992"/>
    <n v="1309.32867693296"/>
    <n v="0"/>
    <s v="ASSET"/>
    <d v="2022-12-15T00:00:00"/>
    <n v="1"/>
    <x v="17"/>
    <n v="0"/>
    <s v="COIN"/>
    <s v="LONG"/>
    <s v="COIN LONG"/>
    <n v="0"/>
    <n v="0"/>
    <n v="0"/>
    <n v="0"/>
    <s v="BINE"/>
    <s v="ETH COIN LONG"/>
  </r>
  <r>
    <s v="ETH"/>
    <n v="45.487666580000003"/>
    <n v="59558.306299959098"/>
    <n v="1309.32867693296"/>
    <n v="0"/>
    <s v="UNREALIZED"/>
    <d v="2022-12-15T00:00:00"/>
    <n v="1"/>
    <x v="17"/>
    <n v="0"/>
    <s v="COIN"/>
    <s v="LONG"/>
    <s v="COIN LONG"/>
    <n v="0"/>
    <n v="0"/>
    <n v="0"/>
    <n v="0"/>
    <s v="BINE"/>
    <s v="ETH COIN LONG"/>
  </r>
  <r>
    <s v="BNB"/>
    <n v="2425.4498470899998"/>
    <n v="650582.15023098805"/>
    <n v="268.231541052701"/>
    <n v="0"/>
    <s v="ASSET"/>
    <d v="2022-12-15T00:00:00"/>
    <n v="1"/>
    <x v="7"/>
    <n v="0"/>
    <s v="COIN"/>
    <s v="LONG"/>
    <s v="COIN LONG"/>
    <n v="0"/>
    <n v="0"/>
    <n v="0"/>
    <n v="0"/>
    <s v="BINE"/>
    <s v="BNB COIN LONG"/>
  </r>
  <r>
    <s v="BTC"/>
    <n v="713.93965645000003"/>
    <n v="12719298.936662899"/>
    <n v="17815.649854650899"/>
    <n v="0"/>
    <s v="ASSET"/>
    <d v="2022-12-15T00:00:00"/>
    <n v="1"/>
    <x v="8"/>
    <n v="0"/>
    <s v="COIN"/>
    <s v="LONG"/>
    <s v="COIN LONG"/>
    <n v="0"/>
    <n v="0"/>
    <n v="0"/>
    <n v="0"/>
    <s v="BINE"/>
    <s v="BTC COIN LONG"/>
  </r>
  <r>
    <s v="EOS"/>
    <n v="27051.7"/>
    <n v="26457.1397937642"/>
    <n v="0.97802133669101299"/>
    <n v="0"/>
    <s v="ASSET"/>
    <d v="2022-12-15T00:00:00"/>
    <n v="1"/>
    <x v="16"/>
    <n v="0"/>
    <s v="COIN"/>
    <s v="LONG"/>
    <s v="COIN LONG"/>
    <n v="0"/>
    <n v="0"/>
    <n v="0"/>
    <n v="0"/>
    <s v="BINE"/>
    <s v="EOS COIN LONG"/>
  </r>
  <r>
    <s v="ETC"/>
    <n v="0.15721859999999999"/>
    <n v="2.9537738832896201"/>
    <n v="18.787687228417099"/>
    <n v="0"/>
    <s v="ASSET"/>
    <d v="2022-12-15T00:00:00"/>
    <n v="1"/>
    <x v="38"/>
    <n v="0"/>
    <s v="COIN"/>
    <s v="LONG"/>
    <s v="COIN LONG"/>
    <n v="0"/>
    <n v="0"/>
    <n v="0"/>
    <n v="0"/>
    <s v="BINE"/>
    <s v="ETC COIN LONG"/>
  </r>
  <r>
    <s v="ETH"/>
    <n v="9580.5062999999991"/>
    <n v="12544031.6381269"/>
    <n v="1309.32867693296"/>
    <n v="0"/>
    <s v="ASSET"/>
    <d v="2022-12-15T00:00:00"/>
    <n v="1"/>
    <x v="17"/>
    <n v="0"/>
    <s v="COIN"/>
    <s v="LONG"/>
    <s v="COIN LONG"/>
    <n v="0"/>
    <n v="0"/>
    <n v="0"/>
    <n v="0"/>
    <s v="BINE"/>
    <s v="ETH COIN LONG"/>
  </r>
  <r>
    <s v="BNB"/>
    <n v="66.815459570000002"/>
    <n v="17922.0136866055"/>
    <n v="268.231541052701"/>
    <n v="0"/>
    <s v="ASSET"/>
    <d v="2022-12-15T00:00:00"/>
    <n v="1"/>
    <x v="7"/>
    <n v="0"/>
    <s v="COIN"/>
    <s v="LONG"/>
    <s v="COIN LONG"/>
    <n v="0"/>
    <n v="0"/>
    <n v="0"/>
    <n v="0"/>
    <s v="BINE"/>
    <s v="BNB COIN LONG"/>
  </r>
  <r>
    <s v="BUSD"/>
    <n v="24200000"/>
    <n v="24206098.503885299"/>
    <n v="1.0002520042927801"/>
    <n v="0"/>
    <s v="ASSET"/>
    <d v="2022-12-15T00:00:00"/>
    <n v="1"/>
    <x v="9"/>
    <n v="0"/>
    <s v="COIN"/>
    <s v="LONG"/>
    <s v="COIN LONG"/>
    <n v="0"/>
    <n v="0"/>
    <n v="0"/>
    <n v="0"/>
    <s v="BINE"/>
    <s v="BUSD COIN LONG"/>
  </r>
  <r>
    <s v="USDT"/>
    <n v="16280293.7164532"/>
    <n v="16282009.8274974"/>
    <n v="1.0001054103245299"/>
    <n v="0"/>
    <s v="ASSET"/>
    <d v="2022-12-15T00:00:00"/>
    <n v="1"/>
    <x v="34"/>
    <n v="0"/>
    <s v="COIN"/>
    <s v="LONG"/>
    <s v="COIN LONG"/>
    <n v="0"/>
    <n v="0"/>
    <n v="0"/>
    <n v="0"/>
    <s v="BINE"/>
    <s v="USDT COIN LONG"/>
  </r>
  <r>
    <s v="USDT"/>
    <n v="198854.41619873"/>
    <n v="198875.37750727701"/>
    <n v="1.0001054103245299"/>
    <n v="0"/>
    <s v="UNREALIZED"/>
    <d v="2022-12-15T00:00:00"/>
    <n v="1"/>
    <x v="34"/>
    <n v="0"/>
    <s v="COIN"/>
    <s v="LONG"/>
    <s v="COIN LONG"/>
    <n v="0"/>
    <n v="0"/>
    <n v="0"/>
    <n v="0"/>
    <s v="BINE"/>
    <s v="USDT COIN LONG"/>
  </r>
  <r>
    <s v="USDT"/>
    <n v="2083043.21306778"/>
    <n v="2083262.7873288901"/>
    <n v="1.0001054103245299"/>
    <n v="0"/>
    <s v="ASSET"/>
    <d v="2022-12-15T00:00:00"/>
    <n v="1"/>
    <x v="34"/>
    <n v="0"/>
    <s v="COIN"/>
    <s v="LONG"/>
    <s v="COIN LONG"/>
    <n v="0"/>
    <n v="0"/>
    <n v="0"/>
    <n v="0"/>
    <s v="BINE"/>
    <s v="USDT COIN LONG"/>
  </r>
  <r>
    <s v="USDT"/>
    <n v="-2190.8285996300001"/>
    <n v="-2191.0595355836899"/>
    <n v="1.0001054103245299"/>
    <n v="0"/>
    <s v="UNREALIZED"/>
    <d v="2022-12-15T00:00:00"/>
    <n v="1"/>
    <x v="34"/>
    <n v="0"/>
    <s v="COIN"/>
    <s v="SHORT"/>
    <s v="COIN SHORT"/>
    <n v="0"/>
    <n v="0"/>
    <n v="0"/>
    <n v="0"/>
    <s v="BINE"/>
    <s v="USDT COIN SHORT"/>
  </r>
  <r>
    <s v="BTC"/>
    <n v="7.9996000000000008E-3"/>
    <n v="142.518072577265"/>
    <n v="17815.649854650899"/>
    <n v="0"/>
    <s v="ASSET"/>
    <d v="2022-12-15T00:00:00"/>
    <n v="1"/>
    <x v="8"/>
    <n v="0"/>
    <s v="COIN"/>
    <s v="LONG"/>
    <s v="COIN LONG"/>
    <n v="0"/>
    <n v="0"/>
    <n v="0"/>
    <n v="0"/>
    <s v="BTFX"/>
    <s v="BTC COIN LONG"/>
  </r>
  <r>
    <s v="ETH"/>
    <n v="0.02"/>
    <n v="26.1865735386592"/>
    <n v="1309.32867693296"/>
    <n v="0"/>
    <s v="ASSET"/>
    <d v="2022-12-15T00:00:00"/>
    <n v="1"/>
    <x v="17"/>
    <n v="0"/>
    <s v="COIN"/>
    <s v="LONG"/>
    <s v="COIN LONG"/>
    <n v="0"/>
    <n v="0"/>
    <n v="0"/>
    <n v="0"/>
    <s v="BTFX"/>
    <s v="ETH COIN LONG"/>
  </r>
  <r>
    <s v="ETHW"/>
    <n v="0.02"/>
    <n v="7.0810243384961197E-2"/>
    <n v="3.5405121692480601"/>
    <n v="0"/>
    <s v="ASSET"/>
    <d v="2022-12-15T00:00:00"/>
    <n v="1"/>
    <x v="39"/>
    <n v="0"/>
    <s v="COIN"/>
    <s v="LONG"/>
    <s v="COIN LONG"/>
    <n v="0"/>
    <n v="0"/>
    <n v="0"/>
    <n v="0"/>
    <s v="BTFX"/>
    <s v="ETHW COIN LONG"/>
  </r>
  <r>
    <s v="USD"/>
    <n v="2.755467E-2"/>
    <n v="2.755467E-2"/>
    <n v="1"/>
    <n v="0"/>
    <s v="ASSET"/>
    <d v="2022-12-15T00:00:00"/>
    <n v="1"/>
    <x v="40"/>
    <n v="0"/>
    <s v="CASH"/>
    <s v="LONG"/>
    <s v="CASH LONG"/>
    <n v="0"/>
    <n v="0"/>
    <n v="0"/>
    <n v="0"/>
    <s v="BTFX"/>
    <s v="USD CASH LONG"/>
  </r>
  <r>
    <s v="UST"/>
    <n v="29.9885932"/>
    <n v="0"/>
    <n v="0"/>
    <n v="0"/>
    <s v="ASSET"/>
    <d v="2022-12-15T00:00:00"/>
    <n v="1"/>
    <x v="41"/>
    <n v="0"/>
    <s v="COIN"/>
    <s v="SHORT"/>
    <s v="COIN SHORT"/>
    <n v="0"/>
    <n v="0"/>
    <n v="0"/>
    <n v="0"/>
    <s v="BTFX"/>
    <s v="UST COIN SHORT"/>
  </r>
  <r>
    <s v="BCH"/>
    <n v="0.21932823000000001"/>
    <n v="23.9305732953496"/>
    <n v="109.10849595307199"/>
    <n v="0"/>
    <s v="ASSET"/>
    <d v="2022-12-14T00:04:43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n v="1030.83666093491"/>
    <n v="17815.649854650899"/>
    <n v="0"/>
    <s v="ASSET"/>
    <d v="2022-12-14T00:04:44"/>
    <n v="1"/>
    <x v="8"/>
    <n v="0"/>
    <s v="COIN"/>
    <s v="LONG"/>
    <s v="COIN LONG"/>
    <n v="0"/>
    <n v="0"/>
    <n v="0"/>
    <n v="0"/>
    <s v="BTSE"/>
    <s v="BTC COIN LONG"/>
  </r>
  <r>
    <s v="ETH"/>
    <n v="0.73541904000000002"/>
    <n v="962.90523863450903"/>
    <n v="1309.32867693296"/>
    <n v="0"/>
    <s v="ASSET"/>
    <d v="2022-12-14T00:04:45"/>
    <n v="1"/>
    <x v="17"/>
    <n v="0"/>
    <s v="COIN"/>
    <s v="LONG"/>
    <s v="COIN LONG"/>
    <n v="0"/>
    <n v="0"/>
    <n v="0"/>
    <n v="0"/>
    <s v="BTSE"/>
    <s v="ETH COIN LONG"/>
  </r>
  <r>
    <s v="SGB"/>
    <n v="22277.5319929"/>
    <n v="265.095232665955"/>
    <n v="1.1899667914311201E-2"/>
    <n v="0"/>
    <s v="ASSET"/>
    <d v="2022-12-14T00:04:47"/>
    <n v="1"/>
    <x v="42"/>
    <n v="0"/>
    <s v="COIN"/>
    <s v="LONG"/>
    <s v="COIN LONG"/>
    <n v="0"/>
    <n v="0"/>
    <n v="0"/>
    <n v="0"/>
    <s v="BTSE"/>
    <s v="SGB COIN LONG"/>
  </r>
  <r>
    <s v="USD"/>
    <n v="114736.84"/>
    <n v="114736.84"/>
    <n v="1"/>
    <n v="0"/>
    <s v="ASSET"/>
    <d v="2022-12-14T00:04:48"/>
    <n v="1"/>
    <x v="40"/>
    <n v="0"/>
    <s v="CASH"/>
    <s v="LONG"/>
    <s v="CASH LONG"/>
    <n v="0"/>
    <n v="0"/>
    <n v="0"/>
    <n v="0"/>
    <s v="BTSE"/>
    <s v="USD CASH LONG"/>
  </r>
  <r>
    <s v="XRP"/>
    <n v="116647.68407285"/>
    <n v="45074.265272861601"/>
    <n v="0.38641371777866901"/>
    <n v="0"/>
    <s v="ASSET"/>
    <d v="2022-12-14T00:04:49"/>
    <n v="1"/>
    <x v="43"/>
    <n v="0"/>
    <s v="COIN"/>
    <s v="LONG"/>
    <s v="COIN LONG"/>
    <n v="0"/>
    <n v="0"/>
    <n v="0"/>
    <n v="0"/>
    <s v="BTSE"/>
    <s v="XRP COIN LONG"/>
  </r>
  <r>
    <s v="BTC"/>
    <n v="1811.18993475"/>
    <n v="32267525.697774"/>
    <n v="17815.649854650899"/>
    <n v="0"/>
    <s v="ASSET"/>
    <d v="2022-12-15T00:00:00"/>
    <n v="1"/>
    <x v="8"/>
    <n v="0"/>
    <s v="COIN"/>
    <s v="LONG"/>
    <s v="COIN LONG"/>
    <n v="0"/>
    <n v="0"/>
    <n v="0"/>
    <n v="0"/>
    <s v="BULL"/>
    <s v="BTC COIN LONG"/>
  </r>
  <r>
    <s v="USD"/>
    <n v="62054507.6281"/>
    <n v="62054507.6281"/>
    <n v="1"/>
    <n v="0"/>
    <s v="ASSET"/>
    <d v="2022-12-15T00:00:00"/>
    <n v="1"/>
    <x v="40"/>
    <n v="0"/>
    <s v="CASH"/>
    <s v="LONG"/>
    <s v="CASH LONG"/>
    <n v="0"/>
    <n v="0"/>
    <n v="0"/>
    <n v="0"/>
    <s v="BULL"/>
    <s v="USD CASH LONG"/>
  </r>
  <r>
    <s v="USDC"/>
    <n v="101"/>
    <n v="100.997932055747"/>
    <n v="0.99997952530443501"/>
    <n v="0"/>
    <s v="ASSET"/>
    <d v="2022-12-15T00:00:00"/>
    <n v="1"/>
    <x v="44"/>
    <n v="0"/>
    <s v="COIN"/>
    <s v="LONG"/>
    <s v="COIN LONG"/>
    <n v="0"/>
    <n v="0"/>
    <n v="0"/>
    <n v="0"/>
    <s v="BULL"/>
    <s v="USDC COIN LONG"/>
  </r>
  <r>
    <s v="EOS"/>
    <n v="3305322.7056"/>
    <n v="3232676.1307260599"/>
    <n v="0.97802133669101299"/>
    <n v="0"/>
    <s v="ASSET"/>
    <d v="2022-12-15T00:00:00"/>
    <n v="1"/>
    <x v="16"/>
    <n v="0"/>
    <s v="COIN"/>
    <s v="LONG"/>
    <s v="COIN LONG"/>
    <n v="0"/>
    <n v="0"/>
    <n v="0"/>
    <n v="0"/>
    <s v="BULL"/>
    <s v="EOS COIN LONG"/>
  </r>
  <r>
    <s v="LINK"/>
    <n v="60029.229923910003"/>
    <n v="403926.36658765498"/>
    <n v="6.72882805759214"/>
    <n v="0"/>
    <s v="ASSET"/>
    <d v="2022-12-15T00:00:00"/>
    <n v="1"/>
    <x v="23"/>
    <n v="0"/>
    <s v="COIN"/>
    <s v="LONG"/>
    <s v="COIN LONG"/>
    <n v="0"/>
    <n v="0"/>
    <n v="0"/>
    <n v="0"/>
    <s v="BULL"/>
    <s v="LINK COIN LONG"/>
  </r>
  <r>
    <s v="LTC"/>
    <n v="6062.1725529100004"/>
    <n v="457547.709002777"/>
    <n v="75.475863646134997"/>
    <n v="0"/>
    <s v="ASSET"/>
    <d v="2022-12-15T00:00:00"/>
    <n v="1"/>
    <x v="24"/>
    <n v="0"/>
    <s v="COIN"/>
    <s v="LONG"/>
    <s v="COIN LONG"/>
    <n v="0"/>
    <n v="0"/>
    <n v="0"/>
    <n v="0"/>
    <s v="BULL"/>
    <s v="LTC COIN LONG"/>
  </r>
  <r>
    <s v="USD"/>
    <n v="5014251.5754000004"/>
    <n v="5014251.5754000004"/>
    <n v="1"/>
    <n v="0"/>
    <s v="ASSET"/>
    <d v="2022-12-15T00:00:00"/>
    <n v="1"/>
    <x v="40"/>
    <n v="0"/>
    <s v="CASH"/>
    <s v="LONG"/>
    <s v="CASH LONG"/>
    <n v="0"/>
    <n v="0"/>
    <n v="0"/>
    <n v="0"/>
    <s v="BULL"/>
    <s v="USD CASH LONG"/>
  </r>
  <r>
    <s v="ETH"/>
    <n v="15355.680843669999"/>
    <n v="20105633.2824472"/>
    <n v="1309.32867693296"/>
    <n v="0"/>
    <s v="ASSET"/>
    <d v="2022-12-15T00:00:00"/>
    <n v="1"/>
    <x v="17"/>
    <n v="0"/>
    <s v="COIN"/>
    <s v="LONG"/>
    <s v="COIN LONG"/>
    <n v="0"/>
    <n v="0"/>
    <n v="0"/>
    <n v="0"/>
    <s v="BULL"/>
    <s v="ETH COIN LONG"/>
  </r>
  <r>
    <s v="USD"/>
    <n v="10179492.812899999"/>
    <n v="10179492.812899999"/>
    <n v="1"/>
    <n v="0"/>
    <s v="ASSET"/>
    <d v="2022-12-15T00:00:00"/>
    <n v="1"/>
    <x v="40"/>
    <n v="0"/>
    <s v="CASH"/>
    <s v="LONG"/>
    <s v="CASH LONG"/>
    <n v="0"/>
    <n v="0"/>
    <n v="0"/>
    <n v="0"/>
    <s v="BULL"/>
    <s v="USD CASH LONG"/>
  </r>
  <r>
    <s v="BTC"/>
    <n v="65.807786899999996"/>
    <n v="1172408.4891198799"/>
    <n v="17815.649854650899"/>
    <n v="0"/>
    <s v="ASSET"/>
    <d v="2022-12-15T00:00:00"/>
    <n v="1"/>
    <x v="8"/>
    <n v="0"/>
    <s v="COIN"/>
    <s v="LONG"/>
    <s v="COIN LONG"/>
    <n v="0"/>
    <n v="0"/>
    <n v="0"/>
    <n v="0"/>
    <s v="BULL"/>
    <s v="BTC COIN LONG"/>
  </r>
  <r>
    <s v="ETH"/>
    <n v="1094.7835571000001"/>
    <n v="1433431.5063457"/>
    <n v="1309.32867693296"/>
    <n v="0"/>
    <s v="ASSET"/>
    <d v="2022-12-15T00:00:00"/>
    <n v="1"/>
    <x v="17"/>
    <n v="0"/>
    <s v="COIN"/>
    <s v="LONG"/>
    <s v="COIN LONG"/>
    <n v="0"/>
    <n v="0"/>
    <n v="0"/>
    <n v="0"/>
    <s v="BULL"/>
    <s v="ETH COIN LONG"/>
  </r>
  <r>
    <s v="CRV"/>
    <n v="0.26739257999999999"/>
    <n v="0.17286556285693799"/>
    <n v="0.64648601265202699"/>
    <n v="0"/>
    <s v="ASSET"/>
    <d v="2022-12-15T00:00:00"/>
    <n v="1"/>
    <x v="11"/>
    <n v="0"/>
    <s v="COIN"/>
    <s v="LONG"/>
    <s v="COIN LONG"/>
    <n v="0"/>
    <n v="0"/>
    <n v="0"/>
    <n v="0"/>
    <s v="DEFI"/>
    <s v="CRV COIN LONG"/>
  </r>
  <r>
    <s v="CRV"/>
    <n v="9.7777784299999997"/>
    <n v="6.3211969898057001"/>
    <n v="0.64648601265202699"/>
    <n v="0"/>
    <s v="ASSET"/>
    <d v="2022-12-15T00:00:00"/>
    <n v="1"/>
    <x v="11"/>
    <n v="0"/>
    <s v="COIN"/>
    <s v="LONG"/>
    <s v="COIN LONG"/>
    <n v="0"/>
    <n v="0"/>
    <n v="0"/>
    <n v="0"/>
    <s v="DEFI"/>
    <s v="CRV COIN LONG"/>
  </r>
  <r>
    <s v="CVX"/>
    <n v="2.9103980000000002E-2"/>
    <n v="0.113727425027493"/>
    <n v="3.90762449079106"/>
    <n v="0"/>
    <s v="ASSET"/>
    <d v="2022-12-15T00:00:00"/>
    <n v="1"/>
    <x v="45"/>
    <n v="0"/>
    <s v="COIN"/>
    <s v="LONG"/>
    <s v="COIN LONG"/>
    <n v="0"/>
    <n v="0"/>
    <n v="0"/>
    <n v="0"/>
    <s v="DEFI"/>
    <s v="CVX COIN LONG"/>
  </r>
  <r>
    <s v="ETH"/>
    <n v="3.67060545"/>
    <n v="4806.0289773914201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n v="13971.9336610544"/>
    <n v="0.99997952530443501"/>
    <n v="0"/>
    <s v="ASSET"/>
    <d v="2022-12-15T00:00:00"/>
    <n v="1"/>
    <x v="44"/>
    <n v="0"/>
    <s v="COIN"/>
    <s v="LONG"/>
    <s v="COIN LONG"/>
    <n v="0"/>
    <n v="0"/>
    <n v="0"/>
    <n v="0"/>
    <s v="DEFI"/>
    <s v="USDC COIN LONG"/>
  </r>
  <r>
    <s v="$ USDCBONUS.COM &lt;- VISIT TO CLAIM BONUS"/>
    <n v="7000"/>
    <n v="0"/>
    <n v="0"/>
    <n v="0"/>
    <s v="ASSET"/>
    <d v="2022-12-15T00:00:00"/>
    <n v="1"/>
    <x v="46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n v="0"/>
    <n v="0"/>
    <n v="0"/>
    <s v="ASSET"/>
    <d v="2022-12-15T00:00:00"/>
    <n v="1"/>
    <x v="47"/>
    <n v="0"/>
    <s v="COIN"/>
    <s v="SHORT"/>
    <s v="COIN SHORT"/>
    <n v="0"/>
    <n v="0"/>
    <n v="0"/>
    <n v="0"/>
    <s v="DEFI"/>
    <s v="$ USDCGIFT.COM &lt;- VISIT TO CLAIM BONUS COIN SHORT"/>
  </r>
  <r>
    <s v="927$ VISIT AUSDBONUS.COM TO CLAIM"/>
    <n v="8"/>
    <n v="0"/>
    <n v="0"/>
    <n v="0"/>
    <s v="ASSET"/>
    <d v="2022-12-15T00:00:00"/>
    <n v="1"/>
    <x v="48"/>
    <n v="0"/>
    <s v="COIN"/>
    <s v="SHORT"/>
    <s v="COIN SHORT"/>
    <n v="0"/>
    <n v="0"/>
    <n v="0"/>
    <n v="0"/>
    <s v="DEFI"/>
    <s v="927$ VISIT AUSDBONUS.COM TO CLAIM COIN SHORT"/>
  </r>
  <r>
    <s v="AAVE"/>
    <n v="180.62351240000001"/>
    <n v="11300.329050841099"/>
    <n v="62.562890626420497"/>
    <n v="0"/>
    <s v="ASSET"/>
    <d v="2022-12-15T00:00:00"/>
    <n v="1"/>
    <x v="0"/>
    <n v="0"/>
    <s v="COIN"/>
    <s v="LONG"/>
    <s v="COIN LONG"/>
    <n v="0"/>
    <n v="0"/>
    <n v="0"/>
    <n v="0"/>
    <s v="DEFI"/>
    <s v="AAVE COIN LONG"/>
  </r>
  <r>
    <s v="AVAX"/>
    <n v="69.006194350000001"/>
    <n v="947.28664425413604"/>
    <n v="13.7275595789196"/>
    <n v="0"/>
    <s v="ASSET"/>
    <d v="2022-12-15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n v="0"/>
    <n v="0"/>
    <n v="0"/>
    <s v="ASSET"/>
    <d v="2022-12-15T00:00:00"/>
    <n v="1"/>
    <x v="49"/>
    <n v="0"/>
    <s v="COIN"/>
    <s v="SHORT"/>
    <s v="COIN SHORT"/>
    <n v="0"/>
    <n v="0"/>
    <n v="0"/>
    <n v="0"/>
    <s v="DEFI"/>
    <s v="BONUS. VISIT HTTPS://BITBONUS.TECH TO CLAIM REWARD. COIN SHORT"/>
  </r>
  <r>
    <s v="ETH"/>
    <n v="16.894087620000001"/>
    <n v="22119.9133914841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n v="0"/>
    <n v="0"/>
    <n v="0"/>
    <s v="ASSET"/>
    <d v="2022-12-15T00:00:00"/>
    <n v="1"/>
    <x v="50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n v="0"/>
    <n v="0"/>
    <n v="0"/>
    <s v="ASSET"/>
    <d v="2022-12-15T00:00:00"/>
    <n v="1"/>
    <x v="51"/>
    <n v="0"/>
    <s v="COIN"/>
    <s v="SHORT"/>
    <s v="COIN SHORT"/>
    <n v="0"/>
    <n v="0"/>
    <n v="0"/>
    <n v="0"/>
    <s v="DEFI"/>
    <s v="OAAVEUSDC/AAVE-02DEC22-67.5C COIN SHORT"/>
  </r>
  <r>
    <s v="OAAVEUSDC/AAVE-16DEC22-72.5C"/>
    <n v="33793.379334129997"/>
    <n v="0"/>
    <n v="0"/>
    <n v="0"/>
    <s v="ASSET"/>
    <d v="2022-12-15T00:00:00"/>
    <n v="1"/>
    <x v="52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n v="0"/>
    <n v="0"/>
    <n v="0"/>
    <s v="ASSET"/>
    <d v="2022-12-15T00:00:00"/>
    <n v="1"/>
    <x v="53"/>
    <n v="0"/>
    <s v="COIN"/>
    <s v="SHORT"/>
    <s v="COIN SHORT"/>
    <n v="0"/>
    <n v="0"/>
    <n v="0"/>
    <n v="0"/>
    <s v="DEFI"/>
    <s v="OAAVEUSDC/AAVE-25NOV22-72.5C COIN SHORT"/>
  </r>
  <r>
    <s v="OWAVAXUSDC.E/WAVAX-09DEC22-15.5C"/>
    <n v="29214.150499390002"/>
    <n v="0"/>
    <n v="0"/>
    <n v="0"/>
    <s v="ASSET"/>
    <d v="2022-12-15T00:00:00"/>
    <n v="1"/>
    <x v="54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n v="0"/>
    <n v="0"/>
    <n v="0"/>
    <s v="ASSET"/>
    <d v="2022-12-15T00:00:00"/>
    <n v="1"/>
    <x v="55"/>
    <n v="0"/>
    <s v="COIN"/>
    <s v="SHORT"/>
    <s v="COIN SHORT"/>
    <n v="0"/>
    <n v="0"/>
    <n v="0"/>
    <n v="0"/>
    <s v="DEFI"/>
    <s v="OWAVAXUSDC.E/WAVAX-16DEC22-15.25C COIN SHORT"/>
  </r>
  <r>
    <s v="OWAVAXUSDC.E/WAVAX-25NOV22-15.5C"/>
    <n v="31925.004081070001"/>
    <n v="0"/>
    <n v="0"/>
    <n v="0"/>
    <s v="ASSET"/>
    <d v="2022-12-15T00:00:00"/>
    <n v="1"/>
    <x v="56"/>
    <n v="0"/>
    <s v="COIN"/>
    <s v="SHORT"/>
    <s v="COIN SHORT"/>
    <n v="0"/>
    <n v="0"/>
    <n v="0"/>
    <n v="0"/>
    <s v="DEFI"/>
    <s v="OWAVAXUSDC.E/WAVAX-25NOV22-15.5C COIN SHORT"/>
  </r>
  <r>
    <s v="OWETHUSDC/WETH-09DEC22-1450C"/>
    <n v="2698"/>
    <n v="0"/>
    <n v="0"/>
    <n v="0"/>
    <s v="ASSET"/>
    <d v="2022-12-15T00:00:00"/>
    <n v="1"/>
    <x v="57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n v="0"/>
    <n v="0"/>
    <n v="0"/>
    <s v="ASSET"/>
    <d v="2022-12-15T00:00:00"/>
    <n v="1"/>
    <x v="58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n v="0"/>
    <n v="0"/>
    <n v="0"/>
    <s v="ASSET"/>
    <d v="2022-12-15T00:00:00"/>
    <n v="1"/>
    <x v="59"/>
    <n v="0"/>
    <s v="COIN"/>
    <s v="SHORT"/>
    <s v="COIN SHORT"/>
    <n v="0"/>
    <n v="0"/>
    <n v="0"/>
    <n v="0"/>
    <s v="DEFI"/>
    <s v="OWETHUSDC/WETH-25NOV22-1400C COIN SHORT"/>
  </r>
  <r>
    <s v="OWETHUSDC/WSTETH-02DEC22-1350C"/>
    <n v="9472.1338239899997"/>
    <n v="0"/>
    <n v="0"/>
    <n v="0"/>
    <s v="ASSET"/>
    <d v="2022-12-15T00:00:00"/>
    <n v="1"/>
    <x v="60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n v="0"/>
    <n v="0"/>
    <n v="0"/>
    <s v="ASSET"/>
    <d v="2022-12-15T00:00:00"/>
    <n v="1"/>
    <x v="61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n v="0"/>
    <n v="0"/>
    <n v="0"/>
    <s v="ASSET"/>
    <d v="2022-12-15T00:00:00"/>
    <n v="1"/>
    <x v="62"/>
    <n v="0"/>
    <s v="COIN"/>
    <s v="SHORT"/>
    <s v="COIN SHORT"/>
    <n v="0"/>
    <n v="0"/>
    <n v="0"/>
    <n v="0"/>
    <s v="DEFI"/>
    <s v="OWETHUSDC/WSTETH-09SEP22-1900C COIN SHORT"/>
  </r>
  <r>
    <s v="USDC"/>
    <n v="60000"/>
    <n v="59998.771518266098"/>
    <n v="0.99997952530443501"/>
    <n v="0"/>
    <s v="ASSET"/>
    <d v="2022-12-15T00:00:00"/>
    <n v="1"/>
    <x v="44"/>
    <n v="0"/>
    <s v="COIN"/>
    <s v="LONG"/>
    <s v="COIN LONG"/>
    <n v="0"/>
    <n v="0"/>
    <n v="0"/>
    <n v="0"/>
    <s v="DEFI"/>
    <s v="USDC COIN LONG"/>
  </r>
  <r>
    <s v="WAVAX"/>
    <n v="188.04277877999999"/>
    <n v="2579.1970989751999"/>
    <n v="13.7160124717829"/>
    <n v="0"/>
    <s v="ASSET"/>
    <d v="2022-12-15T00:00:00"/>
    <n v="1"/>
    <x v="63"/>
    <n v="0"/>
    <s v="COIN"/>
    <s v="LONG"/>
    <s v="COIN LONG"/>
    <n v="0"/>
    <n v="0"/>
    <n v="0"/>
    <n v="0"/>
    <s v="DEFI"/>
    <s v="WAVAX COIN LONG"/>
  </r>
  <r>
    <s v="WETH"/>
    <n v="154.70349367"/>
    <n v="202282.976567092"/>
    <n v="1307.5527369704"/>
    <n v="0"/>
    <s v="ASSET"/>
    <d v="2022-12-15T00:00:00"/>
    <n v="1"/>
    <x v="64"/>
    <n v="0"/>
    <s v="COIN"/>
    <s v="LONG"/>
    <s v="COIN LONG"/>
    <n v="0"/>
    <n v="0"/>
    <n v="0"/>
    <n v="0"/>
    <s v="DEFI"/>
    <s v="WETH COIN LONG"/>
  </r>
  <r>
    <s v="CRV"/>
    <n v="95.239435409999999"/>
    <n v="61.570962845441201"/>
    <n v="0.64648601265202699"/>
    <n v="0"/>
    <s v="ASSET"/>
    <d v="2022-12-15T00:00:00"/>
    <n v="1"/>
    <x v="11"/>
    <n v="0"/>
    <s v="COIN"/>
    <s v="LONG"/>
    <s v="COIN LONG"/>
    <n v="0"/>
    <n v="0"/>
    <n v="0"/>
    <n v="0"/>
    <s v="DEFI"/>
    <s v="CRV COIN LONG"/>
  </r>
  <r>
    <s v="CVX"/>
    <n v="3.4335947500000001"/>
    <n v="13.4171989365516"/>
    <n v="3.90762449079106"/>
    <n v="0"/>
    <s v="ASSET"/>
    <d v="2022-12-15T00:00:00"/>
    <n v="1"/>
    <x v="45"/>
    <n v="0"/>
    <s v="COIN"/>
    <s v="LONG"/>
    <s v="COIN LONG"/>
    <n v="0"/>
    <n v="0"/>
    <n v="0"/>
    <n v="0"/>
    <s v="DEFI"/>
    <s v="CVX COIN LONG"/>
  </r>
  <r>
    <s v="DAI"/>
    <n v="168347.15939687999"/>
    <n v="168275.44119131"/>
    <n v="0.99957398624469695"/>
    <n v="0"/>
    <s v="ASSET"/>
    <d v="2022-12-15T00:00:00"/>
    <n v="1"/>
    <x v="65"/>
    <n v="0"/>
    <s v="COIN"/>
    <s v="LONG"/>
    <s v="COIN LONG"/>
    <n v="0"/>
    <n v="0"/>
    <n v="0"/>
    <n v="0"/>
    <s v="DEFI"/>
    <s v="DAI COIN LONG"/>
  </r>
  <r>
    <s v="ETH"/>
    <n v="0.56165878999999996"/>
    <n v="735.39596039846799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MIM"/>
    <n v="524889.41030044004"/>
    <n v="522674.40974300198"/>
    <n v="0.99578006240177297"/>
    <n v="0"/>
    <s v="ASSET"/>
    <d v="2022-12-15T00:00:00"/>
    <n v="1"/>
    <x v="66"/>
    <n v="0"/>
    <s v="COIN"/>
    <s v="LONG"/>
    <s v="COIN LONG"/>
    <n v="0"/>
    <n v="0"/>
    <n v="0"/>
    <n v="0"/>
    <s v="DEFI"/>
    <s v="MIM COIN LONG"/>
  </r>
  <r>
    <s v="USDC"/>
    <n v="160870.93304174001"/>
    <n v="160867.63925836"/>
    <n v="0.99997952530443501"/>
    <n v="0"/>
    <s v="ASSET"/>
    <d v="2022-12-15T00:00:00"/>
    <n v="1"/>
    <x v="44"/>
    <n v="0"/>
    <s v="COIN"/>
    <s v="LONG"/>
    <s v="COIN LONG"/>
    <n v="0"/>
    <n v="0"/>
    <n v="0"/>
    <n v="0"/>
    <s v="DEFI"/>
    <s v="USDC COIN LONG"/>
  </r>
  <r>
    <s v="USDC"/>
    <n v="1006533.600838"/>
    <n v="1006512.99236894"/>
    <n v="0.99997952530443501"/>
    <n v="0"/>
    <s v="ASSET"/>
    <d v="2022-12-14T16:00:00"/>
    <n v="1"/>
    <x v="44"/>
    <n v="0"/>
    <s v="COIN"/>
    <s v="LONG"/>
    <s v="COIN LONG"/>
    <n v="0"/>
    <n v="0"/>
    <n v="0"/>
    <n v="0"/>
    <s v="DEFI"/>
    <s v="USDC COIN LONG"/>
  </r>
  <r>
    <s v="USDT"/>
    <n v="152185.53478941999"/>
    <n v="152201.576716032"/>
    <n v="1.0001054103245299"/>
    <n v="0"/>
    <s v="ASSET"/>
    <d v="2022-12-15T00:00:00"/>
    <n v="1"/>
    <x v="34"/>
    <n v="0"/>
    <s v="COIN"/>
    <s v="LONG"/>
    <s v="COIN LONG"/>
    <n v="0"/>
    <n v="0"/>
    <n v="0"/>
    <n v="0"/>
    <s v="DEFI"/>
    <s v="USDT COIN LONG"/>
  </r>
  <r>
    <s v="AURA"/>
    <n v="463.45655553"/>
    <n v="26.842364961398999"/>
    <n v="5.7917758722179802E-2"/>
    <n v="0"/>
    <s v="ASSET"/>
    <d v="2022-12-15T00:00:00"/>
    <n v="1"/>
    <x v="67"/>
    <n v="0"/>
    <s v="COIN"/>
    <s v="LONG"/>
    <s v="COIN LONG"/>
    <n v="0"/>
    <n v="0"/>
    <n v="0"/>
    <n v="0"/>
    <s v="DEFI"/>
    <s v="AURA COIN LONG"/>
  </r>
  <r>
    <s v="BAL"/>
    <n v="128.13018736000001"/>
    <n v="787.63144938300502"/>
    <n v="6.1471185331996896"/>
    <n v="0"/>
    <s v="ASSET"/>
    <d v="2022-12-15T00:00:00"/>
    <n v="1"/>
    <x v="68"/>
    <n v="0"/>
    <s v="COIN"/>
    <s v="LONG"/>
    <s v="COIN LONG"/>
    <n v="0"/>
    <n v="0"/>
    <n v="0"/>
    <n v="0"/>
    <s v="DEFI"/>
    <s v="BAL COIN LONG"/>
  </r>
  <r>
    <s v="ETH"/>
    <n v="385.80857076000001"/>
    <n v="505150.22550258797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ETH"/>
    <n v="2.5209147500000002"/>
    <n v="3300.7059742782899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STETH"/>
    <n v="623.41986664000001"/>
    <n v="799906.53314526705"/>
    <n v="1283.0943894304501"/>
    <n v="0"/>
    <s v="ASSET"/>
    <d v="2022-12-15T00:00:00"/>
    <n v="1"/>
    <x v="69"/>
    <n v="0"/>
    <s v="COIN"/>
    <s v="LONG"/>
    <s v="COIN LONG"/>
    <n v="0"/>
    <n v="0"/>
    <n v="0"/>
    <n v="0"/>
    <s v="DEFI"/>
    <s v="STETH COIN LONG"/>
  </r>
  <r>
    <s v="ETH"/>
    <n v="9.8779060000000002E-2"/>
    <n v="129.33425593848099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n v="0"/>
    <n v="0"/>
    <n v="0"/>
    <s v="ASSET"/>
    <d v="2022-12-15T00:00:00"/>
    <n v="1"/>
    <x v="70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n v="0"/>
    <n v="0"/>
    <n v="0"/>
    <s v="ASSET"/>
    <d v="2022-12-15T00:00:00"/>
    <n v="1"/>
    <x v="71"/>
    <n v="0"/>
    <s v="COIN"/>
    <s v="SHORT"/>
    <s v="COIN SHORT"/>
    <n v="0"/>
    <n v="0"/>
    <n v="0"/>
    <n v="0"/>
    <s v="DEFI"/>
    <s v="OPERPUSDC/PERP-30DEC22-0.54C COIN SHORT"/>
  </r>
  <r>
    <s v="OSPELLUSDC/SPELL-30DEC22-0.00079C"/>
    <n v="100050250.667"/>
    <n v="0"/>
    <n v="0"/>
    <n v="0"/>
    <s v="ASSET"/>
    <d v="2022-12-15T00:00:00"/>
    <n v="1"/>
    <x v="72"/>
    <n v="0"/>
    <s v="COIN"/>
    <s v="SHORT"/>
    <s v="COIN SHORT"/>
    <n v="0"/>
    <n v="0"/>
    <n v="0"/>
    <n v="0"/>
    <s v="DEFI"/>
    <s v="OSPELLUSDC/SPELL-30DEC22-0.00079C COIN SHORT"/>
  </r>
  <r>
    <s v="ETH"/>
    <n v="498.76775994000002"/>
    <n v="653050.93121905695"/>
    <n v="1309.32867693296"/>
    <n v="0"/>
    <s v="ASSET"/>
    <d v="2022-12-12T23:00:00"/>
    <n v="1"/>
    <x v="17"/>
    <n v="0"/>
    <s v="COIN"/>
    <s v="LONG"/>
    <s v="COIN LONG"/>
    <n v="0"/>
    <n v="0"/>
    <n v="0"/>
    <n v="0"/>
    <s v="DEFI"/>
    <s v="ETH COIN LONG"/>
  </r>
  <r>
    <s v="ETH"/>
    <n v="2.96051419"/>
    <n v="3876.2861274339598"/>
    <n v="1309.32867693296"/>
    <n v="0"/>
    <s v="ASSET"/>
    <d v="2022-12-15T00:00:00"/>
    <n v="1"/>
    <x v="17"/>
    <n v="0"/>
    <s v="COIN"/>
    <s v="LONG"/>
    <s v="COIN LONG"/>
    <n v="0"/>
    <n v="0"/>
    <n v="0"/>
    <n v="0"/>
    <s v="DEFI"/>
    <s v="ETH COIN LONG"/>
  </r>
  <r>
    <s v="FRXETH"/>
    <n v="498.37304568000002"/>
    <n v="0"/>
    <n v="0"/>
    <n v="0"/>
    <s v="ASSET"/>
    <d v="2022-12-12T23:00:00"/>
    <n v="1"/>
    <x v="73"/>
    <n v="0"/>
    <s v="COIN"/>
    <s v="SHORT"/>
    <s v="COIN SHORT"/>
    <n v="0"/>
    <n v="0"/>
    <n v="0"/>
    <n v="0"/>
    <s v="DEFI"/>
    <s v="FRXETH COIN SHORT"/>
  </r>
  <r>
    <s v="USDC"/>
    <n v="172499.35324299999"/>
    <n v="172495.82137125701"/>
    <n v="0.99997952530443501"/>
    <n v="0"/>
    <s v="ASSET"/>
    <d v="2022-12-15T00:00:00"/>
    <n v="1"/>
    <x v="44"/>
    <n v="0"/>
    <s v="COIN"/>
    <s v="LONG"/>
    <s v="COIN LONG"/>
    <n v="0"/>
    <n v="0"/>
    <n v="0"/>
    <n v="0"/>
    <s v="DYDX"/>
    <s v="USDC COIN LONG"/>
  </r>
  <r>
    <s v="ADA"/>
    <n v="1E-8"/>
    <n v="3.0813425194694101E-9"/>
    <n v="0.308134251946941"/>
    <n v="0"/>
    <s v="ASSET"/>
    <d v="2022-12-15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n v="5.4554247976536396E-6"/>
    <n v="109.10849595307199"/>
    <n v="0"/>
    <s v="ASSET"/>
    <d v="2022-12-15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n v="21.439278037545701"/>
    <n v="45.311618722574998"/>
    <n v="0"/>
    <s v="ASSET"/>
    <d v="2022-12-15T00:00:00"/>
    <n v="1"/>
    <x v="74"/>
    <n v="0"/>
    <s v="COIN"/>
    <s v="LONG"/>
    <s v="COIN LONG"/>
    <n v="0"/>
    <n v="0"/>
    <n v="0"/>
    <n v="0"/>
    <s v="FUB2"/>
    <s v="BSV COIN LONG"/>
  </r>
  <r>
    <s v="BTC"/>
    <n v="4.0000000000000001E-8"/>
    <n v="7.1262599418603595E-4"/>
    <n v="17815.649854650899"/>
    <n v="0"/>
    <s v="ASSET"/>
    <d v="2022-12-15T00:00:00"/>
    <n v="1"/>
    <x v="8"/>
    <n v="0"/>
    <s v="COIN"/>
    <s v="LONG"/>
    <s v="COIN LONG"/>
    <n v="0"/>
    <n v="0"/>
    <n v="0"/>
    <n v="0"/>
    <s v="FUB2"/>
    <s v="BTC COIN LONG"/>
  </r>
  <r>
    <s v="EOS"/>
    <n v="2.9999999999999997E-8"/>
    <n v="2.9340640100730401E-8"/>
    <n v="0.97802133669101299"/>
    <n v="0"/>
    <s v="ASSET"/>
    <d v="2022-12-15T00:00:00"/>
    <n v="1"/>
    <x v="16"/>
    <n v="0"/>
    <s v="COIN"/>
    <s v="LONG"/>
    <s v="COIN LONG"/>
    <n v="0"/>
    <n v="0"/>
    <n v="0"/>
    <n v="0"/>
    <s v="FUB2"/>
    <s v="EOS COIN LONG"/>
  </r>
  <r>
    <s v="ETC"/>
    <n v="1E-8"/>
    <n v="1.87876872284171E-7"/>
    <n v="18.787687228417099"/>
    <n v="0"/>
    <s v="ASSET"/>
    <d v="2022-12-15T00:00:00"/>
    <n v="1"/>
    <x v="38"/>
    <n v="0"/>
    <s v="COIN"/>
    <s v="LONG"/>
    <s v="COIN LONG"/>
    <n v="0"/>
    <n v="0"/>
    <n v="0"/>
    <n v="0"/>
    <s v="FUB2"/>
    <s v="ETC COIN LONG"/>
  </r>
  <r>
    <s v="ETH"/>
    <n v="2.9999999999999997E-8"/>
    <n v="3.9279860307988803E-5"/>
    <n v="1309.32867693296"/>
    <n v="0"/>
    <s v="ASSET"/>
    <d v="2022-12-15T00:00:00"/>
    <n v="1"/>
    <x v="17"/>
    <n v="0"/>
    <s v="COIN"/>
    <s v="LONG"/>
    <s v="COIN LONG"/>
    <n v="0"/>
    <n v="0"/>
    <n v="0"/>
    <n v="0"/>
    <s v="FUB2"/>
    <s v="ETH COIN LONG"/>
  </r>
  <r>
    <s v="LTC"/>
    <n v="1E-8"/>
    <n v="7.5475863646134999E-7"/>
    <n v="75.475863646134997"/>
    <n v="0"/>
    <s v="ASSET"/>
    <d v="2022-12-15T00:00:00"/>
    <n v="1"/>
    <x v="24"/>
    <n v="0"/>
    <s v="COIN"/>
    <s v="LONG"/>
    <s v="COIN LONG"/>
    <n v="0"/>
    <n v="0"/>
    <n v="0"/>
    <n v="0"/>
    <s v="FUB2"/>
    <s v="LTC COIN LONG"/>
  </r>
  <r>
    <s v="TRX"/>
    <n v="1E-8"/>
    <n v="5.5666357131219E-10"/>
    <n v="5.5666357131219001E-2"/>
    <n v="0"/>
    <s v="ASSET"/>
    <d v="2022-12-15T00:00:00"/>
    <n v="1"/>
    <x v="75"/>
    <n v="0"/>
    <s v="COIN"/>
    <s v="LONG"/>
    <s v="COIN LONG"/>
    <n v="0"/>
    <n v="0"/>
    <n v="0"/>
    <n v="0"/>
    <s v="FUB2"/>
    <s v="TRX COIN LONG"/>
  </r>
  <r>
    <s v="XRP"/>
    <n v="9.9999999999999995E-8"/>
    <n v="3.8641371777866901E-8"/>
    <n v="0.38641371777866901"/>
    <n v="0"/>
    <s v="ASSET"/>
    <d v="2022-12-15T00:00:00"/>
    <n v="1"/>
    <x v="43"/>
    <n v="0"/>
    <s v="COIN"/>
    <s v="LONG"/>
    <s v="COIN LONG"/>
    <n v="0"/>
    <n v="0"/>
    <n v="0"/>
    <n v="0"/>
    <s v="FUB2"/>
    <s v="XRP COIN LONG"/>
  </r>
  <r>
    <s v="ADA"/>
    <n v="5.7406599999999999E-3"/>
    <n v="1.7688939747817301E-3"/>
    <n v="0.308134251946941"/>
    <n v="0"/>
    <s v="ASSET"/>
    <d v="2022-12-15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n v="79.523757825776002"/>
    <n v="109.10849595307199"/>
    <n v="0"/>
    <s v="ASSET"/>
    <d v="2022-12-15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n v="5.11377458774668"/>
    <n v="45.311618722574998"/>
    <n v="0"/>
    <s v="ASSET"/>
    <d v="2022-12-15T00:00:00"/>
    <n v="1"/>
    <x v="74"/>
    <n v="0"/>
    <s v="COIN"/>
    <s v="LONG"/>
    <s v="COIN LONG"/>
    <n v="0"/>
    <n v="0"/>
    <n v="0"/>
    <n v="0"/>
    <s v="FUBI"/>
    <s v="BSV COIN LONG"/>
  </r>
  <r>
    <s v="BTC"/>
    <n v="32.481357639999999"/>
    <n v="578676.49451792997"/>
    <n v="17815.649854650899"/>
    <n v="0"/>
    <s v="ASSET"/>
    <d v="2022-12-15T00:00:00"/>
    <n v="1"/>
    <x v="8"/>
    <n v="0"/>
    <s v="COIN"/>
    <s v="LONG"/>
    <s v="COIN LONG"/>
    <n v="0"/>
    <n v="0"/>
    <n v="0"/>
    <n v="0"/>
    <s v="FUBI"/>
    <s v="BTC COIN LONG"/>
  </r>
  <r>
    <s v="BTC"/>
    <n v="2.2719860000000001E-2"/>
    <n v="404.76907050668899"/>
    <n v="17815.649854650899"/>
    <n v="0"/>
    <s v="UNREALIZED"/>
    <d v="2022-12-15T00:00:00"/>
    <n v="1"/>
    <x v="8"/>
    <n v="0"/>
    <s v="COIN"/>
    <s v="LONG"/>
    <s v="COIN LONG"/>
    <n v="0"/>
    <n v="0"/>
    <n v="0"/>
    <n v="0"/>
    <s v="FUBI"/>
    <s v="BTC COIN LONG"/>
  </r>
  <r>
    <s v="DOT"/>
    <n v="0.97764076"/>
    <n v="5.0986016244932602"/>
    <n v="5.21520975096543"/>
    <n v="0"/>
    <s v="ASSET"/>
    <d v="2022-12-15T00:00:00"/>
    <n v="1"/>
    <x v="14"/>
    <n v="0"/>
    <s v="COIN"/>
    <s v="LONG"/>
    <s v="COIN LONG"/>
    <n v="0"/>
    <n v="0"/>
    <n v="0"/>
    <n v="0"/>
    <s v="FUBI"/>
    <s v="DOT COIN LONG"/>
  </r>
  <r>
    <s v="EOS"/>
    <n v="3.7085149999999997E-2"/>
    <n v="3.6270067974386699E-2"/>
    <n v="0.97802133669101299"/>
    <n v="0"/>
    <s v="ASSET"/>
    <d v="2022-12-15T00:00:00"/>
    <n v="1"/>
    <x v="16"/>
    <n v="0"/>
    <s v="COIN"/>
    <s v="LONG"/>
    <s v="COIN LONG"/>
    <n v="0"/>
    <n v="0"/>
    <n v="0"/>
    <n v="0"/>
    <s v="FUBI"/>
    <s v="EOS COIN LONG"/>
  </r>
  <r>
    <s v="ETC"/>
    <n v="0.70701212999999996"/>
    <n v="13.283122765137"/>
    <n v="18.787687228417099"/>
    <n v="0"/>
    <s v="ASSET"/>
    <d v="2022-12-15T00:00:00"/>
    <n v="1"/>
    <x v="38"/>
    <n v="0"/>
    <s v="COIN"/>
    <s v="LONG"/>
    <s v="COIN LONG"/>
    <n v="0"/>
    <n v="0"/>
    <n v="0"/>
    <n v="0"/>
    <s v="FUBI"/>
    <s v="ETC COIN LONG"/>
  </r>
  <r>
    <s v="ETH"/>
    <n v="535.83104949000005"/>
    <n v="701578.95908834203"/>
    <n v="1309.32867693296"/>
    <n v="0"/>
    <s v="ASSET"/>
    <d v="2022-12-15T00:00:00"/>
    <n v="1"/>
    <x v="17"/>
    <n v="0"/>
    <s v="COIN"/>
    <s v="LONG"/>
    <s v="COIN LONG"/>
    <n v="0"/>
    <n v="0"/>
    <n v="0"/>
    <n v="0"/>
    <s v="FUBI"/>
    <s v="ETH COIN LONG"/>
  </r>
  <r>
    <s v="ETH"/>
    <n v="-3.7039113700000001"/>
    <n v="-4849.6373735590496"/>
    <n v="1309.32867693296"/>
    <n v="0"/>
    <s v="UNREALIZED"/>
    <d v="2022-12-15T00:00:00"/>
    <n v="1"/>
    <x v="17"/>
    <n v="0"/>
    <s v="COIN"/>
    <s v="SHORT"/>
    <s v="COIN SHORT"/>
    <n v="0"/>
    <n v="0"/>
    <n v="0"/>
    <n v="0"/>
    <s v="FUBI"/>
    <s v="ETH COIN SHORT"/>
  </r>
  <r>
    <s v="LINK"/>
    <n v="6.244243E-2"/>
    <n v="0.420164374968233"/>
    <n v="6.72882805759214"/>
    <n v="0"/>
    <s v="ASSET"/>
    <d v="2022-12-15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n v="540.13861114788597"/>
    <n v="75.475863646134997"/>
    <n v="0"/>
    <s v="ASSET"/>
    <d v="2022-12-15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n v="5.3309578282867497E-2"/>
    <n v="5.5666357131219001E-2"/>
    <n v="0"/>
    <s v="ASSET"/>
    <d v="2022-12-15T00:00:00"/>
    <n v="1"/>
    <x v="75"/>
    <n v="0"/>
    <s v="COIN"/>
    <s v="LONG"/>
    <s v="COIN LONG"/>
    <n v="0"/>
    <n v="0"/>
    <n v="0"/>
    <n v="0"/>
    <s v="FUBI"/>
    <s v="TRX COIN LONG"/>
  </r>
  <r>
    <s v="XRP"/>
    <n v="0.54364484000000002"/>
    <n v="0.210071823775589"/>
    <n v="0.38641371777866901"/>
    <n v="0"/>
    <s v="ASSET"/>
    <d v="2022-12-15T00:00:00"/>
    <n v="1"/>
    <x v="43"/>
    <n v="0"/>
    <s v="COIN"/>
    <s v="LONG"/>
    <s v="COIN LONG"/>
    <n v="0"/>
    <n v="0"/>
    <n v="0"/>
    <n v="0"/>
    <s v="FUBI"/>
    <s v="XRP COIN LONG"/>
  </r>
  <r>
    <s v="BTC"/>
    <n v="9.9829999999999998E-5"/>
    <n v="1.7785363249898001"/>
    <n v="17815.649854650899"/>
    <n v="0"/>
    <s v="ASSET"/>
    <d v="2022-12-15T00:00:00"/>
    <n v="1"/>
    <x v="8"/>
    <n v="0"/>
    <s v="COIN"/>
    <s v="LONG"/>
    <s v="COIN LONG"/>
    <n v="0"/>
    <n v="0"/>
    <n v="0"/>
    <n v="0"/>
    <s v="GATE"/>
    <s v="BTC COIN LONG"/>
  </r>
  <r>
    <s v="USDT"/>
    <n v="10195.084654329999"/>
    <n v="10196.159321512099"/>
    <n v="1.0001054103245299"/>
    <n v="0"/>
    <s v="ASSET"/>
    <d v="2022-12-15T00:00:00"/>
    <n v="1"/>
    <x v="34"/>
    <n v="0"/>
    <s v="COIN"/>
    <s v="LONG"/>
    <s v="COIN LONG"/>
    <n v="0"/>
    <n v="0"/>
    <n v="0"/>
    <n v="0"/>
    <s v="GATE"/>
    <s v="USDT COIN LONG"/>
  </r>
  <r>
    <s v="BTC"/>
    <n v="1.899957E-2"/>
    <n v="338.48968650892903"/>
    <n v="17815.649854650899"/>
    <n v="0"/>
    <s v="ASSET"/>
    <d v="2022-12-15T00:00:00"/>
    <n v="1"/>
    <x v="8"/>
    <n v="0"/>
    <s v="COIN"/>
    <s v="LONG"/>
    <s v="COIN LONG"/>
    <n v="0"/>
    <n v="0"/>
    <n v="0"/>
    <n v="0"/>
    <s v="GATE"/>
    <s v="BTC COIN LONG"/>
  </r>
  <r>
    <s v="ETHF"/>
    <n v="9.9825000000000001E-4"/>
    <n v="2.29614119617888E-4"/>
    <n v="0.23001664875320599"/>
    <n v="0"/>
    <s v="ASSET"/>
    <d v="2022-12-15T00:00:00"/>
    <n v="1"/>
    <x v="76"/>
    <n v="0"/>
    <s v="COIN"/>
    <s v="LONG"/>
    <s v="COIN LONG"/>
    <n v="0"/>
    <n v="0"/>
    <n v="0"/>
    <n v="0"/>
    <s v="GATE"/>
    <s v="ETHF COIN LONG"/>
  </r>
  <r>
    <s v="ETHW"/>
    <n v="9.9825000000000001E-4"/>
    <n v="3.5343162729518799E-3"/>
    <n v="3.5405121692480601"/>
    <n v="0"/>
    <s v="ASSET"/>
    <d v="2022-12-15T00:00:00"/>
    <n v="1"/>
    <x v="39"/>
    <n v="0"/>
    <s v="COIN"/>
    <s v="LONG"/>
    <s v="COIN LONG"/>
    <n v="0"/>
    <n v="0"/>
    <n v="0"/>
    <n v="0"/>
    <s v="GATE"/>
    <s v="ETHW COIN LONG"/>
  </r>
  <r>
    <s v="ROSE"/>
    <n v="9.5929999999999998E-5"/>
    <n v="4.2092775676247699E-6"/>
    <n v="4.3878636168297402E-2"/>
    <n v="0"/>
    <s v="ASSET"/>
    <d v="2022-12-15T00:00:00"/>
    <n v="1"/>
    <x v="77"/>
    <n v="0"/>
    <s v="COIN"/>
    <s v="LONG"/>
    <s v="COIN LONG"/>
    <n v="0"/>
    <n v="0"/>
    <n v="0"/>
    <n v="0"/>
    <s v="GATE"/>
    <s v="ROSE COIN LONG"/>
  </r>
  <r>
    <s v="USDT"/>
    <n v="27.162898349999999"/>
    <n v="27.165761599930399"/>
    <n v="1.0001054103245299"/>
    <n v="0"/>
    <s v="ASSET"/>
    <d v="2022-12-15T00:00:00"/>
    <n v="1"/>
    <x v="34"/>
    <n v="0"/>
    <s v="COIN"/>
    <s v="LONG"/>
    <s v="COIN LONG"/>
    <n v="0"/>
    <n v="0"/>
    <n v="0"/>
    <n v="0"/>
    <s v="GATE"/>
    <s v="USDT COIN LONG"/>
  </r>
  <r>
    <s v="BTC"/>
    <n v="1.995E-4"/>
    <n v="3.55422214600285"/>
    <n v="17815.649854650899"/>
    <n v="0"/>
    <s v="ASSET"/>
    <d v="2022-12-15T00:00:00"/>
    <n v="1"/>
    <x v="8"/>
    <n v="0"/>
    <s v="COIN"/>
    <s v="LONG"/>
    <s v="COIN LONG"/>
    <n v="0"/>
    <n v="0"/>
    <n v="0"/>
    <n v="0"/>
    <s v="GATE"/>
    <s v="BTC COIN LONG"/>
  </r>
  <r>
    <s v="ETH"/>
    <n v="9.9825000000000001E-4"/>
    <n v="1.30703735174832"/>
    <n v="1309.32867693296"/>
    <n v="0"/>
    <s v="ASSET"/>
    <d v="2022-12-15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n v="59.400166730907003"/>
    <n v="1.0001054103245299"/>
    <n v="0"/>
    <s v="ASSET"/>
    <d v="2022-12-15T00:00:00"/>
    <n v="1"/>
    <x v="34"/>
    <n v="0"/>
    <s v="COIN"/>
    <s v="LONG"/>
    <s v="COIN LONG"/>
    <n v="0"/>
    <n v="0"/>
    <n v="0"/>
    <n v="0"/>
    <s v="GATE"/>
    <s v="USDT COIN LONG"/>
  </r>
  <r>
    <s v="USDT"/>
    <n v="10045.593615"/>
    <n v="10046.652524283099"/>
    <n v="1.0001054103245299"/>
    <n v="0"/>
    <s v="ASSET"/>
    <d v="2022-12-15T00:00:00"/>
    <n v="1"/>
    <x v="34"/>
    <n v="0"/>
    <s v="COIN"/>
    <s v="LONG"/>
    <s v="COIN LONG"/>
    <n v="0"/>
    <n v="0"/>
    <n v="0"/>
    <n v="0"/>
    <s v="GATE"/>
    <s v="USDT COIN LONG"/>
  </r>
  <r>
    <s v="USDT"/>
    <n v="1E-8"/>
    <n v="1.00010541032453E-8"/>
    <n v="1.0001054103245299"/>
    <n v="0"/>
    <s v="ASSET"/>
    <d v="2022-12-14T00:00:00"/>
    <n v="1"/>
    <x v="34"/>
    <n v="0"/>
    <s v="COIN"/>
    <s v="LONG"/>
    <s v="COIN LONG"/>
    <n v="0"/>
    <n v="0"/>
    <n v="0"/>
    <n v="0"/>
    <s v="HUB2"/>
    <s v="USDT COIN LONG"/>
  </r>
  <r>
    <s v="XRP"/>
    <n v="7.4209999999999996E-5"/>
    <n v="2.8675761996355001E-5"/>
    <n v="0.38641371777866901"/>
    <n v="0"/>
    <s v="ASSET"/>
    <d v="2022-12-14T00:00:00"/>
    <n v="1"/>
    <x v="43"/>
    <n v="0"/>
    <s v="COIN"/>
    <s v="LONG"/>
    <s v="COIN LONG"/>
    <n v="0"/>
    <n v="0"/>
    <n v="0"/>
    <n v="0"/>
    <s v="HUB2"/>
    <s v="XRP COIN LONG"/>
  </r>
  <r>
    <s v="ADA"/>
    <n v="1E-8"/>
    <n v="3.0813425194694101E-9"/>
    <n v="0.308134251946941"/>
    <n v="0"/>
    <s v="ASSET"/>
    <d v="2022-12-15T00:00:00"/>
    <n v="1"/>
    <x v="1"/>
    <n v="0"/>
    <s v="COIN"/>
    <s v="LONG"/>
    <s v="COIN LONG"/>
    <n v="0"/>
    <n v="0"/>
    <n v="0"/>
    <n v="0"/>
    <s v="HUB2"/>
    <s v="ADA COIN LONG"/>
  </r>
  <r>
    <s v="BCH"/>
    <n v="1E-8"/>
    <n v="1.0910849595307199E-6"/>
    <n v="109.10849595307199"/>
    <n v="0"/>
    <s v="ASSET"/>
    <d v="2022-12-15T00:00:00"/>
    <n v="1"/>
    <x v="6"/>
    <n v="0"/>
    <s v="COIN"/>
    <s v="LONG"/>
    <s v="COIN LONG"/>
    <n v="0"/>
    <n v="0"/>
    <n v="0"/>
    <n v="0"/>
    <s v="HUB2"/>
    <s v="BCH COIN LONG"/>
  </r>
  <r>
    <s v="BSV"/>
    <n v="1E-8"/>
    <n v="4.5311618722575001E-7"/>
    <n v="45.311618722574998"/>
    <n v="0"/>
    <s v="ASSET"/>
    <d v="2022-12-15T00:00:00"/>
    <n v="1"/>
    <x v="74"/>
    <n v="0"/>
    <s v="COIN"/>
    <s v="LONG"/>
    <s v="COIN LONG"/>
    <n v="0"/>
    <n v="0"/>
    <n v="0"/>
    <n v="0"/>
    <s v="HUB2"/>
    <s v="BSV COIN LONG"/>
  </r>
  <r>
    <s v="EOS"/>
    <n v="1E-8"/>
    <n v="9.7802133669101293E-9"/>
    <n v="0.97802133669101299"/>
    <n v="0"/>
    <s v="ASSET"/>
    <d v="2022-12-15T00:00:00"/>
    <n v="1"/>
    <x v="16"/>
    <n v="0"/>
    <s v="COIN"/>
    <s v="LONG"/>
    <s v="COIN LONG"/>
    <n v="0"/>
    <n v="0"/>
    <n v="0"/>
    <n v="0"/>
    <s v="HUB2"/>
    <s v="EOS COIN LONG"/>
  </r>
  <r>
    <s v="ETC"/>
    <n v="1E-8"/>
    <n v="1.87876872284171E-7"/>
    <n v="18.787687228417099"/>
    <n v="0"/>
    <s v="ASSET"/>
    <d v="2022-12-15T00:00:00"/>
    <n v="1"/>
    <x v="38"/>
    <n v="0"/>
    <s v="COIN"/>
    <s v="LONG"/>
    <s v="COIN LONG"/>
    <n v="0"/>
    <n v="0"/>
    <n v="0"/>
    <n v="0"/>
    <s v="HUB2"/>
    <s v="ETC COIN LONG"/>
  </r>
  <r>
    <s v="ETH"/>
    <n v="1E-8"/>
    <n v="1.3093286769329599E-5"/>
    <n v="1309.32867693296"/>
    <n v="0"/>
    <s v="ASSET"/>
    <d v="2022-12-15T00:00:00"/>
    <n v="1"/>
    <x v="17"/>
    <n v="0"/>
    <s v="COIN"/>
    <s v="LONG"/>
    <s v="COIN LONG"/>
    <n v="0"/>
    <n v="0"/>
    <n v="0"/>
    <n v="0"/>
    <s v="HUB2"/>
    <s v="ETH COIN LONG"/>
  </r>
  <r>
    <s v="LINK"/>
    <n v="1E-8"/>
    <n v="6.7288280575921401E-8"/>
    <n v="6.72882805759214"/>
    <n v="0"/>
    <s v="ASSET"/>
    <d v="2022-12-15T00:00:00"/>
    <n v="1"/>
    <x v="23"/>
    <n v="0"/>
    <s v="COIN"/>
    <s v="LONG"/>
    <s v="COIN LONG"/>
    <n v="0"/>
    <n v="0"/>
    <n v="0"/>
    <n v="0"/>
    <s v="HUB2"/>
    <s v="LINK COIN LONG"/>
  </r>
  <r>
    <s v="LTC"/>
    <n v="1E-8"/>
    <n v="7.5475863646134999E-7"/>
    <n v="75.475863646134997"/>
    <n v="0"/>
    <s v="ASSET"/>
    <d v="2022-12-15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n v="3.2624468093306298"/>
    <n v="1.0001054103245299"/>
    <n v="0"/>
    <s v="ASSET"/>
    <d v="2022-12-15T00:00:00"/>
    <n v="1"/>
    <x v="34"/>
    <n v="0"/>
    <s v="COIN"/>
    <s v="LONG"/>
    <s v="COIN LONG"/>
    <n v="0"/>
    <n v="0"/>
    <n v="0"/>
    <n v="0"/>
    <s v="HUB2"/>
    <s v="USDT COIN LONG"/>
  </r>
  <r>
    <s v="XRP"/>
    <n v="6.4869999999999994E-5"/>
    <n v="2.5066657872302201E-5"/>
    <n v="0.38641371777866901"/>
    <n v="0"/>
    <s v="ASSET"/>
    <d v="2022-12-15T00:00:00"/>
    <n v="1"/>
    <x v="43"/>
    <n v="0"/>
    <s v="COIN"/>
    <s v="LONG"/>
    <s v="COIN LONG"/>
    <n v="0"/>
    <n v="0"/>
    <n v="0"/>
    <n v="0"/>
    <s v="HUB2"/>
    <s v="XRP COIN LONG"/>
  </r>
  <r>
    <s v="AAVE"/>
    <n v="0.10014646000000001"/>
    <n v="6.2654520236031903"/>
    <n v="62.562890626420497"/>
    <n v="0"/>
    <s v="ASSET"/>
    <d v="2022-12-15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n v="9.8886444134812601E-5"/>
    <n v="0.308134251946941"/>
    <n v="0"/>
    <s v="ASSET"/>
    <d v="2022-12-15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n v="5.8429781752789602E-2"/>
    <n v="109.10849595307199"/>
    <n v="0"/>
    <s v="ASSET"/>
    <d v="2022-12-15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n v="1.35934856167725E-6"/>
    <n v="45.311618722574998"/>
    <n v="0"/>
    <s v="ASSET"/>
    <d v="2022-12-15T00:00:00"/>
    <n v="1"/>
    <x v="74"/>
    <n v="0"/>
    <s v="COIN"/>
    <s v="LONG"/>
    <s v="COIN LONG"/>
    <n v="0"/>
    <n v="0"/>
    <n v="0"/>
    <n v="0"/>
    <s v="HUBI"/>
    <s v="BSV COIN LONG"/>
  </r>
  <r>
    <s v="BTC"/>
    <n v="144.50993141000001"/>
    <n v="2574538.3385201702"/>
    <n v="17815.649854650899"/>
    <n v="0"/>
    <s v="ASSET"/>
    <d v="2022-12-15T00:00:00"/>
    <n v="1"/>
    <x v="8"/>
    <n v="0"/>
    <s v="COIN"/>
    <s v="LONG"/>
    <s v="COIN LONG"/>
    <n v="0"/>
    <n v="0"/>
    <n v="0"/>
    <n v="0"/>
    <s v="HUBI"/>
    <s v="BTC COIN LONG"/>
  </r>
  <r>
    <s v="BTC"/>
    <n v="-1.6966316299999999"/>
    <n v="-30226.595052405599"/>
    <n v="17815.649854650899"/>
    <n v="0"/>
    <s v="UNREALIZED"/>
    <d v="2022-12-15T00:00:00"/>
    <n v="1"/>
    <x v="8"/>
    <n v="0"/>
    <s v="COIN"/>
    <s v="SHORT"/>
    <s v="COIN SHORT"/>
    <n v="0"/>
    <n v="0"/>
    <n v="0"/>
    <n v="0"/>
    <s v="HUBI"/>
    <s v="BTC COIN SHORT"/>
  </r>
  <r>
    <s v="DOT"/>
    <n v="3.8972899999999999E-3"/>
    <n v="2.032518481034E-2"/>
    <n v="5.21520975096543"/>
    <n v="0"/>
    <s v="ASSET"/>
    <d v="2022-12-15T00:00:00"/>
    <n v="1"/>
    <x v="14"/>
    <n v="0"/>
    <s v="COIN"/>
    <s v="LONG"/>
    <s v="COIN LONG"/>
    <n v="0"/>
    <n v="0"/>
    <n v="0"/>
    <n v="0"/>
    <s v="HUBI"/>
    <s v="DOT COIN LONG"/>
  </r>
  <r>
    <s v="ETC"/>
    <n v="0.1010306"/>
    <n v="1.8981313132993201"/>
    <n v="18.787687228417099"/>
    <n v="0"/>
    <s v="ASSET"/>
    <d v="2022-12-15T00:00:00"/>
    <n v="1"/>
    <x v="38"/>
    <n v="0"/>
    <s v="COIN"/>
    <s v="LONG"/>
    <s v="COIN LONG"/>
    <n v="0"/>
    <n v="0"/>
    <n v="0"/>
    <n v="0"/>
    <s v="HUBI"/>
    <s v="ETC COIN LONG"/>
  </r>
  <r>
    <s v="ETH"/>
    <n v="1440.6756141000001"/>
    <n v="1886317.8956991299"/>
    <n v="1309.32867693296"/>
    <n v="0"/>
    <s v="ASSET"/>
    <d v="2022-12-15T00:00:00"/>
    <n v="1"/>
    <x v="17"/>
    <n v="0"/>
    <s v="COIN"/>
    <s v="LONG"/>
    <s v="COIN LONG"/>
    <n v="0"/>
    <n v="0"/>
    <n v="0"/>
    <n v="0"/>
    <s v="HUBI"/>
    <s v="ETH COIN LONG"/>
  </r>
  <r>
    <s v="ETH"/>
    <n v="0.47374295999999999"/>
    <n v="620.28524302310495"/>
    <n v="1309.32867693296"/>
    <n v="0"/>
    <s v="UNREALIZED"/>
    <d v="2022-12-15T00:00:00"/>
    <n v="1"/>
    <x v="17"/>
    <n v="0"/>
    <s v="COIN"/>
    <s v="LONG"/>
    <s v="COIN LONG"/>
    <n v="0"/>
    <n v="0"/>
    <n v="0"/>
    <n v="0"/>
    <s v="HUBI"/>
    <s v="ETH COIN LONG"/>
  </r>
  <r>
    <s v="LINK"/>
    <n v="9.5620999999999998E-4"/>
    <n v="6.4341726769501801E-3"/>
    <n v="6.72882805759214"/>
    <n v="0"/>
    <s v="ASSET"/>
    <d v="2022-12-15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n v="0.18696201659647699"/>
    <n v="75.475863646134997"/>
    <n v="0"/>
    <s v="ASSET"/>
    <d v="2022-12-15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n v="0.63772254232820103"/>
    <n v="8.9727561705582505E-6"/>
    <n v="0"/>
    <s v="ASSET"/>
    <d v="2022-12-15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n v="2.7078899426481499E-5"/>
    <n v="5.5666357131219001E-2"/>
    <n v="0"/>
    <s v="ASSET"/>
    <d v="2022-12-15T00:00:00"/>
    <n v="1"/>
    <x v="75"/>
    <n v="0"/>
    <s v="COIN"/>
    <s v="LONG"/>
    <s v="COIN LONG"/>
    <n v="0"/>
    <n v="0"/>
    <n v="0"/>
    <n v="0"/>
    <s v="HUBI"/>
    <s v="TRX COIN LONG"/>
  </r>
  <r>
    <s v="XRP"/>
    <n v="1.9184000000000001E-4"/>
    <n v="7.4129607618659903E-5"/>
    <n v="0.38641371777866901"/>
    <n v="0"/>
    <s v="ASSET"/>
    <d v="2022-12-15T00:00:00"/>
    <n v="1"/>
    <x v="43"/>
    <n v="0"/>
    <s v="COIN"/>
    <s v="LONG"/>
    <s v="COIN LONG"/>
    <n v="0"/>
    <n v="0"/>
    <n v="0"/>
    <n v="0"/>
    <s v="HUBI"/>
    <s v="XRP COIN LONG"/>
  </r>
  <r>
    <s v="YFII"/>
    <n v="2.4299999999999999E-3"/>
    <n v="3.2644562323836799"/>
    <n v="1343.3976264953401"/>
    <n v="0"/>
    <s v="ASSET"/>
    <d v="2022-12-15T00:00:00"/>
    <n v="1"/>
    <x v="78"/>
    <n v="0"/>
    <s v="COIN"/>
    <s v="LONG"/>
    <s v="COIN LONG"/>
    <n v="0"/>
    <n v="0"/>
    <n v="0"/>
    <n v="0"/>
    <s v="HUBI"/>
    <s v="YFII COIN LONG"/>
  </r>
  <r>
    <s v="USDT"/>
    <n v="644486.57262072002"/>
    <n v="644554.50815949996"/>
    <n v="1.0001054103245299"/>
    <n v="0"/>
    <s v="ASSET"/>
    <d v="2022-12-15T00:00:00"/>
    <n v="1"/>
    <x v="34"/>
    <n v="0"/>
    <s v="COIN"/>
    <s v="LONG"/>
    <s v="COIN LONG"/>
    <n v="0"/>
    <n v="0"/>
    <n v="0"/>
    <n v="0"/>
    <s v="HUBI"/>
    <s v="USDT COIN LONG"/>
  </r>
  <r>
    <s v="USDT"/>
    <n v="44.808952169999998"/>
    <n v="44.813675496190399"/>
    <n v="1.0001054103245299"/>
    <n v="0"/>
    <s v="UNREALIZED"/>
    <d v="2022-12-15T00:00:00"/>
    <n v="1"/>
    <x v="34"/>
    <n v="0"/>
    <s v="COIN"/>
    <s v="LONG"/>
    <s v="COIN LONG"/>
    <n v="0"/>
    <n v="0"/>
    <n v="0"/>
    <n v="0"/>
    <s v="HUBI"/>
    <s v="USDT COIN LONG"/>
  </r>
  <r>
    <s v="AAC"/>
    <n v="377.09760540000002"/>
    <n v="0.11125551983738501"/>
    <n v="2.95031096045738E-4"/>
    <n v="0"/>
    <s v="ASSET"/>
    <d v="2022-12-15T00:00:00"/>
    <n v="1"/>
    <x v="79"/>
    <n v="0"/>
    <s v="COIN"/>
    <s v="LONG"/>
    <s v="COIN LONG"/>
    <n v="0"/>
    <n v="0"/>
    <n v="0"/>
    <n v="0"/>
    <s v="HUBI"/>
    <s v="AAC COIN LONG"/>
  </r>
  <r>
    <s v="ADA"/>
    <n v="1.1000000000000001E-7"/>
    <n v="3.3894767714163602E-8"/>
    <n v="0.308134251946941"/>
    <n v="0"/>
    <s v="ASSET"/>
    <d v="2022-12-15T00:00:00"/>
    <n v="1"/>
    <x v="1"/>
    <n v="0"/>
    <s v="COIN"/>
    <s v="LONG"/>
    <s v="COIN LONG"/>
    <n v="0"/>
    <n v="0"/>
    <n v="0"/>
    <n v="0"/>
    <s v="HUBI"/>
    <s v="ADA COIN LONG"/>
  </r>
  <r>
    <s v="ALGO"/>
    <n v="2.6E-7"/>
    <n v="5.7438109833676303E-8"/>
    <n v="0.220915807052601"/>
    <n v="0"/>
    <s v="ASSET"/>
    <d v="2022-12-15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n v="1.5597477765298099E-2"/>
    <n v="2.9292471050082598E-2"/>
    <n v="0"/>
    <s v="ASSET"/>
    <d v="2022-12-15T00:00:00"/>
    <n v="1"/>
    <x v="80"/>
    <n v="0"/>
    <s v="COIN"/>
    <s v="LONG"/>
    <s v="COIN LONG"/>
    <n v="0"/>
    <n v="0"/>
    <n v="0"/>
    <n v="0"/>
    <s v="HUBI"/>
    <s v="ARPA COIN LONG"/>
  </r>
  <r>
    <s v="ATOM"/>
    <n v="4.3657420000000002E-2"/>
    <n v="0.41951020751225698"/>
    <n v="9.6091387789809204"/>
    <n v="0"/>
    <s v="ASSET"/>
    <d v="2022-12-15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n v="0.21126673009278599"/>
    <n v="13.7275595789196"/>
    <n v="0"/>
    <s v="ASSET"/>
    <d v="2022-12-15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n v="4.5809772465210301E-3"/>
    <n v="0.223961356159531"/>
    <n v="0"/>
    <s v="ASSET"/>
    <d v="2022-12-15T00:00:00"/>
    <n v="1"/>
    <x v="5"/>
    <n v="0"/>
    <s v="COIN"/>
    <s v="LONG"/>
    <s v="COIN LONG"/>
    <n v="0"/>
    <n v="0"/>
    <n v="0"/>
    <n v="0"/>
    <s v="HUBI"/>
    <s v="BAT COIN LONG"/>
  </r>
  <r>
    <s v="BCH"/>
    <n v="838.04330769000001"/>
    <n v="91437.644845594201"/>
    <n v="109.10849595307199"/>
    <n v="0"/>
    <s v="ASSET"/>
    <d v="2022-12-15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n v="1.9953523672060501E-4"/>
    <n v="7.97072869237644E-2"/>
    <n v="0"/>
    <s v="ASSET"/>
    <d v="2022-12-15T00:00:00"/>
    <n v="1"/>
    <x v="81"/>
    <n v="0"/>
    <s v="COIN"/>
    <s v="LONG"/>
    <s v="COIN LONG"/>
    <n v="0"/>
    <n v="0"/>
    <n v="0"/>
    <n v="0"/>
    <s v="HUBI"/>
    <s v="BHD COIN LONG"/>
  </r>
  <r>
    <s v="BLZ"/>
    <n v="115.29838952"/>
    <n v="7.2493053638472196"/>
    <n v="6.2874298539874501E-2"/>
    <n v="0"/>
    <s v="ASSET"/>
    <d v="2022-12-15T00:00:00"/>
    <n v="1"/>
    <x v="82"/>
    <n v="0"/>
    <s v="COIN"/>
    <s v="LONG"/>
    <s v="COIN LONG"/>
    <n v="0"/>
    <n v="0"/>
    <n v="0"/>
    <n v="0"/>
    <s v="HUBI"/>
    <s v="BLZ COIN LONG"/>
  </r>
  <r>
    <s v="BOBA"/>
    <n v="14.7502"/>
    <n v="3.0301948775707701"/>
    <n v="0.205434155304387"/>
    <n v="0"/>
    <s v="ASSET"/>
    <d v="2022-12-15T00:00:00"/>
    <n v="1"/>
    <x v="83"/>
    <n v="0"/>
    <s v="COIN"/>
    <s v="LONG"/>
    <s v="COIN LONG"/>
    <n v="0"/>
    <n v="0"/>
    <n v="0"/>
    <n v="0"/>
    <s v="HUBI"/>
    <s v="BOBA COIN LONG"/>
  </r>
  <r>
    <s v="BSV"/>
    <n v="7.7951899999999996E-3"/>
    <n v="0.35321267715002902"/>
    <n v="45.311618722574998"/>
    <n v="0"/>
    <s v="ASSET"/>
    <d v="2022-12-15T00:00:00"/>
    <n v="1"/>
    <x v="74"/>
    <n v="0"/>
    <s v="COIN"/>
    <s v="LONG"/>
    <s v="COIN LONG"/>
    <n v="0"/>
    <n v="0"/>
    <n v="0"/>
    <n v="0"/>
    <s v="HUBI"/>
    <s v="BSV COIN LONG"/>
  </r>
  <r>
    <s v="BTC"/>
    <n v="287.47491647999999"/>
    <n v="5121552.4540026896"/>
    <n v="17815.649854650899"/>
    <n v="0"/>
    <s v="ASSET"/>
    <d v="2022-12-15T00:00:00"/>
    <n v="1"/>
    <x v="8"/>
    <n v="0"/>
    <s v="COIN"/>
    <s v="LONG"/>
    <s v="COIN LONG"/>
    <n v="0"/>
    <n v="0"/>
    <n v="0"/>
    <n v="0"/>
    <s v="HUBI"/>
    <s v="BTC COIN LONG"/>
  </r>
  <r>
    <s v="BTM"/>
    <n v="0.33565571999999999"/>
    <n v="4.5998341691350798E-3"/>
    <n v="1.3704024376927301E-2"/>
    <n v="0"/>
    <s v="ASSET"/>
    <d v="2022-12-15T00:00:00"/>
    <n v="1"/>
    <x v="84"/>
    <n v="0"/>
    <s v="COIN"/>
    <s v="LONG"/>
    <s v="COIN LONG"/>
    <n v="0"/>
    <n v="0"/>
    <n v="0"/>
    <n v="0"/>
    <s v="HUBI"/>
    <s v="BTM COIN LONG"/>
  </r>
  <r>
    <s v="BTT"/>
    <n v="1367501156.8785999"/>
    <n v="926.78176959022505"/>
    <n v="6.7771918504672998E-7"/>
    <n v="0"/>
    <s v="ASSET"/>
    <d v="2022-12-15T00:00:00"/>
    <n v="1"/>
    <x v="85"/>
    <n v="0"/>
    <s v="COIN"/>
    <s v="LONG"/>
    <s v="COIN LONG"/>
    <n v="0"/>
    <n v="0"/>
    <n v="0"/>
    <n v="0"/>
    <s v="HUBI"/>
    <s v="BTT COIN LONG"/>
  </r>
  <r>
    <s v="CMT"/>
    <n v="1.7855998900000001"/>
    <n v="6.6804407083560597E-3"/>
    <n v="3.7412864694766901E-3"/>
    <n v="0"/>
    <s v="ASSET"/>
    <d v="2022-12-15T00:00:00"/>
    <n v="1"/>
    <x v="86"/>
    <n v="0"/>
    <s v="COIN"/>
    <s v="LONG"/>
    <s v="COIN LONG"/>
    <n v="0"/>
    <n v="0"/>
    <n v="0"/>
    <n v="0"/>
    <s v="HUBI"/>
    <s v="CMT COIN LONG"/>
  </r>
  <r>
    <s v="CRO"/>
    <n v="0.30791584"/>
    <n v="1.9071477542135899E-2"/>
    <n v="6.1937305798025602E-2"/>
    <n v="0"/>
    <s v="ASSET"/>
    <d v="2022-12-15T00:00:00"/>
    <n v="1"/>
    <x v="87"/>
    <n v="0"/>
    <s v="COIN"/>
    <s v="LONG"/>
    <s v="COIN LONG"/>
    <n v="0"/>
    <n v="0"/>
    <n v="0"/>
    <n v="0"/>
    <s v="HUBI"/>
    <s v="CRO COIN LONG"/>
  </r>
  <r>
    <s v="DASH"/>
    <n v="5.6119999999999998E-5"/>
    <n v="2.7411021117993198E-3"/>
    <n v="48.843587166773403"/>
    <n v="0"/>
    <s v="ASSET"/>
    <d v="2022-12-15T00:00:00"/>
    <n v="1"/>
    <x v="12"/>
    <n v="0"/>
    <s v="COIN"/>
    <s v="LONG"/>
    <s v="COIN LONG"/>
    <n v="0"/>
    <n v="0"/>
    <n v="0"/>
    <n v="0"/>
    <s v="HUBI"/>
    <s v="DASH COIN LONG"/>
  </r>
  <r>
    <s v="DON"/>
    <n v="5.9800000000000001E-4"/>
    <n v="2.9903151768703602E-6"/>
    <n v="5.0005270516226804E-3"/>
    <n v="0"/>
    <s v="ASSET"/>
    <d v="2022-12-15T00:00:00"/>
    <n v="1"/>
    <x v="88"/>
    <n v="0"/>
    <s v="COIN"/>
    <s v="LONG"/>
    <s v="COIN LONG"/>
    <n v="0"/>
    <n v="0"/>
    <n v="0"/>
    <n v="0"/>
    <s v="HUBI"/>
    <s v="DON COIN LONG"/>
  </r>
  <r>
    <s v="DOT"/>
    <n v="40134.758036849998"/>
    <n v="209311.181466418"/>
    <n v="5.21520975096543"/>
    <n v="0"/>
    <s v="ASSET"/>
    <d v="2022-12-15T00:00:00"/>
    <n v="1"/>
    <x v="14"/>
    <n v="0"/>
    <s v="COIN"/>
    <s v="LONG"/>
    <s v="COIN LONG"/>
    <n v="0"/>
    <n v="0"/>
    <n v="0"/>
    <n v="0"/>
    <s v="HUBI"/>
    <s v="DOT COIN LONG"/>
  </r>
  <r>
    <s v="ENJ"/>
    <n v="1E-8"/>
    <n v="3.00264020544341E-9"/>
    <n v="0.30026402054434098"/>
    <n v="0"/>
    <s v="ASSET"/>
    <d v="2022-12-15T00:00:00"/>
    <n v="1"/>
    <x v="15"/>
    <n v="0"/>
    <s v="COIN"/>
    <s v="LONG"/>
    <s v="COIN LONG"/>
    <n v="0"/>
    <n v="0"/>
    <n v="0"/>
    <n v="0"/>
    <s v="HUBI"/>
    <s v="ENJ COIN LONG"/>
  </r>
  <r>
    <s v="EOS"/>
    <n v="28537.08774997"/>
    <n v="27909.880706494401"/>
    <n v="0.97802133669101299"/>
    <n v="0"/>
    <s v="ASSET"/>
    <d v="2022-12-15T00:00:00"/>
    <n v="1"/>
    <x v="16"/>
    <n v="0"/>
    <s v="COIN"/>
    <s v="LONG"/>
    <s v="COIN LONG"/>
    <n v="0"/>
    <n v="0"/>
    <n v="0"/>
    <n v="0"/>
    <s v="HUBI"/>
    <s v="EOS COIN LONG"/>
  </r>
  <r>
    <s v="ETC"/>
    <n v="9625.8346537899997"/>
    <n v="180847.170787865"/>
    <n v="18.787687228417099"/>
    <n v="0"/>
    <s v="ASSET"/>
    <d v="2022-12-15T00:00:00"/>
    <n v="1"/>
    <x v="38"/>
    <n v="0"/>
    <s v="COIN"/>
    <s v="LONG"/>
    <s v="COIN LONG"/>
    <n v="0"/>
    <n v="0"/>
    <n v="0"/>
    <n v="0"/>
    <s v="HUBI"/>
    <s v="ETC COIN LONG"/>
  </r>
  <r>
    <s v="ETH"/>
    <n v="4359.2729806400002"/>
    <n v="5707721.1241309801"/>
    <n v="1309.32867693296"/>
    <n v="0"/>
    <s v="ASSET"/>
    <d v="2022-12-15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n v="2259.6459327001999"/>
    <n v="0.23001664875320599"/>
    <n v="0"/>
    <s v="ASSET"/>
    <d v="2022-12-15T00:00:00"/>
    <n v="1"/>
    <x v="76"/>
    <n v="0"/>
    <s v="COIN"/>
    <s v="LONG"/>
    <s v="COIN LONG"/>
    <n v="0"/>
    <n v="0"/>
    <n v="0"/>
    <n v="0"/>
    <s v="HUBI"/>
    <s v="ETHF COIN LONG"/>
  </r>
  <r>
    <s v="ETHW"/>
    <n v="3460.93190667"/>
    <n v="12253.471532504"/>
    <n v="3.5405121692480601"/>
    <n v="0"/>
    <s v="ASSET"/>
    <d v="2022-12-15T00:00:00"/>
    <n v="1"/>
    <x v="39"/>
    <n v="0"/>
    <s v="COIN"/>
    <s v="LONG"/>
    <s v="COIN LONG"/>
    <n v="0"/>
    <n v="0"/>
    <n v="0"/>
    <n v="0"/>
    <s v="HUBI"/>
    <s v="ETHW COIN LONG"/>
  </r>
  <r>
    <s v="EUROC"/>
    <n v="340001.49837544002"/>
    <n v="363234.29147343902"/>
    <n v="1.0683314432701201"/>
    <n v="0"/>
    <s v="ASSET"/>
    <d v="2022-12-15T00:00:00"/>
    <n v="1"/>
    <x v="89"/>
    <n v="0"/>
    <s v="COIN"/>
    <s v="LONG"/>
    <s v="COIN LONG"/>
    <n v="0"/>
    <n v="0"/>
    <n v="0"/>
    <n v="0"/>
    <s v="HUBI"/>
    <s v="EUROC COIN LONG"/>
  </r>
  <r>
    <s v="FIL"/>
    <n v="1.0244641699999999"/>
    <n v="4.3335753432124999"/>
    <n v="4.2300897094453704"/>
    <n v="0"/>
    <s v="ASSET"/>
    <d v="2022-12-15T00:00:00"/>
    <n v="1"/>
    <x v="19"/>
    <n v="0"/>
    <s v="COIN"/>
    <s v="LONG"/>
    <s v="COIN LONG"/>
    <n v="0"/>
    <n v="0"/>
    <n v="0"/>
    <n v="0"/>
    <s v="HUBI"/>
    <s v="FIL COIN LONG"/>
  </r>
  <r>
    <s v="FTT"/>
    <n v="0.68557060000000003"/>
    <n v="0.94009218100883196"/>
    <n v="1.37125509905009"/>
    <n v="0"/>
    <s v="ASSET"/>
    <d v="2022-12-15T00:00:00"/>
    <n v="1"/>
    <x v="90"/>
    <n v="0"/>
    <s v="COIN"/>
    <s v="LONG"/>
    <s v="COIN LONG"/>
    <n v="0"/>
    <n v="0"/>
    <n v="0"/>
    <n v="0"/>
    <s v="HUBI"/>
    <s v="FTT COIN LONG"/>
  </r>
  <r>
    <s v="GAS"/>
    <n v="54.776400000000002"/>
    <n v="126.89314937976"/>
    <n v="2.31656606457818"/>
    <n v="0"/>
    <s v="ASSET"/>
    <d v="2022-12-15T00:00:00"/>
    <n v="1"/>
    <x v="91"/>
    <n v="0"/>
    <s v="COIN"/>
    <s v="LONG"/>
    <s v="COIN LONG"/>
    <n v="0"/>
    <n v="0"/>
    <n v="0"/>
    <n v="0"/>
    <s v="HUBI"/>
    <s v="GAS COIN LONG"/>
  </r>
  <r>
    <s v="HBAR"/>
    <n v="3.4060489999999999E-2"/>
    <n v="1.5899051850250801E-3"/>
    <n v="4.6678870005249097E-2"/>
    <n v="0"/>
    <s v="ASSET"/>
    <d v="2022-12-15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n v="4.2889520671411701"/>
    <n v="8.0352093305725597E-4"/>
    <n v="0"/>
    <s v="ASSET"/>
    <d v="2022-12-15T00:00:00"/>
    <n v="1"/>
    <x v="92"/>
    <n v="0"/>
    <s v="COIN"/>
    <s v="LONG"/>
    <s v="COIN LONG"/>
    <n v="0"/>
    <n v="0"/>
    <n v="0"/>
    <n v="0"/>
    <s v="HUBI"/>
    <s v="HPT COIN LONG"/>
  </r>
  <r>
    <s v="HT"/>
    <n v="2231.62166088"/>
    <n v="14057.7194527379"/>
    <n v="6.2993291825257502"/>
    <n v="0"/>
    <s v="ASSET"/>
    <d v="2022-12-15T00:00:00"/>
    <n v="1"/>
    <x v="93"/>
    <n v="0"/>
    <s v="COIN"/>
    <s v="LONG"/>
    <s v="COIN LONG"/>
    <n v="0"/>
    <n v="0"/>
    <n v="0"/>
    <n v="0"/>
    <s v="HUBI"/>
    <s v="HT COIN LONG"/>
  </r>
  <r>
    <s v="IOST"/>
    <n v="14.785856219999999"/>
    <n v="0.12275501988460601"/>
    <n v="8.3021921800215306E-3"/>
    <n v="0"/>
    <s v="ASSET"/>
    <d v="2022-12-15T00:00:00"/>
    <n v="1"/>
    <x v="94"/>
    <n v="0"/>
    <s v="COIN"/>
    <s v="LONG"/>
    <s v="COIN LONG"/>
    <n v="0"/>
    <n v="0"/>
    <n v="0"/>
    <n v="0"/>
    <s v="HUBI"/>
    <s v="IOST COIN LONG"/>
  </r>
  <r>
    <s v="IRIS"/>
    <n v="0.81765067999999996"/>
    <n v="1.1601565558051599E-2"/>
    <n v="1.41889022315148E-2"/>
    <n v="0"/>
    <s v="ASSET"/>
    <d v="2022-12-15T00:00:00"/>
    <n v="1"/>
    <x v="95"/>
    <n v="0"/>
    <s v="COIN"/>
    <s v="LONG"/>
    <s v="COIN LONG"/>
    <n v="0"/>
    <n v="0"/>
    <n v="0"/>
    <n v="0"/>
    <s v="HUBI"/>
    <s v="IRIS COIN LONG"/>
  </r>
  <r>
    <s v="JST"/>
    <n v="9.1121815000000002"/>
    <n v="0.20402093989553599"/>
    <n v="2.2389911778594E-2"/>
    <n v="0"/>
    <s v="ASSET"/>
    <d v="2022-12-15T00:00:00"/>
    <n v="1"/>
    <x v="96"/>
    <n v="0"/>
    <s v="COIN"/>
    <s v="LONG"/>
    <s v="COIN LONG"/>
    <n v="0"/>
    <n v="0"/>
    <n v="0"/>
    <n v="0"/>
    <s v="HUBI"/>
    <s v="JST COIN LONG"/>
  </r>
  <r>
    <s v="KSM"/>
    <n v="1.4966E-4"/>
    <n v="4.1227324713276198E-3"/>
    <n v="27.547323742667501"/>
    <n v="0"/>
    <s v="ASSET"/>
    <d v="2022-12-15T00:00:00"/>
    <n v="1"/>
    <x v="97"/>
    <n v="0"/>
    <s v="COIN"/>
    <s v="LONG"/>
    <s v="COIN LONG"/>
    <n v="0"/>
    <n v="0"/>
    <n v="0"/>
    <n v="0"/>
    <s v="HUBI"/>
    <s v="KSM COIN LONG"/>
  </r>
  <r>
    <s v="LAMB"/>
    <n v="0.24234807999999999"/>
    <n v="3.0911104955718202E-4"/>
    <n v="1.27548379816825E-3"/>
    <n v="0"/>
    <s v="ASSET"/>
    <d v="2022-12-15T00:00:00"/>
    <n v="1"/>
    <x v="98"/>
    <n v="0"/>
    <s v="COIN"/>
    <s v="LONG"/>
    <s v="COIN LONG"/>
    <n v="0"/>
    <n v="0"/>
    <n v="0"/>
    <n v="0"/>
    <s v="HUBI"/>
    <s v="LAMB COIN LONG"/>
  </r>
  <r>
    <s v="LEND"/>
    <n v="1E-8"/>
    <n v="0"/>
    <n v="0"/>
    <n v="0"/>
    <s v="ASSET"/>
    <d v="2022-12-15T00:00:00"/>
    <n v="1"/>
    <x v="99"/>
    <n v="0"/>
    <s v="COIN"/>
    <s v="SHORT"/>
    <s v="COIN SHORT"/>
    <n v="0"/>
    <n v="0"/>
    <n v="0"/>
    <n v="0"/>
    <s v="HUBI"/>
    <s v="LEND COIN SHORT"/>
  </r>
  <r>
    <s v="LINK"/>
    <n v="24008.678678230001"/>
    <n v="161550.27071578801"/>
    <n v="6.72882805759214"/>
    <n v="0"/>
    <s v="ASSET"/>
    <d v="2022-12-15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n v="1.23866429375467E-6"/>
    <n v="2.8613514332115E-7"/>
    <n v="0"/>
    <s v="ASSET"/>
    <d v="2022-12-15T00:00:00"/>
    <n v="1"/>
    <x v="100"/>
    <n v="0"/>
    <s v="COIN"/>
    <s v="LONG"/>
    <s v="COIN LONG"/>
    <n v="0"/>
    <n v="0"/>
    <n v="0"/>
    <n v="0"/>
    <s v="HUBI"/>
    <s v="LOL COIN LONG"/>
  </r>
  <r>
    <s v="LTC"/>
    <n v="8986.5232711400004"/>
    <n v="678265.60506538104"/>
    <n v="75.475863646134997"/>
    <n v="0"/>
    <s v="ASSET"/>
    <d v="2022-12-15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n v="1.4231638225488101E-4"/>
    <n v="2.1402255780945099E-4"/>
    <n v="0"/>
    <s v="ASSET"/>
    <d v="2022-12-15T00:00:00"/>
    <n v="1"/>
    <x v="101"/>
    <n v="0"/>
    <s v="COIN"/>
    <s v="LONG"/>
    <s v="COIN LONG"/>
    <n v="0"/>
    <n v="0"/>
    <n v="0"/>
    <n v="0"/>
    <s v="HUBI"/>
    <s v="LXT COIN LONG"/>
  </r>
  <r>
    <s v="MANA"/>
    <n v="0.34"/>
    <n v="0.129832534504292"/>
    <n v="0.38186039560085799"/>
    <n v="0"/>
    <s v="ASSET"/>
    <d v="2022-12-15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n v="6.3936605193977698"/>
    <n v="7.1753521349037896"/>
    <n v="0"/>
    <s v="ASSET"/>
    <d v="2022-12-15T00:00:00"/>
    <n v="1"/>
    <x v="102"/>
    <n v="0"/>
    <s v="COIN"/>
    <s v="LONG"/>
    <s v="COIN LONG"/>
    <n v="0"/>
    <n v="0"/>
    <n v="0"/>
    <n v="0"/>
    <s v="HUBI"/>
    <s v="NEO COIN LONG"/>
  </r>
  <r>
    <s v="NEW"/>
    <n v="40.704174029999997"/>
    <n v="6.95299664114117E-3"/>
    <n v="1.7081777991654199E-4"/>
    <n v="0"/>
    <s v="ASSET"/>
    <d v="2022-12-15T00:00:00"/>
    <n v="1"/>
    <x v="103"/>
    <n v="0"/>
    <s v="COIN"/>
    <s v="LONG"/>
    <s v="COIN LONG"/>
    <n v="0"/>
    <n v="0"/>
    <n v="0"/>
    <n v="0"/>
    <s v="HUBI"/>
    <s v="NEW COIN LONG"/>
  </r>
  <r>
    <s v="NFT"/>
    <n v="3045130004.3544402"/>
    <n v="1441.74270216525"/>
    <n v="4.7345850591062001E-7"/>
    <n v="0"/>
    <s v="ASSET"/>
    <d v="2022-12-15T00:00:00"/>
    <n v="1"/>
    <x v="104"/>
    <n v="0"/>
    <s v="COIN"/>
    <s v="LONG"/>
    <s v="COIN LONG"/>
    <n v="0"/>
    <n v="0"/>
    <n v="0"/>
    <n v="0"/>
    <s v="HUBI"/>
    <s v="NFT COIN LONG"/>
  </r>
  <r>
    <s v="NULS"/>
    <n v="4.3068300000000002E-3"/>
    <n v="9.1859295588851404E-4"/>
    <n v="0.213287488916097"/>
    <n v="0"/>
    <s v="ASSET"/>
    <d v="2022-12-15T00:00:00"/>
    <n v="1"/>
    <x v="105"/>
    <n v="0"/>
    <s v="COIN"/>
    <s v="LONG"/>
    <s v="COIN LONG"/>
    <n v="0"/>
    <n v="0"/>
    <n v="0"/>
    <n v="0"/>
    <s v="HUBI"/>
    <s v="NULS COIN LONG"/>
  </r>
  <r>
    <s v="ONG"/>
    <n v="0.34782034000000001"/>
    <n v="9.2591922833754503E-2"/>
    <n v="0.26620617653859602"/>
    <n v="0"/>
    <s v="ASSET"/>
    <d v="2022-12-15T00:00:00"/>
    <n v="1"/>
    <x v="106"/>
    <n v="0"/>
    <s v="COIN"/>
    <s v="LONG"/>
    <s v="COIN LONG"/>
    <n v="0"/>
    <n v="0"/>
    <n v="0"/>
    <n v="0"/>
    <s v="HUBI"/>
    <s v="ONG COIN LONG"/>
  </r>
  <r>
    <s v="OXT"/>
    <n v="787825.66037626006"/>
    <n v="63954.010122330197"/>
    <n v="8.1177871372945895E-2"/>
    <n v="0"/>
    <s v="ASSET"/>
    <d v="2022-12-15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n v="7.3057120862182502E-3"/>
    <n v="2.3595660779527998"/>
    <n v="0"/>
    <s v="ASSET"/>
    <d v="2022-12-15T00:00:00"/>
    <n v="1"/>
    <x v="107"/>
    <n v="0"/>
    <s v="COIN"/>
    <s v="LONG"/>
    <s v="COIN LONG"/>
    <n v="0"/>
    <n v="0"/>
    <n v="0"/>
    <n v="0"/>
    <s v="HUBI"/>
    <s v="QTUM COIN LONG"/>
  </r>
  <r>
    <s v="REI"/>
    <n v="2.6598900000000002E-2"/>
    <n v="6.6126062963526102E-4"/>
    <n v="2.4860450230470399E-2"/>
    <n v="0"/>
    <s v="ASSET"/>
    <d v="2022-12-15T00:00:00"/>
    <n v="1"/>
    <x v="108"/>
    <n v="0"/>
    <s v="COIN"/>
    <s v="LONG"/>
    <s v="COIN LONG"/>
    <n v="0"/>
    <n v="0"/>
    <n v="0"/>
    <n v="0"/>
    <s v="HUBI"/>
    <s v="REI COIN LONG"/>
  </r>
  <r>
    <s v="SGB"/>
    <n v="1214222.2371159999"/>
    <n v="14448.8413958525"/>
    <n v="1.1899667914311201E-2"/>
    <n v="0"/>
    <s v="ASSET"/>
    <d v="2022-12-15T00:00:00"/>
    <n v="1"/>
    <x v="42"/>
    <n v="0"/>
    <s v="COIN"/>
    <s v="LONG"/>
    <s v="COIN LONG"/>
    <n v="0"/>
    <n v="0"/>
    <n v="0"/>
    <n v="0"/>
    <s v="HUBI"/>
    <s v="SGB COIN LONG"/>
  </r>
  <r>
    <s v="SHIB"/>
    <n v="1387387.30453923"/>
    <n v="12.448687997758499"/>
    <n v="8.9727561705582505E-6"/>
    <n v="0"/>
    <s v="ASSET"/>
    <d v="2022-12-15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n v="1.99478522395709"/>
    <n v="14.1405261987448"/>
    <n v="0"/>
    <s v="ASSET"/>
    <d v="2022-12-15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n v="5874.2456954794798"/>
    <n v="0.15157867295319399"/>
    <n v="0"/>
    <s v="ASSET"/>
    <d v="2022-12-15T00:00:00"/>
    <n v="1"/>
    <x v="109"/>
    <n v="0"/>
    <s v="COIN"/>
    <s v="LONG"/>
    <s v="COIN LONG"/>
    <n v="0"/>
    <n v="0"/>
    <n v="0"/>
    <n v="0"/>
    <s v="HUBI"/>
    <s v="SOLO COIN LONG"/>
  </r>
  <r>
    <s v="STORJ"/>
    <n v="29.76350429"/>
    <n v="9.9667326333820299"/>
    <n v="0.33486421949080297"/>
    <n v="0"/>
    <s v="ASSET"/>
    <d v="2022-12-15T00:00:00"/>
    <n v="1"/>
    <x v="110"/>
    <n v="0"/>
    <s v="COIN"/>
    <s v="LONG"/>
    <s v="COIN LONG"/>
    <n v="0"/>
    <n v="0"/>
    <n v="0"/>
    <n v="0"/>
    <s v="HUBI"/>
    <s v="STORJ COIN LONG"/>
  </r>
  <r>
    <s v="TRX"/>
    <n v="44.266270740000003"/>
    <n v="2.4641420358800699"/>
    <n v="5.5666357131219001E-2"/>
    <n v="0"/>
    <s v="ASSET"/>
    <d v="2022-12-15T00:00:00"/>
    <n v="1"/>
    <x v="75"/>
    <n v="0"/>
    <s v="COIN"/>
    <s v="LONG"/>
    <s v="COIN LONG"/>
    <n v="0"/>
    <n v="0"/>
    <n v="0"/>
    <n v="0"/>
    <s v="HUBI"/>
    <s v="TRX COIN LONG"/>
  </r>
  <r>
    <s v="TT"/>
    <n v="6.3152970000000003E-2"/>
    <n v="2.4075889084370101E-4"/>
    <n v="3.8123130368009801E-3"/>
    <n v="0"/>
    <s v="ASSET"/>
    <d v="2022-12-15T00:00:00"/>
    <n v="1"/>
    <x v="111"/>
    <n v="0"/>
    <s v="COIN"/>
    <s v="LONG"/>
    <s v="COIN LONG"/>
    <n v="0"/>
    <n v="0"/>
    <n v="0"/>
    <n v="0"/>
    <s v="HUBI"/>
    <s v="TT COIN LONG"/>
  </r>
  <r>
    <s v="TUSD"/>
    <n v="20"/>
    <n v="19.9996805291984"/>
    <n v="0.99998402645992202"/>
    <n v="0"/>
    <s v="ASSET"/>
    <d v="2022-12-15T00:00:00"/>
    <n v="1"/>
    <x v="112"/>
    <n v="0"/>
    <s v="COIN"/>
    <s v="LONG"/>
    <s v="COIN LONG"/>
    <n v="0"/>
    <n v="0"/>
    <n v="0"/>
    <n v="0"/>
    <s v="HUBI"/>
    <s v="TUSD COIN LONG"/>
  </r>
  <r>
    <s v="UNI"/>
    <n v="1E-8"/>
    <n v="5.9196374391119299E-8"/>
    <n v="5.9196374391119297"/>
    <n v="0"/>
    <s v="ASSET"/>
    <d v="2022-12-15T00:00:00"/>
    <n v="1"/>
    <x v="33"/>
    <n v="0"/>
    <s v="COIN"/>
    <s v="LONG"/>
    <s v="COIN LONG"/>
    <n v="0"/>
    <n v="0"/>
    <n v="0"/>
    <n v="0"/>
    <s v="HUBI"/>
    <s v="UNI COIN LONG"/>
  </r>
  <r>
    <s v="USDC"/>
    <n v="5.6000000000000004E-7"/>
    <n v="5.5998853417048301E-7"/>
    <n v="0.99997952530443501"/>
    <n v="0"/>
    <s v="ASSET"/>
    <d v="2022-12-15T00:00:00"/>
    <n v="1"/>
    <x v="44"/>
    <n v="0"/>
    <s v="COIN"/>
    <s v="LONG"/>
    <s v="COIN LONG"/>
    <n v="0"/>
    <n v="0"/>
    <n v="0"/>
    <n v="0"/>
    <s v="HUBI"/>
    <s v="USDC COIN LONG"/>
  </r>
  <r>
    <s v="USDP"/>
    <n v="0.34680431"/>
    <n v="0.34804517992871897"/>
    <n v="1.0035780118439599"/>
    <n v="0"/>
    <s v="ASSET"/>
    <d v="2022-12-15T00:00:00"/>
    <n v="1"/>
    <x v="113"/>
    <n v="0"/>
    <s v="COIN"/>
    <s v="LONG"/>
    <s v="COIN LONG"/>
    <n v="0"/>
    <n v="0"/>
    <n v="0"/>
    <n v="0"/>
    <s v="HUBI"/>
    <s v="USDP COIN LONG"/>
  </r>
  <r>
    <s v="USDT"/>
    <n v="55130.491809560001"/>
    <n v="55136.303132593501"/>
    <n v="1.0001054103245299"/>
    <n v="0"/>
    <s v="ASSET"/>
    <d v="2022-12-15T00:00:00"/>
    <n v="1"/>
    <x v="34"/>
    <n v="0"/>
    <s v="COIN"/>
    <s v="LONG"/>
    <s v="COIN LONG"/>
    <n v="0"/>
    <n v="0"/>
    <n v="0"/>
    <n v="0"/>
    <s v="HUBI"/>
    <s v="USDT COIN LONG"/>
  </r>
  <r>
    <s v="VET"/>
    <n v="25.959481520000001"/>
    <n v="0.48659952986674698"/>
    <n v="1.8744578141587899E-2"/>
    <n v="0"/>
    <s v="ASSET"/>
    <d v="2022-12-15T00:00:00"/>
    <n v="1"/>
    <x v="114"/>
    <n v="0"/>
    <s v="COIN"/>
    <s v="LONG"/>
    <s v="COIN LONG"/>
    <n v="0"/>
    <n v="0"/>
    <n v="0"/>
    <n v="0"/>
    <s v="HUBI"/>
    <s v="VET COIN LONG"/>
  </r>
  <r>
    <s v="VSYS"/>
    <n v="0.20872535"/>
    <n v="2.1650087385953701E-4"/>
    <n v="1.03725241739701E-3"/>
    <n v="0"/>
    <s v="ASSET"/>
    <d v="2022-12-15T00:00:00"/>
    <n v="1"/>
    <x v="115"/>
    <n v="0"/>
    <s v="COIN"/>
    <s v="LONG"/>
    <s v="COIN LONG"/>
    <n v="0"/>
    <n v="0"/>
    <n v="0"/>
    <n v="0"/>
    <s v="HUBI"/>
    <s v="VSYS COIN LONG"/>
  </r>
  <r>
    <s v="XEC"/>
    <n v="97856389.900000006"/>
    <n v="2824.1968203913998"/>
    <n v="2.8860627530583E-5"/>
    <n v="0"/>
    <s v="ASSET"/>
    <d v="2022-12-15T00:00:00"/>
    <n v="1"/>
    <x v="116"/>
    <n v="0"/>
    <s v="COIN"/>
    <s v="LONG"/>
    <s v="COIN LONG"/>
    <n v="0"/>
    <n v="0"/>
    <n v="0"/>
    <n v="0"/>
    <s v="HUBI"/>
    <s v="XEC COIN LONG"/>
  </r>
  <r>
    <s v="XLM"/>
    <n v="0.55556267999999998"/>
    <n v="4.6119363227788597E-2"/>
    <n v="8.3013789241186201E-2"/>
    <n v="0"/>
    <s v="ASSET"/>
    <d v="2022-12-15T00:00:00"/>
    <n v="1"/>
    <x v="35"/>
    <n v="0"/>
    <s v="COIN"/>
    <s v="LONG"/>
    <s v="COIN LONG"/>
    <n v="0"/>
    <n v="0"/>
    <n v="0"/>
    <n v="0"/>
    <s v="HUBI"/>
    <s v="XLM COIN LONG"/>
  </r>
  <r>
    <s v="XRP"/>
    <n v="108.13630258000001"/>
    <n v="41.785350706776903"/>
    <n v="0.38641371777866901"/>
    <n v="0"/>
    <s v="ASSET"/>
    <d v="2022-12-15T00:00:00"/>
    <n v="1"/>
    <x v="43"/>
    <n v="0"/>
    <s v="COIN"/>
    <s v="LONG"/>
    <s v="COIN LONG"/>
    <n v="0"/>
    <n v="0"/>
    <n v="0"/>
    <n v="0"/>
    <s v="HUBI"/>
    <s v="XRP COIN LONG"/>
  </r>
  <r>
    <s v="XTZ"/>
    <n v="3.9304560899999998"/>
    <n v="3.7396377270751899"/>
    <n v="0.95145134341780602"/>
    <n v="0"/>
    <s v="ASSET"/>
    <d v="2022-12-15T00:00:00"/>
    <n v="1"/>
    <x v="36"/>
    <n v="0"/>
    <s v="COIN"/>
    <s v="LONG"/>
    <s v="COIN LONG"/>
    <n v="0"/>
    <n v="0"/>
    <n v="0"/>
    <n v="0"/>
    <s v="HUBI"/>
    <s v="XTZ COIN LONG"/>
  </r>
  <r>
    <s v="YFII"/>
    <n v="1.329583E-2"/>
    <n v="17.861586464285502"/>
    <n v="1343.3976264953401"/>
    <n v="0"/>
    <s v="ASSET"/>
    <d v="2022-12-15T00:00:00"/>
    <n v="1"/>
    <x v="78"/>
    <n v="0"/>
    <s v="COIN"/>
    <s v="LONG"/>
    <s v="COIN LONG"/>
    <n v="0"/>
    <n v="0"/>
    <n v="0"/>
    <n v="0"/>
    <s v="HUBI"/>
    <s v="YFII COIN LONG"/>
  </r>
  <r>
    <s v="ZEC"/>
    <n v="2.173E-4"/>
    <n v="1.0078858162692401E-2"/>
    <n v="46.382228084180497"/>
    <n v="0"/>
    <s v="ASSET"/>
    <d v="2022-12-15T00:00:00"/>
    <n v="1"/>
    <x v="117"/>
    <n v="0"/>
    <s v="COIN"/>
    <s v="LONG"/>
    <s v="COIN LONG"/>
    <n v="0"/>
    <n v="0"/>
    <n v="0"/>
    <n v="0"/>
    <s v="HUBI"/>
    <s v="ZEC COIN LONG"/>
  </r>
  <r>
    <s v="ZIL"/>
    <n v="19012302.002175301"/>
    <n v="414285.150596319"/>
    <n v="2.1790372914806299E-2"/>
    <n v="0"/>
    <s v="ASSET"/>
    <d v="2022-12-15T00:00:00"/>
    <n v="1"/>
    <x v="118"/>
    <n v="0"/>
    <s v="COIN"/>
    <s v="LONG"/>
    <s v="COIN LONG"/>
    <n v="0"/>
    <n v="0"/>
    <n v="0"/>
    <n v="0"/>
    <s v="HUBI"/>
    <s v="ZIL COIN LONG"/>
  </r>
  <r>
    <s v="BCH"/>
    <n v="0.10004001"/>
    <n v="10.9152150262303"/>
    <n v="109.10849595307199"/>
    <n v="0"/>
    <s v="ASSET"/>
    <d v="2022-12-15T00:00:00"/>
    <n v="1"/>
    <x v="6"/>
    <n v="0"/>
    <s v="COIN"/>
    <s v="LONG"/>
    <s v="COIN LONG"/>
    <n v="0"/>
    <n v="0"/>
    <n v="0"/>
    <n v="0"/>
    <s v="HUBI"/>
    <s v="BCH COIN LONG"/>
  </r>
  <r>
    <s v="EOS"/>
    <n v="720921.74999677006"/>
    <n v="705076.85358146497"/>
    <n v="0.97802133669101299"/>
    <n v="0"/>
    <s v="ASSET"/>
    <d v="2022-12-15T00:00:00"/>
    <n v="1"/>
    <x v="16"/>
    <n v="0"/>
    <s v="COIN"/>
    <s v="LONG"/>
    <s v="COIN LONG"/>
    <n v="0"/>
    <n v="0"/>
    <n v="0"/>
    <n v="0"/>
    <s v="HUBI"/>
    <s v="EOS COIN LONG"/>
  </r>
  <r>
    <s v="ETC"/>
    <n v="1E-8"/>
    <n v="1.87876872284171E-7"/>
    <n v="18.787687228417099"/>
    <n v="0"/>
    <s v="ASSET"/>
    <d v="2022-12-15T00:00:00"/>
    <n v="1"/>
    <x v="38"/>
    <n v="0"/>
    <s v="COIN"/>
    <s v="LONG"/>
    <s v="COIN LONG"/>
    <n v="0"/>
    <n v="0"/>
    <n v="0"/>
    <n v="0"/>
    <s v="HUBI"/>
    <s v="ETC COIN LONG"/>
  </r>
  <r>
    <s v="LTC"/>
    <n v="5942.5685764899999"/>
    <n v="448520.495586965"/>
    <n v="75.475863646134997"/>
    <n v="0"/>
    <s v="ASSET"/>
    <d v="2022-12-15T00:00:00"/>
    <n v="1"/>
    <x v="24"/>
    <n v="0"/>
    <s v="COIN"/>
    <s v="LONG"/>
    <s v="COIN LONG"/>
    <n v="0"/>
    <n v="0"/>
    <n v="0"/>
    <n v="0"/>
    <s v="HUBI"/>
    <s v="LTC COIN LONG"/>
  </r>
  <r>
    <s v="TRX"/>
    <n v="1E-8"/>
    <n v="5.5666357131219E-10"/>
    <n v="5.5666357131219001E-2"/>
    <n v="0"/>
    <s v="ASSET"/>
    <d v="2022-12-15T00:00:00"/>
    <n v="1"/>
    <x v="75"/>
    <n v="0"/>
    <s v="COIN"/>
    <s v="LONG"/>
    <s v="COIN LONG"/>
    <n v="0"/>
    <n v="0"/>
    <n v="0"/>
    <n v="0"/>
    <s v="HUBI"/>
    <s v="TRX COIN LONG"/>
  </r>
  <r>
    <s v="USDT"/>
    <n v="638678.88282727997"/>
    <n v="638746.20617559401"/>
    <n v="1.0001054103245299"/>
    <n v="0"/>
    <s v="ASSET"/>
    <d v="2022-12-15T00:00:00"/>
    <n v="1"/>
    <x v="34"/>
    <n v="0"/>
    <s v="COIN"/>
    <s v="LONG"/>
    <s v="COIN LONG"/>
    <n v="0"/>
    <n v="0"/>
    <n v="0"/>
    <n v="0"/>
    <s v="HUBI"/>
    <s v="USDT COIN LONG"/>
  </r>
  <r>
    <s v="XRP"/>
    <n v="7.6039999999999997E-5"/>
    <n v="2.9382899099889999E-5"/>
    <n v="0.38641371777866901"/>
    <n v="0"/>
    <s v="ASSET"/>
    <d v="2022-12-15T00:00:00"/>
    <n v="1"/>
    <x v="43"/>
    <n v="0"/>
    <s v="COIN"/>
    <s v="LONG"/>
    <s v="COIN LONG"/>
    <n v="0"/>
    <n v="0"/>
    <n v="0"/>
    <n v="0"/>
    <s v="HUBI"/>
    <s v="XRP COIN LONG"/>
  </r>
  <r>
    <s v="ATOM"/>
    <n v="0.331542"/>
    <n v="3.1858330890608899"/>
    <n v="9.6091387789809204"/>
    <n v="0"/>
    <s v="ASSET"/>
    <d v="2022-12-14T22:00:27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n v="193.07198649659"/>
    <n v="109.10849595307199"/>
    <n v="0"/>
    <s v="ASSET"/>
    <d v="2022-12-14T22:00:27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n v="335.78509270449501"/>
    <n v="17815.649854650899"/>
    <n v="0"/>
    <s v="ASSET"/>
    <d v="2022-12-14T22:00:27"/>
    <n v="1"/>
    <x v="8"/>
    <n v="0"/>
    <s v="COIN"/>
    <s v="LONG"/>
    <s v="COIN LONG"/>
    <n v="0"/>
    <n v="0"/>
    <n v="0"/>
    <n v="0"/>
    <s v="KRKE"/>
    <s v="BTC COIN LONG"/>
  </r>
  <r>
    <s v="EOS"/>
    <n v="9.9499194400000004"/>
    <n v="9.7312335106767005"/>
    <n v="0.97802133669101299"/>
    <n v="0"/>
    <s v="ASSET"/>
    <d v="2022-12-14T22:00:27"/>
    <n v="1"/>
    <x v="16"/>
    <n v="0"/>
    <s v="COIN"/>
    <s v="LONG"/>
    <s v="COIN LONG"/>
    <n v="0"/>
    <n v="0"/>
    <n v="0"/>
    <n v="0"/>
    <s v="KRKE"/>
    <s v="EOS COIN LONG"/>
  </r>
  <r>
    <s v="ETHW"/>
    <n v="3.4037359"/>
    <n v="12.050968374856501"/>
    <n v="3.5405121692480601"/>
    <n v="0"/>
    <s v="ASSET"/>
    <d v="2022-12-14T22:00:27"/>
    <n v="1"/>
    <x v="39"/>
    <n v="0"/>
    <s v="COIN"/>
    <s v="LONG"/>
    <s v="COIN LONG"/>
    <n v="0"/>
    <n v="0"/>
    <n v="0"/>
    <n v="0"/>
    <s v="KRKE"/>
    <s v="ETHW COIN LONG"/>
  </r>
  <r>
    <s v="LTC"/>
    <n v="9.1421368100000002"/>
    <n v="690.01067130587103"/>
    <n v="75.475863646134997"/>
    <n v="0"/>
    <s v="ASSET"/>
    <d v="2022-12-14T22:00:27"/>
    <n v="1"/>
    <x v="24"/>
    <n v="0"/>
    <s v="COIN"/>
    <s v="LONG"/>
    <s v="COIN LONG"/>
    <n v="0"/>
    <n v="0"/>
    <n v="0"/>
    <n v="0"/>
    <s v="KRKE"/>
    <s v="LTC COIN LONG"/>
  </r>
  <r>
    <s v="OXT"/>
    <n v="608071.39262864005"/>
    <n v="49361.9412963758"/>
    <n v="8.1177871372945895E-2"/>
    <n v="0"/>
    <s v="ASSET"/>
    <d v="2022-12-14T22:00:27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n v="1.2892752320166499E-3"/>
    <n v="1.1899667914311201E-2"/>
    <n v="0"/>
    <s v="ASSET"/>
    <d v="2022-12-14T22:00:27"/>
    <n v="1"/>
    <x v="42"/>
    <n v="0"/>
    <s v="COIN"/>
    <s v="LONG"/>
    <s v="COIN LONG"/>
    <n v="0"/>
    <n v="0"/>
    <n v="0"/>
    <n v="0"/>
    <s v="KRKE"/>
    <s v="SGB COIN LONG"/>
  </r>
  <r>
    <s v="USD"/>
    <n v="134422.20680000001"/>
    <n v="134422.20680000001"/>
    <n v="1"/>
    <n v="0"/>
    <s v="ASSET"/>
    <d v="2022-12-14T22:00:27"/>
    <n v="1"/>
    <x v="40"/>
    <n v="0"/>
    <s v="CASH"/>
    <s v="LONG"/>
    <s v="CASH LONG"/>
    <n v="0"/>
    <n v="0"/>
    <n v="0"/>
    <n v="0"/>
    <s v="KRKE"/>
    <s v="USD CASH LONG"/>
  </r>
  <r>
    <s v="USDT"/>
    <n v="1.182861E-2"/>
    <n v="1.1829856857618899E-2"/>
    <n v="1.0001054103245299"/>
    <n v="0"/>
    <s v="ASSET"/>
    <d v="2022-12-14T22:00:27"/>
    <n v="1"/>
    <x v="34"/>
    <n v="0"/>
    <s v="COIN"/>
    <s v="LONG"/>
    <s v="COIN LONG"/>
    <n v="0"/>
    <n v="0"/>
    <n v="0"/>
    <n v="0"/>
    <s v="KRKE"/>
    <s v="USDT COIN LONG"/>
  </r>
  <r>
    <s v="XLM"/>
    <n v="8.93329E-3"/>
    <n v="7.4158625329039595E-4"/>
    <n v="8.3013789241186201E-2"/>
    <n v="0"/>
    <s v="ASSET"/>
    <d v="2022-12-14T22:00:27"/>
    <n v="1"/>
    <x v="35"/>
    <n v="0"/>
    <s v="COIN"/>
    <s v="LONG"/>
    <s v="COIN LONG"/>
    <n v="0"/>
    <n v="0"/>
    <n v="0"/>
    <n v="0"/>
    <s v="KRKE"/>
    <s v="XLM COIN LONG"/>
  </r>
  <r>
    <s v="XRP"/>
    <n v="0.71704489000000005"/>
    <n v="0.27707598175909598"/>
    <n v="0.38641371777866901"/>
    <n v="0"/>
    <s v="ASSET"/>
    <d v="2022-12-14T22:00:27"/>
    <n v="1"/>
    <x v="43"/>
    <n v="0"/>
    <s v="COIN"/>
    <s v="LONG"/>
    <s v="COIN LONG"/>
    <n v="0"/>
    <n v="0"/>
    <n v="0"/>
    <n v="0"/>
    <s v="KRKE"/>
    <s v="XRP COIN LONG"/>
  </r>
  <r>
    <s v="BCH"/>
    <n v="5377"/>
    <n v="586676.38273967302"/>
    <n v="109.10849595307199"/>
    <n v="0"/>
    <s v="ASSET"/>
    <d v="2022-12-14T00:00:00"/>
    <n v="1"/>
    <x v="6"/>
    <n v="0"/>
    <s v="COIN"/>
    <s v="LONG"/>
    <s v="COIN LONG"/>
    <n v="0"/>
    <n v="0"/>
    <n v="0"/>
    <n v="0"/>
    <s v="LEND"/>
    <s v="BCH COIN LONG"/>
  </r>
  <r>
    <s v="COMP"/>
    <n v="5000"/>
    <n v="196766.195646665"/>
    <n v="39.353239129333097"/>
    <n v="0"/>
    <s v="ASSET"/>
    <d v="2022-12-14T00:00:00"/>
    <n v="1"/>
    <x v="10"/>
    <n v="0"/>
    <s v="COIN"/>
    <s v="LONG"/>
    <s v="COIN LONG"/>
    <n v="0"/>
    <n v="0"/>
    <n v="0"/>
    <n v="0"/>
    <s v="LEND"/>
    <s v="COMP COIN LONG"/>
  </r>
  <r>
    <s v="ETC"/>
    <n v="98000"/>
    <n v="1841193.34838488"/>
    <n v="18.787687228417099"/>
    <n v="0"/>
    <s v="ASSET"/>
    <d v="2022-12-14T00:00:00"/>
    <n v="1"/>
    <x v="38"/>
    <n v="0"/>
    <s v="COIN"/>
    <s v="LONG"/>
    <s v="COIN LONG"/>
    <n v="0"/>
    <n v="0"/>
    <n v="0"/>
    <n v="0"/>
    <s v="LEND"/>
    <s v="ETC COIN LONG"/>
  </r>
  <r>
    <s v="SHIB"/>
    <n v="187000000000"/>
    <n v="1677905.40389439"/>
    <n v="8.9727561705582505E-6"/>
    <n v="0"/>
    <s v="ASSET"/>
    <d v="2022-12-14T00:00:00"/>
    <n v="1"/>
    <x v="30"/>
    <n v="0"/>
    <s v="COIN"/>
    <s v="LONG"/>
    <s v="COIN LONG"/>
    <n v="0"/>
    <n v="0"/>
    <n v="0"/>
    <n v="0"/>
    <s v="LEND"/>
    <s v="SHIB COIN LONG"/>
  </r>
  <r>
    <s v="YFI"/>
    <n v="4"/>
    <n v="25811.124612553798"/>
    <n v="6452.7811531384496"/>
    <n v="0"/>
    <s v="ASSET"/>
    <d v="2022-12-14T00:00:00"/>
    <n v="1"/>
    <x v="37"/>
    <n v="0"/>
    <s v="COIN"/>
    <s v="LONG"/>
    <s v="COIN LONG"/>
    <n v="0"/>
    <n v="0"/>
    <n v="0"/>
    <n v="0"/>
    <s v="LEND"/>
    <s v="YFI COIN LONG"/>
  </r>
  <r>
    <s v="ETH"/>
    <n v="5.0000000000000001E-4"/>
    <n v="0.65466433846648098"/>
    <n v="1309.32867693296"/>
    <n v="0"/>
    <s v="ASSET"/>
    <d v="2022-12-14T00:00:00"/>
    <n v="1"/>
    <x v="17"/>
    <n v="0"/>
    <s v="COIN"/>
    <s v="LONG"/>
    <s v="COIN LONG"/>
    <n v="0"/>
    <n v="0"/>
    <n v="0"/>
    <n v="0"/>
    <s v="LMAC"/>
    <s v="ETH COIN LONG"/>
  </r>
  <r>
    <s v="USD"/>
    <n v="2.63E-3"/>
    <n v="2.63E-3"/>
    <n v="1"/>
    <n v="0"/>
    <s v="ASSET"/>
    <d v="2022-12-14T00:00:00"/>
    <n v="1"/>
    <x v="40"/>
    <n v="0"/>
    <s v="CASH"/>
    <s v="LONG"/>
    <s v="CASH LONG"/>
    <n v="0"/>
    <n v="0"/>
    <n v="0"/>
    <n v="0"/>
    <s v="LMAC"/>
    <s v="USD CASH LONG"/>
  </r>
  <r>
    <s v="USD"/>
    <n v="10137.885630000001"/>
    <n v="10137.885630000001"/>
    <n v="1"/>
    <n v="0"/>
    <s v="ASSET"/>
    <d v="2022-12-14T00:00:00"/>
    <n v="1"/>
    <x v="40"/>
    <n v="0"/>
    <s v="CASH"/>
    <s v="LONG"/>
    <s v="CASH LONG"/>
    <n v="0"/>
    <n v="0"/>
    <n v="0"/>
    <n v="0"/>
    <s v="LMAX"/>
    <s v="USD CASH LONG"/>
  </r>
  <r>
    <s v="BTC"/>
    <n v="8.9691284600000003"/>
    <n v="159790.85214474401"/>
    <n v="17815.649854650899"/>
    <n v="0"/>
    <s v="ASSET"/>
    <d v="2022-12-15T00:00:00"/>
    <n v="1"/>
    <x v="8"/>
    <n v="0"/>
    <s v="COIN"/>
    <s v="LONG"/>
    <s v="COIN LONG"/>
    <n v="0"/>
    <n v="0"/>
    <n v="0"/>
    <n v="0"/>
    <s v="OKEX"/>
    <s v="BTC COIN LONG"/>
  </r>
  <r>
    <s v="BTC"/>
    <n v="0.25889719999999999"/>
    <n v="4612.4218635495199"/>
    <n v="17815.649854650899"/>
    <n v="0"/>
    <s v="UNREALIZED"/>
    <d v="2022-12-15T00:00:00"/>
    <n v="1"/>
    <x v="8"/>
    <n v="0"/>
    <s v="COIN"/>
    <s v="LONG"/>
    <s v="COIN LONG"/>
    <n v="0"/>
    <n v="0"/>
    <n v="0"/>
    <n v="0"/>
    <s v="OKEX"/>
    <s v="BTC COIN LONG"/>
  </r>
  <r>
    <s v="ETH"/>
    <n v="20.316267499999999"/>
    <n v="26600.6716459911"/>
    <n v="1309.32867693296"/>
    <n v="0"/>
    <s v="ASSET"/>
    <d v="2022-12-15T00:00:00"/>
    <n v="1"/>
    <x v="17"/>
    <n v="0"/>
    <s v="COIN"/>
    <s v="LONG"/>
    <s v="COIN LONG"/>
    <n v="0"/>
    <n v="0"/>
    <n v="0"/>
    <n v="0"/>
    <s v="OKEX"/>
    <s v="ETH COIN LONG"/>
  </r>
  <r>
    <s v="ETH"/>
    <n v="-0.27192326"/>
    <n v="-356.03692224309702"/>
    <n v="1309.32867693296"/>
    <n v="0"/>
    <s v="UNREALIZED"/>
    <d v="2022-12-15T00:00:00"/>
    <n v="1"/>
    <x v="17"/>
    <n v="0"/>
    <s v="COIN"/>
    <s v="SHORT"/>
    <s v="COIN SHORT"/>
    <n v="0"/>
    <n v="0"/>
    <n v="0"/>
    <n v="0"/>
    <s v="OKEX"/>
    <s v="ETH COIN SHORT"/>
  </r>
  <r>
    <s v="XRP"/>
    <n v="0.44933625999999999"/>
    <n v="0.17362969475936199"/>
    <n v="0.38641371777866901"/>
    <n v="0"/>
    <s v="ASSET"/>
    <d v="2022-12-15T00:00:00"/>
    <n v="1"/>
    <x v="43"/>
    <n v="0"/>
    <s v="COIN"/>
    <s v="LONG"/>
    <s v="COIN LONG"/>
    <n v="0"/>
    <n v="0"/>
    <n v="0"/>
    <n v="0"/>
    <s v="OKEX"/>
    <s v="XRP COIN LONG"/>
  </r>
  <r>
    <s v="BTC"/>
    <n v="5.0953451200000002"/>
    <n v="90776.884546524205"/>
    <n v="17815.649854650899"/>
    <n v="0"/>
    <s v="ASSET"/>
    <d v="2022-12-15T00:00:00"/>
    <n v="1"/>
    <x v="8"/>
    <n v="0"/>
    <s v="COIN"/>
    <s v="LONG"/>
    <s v="COIN LONG"/>
    <n v="0"/>
    <n v="0"/>
    <n v="0"/>
    <n v="0"/>
    <s v="OKEX"/>
    <s v="BTC COIN LONG"/>
  </r>
  <r>
    <s v="BTC"/>
    <n v="7.7485E-4"/>
    <n v="13.8044562898762"/>
    <n v="17815.649854650899"/>
    <n v="0"/>
    <s v="UNREALIZED"/>
    <d v="2022-12-15T00:00:00"/>
    <n v="1"/>
    <x v="8"/>
    <n v="0"/>
    <s v="COIN"/>
    <s v="LONG"/>
    <s v="COIN LONG"/>
    <n v="0"/>
    <n v="0"/>
    <n v="0"/>
    <n v="0"/>
    <s v="OKEX"/>
    <s v="BTC COIN LONG"/>
  </r>
  <r>
    <s v="ETH"/>
    <n v="10"/>
    <n v="13093.286769329599"/>
    <n v="1309.32867693296"/>
    <n v="0"/>
    <s v="ASSET"/>
    <d v="2022-12-15T00:00:00"/>
    <n v="1"/>
    <x v="17"/>
    <n v="0"/>
    <s v="COIN"/>
    <s v="LONG"/>
    <s v="COIN LONG"/>
    <n v="0"/>
    <n v="0"/>
    <n v="0"/>
    <n v="0"/>
    <s v="OKEX"/>
    <s v="ETH COIN LONG"/>
  </r>
  <r>
    <s v="USDT"/>
    <n v="237486.28396321001"/>
    <n v="237511.31746947501"/>
    <n v="1.0001054103245299"/>
    <n v="0"/>
    <s v="ASSET"/>
    <d v="2022-12-15T00:00:00"/>
    <n v="1"/>
    <x v="34"/>
    <n v="0"/>
    <s v="COIN"/>
    <s v="LONG"/>
    <s v="COIN LONG"/>
    <n v="0"/>
    <n v="0"/>
    <n v="0"/>
    <n v="0"/>
    <s v="OKEX"/>
    <s v="USDT COIN LONG"/>
  </r>
  <r>
    <s v="USDT"/>
    <n v="-8464.4245849700001"/>
    <n v="-8465.3168227125207"/>
    <n v="1.0001054103245299"/>
    <n v="0"/>
    <s v="UNREALIZED"/>
    <d v="2022-12-15T00:00:00"/>
    <n v="1"/>
    <x v="34"/>
    <n v="0"/>
    <s v="COIN"/>
    <s v="SHORT"/>
    <s v="COIN SHORT"/>
    <n v="0"/>
    <n v="0"/>
    <n v="0"/>
    <n v="0"/>
    <s v="OKEX"/>
    <s v="USDT COIN SHORT"/>
  </r>
  <r>
    <s v="BTC"/>
    <n v="4.2557053800000002"/>
    <n v="75818.156934634098"/>
    <n v="17815.649854650899"/>
    <n v="0"/>
    <s v="ASSET"/>
    <d v="2022-12-15T00:00:00"/>
    <n v="1"/>
    <x v="8"/>
    <n v="0"/>
    <s v="COIN"/>
    <s v="LONG"/>
    <s v="COIN LONG"/>
    <n v="0"/>
    <n v="0"/>
    <n v="0"/>
    <n v="0"/>
    <s v="OKEX"/>
    <s v="BTC COIN LONG"/>
  </r>
  <r>
    <s v="USDT"/>
    <n v="-18052.890061800001"/>
    <n v="-18054.793022800201"/>
    <n v="1.0001054103245299"/>
    <n v="0"/>
    <s v="UNREALIZED"/>
    <d v="2022-12-15T00:00:00"/>
    <n v="1"/>
    <x v="34"/>
    <n v="0"/>
    <s v="COIN"/>
    <s v="SHORT"/>
    <s v="COIN SHORT"/>
    <n v="0"/>
    <n v="0"/>
    <n v="0"/>
    <n v="0"/>
    <s v="OKEX"/>
    <s v="USDT COIN SHORT"/>
  </r>
  <r>
    <s v="BTC"/>
    <n v="764.01100843999996"/>
    <n v="13611352.6114657"/>
    <n v="17815.649854650899"/>
    <n v="0"/>
    <s v="ASSET"/>
    <d v="2022-12-15T00:00:00"/>
    <n v="1"/>
    <x v="8"/>
    <n v="0"/>
    <s v="COIN"/>
    <s v="LONG"/>
    <s v="COIN LONG"/>
    <n v="0"/>
    <n v="0"/>
    <n v="0"/>
    <n v="0"/>
    <s v="OKEX"/>
    <s v="BTC COIN LONG"/>
  </r>
  <r>
    <s v="BTC"/>
    <n v="1.3770048500000001"/>
    <n v="24532.236255756099"/>
    <n v="17815.649854650899"/>
    <n v="0"/>
    <s v="UNREALIZED"/>
    <d v="2022-12-15T00:00:00"/>
    <n v="1"/>
    <x v="8"/>
    <n v="0"/>
    <s v="COIN"/>
    <s v="LONG"/>
    <s v="COIN LONG"/>
    <n v="0"/>
    <n v="0"/>
    <n v="0"/>
    <n v="0"/>
    <s v="OKEX"/>
    <s v="BTC COIN LONG"/>
  </r>
  <r>
    <s v="EOS"/>
    <n v="38721.420911499998"/>
    <n v="37870.375838440501"/>
    <n v="0.97802133669101299"/>
    <n v="0"/>
    <s v="ASSET"/>
    <d v="2022-12-15T00:00:00"/>
    <n v="1"/>
    <x v="16"/>
    <n v="0"/>
    <s v="COIN"/>
    <s v="LONG"/>
    <s v="COIN LONG"/>
    <n v="0"/>
    <n v="0"/>
    <n v="0"/>
    <n v="0"/>
    <s v="OKEX"/>
    <s v="EOS COIN LONG"/>
  </r>
  <r>
    <s v="ETH"/>
    <n v="2557.3184111800001"/>
    <n v="3348370.3318066099"/>
    <n v="1309.32867693296"/>
    <n v="0"/>
    <s v="ASSET"/>
    <d v="2022-12-15T00:00:00"/>
    <n v="1"/>
    <x v="17"/>
    <n v="0"/>
    <s v="COIN"/>
    <s v="LONG"/>
    <s v="COIN LONG"/>
    <n v="0"/>
    <n v="0"/>
    <n v="0"/>
    <n v="0"/>
    <s v="OKEX"/>
    <s v="ETH COIN LONG"/>
  </r>
  <r>
    <s v="ETH"/>
    <n v="-15.32692119"/>
    <n v="-20067.977443158401"/>
    <n v="1309.32867693296"/>
    <n v="0"/>
    <s v="UNREALIZED"/>
    <d v="2022-12-15T00:00:00"/>
    <n v="1"/>
    <x v="17"/>
    <n v="0"/>
    <s v="COIN"/>
    <s v="SHORT"/>
    <s v="COIN SHORT"/>
    <n v="0"/>
    <n v="0"/>
    <n v="0"/>
    <n v="0"/>
    <s v="OKEX"/>
    <s v="ETH COIN SHORT"/>
  </r>
  <r>
    <s v="LTC"/>
    <n v="137.25004552999999"/>
    <n v="10359.065721848099"/>
    <n v="75.475863646134997"/>
    <n v="0"/>
    <s v="ASSET"/>
    <d v="2022-12-15T00:00:00"/>
    <n v="1"/>
    <x v="24"/>
    <n v="0"/>
    <s v="COIN"/>
    <s v="LONG"/>
    <s v="COIN LONG"/>
    <n v="0"/>
    <n v="0"/>
    <n v="0"/>
    <n v="0"/>
    <s v="OKEX"/>
    <s v="LTC COIN LONG"/>
  </r>
  <r>
    <s v="OXT"/>
    <n v="635986.32306369999"/>
    <n v="51628.015928617897"/>
    <n v="8.1177871372945895E-2"/>
    <n v="0"/>
    <s v="ASSET"/>
    <d v="2022-12-15T00:00:00"/>
    <n v="1"/>
    <x v="29"/>
    <n v="0"/>
    <s v="COIN"/>
    <s v="LONG"/>
    <s v="COIN LONG"/>
    <n v="0"/>
    <n v="0"/>
    <n v="0"/>
    <n v="0"/>
    <s v="OKEX"/>
    <s v="OXT COIN LONG"/>
  </r>
  <r>
    <s v="USDT"/>
    <n v="204481.77734043999"/>
    <n v="204503.33183095101"/>
    <n v="1.0001054103245299"/>
    <n v="0"/>
    <s v="UNREALIZED"/>
    <d v="2022-12-15T00:00:00"/>
    <n v="1"/>
    <x v="34"/>
    <n v="0"/>
    <s v="COIN"/>
    <s v="LONG"/>
    <s v="COIN LONG"/>
    <n v="0"/>
    <n v="0"/>
    <n v="0"/>
    <n v="0"/>
    <s v="OKEX"/>
    <s v="USDT COIN LONG"/>
  </r>
  <r>
    <s v="XRP"/>
    <n v="14324.333393569999"/>
    <n v="5535.1189213105199"/>
    <n v="0.38641371777866901"/>
    <n v="0"/>
    <s v="ASSET"/>
    <d v="2022-12-15T00:00:00"/>
    <n v="1"/>
    <x v="43"/>
    <n v="0"/>
    <s v="COIN"/>
    <s v="LONG"/>
    <s v="COIN LONG"/>
    <n v="0"/>
    <n v="0"/>
    <n v="0"/>
    <n v="0"/>
    <s v="OKEX"/>
    <s v="XRP COIN LONG"/>
  </r>
  <r>
    <s v="ZIL"/>
    <n v="1887327.67139451"/>
    <n v="41125.573772119402"/>
    <n v="2.1790372914806299E-2"/>
    <n v="0"/>
    <s v="ASSET"/>
    <d v="2022-12-15T00:00:00"/>
    <n v="1"/>
    <x v="118"/>
    <n v="0"/>
    <s v="COIN"/>
    <s v="LONG"/>
    <s v="COIN LONG"/>
    <n v="0"/>
    <n v="0"/>
    <n v="0"/>
    <n v="0"/>
    <s v="OKEX"/>
    <s v="ZIL COIN LONG"/>
  </r>
  <r>
    <s v="BCH"/>
    <n v="7.381E-5"/>
    <n v="8.0532980862963108E-3"/>
    <n v="109.10849595307199"/>
    <n v="0"/>
    <s v="ASSET"/>
    <d v="2022-12-15T00:00:00"/>
    <n v="1"/>
    <x v="6"/>
    <n v="0"/>
    <s v="COIN"/>
    <s v="LONG"/>
    <s v="COIN LONG"/>
    <n v="0"/>
    <n v="0"/>
    <n v="0"/>
    <n v="0"/>
    <s v="OKEX"/>
    <s v="BCH COIN LONG"/>
  </r>
  <r>
    <s v="BSV"/>
    <n v="0.86729455"/>
    <n v="39.298519969767199"/>
    <n v="45.311618722574998"/>
    <n v="0"/>
    <s v="ASSET"/>
    <d v="2022-12-15T00:00:00"/>
    <n v="1"/>
    <x v="74"/>
    <n v="0"/>
    <s v="COIN"/>
    <s v="LONG"/>
    <s v="COIN LONG"/>
    <n v="0"/>
    <n v="0"/>
    <n v="0"/>
    <n v="0"/>
    <s v="OKEX"/>
    <s v="BSV COIN LONG"/>
  </r>
  <r>
    <s v="DOT"/>
    <n v="6.8575999999999999E-4"/>
    <n v="3.5763822388220502E-3"/>
    <n v="5.21520975096543"/>
    <n v="0"/>
    <s v="ASSET"/>
    <d v="2022-12-15T00:00:00"/>
    <n v="1"/>
    <x v="14"/>
    <n v="0"/>
    <s v="COIN"/>
    <s v="LONG"/>
    <s v="COIN LONG"/>
    <n v="0"/>
    <n v="0"/>
    <n v="0"/>
    <n v="0"/>
    <s v="OKEX"/>
    <s v="DOT COIN LONG"/>
  </r>
  <r>
    <s v="ETHW"/>
    <n v="8.7929999999999993E-5"/>
    <n v="3.11317235041982E-4"/>
    <n v="3.5405121692480601"/>
    <n v="0"/>
    <s v="ASSET"/>
    <d v="2022-12-15T00:00:00"/>
    <n v="1"/>
    <x v="39"/>
    <n v="0"/>
    <s v="COIN"/>
    <s v="LONG"/>
    <s v="COIN LONG"/>
    <n v="0"/>
    <n v="0"/>
    <n v="0"/>
    <n v="0"/>
    <s v="OKEX"/>
    <s v="ETHW COIN LONG"/>
  </r>
  <r>
    <s v="LINK"/>
    <n v="7.5870867500000001"/>
    <n v="51.052202198785501"/>
    <n v="6.72882805759214"/>
    <n v="0"/>
    <s v="ASSET"/>
    <d v="2022-12-15T00:00:00"/>
    <n v="1"/>
    <x v="23"/>
    <n v="0"/>
    <s v="COIN"/>
    <s v="LONG"/>
    <s v="COIN LONG"/>
    <n v="0"/>
    <n v="0"/>
    <n v="0"/>
    <n v="0"/>
    <s v="OKEX"/>
    <s v="LINK COIN LONG"/>
  </r>
  <r>
    <s v="LTC"/>
    <n v="6.758E-5"/>
    <n v="5.1006588652058003E-3"/>
    <n v="75.475863646134997"/>
    <n v="0"/>
    <s v="ASSET"/>
    <d v="2022-12-15T00:00:00"/>
    <n v="1"/>
    <x v="24"/>
    <n v="0"/>
    <s v="COIN"/>
    <s v="LONG"/>
    <s v="COIN LONG"/>
    <n v="0"/>
    <n v="0"/>
    <n v="0"/>
    <n v="0"/>
    <s v="OKEX"/>
    <s v="LTC COIN LONG"/>
  </r>
  <r>
    <s v="SHIB"/>
    <n v="8.1457000000000003E-4"/>
    <n v="7.3089379938516298E-9"/>
    <n v="8.9727561705582505E-6"/>
    <n v="0"/>
    <s v="ASSET"/>
    <d v="2022-12-15T00:00:00"/>
    <n v="1"/>
    <x v="30"/>
    <n v="0"/>
    <s v="COIN"/>
    <s v="LONG"/>
    <s v="COIN LONG"/>
    <n v="0"/>
    <n v="0"/>
    <n v="0"/>
    <n v="0"/>
    <s v="OKEX"/>
    <s v="SHIB COIN LONG"/>
  </r>
  <r>
    <s v="XEC"/>
    <n v="5.47"/>
    <n v="1.57867632592289E-4"/>
    <n v="2.8860627530583E-5"/>
    <n v="0"/>
    <s v="ASSET"/>
    <d v="2022-12-15T00:00:00"/>
    <n v="1"/>
    <x v="116"/>
    <n v="0"/>
    <s v="COIN"/>
    <s v="LONG"/>
    <s v="COIN LONG"/>
    <n v="0"/>
    <n v="0"/>
    <n v="0"/>
    <n v="0"/>
    <s v="OKEX"/>
    <s v="XEC COIN LONG"/>
  </r>
  <r>
    <s v="XRP"/>
    <n v="6.9987000000000001E-4"/>
    <n v="2.7043936866175702E-4"/>
    <n v="0.38641371777866901"/>
    <n v="0"/>
    <s v="ASSET"/>
    <d v="2022-12-15T00:00:00"/>
    <n v="1"/>
    <x v="43"/>
    <n v="0"/>
    <s v="COIN"/>
    <s v="LONG"/>
    <s v="COIN LONG"/>
    <n v="0"/>
    <n v="0"/>
    <n v="0"/>
    <n v="0"/>
    <s v="OKEX"/>
    <s v="XRP COIN LONG"/>
  </r>
  <r>
    <s v="ETH"/>
    <n v="7.1361999999999999E-4"/>
    <n v="0.93436313043289998"/>
    <n v="1309.32867693296"/>
    <n v="0"/>
    <s v="ASSET"/>
    <d v="2022-12-14T21:59:02"/>
    <n v="1"/>
    <x v="17"/>
    <n v="0"/>
    <s v="COIN"/>
    <s v="LONG"/>
    <s v="COIN LONG"/>
    <n v="0"/>
    <n v="0"/>
    <n v="0"/>
    <n v="0"/>
    <s v="PITX"/>
    <s v="ETH COIN LONG"/>
  </r>
  <r>
    <s v="EUR"/>
    <n v="0.01"/>
    <n v="1.06827E-2"/>
    <n v="1.0682700000000001"/>
    <n v="0"/>
    <s v="ASSET"/>
    <d v="2022-12-14T21:59:02"/>
    <n v="1"/>
    <x v="18"/>
    <n v="0"/>
    <s v="CASH"/>
    <s v="LONG"/>
    <s v="CASH LONG"/>
    <n v="0"/>
    <n v="0"/>
    <n v="0"/>
    <n v="0"/>
    <s v="PITX"/>
    <s v="EUR CASH LONG"/>
  </r>
  <r>
    <s v="GBP"/>
    <n v="0.01"/>
    <n v="1.24276499999999E-2"/>
    <n v="1.2427649999999999"/>
    <n v="0"/>
    <s v="ASSET"/>
    <d v="2022-12-14T21:59:02"/>
    <n v="1"/>
    <x v="119"/>
    <n v="0"/>
    <s v="COIN"/>
    <s v="LONG"/>
    <s v="COIN LONG"/>
    <n v="0"/>
    <n v="0"/>
    <n v="0"/>
    <n v="0"/>
    <s v="PITX"/>
    <s v="GBP COIN LONG"/>
  </r>
  <r>
    <s v="TRY"/>
    <n v="0.10983253"/>
    <n v="5.8358694645149999E-3"/>
    <n v="5.3134253253703599E-2"/>
    <n v="0"/>
    <s v="ASSET"/>
    <d v="2022-12-14T21:59:02"/>
    <n v="1"/>
    <x v="120"/>
    <n v="0"/>
    <s v="COIN"/>
    <s v="LONG"/>
    <s v="COIN LONG"/>
    <n v="0"/>
    <n v="0"/>
    <n v="0"/>
    <n v="0"/>
    <s v="PITX"/>
    <s v="TRY COIN LONG"/>
  </r>
  <r>
    <s v="USD"/>
    <n v="6.5778299999999998E-3"/>
    <n v="6.5778299999999998E-3"/>
    <n v="1"/>
    <n v="0"/>
    <s v="ASSET"/>
    <d v="2022-12-14T21:59:02"/>
    <n v="1"/>
    <x v="40"/>
    <n v="0"/>
    <s v="CASH"/>
    <s v="LONG"/>
    <s v="CASH LONG"/>
    <n v="0"/>
    <n v="0"/>
    <n v="0"/>
    <n v="0"/>
    <s v="PITX"/>
    <s v="USD CASH LONG"/>
  </r>
  <r>
    <s v="USDT"/>
    <n v="9.9996000000000004E-4"/>
    <n v="1.0000654061081201E-3"/>
    <n v="1.0001054103245299"/>
    <n v="0"/>
    <s v="ASSET"/>
    <d v="2022-12-14T21:59:02"/>
    <n v="1"/>
    <x v="34"/>
    <n v="0"/>
    <s v="COIN"/>
    <s v="LONG"/>
    <s v="COIN LONG"/>
    <n v="0"/>
    <n v="0"/>
    <n v="0"/>
    <n v="0"/>
    <s v="PITX"/>
    <s v="USDT COIN LONG"/>
  </r>
  <r>
    <s v="XLM"/>
    <n v="9.9999999999999995E-8"/>
    <n v="8.3013789241186207E-9"/>
    <n v="8.3013789241186201E-2"/>
    <n v="0"/>
    <s v="ASSET"/>
    <d v="2022-12-14T21:59:02"/>
    <n v="1"/>
    <x v="35"/>
    <n v="0"/>
    <s v="COIN"/>
    <s v="LONG"/>
    <s v="COIN LONG"/>
    <n v="0"/>
    <n v="0"/>
    <n v="0"/>
    <n v="0"/>
    <s v="PITX"/>
    <s v="XLM COIN LONG"/>
  </r>
  <r>
    <s v="SHFT"/>
    <n v="3393052.5294192201"/>
    <n v="31408.321681189798"/>
    <n v="9.2566564793401199E-3"/>
    <n v="0"/>
    <s v="ASSET"/>
    <d v="2022-12-15T00:00:00"/>
    <n v="1"/>
    <x v="121"/>
    <n v="0"/>
    <s v="COIN"/>
    <s v="LONG"/>
    <s v="COIN LONG"/>
    <n v="0"/>
    <n v="0"/>
    <n v="0"/>
    <n v="0"/>
    <s v="SHFT"/>
    <s v="SHFT COIN LONG"/>
  </r>
  <r>
    <s v="ADA"/>
    <n v="59"/>
    <n v="18.179920864869501"/>
    <n v="0.308134251946941"/>
    <n v="0"/>
    <s v="ASSET"/>
    <d v="2022-12-15T00:00:00"/>
    <n v="1"/>
    <x v="1"/>
    <n v="0"/>
    <s v="COIN"/>
    <s v="LONG"/>
    <s v="COIN LONG"/>
    <n v="0"/>
    <n v="0"/>
    <n v="0"/>
    <n v="0"/>
    <s v="WOOX"/>
    <s v="ADA COIN LONG"/>
  </r>
  <r>
    <s v="BTC"/>
    <n v="349.04641047000001"/>
    <n v="6218488.63195627"/>
    <n v="17815.649854650899"/>
    <n v="0"/>
    <s v="ASSET"/>
    <d v="2022-12-15T00:00:00"/>
    <n v="1"/>
    <x v="8"/>
    <n v="0"/>
    <s v="COIN"/>
    <s v="LONG"/>
    <s v="COIN LONG"/>
    <n v="0"/>
    <n v="0"/>
    <n v="0"/>
    <n v="0"/>
    <s v="WOOX"/>
    <s v="BTC COIN LONG"/>
  </r>
  <r>
    <s v="ETH"/>
    <n v="2104.7725880100002"/>
    <n v="2755839.1079039001"/>
    <n v="1309.32867693296"/>
    <n v="0"/>
    <s v="ASSET"/>
    <d v="2022-12-15T00:00:00"/>
    <n v="1"/>
    <x v="17"/>
    <n v="0"/>
    <s v="COIN"/>
    <s v="LONG"/>
    <s v="COIN LONG"/>
    <n v="0"/>
    <n v="0"/>
    <n v="0"/>
    <n v="0"/>
    <s v="WOOX"/>
    <s v="ETH COIN LONG"/>
  </r>
  <r>
    <s v="ETHW"/>
    <n v="1267.7570125100001"/>
    <n v="4488.5091304412199"/>
    <n v="3.5405121692480601"/>
    <n v="0"/>
    <s v="ASSET"/>
    <d v="2022-12-15T00:00:00"/>
    <n v="1"/>
    <x v="39"/>
    <n v="0"/>
    <s v="COIN"/>
    <s v="LONG"/>
    <s v="COIN LONG"/>
    <n v="0"/>
    <n v="0"/>
    <n v="0"/>
    <n v="0"/>
    <s v="WOOX"/>
    <s v="ETHW COIN LONG"/>
  </r>
  <r>
    <s v="WOO"/>
    <n v="1644286.05309931"/>
    <n v="222148.28450126699"/>
    <n v="0.135103186019574"/>
    <n v="0"/>
    <s v="ASSET"/>
    <d v="2022-12-15T00:00:00"/>
    <n v="1"/>
    <x v="122"/>
    <n v="0"/>
    <s v="COIN"/>
    <s v="LONG"/>
    <s v="COIN LONG"/>
    <n v="0"/>
    <n v="0"/>
    <n v="0"/>
    <n v="0"/>
    <s v="WOOX"/>
    <s v="WOO COIN LONG"/>
  </r>
  <r>
    <s v="AAVE"/>
    <n v="21.553935809999999"/>
    <n v="1348.4765286499101"/>
    <n v="62.562890626420497"/>
    <n v="0"/>
    <s v="ASSET"/>
    <d v="2022-12-15T00:27:54"/>
    <n v="1"/>
    <x v="0"/>
    <n v="0"/>
    <s v="COIN"/>
    <s v="LONG"/>
    <s v="COIN LONG"/>
    <n v="0"/>
    <n v="0"/>
    <n v="0"/>
    <n v="0"/>
    <s v="FBLK"/>
    <s v="AAVE COIN LONG"/>
  </r>
  <r>
    <s v="ADA"/>
    <n v="72355.023579999994"/>
    <n v="22295.061065426598"/>
    <n v="0.308134251946941"/>
    <n v="0"/>
    <s v="ASSET"/>
    <d v="2022-12-15T00:27:54"/>
    <n v="1"/>
    <x v="1"/>
    <n v="0"/>
    <s v="COIN"/>
    <s v="LONG"/>
    <s v="COIN LONG"/>
    <n v="0"/>
    <n v="0"/>
    <n v="0"/>
    <n v="0"/>
    <s v="FBLK"/>
    <s v="ADA COIN LONG"/>
  </r>
  <r>
    <s v="ALGO"/>
    <n v="7939.9443799999999"/>
    <n v="1754.0592206604599"/>
    <n v="0.220915807052601"/>
    <n v="0"/>
    <s v="ASSET"/>
    <d v="2022-12-15T00:27:54"/>
    <n v="1"/>
    <x v="2"/>
    <n v="0"/>
    <s v="COIN"/>
    <s v="LONG"/>
    <s v="COIN LONG"/>
    <n v="0"/>
    <n v="0"/>
    <n v="0"/>
    <n v="0"/>
    <s v="FBLK"/>
    <s v="ALGO COIN LONG"/>
  </r>
  <r>
    <s v="AVAX"/>
    <n v="1336.2276758400001"/>
    <n v="18343.1450310949"/>
    <n v="13.7275595789196"/>
    <n v="0"/>
    <s v="ASSET"/>
    <d v="2022-12-15T00:27:54"/>
    <n v="1"/>
    <x v="4"/>
    <n v="0"/>
    <s v="COIN"/>
    <s v="LONG"/>
    <s v="COIN LONG"/>
    <n v="0"/>
    <n v="0"/>
    <n v="0"/>
    <n v="0"/>
    <s v="FBLK"/>
    <s v="AVAX COIN LONG"/>
  </r>
  <r>
    <s v="BAT"/>
    <n v="8346.3712095800001"/>
    <n v="1869.2646151084"/>
    <n v="0.223961356159531"/>
    <n v="0"/>
    <s v="ASSET"/>
    <d v="2022-12-15T00:27:54"/>
    <n v="1"/>
    <x v="5"/>
    <n v="0"/>
    <s v="COIN"/>
    <s v="LONG"/>
    <s v="COIN LONG"/>
    <n v="0"/>
    <n v="0"/>
    <n v="0"/>
    <n v="0"/>
    <s v="FBLK"/>
    <s v="BAT COIN LONG"/>
  </r>
  <r>
    <s v="BCH"/>
    <n v="0.826766"/>
    <n v="90.207194765138198"/>
    <n v="109.10849595307199"/>
    <n v="0"/>
    <s v="ASSET"/>
    <d v="2022-12-15T00:27:54"/>
    <n v="1"/>
    <x v="6"/>
    <n v="0"/>
    <s v="COIN"/>
    <s v="LONG"/>
    <s v="COIN LONG"/>
    <n v="0"/>
    <n v="0"/>
    <n v="0"/>
    <n v="0"/>
    <s v="FBLK"/>
    <s v="BCH COIN LONG"/>
  </r>
  <r>
    <s v="BTC"/>
    <n v="598.26817843000003"/>
    <n v="10658536.3860886"/>
    <n v="17815.649854650899"/>
    <n v="0"/>
    <s v="ASSET"/>
    <d v="2022-12-15T00:27:54"/>
    <n v="1"/>
    <x v="8"/>
    <n v="0"/>
    <s v="COIN"/>
    <s v="LONG"/>
    <s v="COIN LONG"/>
    <n v="0"/>
    <n v="0"/>
    <n v="0"/>
    <n v="0"/>
    <s v="FBLK"/>
    <s v="BTC COIN LONG"/>
  </r>
  <r>
    <s v="COMP"/>
    <n v="107.31036570000001"/>
    <n v="4223.0104824482896"/>
    <n v="39.353239129333097"/>
    <n v="0"/>
    <s v="ASSET"/>
    <d v="2022-12-15T00:27:54"/>
    <n v="1"/>
    <x v="10"/>
    <n v="0"/>
    <s v="COIN"/>
    <s v="LONG"/>
    <s v="COIN LONG"/>
    <n v="0"/>
    <n v="0"/>
    <n v="0"/>
    <n v="0"/>
    <s v="FBLK"/>
    <s v="COMP COIN LONG"/>
  </r>
  <r>
    <s v="DASH"/>
    <n v="2.5788782800000001"/>
    <n v="125.961666061678"/>
    <n v="48.843587166773403"/>
    <n v="0"/>
    <s v="ASSET"/>
    <d v="2022-12-15T00:27:54"/>
    <n v="1"/>
    <x v="12"/>
    <n v="0"/>
    <s v="COIN"/>
    <s v="LONG"/>
    <s v="COIN LONG"/>
    <n v="0"/>
    <n v="0"/>
    <n v="0"/>
    <n v="0"/>
    <s v="FBLK"/>
    <s v="DASH COIN LONG"/>
  </r>
  <r>
    <s v="DOGE"/>
    <n v="5680.2592693400002"/>
    <n v="502.78469967242597"/>
    <n v="8.8514392712015305E-2"/>
    <n v="0"/>
    <s v="ASSET"/>
    <d v="2022-12-15T00:27:54"/>
    <n v="1"/>
    <x v="13"/>
    <n v="0"/>
    <s v="COIN"/>
    <s v="LONG"/>
    <s v="COIN LONG"/>
    <n v="0"/>
    <n v="0"/>
    <n v="0"/>
    <n v="0"/>
    <s v="FBLK"/>
    <s v="DOGE COIN LONG"/>
  </r>
  <r>
    <s v="DOT"/>
    <n v="2.0019999999999998"/>
    <n v="10.4408499214328"/>
    <n v="5.21520975096543"/>
    <n v="0"/>
    <s v="ASSET"/>
    <d v="2022-12-15T00:27:54"/>
    <n v="1"/>
    <x v="14"/>
    <n v="0"/>
    <s v="COIN"/>
    <s v="LONG"/>
    <s v="COIN LONG"/>
    <n v="0"/>
    <n v="0"/>
    <n v="0"/>
    <n v="0"/>
    <s v="FBLK"/>
    <s v="DOT COIN LONG"/>
  </r>
  <r>
    <s v="ENJ"/>
    <n v="170.34154862"/>
    <n v="51.147438254390501"/>
    <n v="0.30026402054434098"/>
    <n v="0"/>
    <s v="ASSET"/>
    <d v="2022-12-15T00:27:54"/>
    <n v="1"/>
    <x v="15"/>
    <n v="0"/>
    <s v="COIN"/>
    <s v="LONG"/>
    <s v="COIN LONG"/>
    <n v="0"/>
    <n v="0"/>
    <n v="0"/>
    <n v="0"/>
    <s v="FBLK"/>
    <s v="ENJ COIN LONG"/>
  </r>
  <r>
    <s v="EOS"/>
    <n v="885.21320000000003"/>
    <n v="865.75739712052905"/>
    <n v="0.97802133669101299"/>
    <n v="0"/>
    <s v="ASSET"/>
    <d v="2022-12-15T00:27:54"/>
    <n v="1"/>
    <x v="16"/>
    <n v="0"/>
    <s v="COIN"/>
    <s v="LONG"/>
    <s v="COIN LONG"/>
    <n v="0"/>
    <n v="0"/>
    <n v="0"/>
    <n v="0"/>
    <s v="FBLK"/>
    <s v="EOS COIN LONG"/>
  </r>
  <r>
    <s v="ETC"/>
    <n v="5.8852999999999998E-4"/>
    <n v="1.10571175645403E-2"/>
    <n v="18.787687228417099"/>
    <n v="0"/>
    <s v="ASSET"/>
    <d v="2022-12-15T00:27:54"/>
    <n v="1"/>
    <x v="38"/>
    <n v="0"/>
    <s v="COIN"/>
    <s v="LONG"/>
    <s v="COIN LONG"/>
    <n v="0"/>
    <n v="0"/>
    <n v="0"/>
    <n v="0"/>
    <s v="FBLK"/>
    <s v="ETC COIN LONG"/>
  </r>
  <r>
    <s v="ETH"/>
    <n v="3813.7481754699902"/>
    <n v="4993449.8527436303"/>
    <n v="1309.32867693296"/>
    <n v="0"/>
    <s v="ASSET"/>
    <d v="2022-12-15T00:27:54"/>
    <n v="1"/>
    <x v="17"/>
    <n v="0"/>
    <s v="COIN"/>
    <s v="LONG"/>
    <s v="COIN LONG"/>
    <n v="0"/>
    <n v="0"/>
    <n v="0"/>
    <n v="0"/>
    <s v="FBLK"/>
    <s v="ETH COIN LONG"/>
  </r>
  <r>
    <s v="ETHW"/>
    <n v="0.42501022999999999"/>
    <n v="1.5047538913699099"/>
    <n v="3.5405121692480601"/>
    <n v="0"/>
    <s v="ASSET"/>
    <d v="2022-12-15T00:27:54"/>
    <n v="1"/>
    <x v="39"/>
    <n v="0"/>
    <s v="COIN"/>
    <s v="LONG"/>
    <s v="COIN LONG"/>
    <n v="0"/>
    <n v="0"/>
    <n v="0"/>
    <n v="0"/>
    <s v="FBLK"/>
    <s v="ETHW COIN LONG"/>
  </r>
  <r>
    <s v="EUROC"/>
    <n v="5024"/>
    <n v="5367.2971709891099"/>
    <n v="1.0683314432701201"/>
    <n v="0"/>
    <s v="ASSET"/>
    <d v="2022-12-15T00:27:54"/>
    <n v="1"/>
    <x v="89"/>
    <n v="0"/>
    <s v="COIN"/>
    <s v="LONG"/>
    <s v="COIN LONG"/>
    <n v="0"/>
    <n v="0"/>
    <n v="0"/>
    <n v="0"/>
    <s v="FBLK"/>
    <s v="EUROC COIN LONG"/>
  </r>
  <r>
    <s v="FTM"/>
    <n v="3969.6552405000002"/>
    <n v="955.17595012880599"/>
    <n v="0.24061937177408299"/>
    <n v="0"/>
    <s v="ASSET"/>
    <d v="2022-12-15T00:27:54"/>
    <n v="1"/>
    <x v="20"/>
    <n v="0"/>
    <s v="COIN"/>
    <s v="LONG"/>
    <s v="COIN LONG"/>
    <n v="0"/>
    <n v="0"/>
    <n v="0"/>
    <n v="0"/>
    <s v="FBLK"/>
    <s v="FTM COIN LONG"/>
  </r>
  <r>
    <s v="FTT"/>
    <n v="2.53888889"/>
    <n v="3.4814643363341302"/>
    <n v="1.37125509905009"/>
    <n v="0"/>
    <s v="ASSET"/>
    <d v="2022-12-15T00:27:54"/>
    <n v="1"/>
    <x v="90"/>
    <n v="0"/>
    <s v="COIN"/>
    <s v="LONG"/>
    <s v="COIN LONG"/>
    <n v="0"/>
    <n v="0"/>
    <n v="0"/>
    <n v="0"/>
    <s v="FBLK"/>
    <s v="FTT COIN LONG"/>
  </r>
  <r>
    <s v="GRT"/>
    <n v="401.2307831"/>
    <n v="26.365646284376101"/>
    <n v="6.5711922900504302E-2"/>
    <n v="0"/>
    <s v="ASSET"/>
    <d v="2022-12-15T00:27:54"/>
    <n v="1"/>
    <x v="21"/>
    <n v="0"/>
    <s v="COIN"/>
    <s v="LONG"/>
    <s v="COIN LONG"/>
    <n v="0"/>
    <n v="0"/>
    <n v="0"/>
    <n v="0"/>
    <s v="FBLK"/>
    <s v="GRT COIN LONG"/>
  </r>
  <r>
    <s v="HBAR"/>
    <n v="6955.5320218500001"/>
    <n v="324.67637506528399"/>
    <n v="4.6678870005249097E-2"/>
    <n v="0"/>
    <s v="ASSET"/>
    <d v="2022-12-15T00:27:54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n v="0.25417860522711799"/>
    <n v="27.547323742667501"/>
    <n v="0"/>
    <s v="ASSET"/>
    <d v="2022-12-15T00:27:54"/>
    <n v="1"/>
    <x v="97"/>
    <n v="0"/>
    <s v="COIN"/>
    <s v="LONG"/>
    <s v="COIN LONG"/>
    <n v="0"/>
    <n v="0"/>
    <n v="0"/>
    <n v="0"/>
    <s v="FBLK"/>
    <s v="KSM COIN LONG"/>
  </r>
  <r>
    <s v="LINK"/>
    <n v="991.68718306000005"/>
    <n v="6672.89254172864"/>
    <n v="6.72882805759214"/>
    <n v="0"/>
    <s v="ASSET"/>
    <d v="2022-12-15T00:27:54"/>
    <n v="1"/>
    <x v="23"/>
    <n v="0"/>
    <s v="COIN"/>
    <s v="LONG"/>
    <s v="COIN LONG"/>
    <n v="0"/>
    <n v="0"/>
    <n v="0"/>
    <n v="0"/>
    <s v="FBLK"/>
    <s v="LINK COIN LONG"/>
  </r>
  <r>
    <s v="LTC"/>
    <n v="6.3299567400000001"/>
    <n v="477.75895179417302"/>
    <n v="75.475863646134997"/>
    <n v="0"/>
    <s v="ASSET"/>
    <d v="2022-12-15T00:27:54"/>
    <n v="1"/>
    <x v="24"/>
    <n v="0"/>
    <s v="COIN"/>
    <s v="LONG"/>
    <s v="COIN LONG"/>
    <n v="0"/>
    <n v="0"/>
    <n v="0"/>
    <n v="0"/>
    <s v="FBLK"/>
    <s v="LTC COIN LONG"/>
  </r>
  <r>
    <s v="MANA"/>
    <n v="1894.9818869999999"/>
    <n v="723.61853302628197"/>
    <n v="0.38186039560085799"/>
    <n v="0"/>
    <s v="ASSET"/>
    <d v="2022-12-15T00:27:54"/>
    <n v="1"/>
    <x v="25"/>
    <n v="0"/>
    <s v="COIN"/>
    <s v="LONG"/>
    <s v="COIN LONG"/>
    <n v="0"/>
    <n v="0"/>
    <n v="0"/>
    <n v="0"/>
    <s v="FBLK"/>
    <s v="MANA COIN LONG"/>
  </r>
  <r>
    <s v="MATIC"/>
    <n v="9754.9953736700008"/>
    <n v="8812.1492566720899"/>
    <n v="0.90334735375244002"/>
    <n v="0"/>
    <s v="ASSET"/>
    <d v="2022-12-15T00:27:54"/>
    <n v="1"/>
    <x v="26"/>
    <n v="0"/>
    <s v="COIN"/>
    <s v="LONG"/>
    <s v="COIN LONG"/>
    <n v="0"/>
    <n v="0"/>
    <n v="0"/>
    <n v="0"/>
    <s v="FBLK"/>
    <s v="MATIC COIN LONG"/>
  </r>
  <r>
    <s v="MKR"/>
    <n v="0.77666018999999997"/>
    <n v="470.77853044224997"/>
    <n v="606.15766908594901"/>
    <n v="0"/>
    <s v="ASSET"/>
    <d v="2022-12-15T00:27:54"/>
    <n v="1"/>
    <x v="27"/>
    <n v="0"/>
    <s v="COIN"/>
    <s v="LONG"/>
    <s v="COIN LONG"/>
    <n v="0"/>
    <n v="0"/>
    <n v="0"/>
    <n v="0"/>
    <s v="FBLK"/>
    <s v="MKR COIN LONG"/>
  </r>
  <r>
    <s v="OMG"/>
    <n v="106.971"/>
    <n v="125.99285361318501"/>
    <n v="1.1778225277242"/>
    <n v="0"/>
    <s v="ASSET"/>
    <d v="2022-12-15T00:27:54"/>
    <n v="1"/>
    <x v="28"/>
    <n v="0"/>
    <s v="COIN"/>
    <s v="LONG"/>
    <s v="COIN LONG"/>
    <n v="0"/>
    <n v="0"/>
    <n v="0"/>
    <n v="0"/>
    <s v="FBLK"/>
    <s v="OMG COIN LONG"/>
  </r>
  <r>
    <s v="OXT"/>
    <n v="24.565999999999999"/>
    <n v="1.9942155881477901"/>
    <n v="8.1177871372945895E-2"/>
    <n v="0"/>
    <s v="ASSET"/>
    <d v="2022-12-15T00:27:54"/>
    <n v="1"/>
    <x v="29"/>
    <n v="0"/>
    <s v="COIN"/>
    <s v="LONG"/>
    <s v="COIN LONG"/>
    <n v="0"/>
    <n v="0"/>
    <n v="0"/>
    <n v="0"/>
    <s v="FBLK"/>
    <s v="OXT COIN LONG"/>
  </r>
  <r>
    <s v="SHIB"/>
    <n v="664916118.04308903"/>
    <n v="5966.1302010747604"/>
    <n v="8.9727561705582505E-6"/>
    <n v="0"/>
    <s v="ASSET"/>
    <d v="2022-12-15T00:27:54"/>
    <n v="1"/>
    <x v="30"/>
    <n v="0"/>
    <s v="COIN"/>
    <s v="LONG"/>
    <s v="COIN LONG"/>
    <n v="0"/>
    <n v="0"/>
    <n v="0"/>
    <n v="0"/>
    <s v="FBLK"/>
    <s v="SHIB COIN LONG"/>
  </r>
  <r>
    <s v="SOL"/>
    <n v="464.53931548000003"/>
    <n v="6568.8303608919496"/>
    <n v="14.1405261987448"/>
    <n v="0"/>
    <s v="ASSET"/>
    <d v="2022-12-15T00:27:54"/>
    <n v="1"/>
    <x v="31"/>
    <n v="0"/>
    <s v="COIN"/>
    <s v="LONG"/>
    <s v="COIN LONG"/>
    <n v="0"/>
    <n v="0"/>
    <n v="0"/>
    <n v="0"/>
    <s v="FBLK"/>
    <s v="SOL COIN LONG"/>
  </r>
  <r>
    <s v="SUSHI"/>
    <n v="1600.35402912"/>
    <n v="1791.8438991088899"/>
    <n v="1.1196546929645199"/>
    <n v="0"/>
    <s v="ASSET"/>
    <d v="2022-12-15T00:27:54"/>
    <n v="1"/>
    <x v="32"/>
    <n v="0"/>
    <s v="COIN"/>
    <s v="LONG"/>
    <s v="COIN LONG"/>
    <n v="0"/>
    <n v="0"/>
    <n v="0"/>
    <n v="0"/>
    <s v="FBLK"/>
    <s v="SUSHI COIN LONG"/>
  </r>
  <r>
    <s v="UNI"/>
    <n v="733.96397166999998"/>
    <n v="4344.8006056570202"/>
    <n v="5.9196374391119297"/>
    <n v="0"/>
    <s v="ASSET"/>
    <d v="2022-12-15T00:27:54"/>
    <n v="1"/>
    <x v="33"/>
    <n v="0"/>
    <s v="COIN"/>
    <s v="LONG"/>
    <s v="COIN LONG"/>
    <n v="0"/>
    <n v="0"/>
    <n v="0"/>
    <n v="0"/>
    <s v="FBLK"/>
    <s v="UNI COIN LONG"/>
  </r>
  <r>
    <s v="USDC"/>
    <n v="28895.690009999998"/>
    <n v="28895.098379543899"/>
    <n v="0.99997952530443501"/>
    <n v="0"/>
    <s v="ASSET"/>
    <d v="2022-12-15T00:27:54"/>
    <n v="1"/>
    <x v="44"/>
    <n v="0"/>
    <s v="COIN"/>
    <s v="LONG"/>
    <s v="COIN LONG"/>
    <n v="0"/>
    <n v="0"/>
    <n v="0"/>
    <n v="0"/>
    <s v="FBLK"/>
    <s v="USDC COIN LONG"/>
  </r>
  <r>
    <s v="USDT"/>
    <n v="4892269.848123"/>
    <n v="4892785.5438754102"/>
    <n v="1.0001054103245299"/>
    <n v="0"/>
    <s v="ASSET"/>
    <d v="2022-12-15T00:27:54"/>
    <n v="1"/>
    <x v="34"/>
    <n v="0"/>
    <s v="COIN"/>
    <s v="LONG"/>
    <s v="COIN LONG"/>
    <n v="0"/>
    <n v="0"/>
    <n v="0"/>
    <n v="0"/>
    <s v="FBLK"/>
    <s v="USDT COIN LONG"/>
  </r>
  <r>
    <s v="XLM"/>
    <n v="5546.1452737"/>
    <n v="460.40653485193297"/>
    <n v="8.3013789241186201E-2"/>
    <n v="0"/>
    <s v="ASSET"/>
    <d v="2022-12-15T00:27:54"/>
    <n v="1"/>
    <x v="35"/>
    <n v="0"/>
    <s v="COIN"/>
    <s v="LONG"/>
    <s v="COIN LONG"/>
    <n v="0"/>
    <n v="0"/>
    <n v="0"/>
    <n v="0"/>
    <s v="FBLK"/>
    <s v="XLM COIN LONG"/>
  </r>
  <r>
    <s v="XRP"/>
    <n v="313.68986200000001"/>
    <n v="121.214065804897"/>
    <n v="0.38641371777866901"/>
    <n v="0"/>
    <s v="ASSET"/>
    <d v="2022-12-15T00:27:54"/>
    <n v="1"/>
    <x v="43"/>
    <n v="0"/>
    <s v="COIN"/>
    <s v="LONG"/>
    <s v="COIN LONG"/>
    <n v="0"/>
    <n v="0"/>
    <n v="0"/>
    <n v="0"/>
    <s v="FBLK"/>
    <s v="XRP COIN LONG"/>
  </r>
  <r>
    <s v="XTZ"/>
    <n v="74.496399999999994"/>
    <n v="70.879699859790193"/>
    <n v="0.95145134341780602"/>
    <n v="0"/>
    <s v="ASSET"/>
    <d v="2022-12-15T00:27:54"/>
    <n v="1"/>
    <x v="36"/>
    <n v="0"/>
    <s v="COIN"/>
    <s v="LONG"/>
    <s v="COIN LONG"/>
    <n v="0"/>
    <n v="0"/>
    <n v="0"/>
    <n v="0"/>
    <s v="FBLK"/>
    <s v="XTZ COIN LONG"/>
  </r>
  <r>
    <s v="YFI"/>
    <n v="1.9935830000000002E-2"/>
    <n v="128.64154809617199"/>
    <n v="6452.7811531384496"/>
    <n v="0"/>
    <s v="ASSET"/>
    <d v="2022-12-15T00:27:54"/>
    <n v="1"/>
    <x v="37"/>
    <n v="0"/>
    <s v="COIN"/>
    <s v="LONG"/>
    <s v="COIN LONG"/>
    <n v="0"/>
    <n v="0"/>
    <n v="0"/>
    <n v="0"/>
    <s v="FBLK"/>
    <s v="YFI COIN LONG"/>
  </r>
  <r>
    <s v="AAVE"/>
    <n v="-600"/>
    <n v="-37537.734375852298"/>
    <n v="62.562890626420497"/>
    <n v="0"/>
    <s v="MARGINLOAN"/>
    <d v="2022-12-15T00:00:00"/>
    <n v="1"/>
    <x v="0"/>
    <n v="0"/>
    <s v="COIN"/>
    <s v="SHORT"/>
    <s v="COIN SHORT"/>
    <n v="0"/>
    <n v="0"/>
    <n v="0"/>
    <n v="0"/>
    <s v="BINE"/>
    <s v="AAVE COIN SHORT"/>
  </r>
  <r>
    <s v="ADA"/>
    <n v="-300000"/>
    <n v="-92440.275584082498"/>
    <n v="0.308134251946941"/>
    <n v="0"/>
    <s v="MARGINLOAN"/>
    <d v="2022-12-15T00:00:00"/>
    <n v="1"/>
    <x v="1"/>
    <n v="0"/>
    <s v="COIN"/>
    <s v="SHORT"/>
    <s v="COIN SHORT"/>
    <n v="0"/>
    <n v="0"/>
    <n v="0"/>
    <n v="0"/>
    <s v="BINE"/>
    <s v="ADA COIN SHORT"/>
  </r>
  <r>
    <s v="ALGO"/>
    <n v="-140000"/>
    <n v="-30928.212987364099"/>
    <n v="0.220915807052601"/>
    <n v="0"/>
    <s v="MARGINLOAN"/>
    <d v="2022-12-15T00:00:00"/>
    <n v="1"/>
    <x v="2"/>
    <n v="0"/>
    <s v="COIN"/>
    <s v="SHORT"/>
    <s v="COIN SHORT"/>
    <n v="0"/>
    <n v="0"/>
    <n v="0"/>
    <n v="0"/>
    <s v="BINE"/>
    <s v="ALGO COIN SHORT"/>
  </r>
  <r>
    <s v="AVAX"/>
    <n v="-3000"/>
    <n v="-41182.678736759"/>
    <n v="13.7275595789196"/>
    <n v="0"/>
    <s v="MARGINLOAN"/>
    <d v="2022-12-15T00:00:00"/>
    <n v="1"/>
    <x v="4"/>
    <n v="0"/>
    <s v="COIN"/>
    <s v="SHORT"/>
    <s v="COIN SHORT"/>
    <n v="0"/>
    <n v="0"/>
    <n v="0"/>
    <n v="0"/>
    <s v="BINE"/>
    <s v="AVAX COIN SHORT"/>
  </r>
  <r>
    <s v="BAT"/>
    <n v="-100000"/>
    <n v="-22396.135615953099"/>
    <n v="0.223961356159531"/>
    <n v="0"/>
    <s v="MARGINLOAN"/>
    <d v="2022-12-15T00:00:00"/>
    <n v="1"/>
    <x v="5"/>
    <n v="0"/>
    <s v="COIN"/>
    <s v="SHORT"/>
    <s v="COIN SHORT"/>
    <n v="0"/>
    <n v="0"/>
    <n v="0"/>
    <n v="0"/>
    <s v="BINE"/>
    <s v="BAT COIN SHORT"/>
  </r>
  <r>
    <s v="BCH"/>
    <n v="-90"/>
    <n v="-9819.7646357765607"/>
    <n v="109.10849595307199"/>
    <n v="0"/>
    <s v="MARGINLOAN"/>
    <d v="2022-12-15T00:00:00"/>
    <n v="1"/>
    <x v="6"/>
    <n v="0"/>
    <s v="COIN"/>
    <s v="SHORT"/>
    <s v="COIN SHORT"/>
    <n v="0"/>
    <n v="0"/>
    <n v="0"/>
    <n v="0"/>
    <s v="BINE"/>
    <s v="BCH COIN SHORT"/>
  </r>
  <r>
    <s v="BUSD"/>
    <n v="-3677799.0840893998"/>
    <n v="-3678725.90524658"/>
    <n v="1.0002520042927801"/>
    <n v="0"/>
    <s v="MARGINLOAN"/>
    <d v="2022-12-15T00:00:00"/>
    <n v="1"/>
    <x v="9"/>
    <n v="0"/>
    <s v="COIN"/>
    <s v="SHORT"/>
    <s v="COIN SHORT"/>
    <n v="0"/>
    <n v="0"/>
    <n v="0"/>
    <n v="0"/>
    <s v="BINE"/>
    <s v="BUSD COIN SHORT"/>
  </r>
  <r>
    <s v="COMP"/>
    <n v="-4800"/>
    <n v="-188895.54782079899"/>
    <n v="39.353239129333097"/>
    <n v="0"/>
    <s v="MARGINLOAN"/>
    <d v="2022-12-15T00:00:00"/>
    <n v="1"/>
    <x v="10"/>
    <n v="0"/>
    <s v="COIN"/>
    <s v="SHORT"/>
    <s v="COIN SHORT"/>
    <n v="0"/>
    <n v="0"/>
    <n v="0"/>
    <n v="0"/>
    <s v="BINE"/>
    <s v="COMP COIN SHORT"/>
  </r>
  <r>
    <s v="DASH"/>
    <n v="-500"/>
    <n v="-24421.793583386701"/>
    <n v="48.843587166773403"/>
    <n v="0"/>
    <s v="MARGINLOAN"/>
    <d v="2022-12-15T00:00:00"/>
    <n v="1"/>
    <x v="12"/>
    <n v="0"/>
    <s v="COIN"/>
    <s v="SHORT"/>
    <s v="COIN SHORT"/>
    <n v="0"/>
    <n v="0"/>
    <n v="0"/>
    <n v="0"/>
    <s v="BINE"/>
    <s v="DASH COIN SHORT"/>
  </r>
  <r>
    <s v="DOGE"/>
    <n v="-500000"/>
    <n v="-44257.196356007596"/>
    <n v="8.8514392712015305E-2"/>
    <n v="0"/>
    <s v="MARGINLOAN"/>
    <d v="2022-12-15T00:00:00"/>
    <n v="1"/>
    <x v="13"/>
    <n v="0"/>
    <s v="COIN"/>
    <s v="SHORT"/>
    <s v="COIN SHORT"/>
    <n v="0"/>
    <n v="0"/>
    <n v="0"/>
    <n v="0"/>
    <s v="BINE"/>
    <s v="DOGE COIN SHORT"/>
  </r>
  <r>
    <s v="DOT"/>
    <n v="-5000"/>
    <n v="-26076.048754827101"/>
    <n v="5.21520975096543"/>
    <n v="0"/>
    <s v="MARGINLOAN"/>
    <d v="2022-12-15T00:00:00"/>
    <n v="1"/>
    <x v="14"/>
    <n v="0"/>
    <s v="COIN"/>
    <s v="SHORT"/>
    <s v="COIN SHORT"/>
    <n v="0"/>
    <n v="0"/>
    <n v="0"/>
    <n v="0"/>
    <s v="BINE"/>
    <s v="DOT COIN SHORT"/>
  </r>
  <r>
    <s v="ENJ"/>
    <n v="-30000"/>
    <n v="-9007.9206163302297"/>
    <n v="0.30026402054434098"/>
    <n v="0"/>
    <s v="MARGINLOAN"/>
    <d v="2022-12-15T00:00:00"/>
    <n v="1"/>
    <x v="15"/>
    <n v="0"/>
    <s v="COIN"/>
    <s v="SHORT"/>
    <s v="COIN SHORT"/>
    <n v="0"/>
    <n v="0"/>
    <n v="0"/>
    <n v="0"/>
    <s v="BINE"/>
    <s v="ENJ COIN SHORT"/>
  </r>
  <r>
    <s v="FTM"/>
    <n v="-150000"/>
    <n v="-36092.905766112402"/>
    <n v="0.24061937177408299"/>
    <n v="0"/>
    <s v="MARGINLOAN"/>
    <d v="2022-12-15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n v="-15770.861496121001"/>
    <n v="6.5711922900504302E-2"/>
    <n v="0"/>
    <s v="MARGINLOAN"/>
    <d v="2022-12-15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n v="-29351.6734593006"/>
    <n v="4.6678870005249097E-2"/>
    <n v="0"/>
    <s v="MARGINLOAN"/>
    <d v="2022-12-15T00:00:00"/>
    <n v="1"/>
    <x v="22"/>
    <n v="0"/>
    <s v="COIN"/>
    <s v="SHORT"/>
    <s v="COIN SHORT"/>
    <n v="0"/>
    <n v="0"/>
    <n v="0"/>
    <n v="0"/>
    <s v="BINE"/>
    <s v="HBAR COIN SHORT"/>
  </r>
  <r>
    <s v="LINK"/>
    <n v="-12506.5"/>
    <n v="-84154.088102276102"/>
    <n v="6.72882805759214"/>
    <n v="0"/>
    <s v="MARGINLOAN"/>
    <d v="2022-12-15T00:00:00"/>
    <n v="1"/>
    <x v="23"/>
    <n v="0"/>
    <s v="COIN"/>
    <s v="SHORT"/>
    <s v="COIN SHORT"/>
    <n v="0"/>
    <n v="0"/>
    <n v="0"/>
    <n v="0"/>
    <s v="BINE"/>
    <s v="LINK COIN SHORT"/>
  </r>
  <r>
    <s v="LTC"/>
    <n v="-928.62699999999995"/>
    <n v="-70088.924830119402"/>
    <n v="75.475863646134997"/>
    <n v="0"/>
    <s v="MARGINLOAN"/>
    <d v="2022-12-15T00:00:00"/>
    <n v="1"/>
    <x v="24"/>
    <n v="0"/>
    <s v="COIN"/>
    <s v="SHORT"/>
    <s v="COIN SHORT"/>
    <n v="0"/>
    <n v="0"/>
    <n v="0"/>
    <n v="0"/>
    <s v="BINE"/>
    <s v="LTC COIN SHORT"/>
  </r>
  <r>
    <s v="MANA"/>
    <n v="-45000"/>
    <n v="-17183.717802038602"/>
    <n v="0.38186039560085799"/>
    <n v="0"/>
    <s v="MARGINLOAN"/>
    <d v="2022-12-15T00:00:00"/>
    <n v="1"/>
    <x v="25"/>
    <n v="0"/>
    <s v="COIN"/>
    <s v="SHORT"/>
    <s v="COIN SHORT"/>
    <n v="0"/>
    <n v="0"/>
    <n v="0"/>
    <n v="0"/>
    <s v="BINE"/>
    <s v="MANA COIN SHORT"/>
  </r>
  <r>
    <s v="MATIC"/>
    <n v="-50000"/>
    <n v="-45167.367687621998"/>
    <n v="0.90334735375244002"/>
    <n v="0"/>
    <s v="MARGINLOAN"/>
    <d v="2022-12-15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n v="-8486.2073672032893"/>
    <n v="606.15766908594901"/>
    <n v="0"/>
    <s v="MARGINLOAN"/>
    <d v="2022-12-15T00:00:00"/>
    <n v="1"/>
    <x v="27"/>
    <n v="0"/>
    <s v="COIN"/>
    <s v="SHORT"/>
    <s v="COIN SHORT"/>
    <n v="0"/>
    <n v="0"/>
    <n v="0"/>
    <n v="0"/>
    <s v="BINE"/>
    <s v="MKR COIN SHORT"/>
  </r>
  <r>
    <s v="OMG"/>
    <n v="-290.39999999999998"/>
    <n v="-342.039662051108"/>
    <n v="1.1778225277242"/>
    <n v="0"/>
    <s v="MARGINLOAN"/>
    <d v="2022-12-13T03:24:43"/>
    <n v="1"/>
    <x v="28"/>
    <n v="0"/>
    <s v="COIN"/>
    <s v="SHORT"/>
    <s v="COIN SHORT"/>
    <n v="0"/>
    <n v="0"/>
    <n v="0"/>
    <n v="0"/>
    <s v="BINE"/>
    <s v="OMG COIN SHORT"/>
  </r>
  <r>
    <s v="SHIB"/>
    <n v="-6000000000"/>
    <n v="-53836.537023349498"/>
    <n v="8.9727561705582505E-6"/>
    <n v="0"/>
    <s v="MARGINLOAN"/>
    <d v="2022-12-15T00:00:00"/>
    <n v="1"/>
    <x v="30"/>
    <n v="0"/>
    <s v="COIN"/>
    <s v="SHORT"/>
    <s v="COIN SHORT"/>
    <n v="0"/>
    <n v="0"/>
    <n v="0"/>
    <n v="0"/>
    <s v="BINE"/>
    <s v="SHIB COIN SHORT"/>
  </r>
  <r>
    <s v="SOL"/>
    <n v="-5000"/>
    <n v="-70702.630993724306"/>
    <n v="14.1405261987448"/>
    <n v="0"/>
    <s v="MARGINLOAN"/>
    <d v="2022-12-15T00:00:00"/>
    <n v="1"/>
    <x v="31"/>
    <n v="0"/>
    <s v="COIN"/>
    <s v="SHORT"/>
    <s v="COIN SHORT"/>
    <n v="0"/>
    <n v="0"/>
    <n v="0"/>
    <n v="0"/>
    <s v="BINE"/>
    <s v="SOL COIN SHORT"/>
  </r>
  <r>
    <s v="SUSHI"/>
    <n v="-30000"/>
    <n v="-33589.6407889357"/>
    <n v="1.1196546929645199"/>
    <n v="0"/>
    <s v="MARGINLOAN"/>
    <d v="2022-12-15T00:00:00"/>
    <n v="1"/>
    <x v="32"/>
    <n v="0"/>
    <s v="COIN"/>
    <s v="SHORT"/>
    <s v="COIN SHORT"/>
    <n v="0"/>
    <n v="0"/>
    <n v="0"/>
    <n v="0"/>
    <s v="BINE"/>
    <s v="SUSHI COIN SHORT"/>
  </r>
  <r>
    <s v="UNI"/>
    <n v="-6000"/>
    <n v="-35517.824634671597"/>
    <n v="5.9196374391119297"/>
    <n v="0"/>
    <s v="MARGINLOAN"/>
    <d v="2022-12-15T00:00:00"/>
    <n v="1"/>
    <x v="33"/>
    <n v="0"/>
    <s v="COIN"/>
    <s v="SHORT"/>
    <s v="COIN SHORT"/>
    <n v="0"/>
    <n v="0"/>
    <n v="0"/>
    <n v="0"/>
    <s v="BINE"/>
    <s v="UNI COIN SHORT"/>
  </r>
  <r>
    <s v="USDT"/>
    <n v="-4696108.9971914096"/>
    <n v="-4696604.0155648598"/>
    <n v="1.0001054103245299"/>
    <n v="0"/>
    <s v="MARGINLOAN"/>
    <d v="2022-12-15T00:00:00"/>
    <n v="1"/>
    <x v="34"/>
    <n v="0"/>
    <s v="COIN"/>
    <s v="SHORT"/>
    <s v="COIN SHORT"/>
    <n v="0"/>
    <n v="0"/>
    <n v="0"/>
    <n v="0"/>
    <s v="BINE"/>
    <s v="USDT COIN SHORT"/>
  </r>
  <r>
    <s v="VET"/>
    <n v="-100"/>
    <n v="-1.87445781415879"/>
    <n v="1.8744578141587899E-2"/>
    <n v="0"/>
    <s v="MARGINLOAN"/>
    <d v="2022-12-15T00:00:00"/>
    <n v="1"/>
    <x v="114"/>
    <n v="0"/>
    <s v="COIN"/>
    <s v="SHORT"/>
    <s v="COIN SHORT"/>
    <n v="0"/>
    <n v="0"/>
    <n v="0"/>
    <n v="0"/>
    <s v="BINE"/>
    <s v="VET COIN SHORT"/>
  </r>
  <r>
    <s v="XLM"/>
    <n v="-500000"/>
    <n v="-41506.894620593099"/>
    <n v="8.3013789241186201E-2"/>
    <n v="0"/>
    <s v="MARGINLOAN"/>
    <d v="2022-12-15T00:00:00"/>
    <n v="1"/>
    <x v="35"/>
    <n v="0"/>
    <s v="COIN"/>
    <s v="SHORT"/>
    <s v="COIN SHORT"/>
    <n v="0"/>
    <n v="0"/>
    <n v="0"/>
    <n v="0"/>
    <s v="BINE"/>
    <s v="XLM COIN SHORT"/>
  </r>
  <r>
    <s v="XTZ"/>
    <n v="-40000"/>
    <n v="-38058.053736712201"/>
    <n v="0.95145134341780602"/>
    <n v="0"/>
    <s v="MARGINLOAN"/>
    <d v="2022-12-15T00:00:00"/>
    <n v="1"/>
    <x v="36"/>
    <n v="0"/>
    <s v="COIN"/>
    <s v="SHORT"/>
    <s v="COIN SHORT"/>
    <n v="0"/>
    <n v="0"/>
    <n v="0"/>
    <n v="0"/>
    <s v="BINE"/>
    <s v="XTZ COIN SHORT"/>
  </r>
  <r>
    <s v="EOS"/>
    <n v="-457203"/>
    <n v="-447154.28919914103"/>
    <n v="0.97802133669101299"/>
    <n v="0"/>
    <s v="MARGINLOAN"/>
    <d v="2022-12-15T00:00:00"/>
    <n v="1"/>
    <x v="16"/>
    <n v="0"/>
    <s v="COIN"/>
    <s v="SHORT"/>
    <s v="COIN SHORT"/>
    <n v="0"/>
    <n v="0"/>
    <n v="0"/>
    <n v="0"/>
    <s v="HUBI"/>
    <s v="EOS COIN SHORT"/>
  </r>
  <r>
    <s v="LINK"/>
    <n v="-2073"/>
    <n v="-13948.8605633885"/>
    <n v="6.72882805759214"/>
    <n v="0"/>
    <s v="MARGINLOAN"/>
    <d v="2022-12-15T00:00:00"/>
    <n v="1"/>
    <x v="23"/>
    <n v="0"/>
    <s v="COIN"/>
    <s v="SHORT"/>
    <s v="COIN SHORT"/>
    <n v="0"/>
    <n v="0"/>
    <n v="0"/>
    <n v="0"/>
    <s v="HUBI"/>
    <s v="LINK COIN SHORT"/>
  </r>
  <r>
    <s v="LTC"/>
    <n v="-6100"/>
    <n v="-460402.76824142301"/>
    <n v="75.475863646134997"/>
    <n v="0"/>
    <s v="MARGINLOAN"/>
    <d v="2022-12-15T00:00:00"/>
    <n v="1"/>
    <x v="24"/>
    <n v="0"/>
    <s v="COIN"/>
    <s v="SHORT"/>
    <s v="COIN SHORT"/>
    <n v="0"/>
    <n v="0"/>
    <n v="0"/>
    <n v="0"/>
    <s v="HUBI"/>
    <s v="LTC COIN SHORT"/>
  </r>
  <r>
    <s v="USDT"/>
    <n v="-200000"/>
    <n v="-200021.08206490701"/>
    <n v="1.0001054103245299"/>
    <n v="0"/>
    <s v="MARGINLOAN"/>
    <d v="2022-12-15T00:00:00"/>
    <n v="1"/>
    <x v="34"/>
    <n v="0"/>
    <s v="COIN"/>
    <s v="SHORT"/>
    <s v="COIN SHORT"/>
    <n v="0"/>
    <n v="0"/>
    <n v="0"/>
    <n v="0"/>
    <s v="HUBI"/>
    <s v="USDT COIN SHORT"/>
  </r>
  <r>
    <s v="BTC"/>
    <n v="-3350"/>
    <n v="-59682427.0130805"/>
    <n v="17815.649854650899"/>
    <n v="0"/>
    <s v="EXCHLOAN"/>
    <d v="2022-12-14T00:00:00"/>
    <n v="1"/>
    <x v="8"/>
    <n v="0"/>
    <s v="COIN"/>
    <s v="SHORT"/>
    <s v="COIN SHORT"/>
    <n v="0"/>
    <n v="0"/>
    <n v="0"/>
    <n v="0"/>
    <s v="LEND"/>
    <s v="BTC COIN SHORT"/>
  </r>
  <r>
    <s v="EOS"/>
    <n v="-4350822.18"/>
    <n v="-4255196.9241885003"/>
    <n v="0.97802133669101299"/>
    <n v="0"/>
    <s v="EXCHLOAN"/>
    <d v="2022-12-14T00:00:00"/>
    <n v="1"/>
    <x v="16"/>
    <n v="0"/>
    <s v="COIN"/>
    <s v="SHORT"/>
    <s v="COIN SHORT"/>
    <n v="0"/>
    <n v="0"/>
    <n v="0"/>
    <n v="0"/>
    <s v="LEND"/>
    <s v="EOS COIN SHORT"/>
  </r>
  <r>
    <s v="ETH"/>
    <n v="-6499.9949999999999"/>
    <n v="-8510629.8534208704"/>
    <n v="1309.32867693296"/>
    <n v="0"/>
    <s v="EXCHLOAN"/>
    <d v="2022-12-14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n v="-23873270.941744"/>
    <n v="17815.649854650899"/>
    <n v="0"/>
    <s v="FUND"/>
    <d v="2022-12-14T00:00:00"/>
    <n v="1"/>
    <x v="8"/>
    <n v="0"/>
    <s v="COIN"/>
    <s v="SHORT"/>
    <s v="COIN SHORT"/>
    <n v="0"/>
    <n v="0"/>
    <n v="0"/>
    <n v="0"/>
    <s v="LEND"/>
    <s v="BTC COIN SHORT"/>
  </r>
  <r>
    <s v="ETH"/>
    <n v="-25855"/>
    <n v="-33852692.942101702"/>
    <n v="1309.32867693296"/>
    <n v="0"/>
    <s v="FUND"/>
    <d v="2022-12-14T00:00:00"/>
    <n v="1"/>
    <x v="17"/>
    <n v="0"/>
    <s v="COIN"/>
    <s v="SHORT"/>
    <s v="COIN SHORT"/>
    <n v="0"/>
    <n v="0"/>
    <n v="0"/>
    <n v="0"/>
    <s v="LEND"/>
    <s v="ETH COIN SHORT"/>
  </r>
  <r>
    <s v="EUR"/>
    <n v="-30000000"/>
    <n v="-32048100"/>
    <n v="1.0682700000000001"/>
    <n v="0"/>
    <s v="FUND"/>
    <d v="2022-12-14T00:00:00"/>
    <n v="1"/>
    <x v="18"/>
    <n v="0"/>
    <s v="CASH"/>
    <s v="SHORT"/>
    <s v="CASH SHORT"/>
    <n v="0"/>
    <n v="0"/>
    <n v="0"/>
    <n v="0"/>
    <s v="LEND"/>
    <s v="EUR CASH SHORT"/>
  </r>
  <r>
    <s v="EUROC"/>
    <n v="-15000000"/>
    <n v="-16024971.6490518"/>
    <n v="1.0683314432701201"/>
    <n v="0"/>
    <s v="FUND"/>
    <d v="2022-12-14T00:00:00"/>
    <n v="1"/>
    <x v="89"/>
    <n v="0"/>
    <s v="COIN"/>
    <s v="SHORT"/>
    <s v="COIN SHORT"/>
    <n v="0"/>
    <n v="0"/>
    <n v="0"/>
    <n v="0"/>
    <s v="LEND"/>
    <s v="EUROC COIN SHORT"/>
  </r>
  <r>
    <s v="USD"/>
    <n v="-42800000"/>
    <n v="-42800000"/>
    <n v="1"/>
    <n v="0"/>
    <s v="FUND"/>
    <d v="2022-12-14T00:00:00"/>
    <n v="1"/>
    <x v="40"/>
    <n v="0"/>
    <s v="CASH"/>
    <s v="SHORT"/>
    <s v="CASH SHORT"/>
    <n v="0"/>
    <n v="0"/>
    <n v="0"/>
    <n v="0"/>
    <s v="LEND"/>
    <s v="USD CASH SHORT"/>
  </r>
  <r>
    <s v="USDC"/>
    <n v="-56500000"/>
    <n v="-56498843.179700501"/>
    <n v="0.99997952530443501"/>
    <n v="0"/>
    <s v="FUND"/>
    <d v="2022-12-14T00:00:00"/>
    <n v="1"/>
    <x v="44"/>
    <n v="0"/>
    <s v="COIN"/>
    <s v="SHORT"/>
    <s v="COIN SHORT"/>
    <n v="0"/>
    <n v="0"/>
    <n v="0"/>
    <n v="0"/>
    <s v="LEND"/>
    <s v="USDC COIN SHORT"/>
  </r>
  <r>
    <s v="ZIL"/>
    <n v="-20000000"/>
    <n v="-435807.45829612599"/>
    <n v="2.1790372914806299E-2"/>
    <n v="0"/>
    <s v="FUND"/>
    <d v="2022-12-14T00:00:00"/>
    <n v="1"/>
    <x v="118"/>
    <n v="0"/>
    <s v="COIN"/>
    <s v="SHORT"/>
    <s v="COIN SHORT"/>
    <n v="0"/>
    <n v="0"/>
    <n v="0"/>
    <n v="0"/>
    <s v="LEND"/>
    <s v="ZIL COIN SHORT"/>
  </r>
  <r>
    <s v="BCH"/>
    <n v="-5000"/>
    <n v="-545542.47976536397"/>
    <n v="109.10849595307199"/>
    <n v="0"/>
    <s v="EXCHLOAN"/>
    <d v="2022-12-14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n v="-208608.39003861701"/>
    <n v="5.21520975096543"/>
    <n v="0"/>
    <s v="EXCHLOAN"/>
    <d v="2022-12-14T00:00:00"/>
    <n v="1"/>
    <x v="14"/>
    <n v="0"/>
    <s v="COIN"/>
    <s v="SHORT"/>
    <s v="COIN SHORT"/>
    <n v="0"/>
    <n v="0"/>
    <n v="0"/>
    <n v="0"/>
    <s v="LEND"/>
    <s v="DOT COIN SHORT"/>
  </r>
  <r>
    <s v="EOS"/>
    <n v="-160000"/>
    <n v="-156483.41387056201"/>
    <n v="0.97802133669101299"/>
    <n v="0"/>
    <s v="EXCHLOAN"/>
    <d v="2022-12-14T00:00:00"/>
    <n v="1"/>
    <x v="16"/>
    <n v="0"/>
    <s v="COIN"/>
    <s v="SHORT"/>
    <s v="COIN SHORT"/>
    <n v="0"/>
    <n v="0"/>
    <n v="0"/>
    <n v="0"/>
    <s v="LEND"/>
    <s v="EOS COIN SHORT"/>
  </r>
  <r>
    <s v="ETC"/>
    <n v="-108000"/>
    <n v="-2029070.22066905"/>
    <n v="18.787687228417099"/>
    <n v="0"/>
    <s v="EXCHLOAN"/>
    <d v="2022-12-14T00:00:00"/>
    <n v="1"/>
    <x v="38"/>
    <n v="0"/>
    <s v="COIN"/>
    <s v="SHORT"/>
    <s v="COIN SHORT"/>
    <n v="0"/>
    <n v="0"/>
    <n v="0"/>
    <n v="0"/>
    <s v="LEND"/>
    <s v="ETC COIN SHORT"/>
  </r>
  <r>
    <s v="ETH"/>
    <n v="-4600"/>
    <n v="-6022911.91389162"/>
    <n v="1309.32867693296"/>
    <n v="0"/>
    <s v="EXCHLOAN"/>
    <d v="2022-12-14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n v="-114390.076979066"/>
    <n v="6.72882805759214"/>
    <n v="0"/>
    <s v="EXCHLOAN"/>
    <d v="2022-12-14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n v="-890615.19102439296"/>
    <n v="75.475863646134997"/>
    <n v="0"/>
    <s v="EXCHLOAN"/>
    <d v="2022-12-14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n v="-211079.35056690499"/>
    <n v="8.1177871372945895E-2"/>
    <n v="0"/>
    <s v="LOAN"/>
    <d v="2022-12-14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n v="-999979.52530443505"/>
    <n v="0.99997952530443501"/>
    <n v="0"/>
    <s v="LOAN"/>
    <d v="2022-12-14T00:00:00"/>
    <n v="1"/>
    <x v="44"/>
    <n v="0"/>
    <s v="COIN"/>
    <s v="SHORT"/>
    <s v="COIN SHORT"/>
    <n v="0"/>
    <n v="0"/>
    <n v="0"/>
    <n v="0"/>
    <s v="LEND"/>
    <s v="USDC COIN SHORT"/>
  </r>
  <r>
    <s v="XRP"/>
    <n v="-201.17"/>
    <n v="-77.734847605534796"/>
    <n v="0.38641371777866901"/>
    <n v="0"/>
    <s v="LOAN"/>
    <d v="2022-12-14T00:00:00"/>
    <n v="1"/>
    <x v="43"/>
    <n v="0"/>
    <s v="COIN"/>
    <s v="SHORT"/>
    <s v="COIN SHORT"/>
    <n v="0"/>
    <n v="0"/>
    <n v="0"/>
    <n v="0"/>
    <s v="LEND"/>
    <s v="XRP COIN SHORT"/>
  </r>
  <r>
    <s v="USDT"/>
    <n v="-22591.087326270001"/>
    <n v="-22593.468660116701"/>
    <n v="1.0001054103245299"/>
    <n v="0"/>
    <s v="MARGINLOAN"/>
    <d v="2022-12-15T00:00:00"/>
    <n v="1"/>
    <x v="34"/>
    <n v="0"/>
    <s v="COIN"/>
    <s v="SHORT"/>
    <s v="COIN SHORT"/>
    <n v="0"/>
    <n v="0"/>
    <n v="0"/>
    <n v="0"/>
    <s v="OKEX"/>
    <s v="USDT COIN SHORT"/>
  </r>
  <r>
    <s v="BCH"/>
    <n v="-1.9866326700000001"/>
    <n v="-216.758502634937"/>
    <n v="109.10849595307199"/>
    <n v="0"/>
    <s v="MARGINLOAN"/>
    <d v="2022-12-15T00:00:00"/>
    <n v="1"/>
    <x v="6"/>
    <n v="0"/>
    <s v="COIN"/>
    <s v="SHORT"/>
    <s v="COIN SHORT"/>
    <n v="0"/>
    <n v="0"/>
    <n v="0"/>
    <n v="0"/>
    <s v="OKEX"/>
    <s v="BCH COIN SHORT"/>
  </r>
  <r>
    <s v="DOT"/>
    <n v="-33.055893580000003"/>
    <n v="-172.393418525291"/>
    <n v="5.21520975096543"/>
    <n v="0"/>
    <s v="MARGINLOAN"/>
    <d v="2022-12-15T00:00:00"/>
    <n v="1"/>
    <x v="14"/>
    <n v="0"/>
    <s v="COIN"/>
    <s v="SHORT"/>
    <s v="COIN SHORT"/>
    <n v="0"/>
    <n v="0"/>
    <n v="0"/>
    <n v="0"/>
    <s v="OKEX"/>
    <s v="DOT COIN SHORT"/>
  </r>
  <r>
    <s v="ETC"/>
    <n v="-0.40742539"/>
    <n v="-7.6545807962358801"/>
    <n v="18.787687228417099"/>
    <n v="0"/>
    <s v="MARGINLOAN"/>
    <d v="2022-12-15T00:00:00"/>
    <n v="1"/>
    <x v="38"/>
    <n v="0"/>
    <s v="COIN"/>
    <s v="SHORT"/>
    <s v="COIN SHORT"/>
    <n v="0"/>
    <n v="0"/>
    <n v="0"/>
    <n v="0"/>
    <s v="OKEX"/>
    <s v="ETC COIN SHORT"/>
  </r>
  <r>
    <s v="FIL"/>
    <n v="-3.6931970000000001E-2"/>
    <n v="-0.156225546246545"/>
    <n v="4.2300897094453704"/>
    <n v="0"/>
    <s v="MARGINLOAN"/>
    <d v="2022-12-15T00:00:00"/>
    <n v="1"/>
    <x v="19"/>
    <n v="0"/>
    <s v="COIN"/>
    <s v="SHORT"/>
    <s v="COIN SHORT"/>
    <n v="0"/>
    <n v="0"/>
    <n v="0"/>
    <n v="0"/>
    <s v="OKEX"/>
    <s v="FIL COIN SHORT"/>
  </r>
  <r>
    <s v="SHIB"/>
    <n v="-10039049522.907801"/>
    <n v="-90077.943553211197"/>
    <n v="8.9727561705582505E-6"/>
    <n v="0"/>
    <s v="MARGINLOAN"/>
    <d v="2022-12-15T00:00:00"/>
    <n v="1"/>
    <x v="30"/>
    <n v="0"/>
    <s v="COIN"/>
    <s v="SHORT"/>
    <s v="COIN SHORT"/>
    <n v="0"/>
    <n v="0"/>
    <n v="0"/>
    <n v="0"/>
    <s v="OKEX"/>
    <s v="SHIB COIN SHORT"/>
  </r>
  <r>
    <s v="USDC"/>
    <n v="-66891.138748700003"/>
    <n v="-66889.769172998102"/>
    <n v="0.99997952530443501"/>
    <n v="0"/>
    <s v="MARGINLOAN"/>
    <d v="2022-12-15T00:00:00"/>
    <n v="1"/>
    <x v="44"/>
    <n v="0"/>
    <s v="COIN"/>
    <s v="SHORT"/>
    <s v="COIN SHORT"/>
    <n v="0"/>
    <n v="0"/>
    <n v="0"/>
    <n v="0"/>
    <s v="OKEX"/>
    <s v="USDC COIN SHORT"/>
  </r>
  <r>
    <s v="USDT"/>
    <n v="-2453174.9918184001"/>
    <n v="-2453433.58179043"/>
    <n v="1.0001054103245299"/>
    <n v="0"/>
    <s v="MARGINLOAN"/>
    <d v="2022-12-15T00:00:00"/>
    <n v="1"/>
    <x v="34"/>
    <n v="0"/>
    <s v="COIN"/>
    <s v="SHORT"/>
    <s v="COIN SHORT"/>
    <n v="0"/>
    <n v="0"/>
    <n v="0"/>
    <n v="0"/>
    <s v="OKEX"/>
    <s v="USDT COIN SHORT"/>
  </r>
  <r>
    <s v="USDT"/>
    <n v="-5926778.0706390496"/>
    <n v="-5927402.8142389301"/>
    <n v="1.0001054103245299"/>
    <n v="0"/>
    <s v="MARGINLOAN"/>
    <d v="2022-12-15T00:00:00"/>
    <n v="1"/>
    <x v="34"/>
    <n v="0"/>
    <s v="COIN"/>
    <s v="SHORT"/>
    <s v="COIN SHORT"/>
    <n v="0"/>
    <n v="0"/>
    <n v="0"/>
    <n v="0"/>
    <s v="WOOX"/>
    <s v="USDT COIN SHORT"/>
  </r>
  <r>
    <s v="USD"/>
    <n v="8579966.9199999999"/>
    <n v="8579966.9199999999"/>
    <n v="1"/>
    <n v="0"/>
    <s v="COLLATERAL"/>
    <d v="2022-12-15T00:00:00"/>
    <n v="1"/>
    <x v="40"/>
    <n v="0"/>
    <s v="CASH"/>
    <s v="LONG"/>
    <s v="CASH LONG"/>
    <n v="0"/>
    <n v="0"/>
    <n v="0"/>
    <n v="0"/>
    <s v="WEDBUSH"/>
    <s v="USD CASH LONG"/>
  </r>
  <r>
    <s v="USD"/>
    <n v="233100.16999999899"/>
    <n v="233100.16999999899"/>
    <n v="1"/>
    <n v="0"/>
    <s v="ASSET"/>
    <d v="2022-12-15T00:00:00"/>
    <n v="1"/>
    <x v="40"/>
    <n v="0"/>
    <s v="CASH"/>
    <s v="LONG"/>
    <s v="CASH LONG"/>
    <n v="0"/>
    <n v="0"/>
    <n v="0"/>
    <n v="0"/>
    <s v="CASH"/>
    <s v="USD CASH LONG"/>
  </r>
  <r>
    <s v="USD"/>
    <n v="30714150.289999999"/>
    <n v="30714150.289999999"/>
    <n v="1"/>
    <n v="0"/>
    <s v="COLLATERAL"/>
    <d v="2022-12-15T00:00:00"/>
    <n v="1"/>
    <x v="40"/>
    <n v="0"/>
    <s v="CASH"/>
    <s v="LONG"/>
    <s v="CASH LONG"/>
    <n v="0"/>
    <n v="0"/>
    <n v="0"/>
    <n v="0"/>
    <s v="ED&amp;F Man Capital"/>
    <s v="USD CASH LONG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n v="0"/>
    <s v=""/>
    <s v=""/>
    <s v=" "/>
    <n v="0"/>
    <n v="0"/>
    <n v="0"/>
    <n v="0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s v=""/>
    <m/>
    <s v=""/>
    <s v=""/>
    <s v=""/>
    <s v=""/>
    <s v=""/>
    <s v=""/>
    <s v=""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s v=""/>
    <m/>
    <m/>
    <m/>
    <m/>
    <m/>
    <m/>
    <s v=""/>
  </r>
  <r>
    <m/>
    <m/>
    <m/>
    <m/>
    <m/>
    <m/>
    <m/>
    <m/>
    <x v="123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60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08">
        <item x="15"/>
        <item x="16"/>
        <item x="17"/>
        <item x="18"/>
        <item x="19"/>
        <item x="13"/>
        <item m="1" x="105"/>
        <item x="21"/>
        <item m="1" x="103"/>
        <item x="2"/>
        <item x="23"/>
        <item x="4"/>
        <item x="24"/>
        <item x="25"/>
        <item x="26"/>
        <item x="27"/>
        <item x="28"/>
        <item x="0"/>
        <item x="29"/>
        <item x="30"/>
        <item x="31"/>
        <item x="32"/>
        <item x="11"/>
        <item x="33"/>
        <item x="34"/>
        <item x="35"/>
        <item x="36"/>
        <item x="37"/>
        <item x="38"/>
        <item x="39"/>
        <item x="5"/>
        <item x="3"/>
        <item x="6"/>
        <item x="1"/>
        <item x="42"/>
        <item x="43"/>
        <item x="7"/>
        <item x="44"/>
        <item x="45"/>
        <item x="46"/>
        <item x="47"/>
        <item x="48"/>
        <item x="49"/>
        <item x="50"/>
        <item m="1" x="100"/>
        <item x="51"/>
        <item x="52"/>
        <item x="53"/>
        <item x="54"/>
        <item x="55"/>
        <item x="56"/>
        <item x="12"/>
        <item x="57"/>
        <item x="8"/>
        <item x="58"/>
        <item x="59"/>
        <item x="60"/>
        <item x="62"/>
        <item x="63"/>
        <item x="64"/>
        <item x="65"/>
        <item x="9"/>
        <item x="66"/>
        <item x="67"/>
        <item m="1" x="102"/>
        <item x="68"/>
        <item x="69"/>
        <item x="71"/>
        <item x="72"/>
        <item x="14"/>
        <item x="73"/>
        <item x="74"/>
        <item m="1" x="106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"/>
        <item x="99"/>
        <item m="1" x="101"/>
        <item x="41"/>
        <item m="1" x="104"/>
        <item x="40"/>
        <item x="70"/>
        <item x="20"/>
        <item x="22"/>
        <item x="61"/>
        <item x="75"/>
        <item x="77"/>
        <item t="default"/>
      </items>
    </pivotField>
    <pivotField showAll="0"/>
    <pivotField showAll="0"/>
    <pivotField showAll="0"/>
    <pivotField showAll="0"/>
    <pivotField axis="axisCol" showAll="0">
      <items count="24">
        <item x="5"/>
        <item x="4"/>
        <item m="1" x="16"/>
        <item m="1" x="8"/>
        <item x="1"/>
        <item m="1" x="20"/>
        <item m="1" x="11"/>
        <item x="6"/>
        <item m="1" x="14"/>
        <item m="1" x="18"/>
        <item m="1" x="19"/>
        <item m="1" x="7"/>
        <item m="1" x="10"/>
        <item m="1" x="12"/>
        <item m="1" x="17"/>
        <item m="1" x="22"/>
        <item x="2"/>
        <item x="0"/>
        <item m="1" x="13"/>
        <item m="1" x="9"/>
        <item m="1" x="15"/>
        <item m="1" x="21"/>
        <item x="3"/>
        <item t="default"/>
      </items>
    </pivotField>
    <pivotField showAll="0"/>
    <pivotField axis="axisRow" showAll="0">
      <items count="41">
        <item x="9"/>
        <item x="6"/>
        <item x="7"/>
        <item m="1" x="13"/>
        <item m="1" x="30"/>
        <item m="1" x="14"/>
        <item m="1" x="19"/>
        <item m="1" x="37"/>
        <item m="1" x="31"/>
        <item m="1" x="34"/>
        <item x="3"/>
        <item x="1"/>
        <item x="10"/>
        <item m="1" x="38"/>
        <item m="1" x="24"/>
        <item m="1" x="32"/>
        <item m="1" x="11"/>
        <item x="8"/>
        <item m="1" x="26"/>
        <item m="1" x="15"/>
        <item m="1" x="17"/>
        <item m="1" x="16"/>
        <item m="1" x="35"/>
        <item m="1" x="18"/>
        <item m="1" x="28"/>
        <item m="1" x="39"/>
        <item m="1" x="27"/>
        <item m="1" x="36"/>
        <item m="1" x="33"/>
        <item x="4"/>
        <item m="1" x="29"/>
        <item x="2"/>
        <item x="0"/>
        <item m="1" x="12"/>
        <item m="1" x="23"/>
        <item m="1" x="22"/>
        <item m="1" x="25"/>
        <item m="1" x="21"/>
        <item m="1" x="20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7">
    <i>
      <x/>
    </i>
    <i>
      <x v="1"/>
    </i>
    <i>
      <x v="4"/>
    </i>
    <i>
      <x v="16"/>
    </i>
    <i>
      <x v="17"/>
    </i>
    <i>
      <x v="22"/>
    </i>
    <i t="grand">
      <x/>
    </i>
  </colItems>
  <dataFields count="1">
    <dataField name="Sum of notional" fld="4" baseField="0" baseItem="0" numFmtId="167"/>
  </dataFields>
  <formats count="1">
    <format dxfId="1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6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1:AA102" firstHeaderRow="0" firstDataRow="1" firstDataCol="1"/>
  <pivotFields count="19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137">
        <item h="1" m="1" x="124"/>
        <item h="1" x="46"/>
        <item h="1" x="47"/>
        <item h="1" x="48"/>
        <item x="79"/>
        <item x="0"/>
        <item x="1"/>
        <item x="2"/>
        <item x="80"/>
        <item x="3"/>
        <item x="67"/>
        <item m="1" x="127"/>
        <item x="4"/>
        <item m="1" x="130"/>
        <item x="68"/>
        <item x="5"/>
        <item x="6"/>
        <item x="81"/>
        <item x="82"/>
        <item x="7"/>
        <item x="83"/>
        <item h="1" x="49"/>
        <item x="74"/>
        <item x="8"/>
        <item x="84"/>
        <item x="85"/>
        <item x="9"/>
        <item x="86"/>
        <item x="10"/>
        <item x="87"/>
        <item x="11"/>
        <item x="45"/>
        <item m="1" x="126"/>
        <item x="65"/>
        <item x="12"/>
        <item x="13"/>
        <item x="88"/>
        <item x="14"/>
        <item x="15"/>
        <item x="16"/>
        <item x="38"/>
        <item m="1" x="134"/>
        <item x="17"/>
        <item x="76"/>
        <item m="1" x="132"/>
        <item x="39"/>
        <item x="18"/>
        <item x="89"/>
        <item x="19"/>
        <item h="1" x="73"/>
        <item x="20"/>
        <item x="90"/>
        <item x="91"/>
        <item x="119"/>
        <item h="1" x="21"/>
        <item x="22"/>
        <item x="92"/>
        <item x="93"/>
        <item m="1" x="131"/>
        <item h="1" x="50"/>
        <item x="94"/>
        <item x="95"/>
        <item x="96"/>
        <item x="97"/>
        <item x="98"/>
        <item x="99"/>
        <item x="23"/>
        <item x="100"/>
        <item x="24"/>
        <item x="101"/>
        <item x="25"/>
        <item x="26"/>
        <item x="66"/>
        <item x="27"/>
        <item x="102"/>
        <item x="103"/>
        <item x="104"/>
        <item x="105"/>
        <item h="1" x="51"/>
        <item h="1" x="52"/>
        <item h="1" x="53"/>
        <item h="1" x="70"/>
        <item x="28"/>
        <item x="106"/>
        <item h="1" x="71"/>
        <item h="1" x="72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m="1" x="129"/>
        <item h="1" m="1" x="133"/>
        <item x="29"/>
        <item m="1" x="128"/>
        <item x="107"/>
        <item x="108"/>
        <item x="77"/>
        <item x="42"/>
        <item x="121"/>
        <item x="30"/>
        <item x="31"/>
        <item x="109"/>
        <item m="1" x="125"/>
        <item x="69"/>
        <item x="110"/>
        <item x="32"/>
        <item x="75"/>
        <item x="120"/>
        <item x="111"/>
        <item x="112"/>
        <item x="33"/>
        <item x="40"/>
        <item x="44"/>
        <item x="113"/>
        <item x="34"/>
        <item x="41"/>
        <item x="114"/>
        <item x="115"/>
        <item h="1" x="63"/>
        <item m="1" x="135"/>
        <item x="64"/>
        <item x="122"/>
        <item x="116"/>
        <item x="35"/>
        <item x="43"/>
        <item x="36"/>
        <item x="37"/>
        <item x="78"/>
        <item x="117"/>
        <item x="118"/>
        <item h="1" x="1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101"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>
      <x v="43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82"/>
    </i>
    <i>
      <x v="83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sition" fld="1" baseField="0" baseItem="0"/>
    <dataField name="Sum of notional" fld="2" baseField="0" baseItem="0" numFmtId="166"/>
  </dataFields>
  <formats count="3"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collapsedLevelsAreSubtotals="1" fieldPosition="0">
        <references count="2">
          <reference field="4294967294" count="1" selected="0">
            <x v="1"/>
          </reference>
          <reference field="8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9:N63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55">
        <item x="3"/>
        <item x="0"/>
        <item x="16"/>
        <item x="4"/>
        <item x="17"/>
        <item x="1"/>
        <item x="2"/>
        <item x="5"/>
        <item x="7"/>
        <item x="8"/>
        <item x="14"/>
        <item m="1" x="53"/>
        <item m="1" x="47"/>
        <item x="6"/>
        <item x="9"/>
        <item x="10"/>
        <item m="1" x="50"/>
        <item x="15"/>
        <item x="11"/>
        <item x="20"/>
        <item m="1" x="46"/>
        <item x="42"/>
        <item m="1" x="44"/>
        <item x="13"/>
        <item x="19"/>
        <item x="18"/>
        <item x="21"/>
        <item m="1" x="49"/>
        <item x="41"/>
        <item x="22"/>
        <item x="23"/>
        <item x="24"/>
        <item x="25"/>
        <item m="1" x="52"/>
        <item x="35"/>
        <item m="1" x="51"/>
        <item x="39"/>
        <item m="1" x="45"/>
        <item x="36"/>
        <item x="29"/>
        <item x="30"/>
        <item x="40"/>
        <item x="26"/>
        <item x="31"/>
        <item x="27"/>
        <item m="1" x="48"/>
        <item x="28"/>
        <item x="32"/>
        <item x="33"/>
        <item x="37"/>
        <item x="34"/>
        <item x="38"/>
        <item x="43"/>
        <item x="12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x="2"/>
        <item x="0"/>
        <item x="1"/>
        <item h="1" x="3"/>
      </items>
    </pivotField>
    <pivotField showAll="0"/>
    <pivotField showAll="0"/>
    <pivotField axis="axisRow" showAll="0" sortType="descending">
      <items count="32">
        <item sd="0" m="1" x="15"/>
        <item sd="0" m="1" x="25"/>
        <item sd="0" x="11"/>
        <item sd="0" x="2"/>
        <item sd="0" x="4"/>
        <item sd="0" m="1" x="20"/>
        <item sd="0" m="1" x="22"/>
        <item x="0"/>
        <item sd="0" m="1" x="29"/>
        <item sd="0" x="9"/>
        <item sd="0" m="1" x="19"/>
        <item sd="0" m="1" x="30"/>
        <item sd="0" x="3"/>
        <item sd="0" x="5"/>
        <item sd="0" x="1"/>
        <item sd="0" m="1" x="27"/>
        <item sd="0" m="1" x="17"/>
        <item sd="0" x="10"/>
        <item sd="0" x="6"/>
        <item sd="0" m="1" x="23"/>
        <item sd="0" x="12"/>
        <item sd="0" m="1" x="24"/>
        <item sd="0" m="1" x="26"/>
        <item sd="0" m="1" x="16"/>
        <item sd="0" m="1" x="21"/>
        <item sd="0" m="1" x="28"/>
        <item sd="0" m="1" x="18"/>
        <item sd="0" m="1" x="14"/>
        <item sd="0" x="8"/>
        <item sd="0" x="13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0">
        <item x="4"/>
        <item x="1"/>
        <item x="2"/>
        <item x="0"/>
        <item x="3"/>
        <item m="1" x="6"/>
        <item m="1" x="7"/>
        <item m="1" x="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33">
    <i>
      <x v="12"/>
    </i>
    <i>
      <x v="3"/>
    </i>
    <i>
      <x v="13"/>
    </i>
    <i>
      <x v="2"/>
    </i>
    <i>
      <x v="9"/>
    </i>
    <i>
      <x v="28"/>
    </i>
    <i>
      <x v="30"/>
    </i>
    <i r="1">
      <x v="2"/>
    </i>
    <i r="2">
      <x v="53"/>
    </i>
    <i>
      <x v="4"/>
    </i>
    <i>
      <x v="18"/>
    </i>
    <i>
      <x v="17"/>
    </i>
    <i>
      <x v="20"/>
    </i>
    <i>
      <x v="7"/>
    </i>
    <i r="1">
      <x/>
    </i>
    <i r="2">
      <x v="21"/>
    </i>
    <i r="1">
      <x v="1"/>
    </i>
    <i r="2">
      <x/>
    </i>
    <i r="2">
      <x v="1"/>
    </i>
    <i r="2">
      <x v="2"/>
    </i>
    <i r="2">
      <x v="19"/>
    </i>
    <i r="2">
      <x v="34"/>
    </i>
    <i r="2">
      <x v="36"/>
    </i>
    <i r="1">
      <x v="2"/>
    </i>
    <i r="2">
      <x v="5"/>
    </i>
    <i r="2">
      <x v="9"/>
    </i>
    <i r="2">
      <x v="25"/>
    </i>
    <i r="2">
      <x v="29"/>
    </i>
    <i r="2">
      <x v="31"/>
    </i>
    <i r="2">
      <x v="43"/>
    </i>
    <i r="2">
      <x v="44"/>
    </i>
    <i>
      <x v="14"/>
    </i>
    <i t="grand">
      <x/>
    </i>
  </rowItems>
  <colFields count="1">
    <field x="15"/>
  </colFields>
  <colItems count="5"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:N18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1"/>
        <item x="0"/>
        <item x="3"/>
        <item x="2"/>
      </items>
    </pivotField>
    <pivotField numFmtId="22"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h="1"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h="1" x="7"/>
        <item t="default"/>
      </items>
    </pivotField>
    <pivotField numFmtId="171" showAll="0"/>
    <pivotField numFmtId="43" showAll="0"/>
    <pivotField numFmtId="166" showAll="0"/>
    <pivotField numFmtId="165" showAll="0"/>
    <pivotField axis="axisCol" showAll="0">
      <items count="10">
        <item x="4"/>
        <item x="3"/>
        <item m="1" x="6"/>
        <item m="1" x="7"/>
        <item m="1" x="8"/>
        <item x="2"/>
        <item x="0"/>
        <item x="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 t="grand">
      <x/>
    </i>
  </rowItems>
  <colFields count="2">
    <field x="7"/>
    <field x="15"/>
  </colFields>
  <colItems count="5">
    <i>
      <x/>
      <x v="7"/>
    </i>
    <i>
      <x v="1"/>
      <x v="5"/>
    </i>
    <i r="1">
      <x v="6"/>
    </i>
    <i>
      <x v="3"/>
      <x v="1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60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R4:V18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numFmtId="165" showAll="0"/>
    <pivotField axis="axisCol" showAll="0">
      <items count="10">
        <item x="1"/>
        <item x="2"/>
        <item x="0"/>
        <item m="1" x="8"/>
        <item x="3"/>
        <item h="1" x="4"/>
        <item h="1"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</rowItems>
  <colFields count="1">
    <field x="15"/>
  </colFields>
  <colItems count="4">
    <i>
      <x/>
    </i>
    <i>
      <x v="1"/>
    </i>
    <i>
      <x v="2"/>
    </i>
    <i>
      <x v="4"/>
    </i>
  </colItems>
  <dataFields count="1">
    <dataField name="mark price" fld="5" subtotal="average" baseField="10" baseItem="0" numFmtId="164"/>
  </dataFields>
  <formats count="1">
    <format dxfId="1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G19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descending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1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 v="7"/>
    </i>
    <i>
      <x v="1"/>
    </i>
    <i>
      <x v="8"/>
    </i>
    <i>
      <x/>
    </i>
    <i>
      <x v="4"/>
    </i>
    <i>
      <x v="17"/>
    </i>
    <i>
      <x v="30"/>
    </i>
    <i>
      <x v="2"/>
    </i>
    <i>
      <x v="13"/>
    </i>
    <i>
      <x v="12"/>
    </i>
    <i>
      <x v="14"/>
    </i>
    <i>
      <x v="3"/>
    </i>
    <i>
      <x v="9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G51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55">
        <item x="3"/>
        <item x="0"/>
        <item x="16"/>
        <item x="4"/>
        <item x="17"/>
        <item x="1"/>
        <item x="2"/>
        <item x="5"/>
        <item x="7"/>
        <item x="8"/>
        <item x="14"/>
        <item m="1" x="53"/>
        <item m="1" x="47"/>
        <item x="6"/>
        <item x="9"/>
        <item x="10"/>
        <item m="1" x="50"/>
        <item x="15"/>
        <item x="11"/>
        <item x="20"/>
        <item m="1" x="46"/>
        <item x="42"/>
        <item m="1" x="44"/>
        <item x="13"/>
        <item x="19"/>
        <item x="18"/>
        <item x="21"/>
        <item m="1" x="49"/>
        <item x="41"/>
        <item x="22"/>
        <item x="23"/>
        <item x="24"/>
        <item x="25"/>
        <item m="1" x="52"/>
        <item x="35"/>
        <item m="1" x="51"/>
        <item x="39"/>
        <item m="1" x="45"/>
        <item x="36"/>
        <item x="29"/>
        <item x="30"/>
        <item x="40"/>
        <item x="26"/>
        <item x="31"/>
        <item x="27"/>
        <item m="1" x="48"/>
        <item x="28"/>
        <item x="32"/>
        <item x="33"/>
        <item x="37"/>
        <item x="34"/>
        <item x="38"/>
        <item x="43"/>
        <item x="12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0"/>
        <item sd="0" x="1"/>
        <item x="3"/>
        <item t="default"/>
      </items>
    </pivotField>
    <pivotField numFmtId="22" showAll="0"/>
    <pivotField showAll="0"/>
    <pivotField axis="axisRow" showAll="0" sortType="descending">
      <items count="32">
        <item x="0"/>
        <item x="1"/>
        <item sd="0" x="12"/>
        <item sd="0" x="3"/>
        <item sd="0" m="1" x="24"/>
        <item sd="0" x="6"/>
        <item sd="0" x="10"/>
        <item sd="0" m="1" x="30"/>
        <item sd="0" x="2"/>
        <item sd="0" x="4"/>
        <item sd="0" x="8"/>
        <item sd="0" m="1" x="19"/>
        <item sd="0" m="1" x="27"/>
        <item sd="0" m="1" x="17"/>
        <item sd="0" x="9"/>
        <item sd="0" x="11"/>
        <item sd="0" x="5"/>
        <item sd="0" m="1" x="28"/>
        <item sd="0" x="13"/>
        <item sd="0" m="1" x="14"/>
        <item sd="0" m="1" x="15"/>
        <item sd="0" m="1" x="16"/>
        <item sd="0" m="1" x="18"/>
        <item sd="0" m="1" x="20"/>
        <item sd="0" m="1" x="21"/>
        <item sd="0" m="1" x="22"/>
        <item sd="0" m="1" x="23"/>
        <item sd="0" m="1" x="25"/>
        <item sd="0" m="1" x="26"/>
        <item sd="0" m="1" x="29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1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21">
    <i>
      <x v="3"/>
    </i>
    <i>
      <x v="8"/>
    </i>
    <i>
      <x v="16"/>
    </i>
    <i>
      <x v="15"/>
    </i>
    <i>
      <x v="14"/>
    </i>
    <i>
      <x v="10"/>
    </i>
    <i>
      <x v="30"/>
    </i>
    <i r="1">
      <x v="2"/>
    </i>
    <i>
      <x v="9"/>
    </i>
    <i>
      <x v="5"/>
    </i>
    <i>
      <x v="6"/>
    </i>
    <i>
      <x v="2"/>
    </i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6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0"/>
        <item x="1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39">
      <pivotArea outline="0" collapsedLevelsAreSubtotals="1" fieldPosition="0"/>
    </format>
    <format dxfId="138">
      <pivotArea outline="0" collapsedLevelsAreSubtotals="1" fieldPosition="0"/>
    </format>
    <format dxfId="137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3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927AC3-95A0-42C5-93E9-50D57CDDB360}" name="PivotTable1" cacheId="6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10" firstHeaderRow="1" firstDataRow="2" firstDataCol="1" rowPageCount="2" colPageCount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16"/>
        <item x="22"/>
        <item x="20"/>
        <item t="default"/>
      </items>
    </pivotField>
    <pivotField axis="axisPage" showAll="0">
      <items count="76">
        <item m="1" x="57"/>
        <item m="1" x="65"/>
        <item x="12"/>
        <item x="0"/>
        <item x="13"/>
        <item x="44"/>
        <item x="1"/>
        <item x="2"/>
        <item x="14"/>
        <item x="15"/>
        <item x="16"/>
        <item x="17"/>
        <item m="1" x="58"/>
        <item m="1" x="62"/>
        <item x="18"/>
        <item x="19"/>
        <item x="54"/>
        <item m="1" x="64"/>
        <item x="20"/>
        <item m="1" x="61"/>
        <item x="21"/>
        <item x="22"/>
        <item x="23"/>
        <item x="3"/>
        <item x="55"/>
        <item x="43"/>
        <item m="1" x="66"/>
        <item m="1" x="60"/>
        <item m="1" x="70"/>
        <item m="1" x="68"/>
        <item m="1" x="59"/>
        <item x="26"/>
        <item x="4"/>
        <item x="28"/>
        <item x="29"/>
        <item x="31"/>
        <item x="32"/>
        <item m="1" x="67"/>
        <item x="5"/>
        <item x="6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11"/>
        <item x="42"/>
        <item x="52"/>
        <item x="56"/>
        <item m="1" x="71"/>
        <item x="53"/>
        <item x="24"/>
        <item x="25"/>
        <item x="27"/>
        <item x="30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h="1" m="1" x="11"/>
        <item x="7"/>
        <item x="8"/>
        <item x="5"/>
        <item x="6"/>
        <item x="9"/>
        <item x="3"/>
        <item m="1" x="12"/>
        <item x="4"/>
        <item x="0"/>
        <item x="1"/>
        <item x="2"/>
        <item m="1" x="14"/>
        <item m="1" x="13"/>
        <item h="1" x="10"/>
        <item t="default"/>
      </items>
    </pivotField>
    <pivotField showAll="0"/>
    <pivotField showAll="0"/>
    <pivotField axis="axisRow" showAll="0">
      <items count="140">
        <item h="1" sd="0" m="1" x="125"/>
        <item h="1" sd="0" x="48"/>
        <item sd="0" x="81"/>
        <item sd="0" x="13"/>
        <item sd="0" x="14"/>
        <item sd="0" x="15"/>
        <item sd="0" x="82"/>
        <item sd="0" x="11"/>
        <item sd="0" x="69"/>
        <item sd="0" m="1" x="128"/>
        <item sd="0" x="16"/>
        <item sd="0" m="1" x="132"/>
        <item sd="0" x="2"/>
        <item sd="0" x="70"/>
        <item sd="0" x="17"/>
        <item sd="0" x="4"/>
        <item sd="0" x="83"/>
        <item sd="0" x="84"/>
        <item sd="0" x="18"/>
        <item sd="0" x="85"/>
        <item sd="0" x="76"/>
        <item sd="0" x="0"/>
        <item sd="0" x="86"/>
        <item sd="0" x="87"/>
        <item sd="0" x="19"/>
        <item sd="0" x="88"/>
        <item sd="0" x="9"/>
        <item sd="0" x="89"/>
        <item sd="0" x="20"/>
        <item sd="0" x="47"/>
        <item sd="0" m="1" x="127"/>
        <item sd="0" x="67"/>
        <item sd="0" x="21"/>
        <item sd="0" x="22"/>
        <item sd="0" x="90"/>
        <item sd="0" x="23"/>
        <item sd="0" x="24"/>
        <item sd="0" x="3"/>
        <item sd="0" x="5"/>
        <item sd="0" m="1" x="137"/>
        <item sd="0" x="1"/>
        <item sd="0" x="78"/>
        <item sd="0" m="1" x="134"/>
        <item sd="0" x="41"/>
        <item sd="0" x="25"/>
        <item sd="0" x="91"/>
        <item sd="0" x="26"/>
        <item sd="0" x="27"/>
        <item sd="0" x="92"/>
        <item sd="0" x="93"/>
        <item sd="0" x="120"/>
        <item sd="0" x="29"/>
        <item sd="0" x="94"/>
        <item sd="0" x="95"/>
        <item sd="0" m="1" x="133"/>
        <item sd="0" x="96"/>
        <item sd="0" x="97"/>
        <item sd="0" x="98"/>
        <item sd="0" m="1" x="131"/>
        <item sd="0" x="99"/>
        <item sd="0" x="100"/>
        <item sd="0" x="101"/>
        <item sd="0" x="10"/>
        <item sd="0" x="102"/>
        <item sd="0" x="6"/>
        <item sd="0" x="103"/>
        <item sd="0" x="30"/>
        <item sd="0" x="31"/>
        <item sd="0" x="68"/>
        <item sd="0" x="104"/>
        <item sd="0" x="105"/>
        <item sd="0" x="106"/>
        <item sd="0" x="107"/>
        <item sd="0" x="7"/>
        <item sd="0" x="108"/>
        <item sd="0" x="63"/>
        <item sd="0" x="64"/>
        <item sd="0" m="1" x="130"/>
        <item sd="0" m="1" x="135"/>
        <item sd="0" x="33"/>
        <item sd="0" m="1" x="129"/>
        <item sd="0" x="109"/>
        <item sd="0" x="110"/>
        <item sd="0" x="79"/>
        <item sd="0" x="44"/>
        <item sd="0" x="122"/>
        <item sd="0" x="12"/>
        <item sd="0" x="34"/>
        <item sd="0" x="111"/>
        <item sd="0" m="1" x="126"/>
        <item sd="0" x="71"/>
        <item sd="0" x="112"/>
        <item sd="0" x="77"/>
        <item sd="0" x="121"/>
        <item sd="0" x="113"/>
        <item sd="0" x="114"/>
        <item sd="0" m="1" x="136"/>
        <item sd="0" x="36"/>
        <item sd="0" x="42"/>
        <item sd="0" x="46"/>
        <item sd="0" x="115"/>
        <item sd="0" x="37"/>
        <item sd="0" x="43"/>
        <item sd="0" x="116"/>
        <item sd="0" x="117"/>
        <item sd="0" x="66"/>
        <item sd="0" x="123"/>
        <item sd="0" x="118"/>
        <item sd="0" x="38"/>
        <item sd="0" x="45"/>
        <item sd="0" x="39"/>
        <item sd="0" x="40"/>
        <item sd="0" x="80"/>
        <item sd="0" x="119"/>
        <item sd="0" x="8"/>
        <item h="1" sd="0" x="124"/>
        <item h="1" x="49"/>
        <item h="1" x="55"/>
        <item h="1" x="61"/>
        <item h="1" x="50"/>
        <item h="1" x="52"/>
        <item h="1" x="53"/>
        <item h="1" x="62"/>
        <item h="1" m="1" x="138"/>
        <item h="1" x="32"/>
        <item h="1" x="35"/>
        <item h="1" x="59"/>
        <item h="1" x="28"/>
        <item h="1" x="56"/>
        <item h="1" x="58"/>
        <item h="1" x="65"/>
        <item h="1" x="72"/>
        <item h="1" x="73"/>
        <item h="1" x="74"/>
        <item h="1" x="75"/>
        <item h="1" x="51"/>
        <item h="1" x="54"/>
        <item h="1" x="57"/>
        <item h="1" x="60"/>
        <item t="default" sd="0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8">
        <item x="10"/>
        <item x="7"/>
        <item x="9"/>
        <item m="1" x="21"/>
        <item m="1" x="25"/>
        <item m="1" x="22"/>
        <item m="1" x="23"/>
        <item m="1" x="24"/>
        <item x="6"/>
        <item x="8"/>
        <item x="4"/>
        <item x="2"/>
        <item m="1" x="31"/>
        <item m="1" x="13"/>
        <item m="1" x="28"/>
        <item m="1" x="29"/>
        <item m="1" x="14"/>
        <item m="1" x="15"/>
        <item m="1" x="30"/>
        <item m="1" x="16"/>
        <item m="1" x="17"/>
        <item m="1" x="32"/>
        <item m="1" x="19"/>
        <item x="0"/>
        <item m="1" x="12"/>
        <item m="1" x="33"/>
        <item m="1" x="34"/>
        <item m="1" x="36"/>
        <item x="3"/>
        <item x="1"/>
        <item m="1" x="26"/>
        <item m="1" x="27"/>
        <item m="1" x="20"/>
        <item m="1" x="35"/>
        <item x="11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10"/>
    <field x="0"/>
  </rowFields>
  <rowItems count="102"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7"/>
  </colFields>
  <colItems count="11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17" hier="-1"/>
  </pageFields>
  <dataFields count="1">
    <dataField name="Sum of notional" fld="4" baseField="0" baseItem="0"/>
  </dataFields>
  <formats count="108">
    <format dxfId="132">
      <pivotArea collapsedLevelsAreSubtotals="1" fieldPosition="0">
        <references count="1">
          <reference field="10" count="1">
            <x v="1"/>
          </reference>
        </references>
      </pivotArea>
    </format>
    <format dxfId="131">
      <pivotArea collapsedLevelsAreSubtotals="1" fieldPosition="0">
        <references count="1">
          <reference field="10" count="1">
            <x v="2"/>
          </reference>
        </references>
      </pivotArea>
    </format>
    <format dxfId="130">
      <pivotArea collapsedLevelsAreSubtotals="1" fieldPosition="0">
        <references count="1">
          <reference field="10" count="1">
            <x v="3"/>
          </reference>
        </references>
      </pivotArea>
    </format>
    <format dxfId="129">
      <pivotArea collapsedLevelsAreSubtotals="1" fieldPosition="0">
        <references count="1">
          <reference field="10" count="1">
            <x v="4"/>
          </reference>
        </references>
      </pivotArea>
    </format>
    <format dxfId="128">
      <pivotArea collapsedLevelsAreSubtotals="1" fieldPosition="0">
        <references count="1">
          <reference field="10" count="1">
            <x v="5"/>
          </reference>
        </references>
      </pivotArea>
    </format>
    <format dxfId="127">
      <pivotArea collapsedLevelsAreSubtotals="1" fieldPosition="0">
        <references count="1">
          <reference field="10" count="1">
            <x v="6"/>
          </reference>
        </references>
      </pivotArea>
    </format>
    <format dxfId="126">
      <pivotArea collapsedLevelsAreSubtotals="1" fieldPosition="0">
        <references count="1">
          <reference field="10" count="1">
            <x v="7"/>
          </reference>
        </references>
      </pivotArea>
    </format>
    <format dxfId="125">
      <pivotArea collapsedLevelsAreSubtotals="1" fieldPosition="0">
        <references count="1">
          <reference field="10" count="1">
            <x v="8"/>
          </reference>
        </references>
      </pivotArea>
    </format>
    <format dxfId="124">
      <pivotArea collapsedLevelsAreSubtotals="1" fieldPosition="0">
        <references count="1">
          <reference field="10" count="1">
            <x v="10"/>
          </reference>
        </references>
      </pivotArea>
    </format>
    <format dxfId="123">
      <pivotArea collapsedLevelsAreSubtotals="1" fieldPosition="0">
        <references count="1">
          <reference field="10" count="1">
            <x v="12"/>
          </reference>
        </references>
      </pivotArea>
    </format>
    <format dxfId="122">
      <pivotArea collapsedLevelsAreSubtotals="1" fieldPosition="0">
        <references count="1">
          <reference field="10" count="1">
            <x v="13"/>
          </reference>
        </references>
      </pivotArea>
    </format>
    <format dxfId="121">
      <pivotArea collapsedLevelsAreSubtotals="1" fieldPosition="0">
        <references count="1">
          <reference field="10" count="1">
            <x v="14"/>
          </reference>
        </references>
      </pivotArea>
    </format>
    <format dxfId="120">
      <pivotArea collapsedLevelsAreSubtotals="1" fieldPosition="0">
        <references count="1">
          <reference field="10" count="1">
            <x v="15"/>
          </reference>
        </references>
      </pivotArea>
    </format>
    <format dxfId="119">
      <pivotArea collapsedLevelsAreSubtotals="1" fieldPosition="0">
        <references count="1">
          <reference field="10" count="1">
            <x v="16"/>
          </reference>
        </references>
      </pivotArea>
    </format>
    <format dxfId="118">
      <pivotArea collapsedLevelsAreSubtotals="1" fieldPosition="0">
        <references count="1">
          <reference field="10" count="1">
            <x v="17"/>
          </reference>
        </references>
      </pivotArea>
    </format>
    <format dxfId="117">
      <pivotArea collapsedLevelsAreSubtotals="1" fieldPosition="0">
        <references count="1">
          <reference field="10" count="1">
            <x v="18"/>
          </reference>
        </references>
      </pivotArea>
    </format>
    <format dxfId="116">
      <pivotArea collapsedLevelsAreSubtotals="1" fieldPosition="0">
        <references count="1">
          <reference field="10" count="1">
            <x v="19"/>
          </reference>
        </references>
      </pivotArea>
    </format>
    <format dxfId="115">
      <pivotArea collapsedLevelsAreSubtotals="1" fieldPosition="0">
        <references count="1">
          <reference field="10" count="1">
            <x v="20"/>
          </reference>
        </references>
      </pivotArea>
    </format>
    <format dxfId="114">
      <pivotArea collapsedLevelsAreSubtotals="1" fieldPosition="0">
        <references count="1">
          <reference field="10" count="1">
            <x v="21"/>
          </reference>
        </references>
      </pivotArea>
    </format>
    <format dxfId="113">
      <pivotArea collapsedLevelsAreSubtotals="1" fieldPosition="0">
        <references count="1">
          <reference field="10" count="1">
            <x v="22"/>
          </reference>
        </references>
      </pivotArea>
    </format>
    <format dxfId="112">
      <pivotArea collapsedLevelsAreSubtotals="1" fieldPosition="0">
        <references count="1">
          <reference field="10" count="1">
            <x v="23"/>
          </reference>
        </references>
      </pivotArea>
    </format>
    <format dxfId="111">
      <pivotArea collapsedLevelsAreSubtotals="1" fieldPosition="0">
        <references count="1">
          <reference field="10" count="1">
            <x v="24"/>
          </reference>
        </references>
      </pivotArea>
    </format>
    <format dxfId="110">
      <pivotArea collapsedLevelsAreSubtotals="1" fieldPosition="0">
        <references count="1">
          <reference field="10" count="1">
            <x v="25"/>
          </reference>
        </references>
      </pivotArea>
    </format>
    <format dxfId="109">
      <pivotArea collapsedLevelsAreSubtotals="1" fieldPosition="0">
        <references count="1">
          <reference field="10" count="1">
            <x v="26"/>
          </reference>
        </references>
      </pivotArea>
    </format>
    <format dxfId="108">
      <pivotArea collapsedLevelsAreSubtotals="1" fieldPosition="0">
        <references count="1">
          <reference field="10" count="1">
            <x v="27"/>
          </reference>
        </references>
      </pivotArea>
    </format>
    <format dxfId="107">
      <pivotArea collapsedLevelsAreSubtotals="1" fieldPosition="0">
        <references count="1">
          <reference field="10" count="1">
            <x v="28"/>
          </reference>
        </references>
      </pivotArea>
    </format>
    <format dxfId="106">
      <pivotArea collapsedLevelsAreSubtotals="1" fieldPosition="0">
        <references count="1">
          <reference field="10" count="1">
            <x v="29"/>
          </reference>
        </references>
      </pivotArea>
    </format>
    <format dxfId="105">
      <pivotArea collapsedLevelsAreSubtotals="1" fieldPosition="0">
        <references count="1">
          <reference field="10" count="1">
            <x v="30"/>
          </reference>
        </references>
      </pivotArea>
    </format>
    <format dxfId="104">
      <pivotArea collapsedLevelsAreSubtotals="1" fieldPosition="0">
        <references count="1">
          <reference field="10" count="1">
            <x v="31"/>
          </reference>
        </references>
      </pivotArea>
    </format>
    <format dxfId="103">
      <pivotArea collapsedLevelsAreSubtotals="1" fieldPosition="0">
        <references count="1">
          <reference field="10" count="1">
            <x v="32"/>
          </reference>
        </references>
      </pivotArea>
    </format>
    <format dxfId="102">
      <pivotArea collapsedLevelsAreSubtotals="1" fieldPosition="0">
        <references count="1">
          <reference field="10" count="1">
            <x v="33"/>
          </reference>
        </references>
      </pivotArea>
    </format>
    <format dxfId="101">
      <pivotArea collapsedLevelsAreSubtotals="1" fieldPosition="0">
        <references count="1">
          <reference field="10" count="1">
            <x v="34"/>
          </reference>
        </references>
      </pivotArea>
    </format>
    <format dxfId="100">
      <pivotArea collapsedLevelsAreSubtotals="1" fieldPosition="0">
        <references count="1">
          <reference field="10" count="1">
            <x v="35"/>
          </reference>
        </references>
      </pivotArea>
    </format>
    <format dxfId="99">
      <pivotArea collapsedLevelsAreSubtotals="1" fieldPosition="0">
        <references count="1">
          <reference field="10" count="1">
            <x v="36"/>
          </reference>
        </references>
      </pivotArea>
    </format>
    <format dxfId="98">
      <pivotArea collapsedLevelsAreSubtotals="1" fieldPosition="0">
        <references count="1">
          <reference field="10" count="1">
            <x v="37"/>
          </reference>
        </references>
      </pivotArea>
    </format>
    <format dxfId="97">
      <pivotArea collapsedLevelsAreSubtotals="1" fieldPosition="0">
        <references count="1">
          <reference field="10" count="1">
            <x v="38"/>
          </reference>
        </references>
      </pivotArea>
    </format>
    <format dxfId="96">
      <pivotArea collapsedLevelsAreSubtotals="1" fieldPosition="0">
        <references count="1">
          <reference field="10" count="1">
            <x v="40"/>
          </reference>
        </references>
      </pivotArea>
    </format>
    <format dxfId="95">
      <pivotArea collapsedLevelsAreSubtotals="1" fieldPosition="0">
        <references count="1">
          <reference field="10" count="1">
            <x v="41"/>
          </reference>
        </references>
      </pivotArea>
    </format>
    <format dxfId="94">
      <pivotArea collapsedLevelsAreSubtotals="1" fieldPosition="0">
        <references count="1">
          <reference field="10" count="1">
            <x v="43"/>
          </reference>
        </references>
      </pivotArea>
    </format>
    <format dxfId="93">
      <pivotArea collapsedLevelsAreSubtotals="1" fieldPosition="0">
        <references count="1">
          <reference field="10" count="1">
            <x v="44"/>
          </reference>
        </references>
      </pivotArea>
    </format>
    <format dxfId="92">
      <pivotArea collapsedLevelsAreSubtotals="1" fieldPosition="0">
        <references count="1">
          <reference field="10" count="1">
            <x v="45"/>
          </reference>
        </references>
      </pivotArea>
    </format>
    <format dxfId="91">
      <pivotArea collapsedLevelsAreSubtotals="1" fieldPosition="0">
        <references count="1">
          <reference field="10" count="1">
            <x v="46"/>
          </reference>
        </references>
      </pivotArea>
    </format>
    <format dxfId="90">
      <pivotArea collapsedLevelsAreSubtotals="1" fieldPosition="0">
        <references count="1">
          <reference field="10" count="1">
            <x v="47"/>
          </reference>
        </references>
      </pivotArea>
    </format>
    <format dxfId="89">
      <pivotArea collapsedLevelsAreSubtotals="1" fieldPosition="0">
        <references count="1">
          <reference field="10" count="1">
            <x v="48"/>
          </reference>
        </references>
      </pivotArea>
    </format>
    <format dxfId="88">
      <pivotArea collapsedLevelsAreSubtotals="1" fieldPosition="0">
        <references count="1">
          <reference field="10" count="1">
            <x v="49"/>
          </reference>
        </references>
      </pivotArea>
    </format>
    <format dxfId="87">
      <pivotArea collapsedLevelsAreSubtotals="1" fieldPosition="0">
        <references count="1">
          <reference field="10" count="1">
            <x v="50"/>
          </reference>
        </references>
      </pivotArea>
    </format>
    <format dxfId="86">
      <pivotArea collapsedLevelsAreSubtotals="1" fieldPosition="0">
        <references count="1">
          <reference field="10" count="1">
            <x v="51"/>
          </reference>
        </references>
      </pivotArea>
    </format>
    <format dxfId="85">
      <pivotArea collapsedLevelsAreSubtotals="1" fieldPosition="0">
        <references count="1">
          <reference field="10" count="1">
            <x v="52"/>
          </reference>
        </references>
      </pivotArea>
    </format>
    <format dxfId="84">
      <pivotArea collapsedLevelsAreSubtotals="1" fieldPosition="0">
        <references count="1">
          <reference field="10" count="1">
            <x v="53"/>
          </reference>
        </references>
      </pivotArea>
    </format>
    <format dxfId="83">
      <pivotArea collapsedLevelsAreSubtotals="1" fieldPosition="0">
        <references count="1">
          <reference field="10" count="1">
            <x v="55"/>
          </reference>
        </references>
      </pivotArea>
    </format>
    <format dxfId="82">
      <pivotArea collapsedLevelsAreSubtotals="1" fieldPosition="0">
        <references count="1">
          <reference field="10" count="1">
            <x v="56"/>
          </reference>
        </references>
      </pivotArea>
    </format>
    <format dxfId="81">
      <pivotArea collapsedLevelsAreSubtotals="1" fieldPosition="0">
        <references count="1">
          <reference field="10" count="1">
            <x v="57"/>
          </reference>
        </references>
      </pivotArea>
    </format>
    <format dxfId="80">
      <pivotArea collapsedLevelsAreSubtotals="1" fieldPosition="0">
        <references count="1">
          <reference field="10" count="1">
            <x v="59"/>
          </reference>
        </references>
      </pivotArea>
    </format>
    <format dxfId="79">
      <pivotArea collapsedLevelsAreSubtotals="1" fieldPosition="0">
        <references count="1">
          <reference field="10" count="1">
            <x v="60"/>
          </reference>
        </references>
      </pivotArea>
    </format>
    <format dxfId="78">
      <pivotArea collapsedLevelsAreSubtotals="1" fieldPosition="0">
        <references count="1">
          <reference field="10" count="1">
            <x v="61"/>
          </reference>
        </references>
      </pivotArea>
    </format>
    <format dxfId="77">
      <pivotArea collapsedLevelsAreSubtotals="1" fieldPosition="0">
        <references count="1">
          <reference field="10" count="1">
            <x v="62"/>
          </reference>
        </references>
      </pivotArea>
    </format>
    <format dxfId="76">
      <pivotArea collapsedLevelsAreSubtotals="1" fieldPosition="0">
        <references count="1">
          <reference field="10" count="1">
            <x v="63"/>
          </reference>
        </references>
      </pivotArea>
    </format>
    <format dxfId="75">
      <pivotArea collapsedLevelsAreSubtotals="1" fieldPosition="0">
        <references count="1">
          <reference field="10" count="1">
            <x v="64"/>
          </reference>
        </references>
      </pivotArea>
    </format>
    <format dxfId="74">
      <pivotArea collapsedLevelsAreSubtotals="1" fieldPosition="0">
        <references count="1">
          <reference field="10" count="1">
            <x v="65"/>
          </reference>
        </references>
      </pivotArea>
    </format>
    <format dxfId="73">
      <pivotArea collapsedLevelsAreSubtotals="1" fieldPosition="0">
        <references count="1">
          <reference field="10" count="1">
            <x v="66"/>
          </reference>
        </references>
      </pivotArea>
    </format>
    <format dxfId="72">
      <pivotArea collapsedLevelsAreSubtotals="1" fieldPosition="0">
        <references count="1">
          <reference field="10" count="1">
            <x v="67"/>
          </reference>
        </references>
      </pivotArea>
    </format>
    <format dxfId="71">
      <pivotArea collapsedLevelsAreSubtotals="1" fieldPosition="0">
        <references count="1">
          <reference field="10" count="1">
            <x v="68"/>
          </reference>
        </references>
      </pivotArea>
    </format>
    <format dxfId="70">
      <pivotArea collapsedLevelsAreSubtotals="1" fieldPosition="0">
        <references count="1">
          <reference field="10" count="1">
            <x v="69"/>
          </reference>
        </references>
      </pivotArea>
    </format>
    <format dxfId="69">
      <pivotArea collapsedLevelsAreSubtotals="1" fieldPosition="0">
        <references count="1">
          <reference field="10" count="1">
            <x v="70"/>
          </reference>
        </references>
      </pivotArea>
    </format>
    <format dxfId="68">
      <pivotArea collapsedLevelsAreSubtotals="1" fieldPosition="0">
        <references count="1">
          <reference field="10" count="1">
            <x v="71"/>
          </reference>
        </references>
      </pivotArea>
    </format>
    <format dxfId="67">
      <pivotArea collapsedLevelsAreSubtotals="1" fieldPosition="0">
        <references count="1">
          <reference field="10" count="1">
            <x v="72"/>
          </reference>
        </references>
      </pivotArea>
    </format>
    <format dxfId="66">
      <pivotArea collapsedLevelsAreSubtotals="1" fieldPosition="0">
        <references count="1">
          <reference field="10" count="1">
            <x v="73"/>
          </reference>
        </references>
      </pivotArea>
    </format>
    <format dxfId="65">
      <pivotArea collapsedLevelsAreSubtotals="1" fieldPosition="0">
        <references count="1">
          <reference field="10" count="1">
            <x v="74"/>
          </reference>
        </references>
      </pivotArea>
    </format>
    <format dxfId="64">
      <pivotArea collapsedLevelsAreSubtotals="1" fieldPosition="0">
        <references count="1">
          <reference field="10" count="1">
            <x v="75"/>
          </reference>
        </references>
      </pivotArea>
    </format>
    <format dxfId="63">
      <pivotArea collapsedLevelsAreSubtotals="1" fieldPosition="0">
        <references count="1">
          <reference field="10" count="1">
            <x v="76"/>
          </reference>
        </references>
      </pivotArea>
    </format>
    <format dxfId="62">
      <pivotArea collapsedLevelsAreSubtotals="1" fieldPosition="0">
        <references count="1">
          <reference field="10" count="1">
            <x v="77"/>
          </reference>
        </references>
      </pivotArea>
    </format>
    <format dxfId="61">
      <pivotArea collapsedLevelsAreSubtotals="1" fieldPosition="0">
        <references count="1">
          <reference field="10" count="1">
            <x v="78"/>
          </reference>
        </references>
      </pivotArea>
    </format>
    <format dxfId="60">
      <pivotArea collapsedLevelsAreSubtotals="1" fieldPosition="0">
        <references count="1">
          <reference field="10" count="1">
            <x v="79"/>
          </reference>
        </references>
      </pivotArea>
    </format>
    <format dxfId="59">
      <pivotArea collapsedLevelsAreSubtotals="1" fieldPosition="0">
        <references count="1">
          <reference field="10" count="1">
            <x v="81"/>
          </reference>
        </references>
      </pivotArea>
    </format>
    <format dxfId="58">
      <pivotArea collapsedLevelsAreSubtotals="1" fieldPosition="0">
        <references count="1">
          <reference field="10" count="1">
            <x v="82"/>
          </reference>
        </references>
      </pivotArea>
    </format>
    <format dxfId="57">
      <pivotArea collapsedLevelsAreSubtotals="1" fieldPosition="0">
        <references count="1">
          <reference field="10" count="1">
            <x v="83"/>
          </reference>
        </references>
      </pivotArea>
    </format>
    <format dxfId="56">
      <pivotArea collapsedLevelsAreSubtotals="1" fieldPosition="0">
        <references count="1">
          <reference field="10" count="1">
            <x v="84"/>
          </reference>
        </references>
      </pivotArea>
    </format>
    <format dxfId="55">
      <pivotArea collapsedLevelsAreSubtotals="1" fieldPosition="0">
        <references count="1">
          <reference field="10" count="1">
            <x v="85"/>
          </reference>
        </references>
      </pivotArea>
    </format>
    <format dxfId="54">
      <pivotArea collapsedLevelsAreSubtotals="1" fieldPosition="0">
        <references count="1">
          <reference field="10" count="1">
            <x v="86"/>
          </reference>
        </references>
      </pivotArea>
    </format>
    <format dxfId="53">
      <pivotArea collapsedLevelsAreSubtotals="1" fieldPosition="0">
        <references count="1">
          <reference field="10" count="1">
            <x v="87"/>
          </reference>
        </references>
      </pivotArea>
    </format>
    <format dxfId="52">
      <pivotArea collapsedLevelsAreSubtotals="1" fieldPosition="0">
        <references count="1">
          <reference field="10" count="1">
            <x v="88"/>
          </reference>
        </references>
      </pivotArea>
    </format>
    <format dxfId="51">
      <pivotArea collapsedLevelsAreSubtotals="1" fieldPosition="0">
        <references count="1">
          <reference field="10" count="1">
            <x v="89"/>
          </reference>
        </references>
      </pivotArea>
    </format>
    <format dxfId="50">
      <pivotArea collapsedLevelsAreSubtotals="1" fieldPosition="0">
        <references count="1">
          <reference field="10" count="1">
            <x v="90"/>
          </reference>
        </references>
      </pivotArea>
    </format>
    <format dxfId="49">
      <pivotArea collapsedLevelsAreSubtotals="1" fieldPosition="0">
        <references count="1">
          <reference field="10" count="1">
            <x v="91"/>
          </reference>
        </references>
      </pivotArea>
    </format>
    <format dxfId="48">
      <pivotArea collapsedLevelsAreSubtotals="1" fieldPosition="0">
        <references count="1">
          <reference field="10" count="1">
            <x v="92"/>
          </reference>
        </references>
      </pivotArea>
    </format>
    <format dxfId="47">
      <pivotArea collapsedLevelsAreSubtotals="1" fieldPosition="0">
        <references count="1">
          <reference field="10" count="1">
            <x v="93"/>
          </reference>
        </references>
      </pivotArea>
    </format>
    <format dxfId="46">
      <pivotArea collapsedLevelsAreSubtotals="1" fieldPosition="0">
        <references count="1">
          <reference field="10" count="1">
            <x v="94"/>
          </reference>
        </references>
      </pivotArea>
    </format>
    <format dxfId="45">
      <pivotArea collapsedLevelsAreSubtotals="1" fieldPosition="0">
        <references count="1">
          <reference field="10" count="1">
            <x v="95"/>
          </reference>
        </references>
      </pivotArea>
    </format>
    <format dxfId="44">
      <pivotArea collapsedLevelsAreSubtotals="1" fieldPosition="0">
        <references count="1">
          <reference field="10" count="1">
            <x v="97"/>
          </reference>
        </references>
      </pivotArea>
    </format>
    <format dxfId="43">
      <pivotArea collapsedLevelsAreSubtotals="1" fieldPosition="0">
        <references count="1">
          <reference field="10" count="1">
            <x v="98"/>
          </reference>
        </references>
      </pivotArea>
    </format>
    <format dxfId="42">
      <pivotArea collapsedLevelsAreSubtotals="1" fieldPosition="0">
        <references count="1">
          <reference field="10" count="1">
            <x v="99"/>
          </reference>
        </references>
      </pivotArea>
    </format>
    <format dxfId="41">
      <pivotArea collapsedLevelsAreSubtotals="1" fieldPosition="0">
        <references count="1">
          <reference field="10" count="1">
            <x v="100"/>
          </reference>
        </references>
      </pivotArea>
    </format>
    <format dxfId="40">
      <pivotArea collapsedLevelsAreSubtotals="1" fieldPosition="0">
        <references count="1">
          <reference field="10" count="1">
            <x v="101"/>
          </reference>
        </references>
      </pivotArea>
    </format>
    <format dxfId="39">
      <pivotArea collapsedLevelsAreSubtotals="1" fieldPosition="0">
        <references count="1">
          <reference field="10" count="1">
            <x v="102"/>
          </reference>
        </references>
      </pivotArea>
    </format>
    <format dxfId="38">
      <pivotArea collapsedLevelsAreSubtotals="1" fieldPosition="0">
        <references count="1">
          <reference field="10" count="1">
            <x v="103"/>
          </reference>
        </references>
      </pivotArea>
    </format>
    <format dxfId="37">
      <pivotArea collapsedLevelsAreSubtotals="1" fieldPosition="0">
        <references count="1">
          <reference field="10" count="1">
            <x v="104"/>
          </reference>
        </references>
      </pivotArea>
    </format>
    <format dxfId="36">
      <pivotArea collapsedLevelsAreSubtotals="1" fieldPosition="0">
        <references count="1">
          <reference field="10" count="1">
            <x v="105"/>
          </reference>
        </references>
      </pivotArea>
    </format>
    <format dxfId="35">
      <pivotArea collapsedLevelsAreSubtotals="1" fieldPosition="0">
        <references count="1">
          <reference field="10" count="1">
            <x v="106"/>
          </reference>
        </references>
      </pivotArea>
    </format>
    <format dxfId="34">
      <pivotArea collapsedLevelsAreSubtotals="1" fieldPosition="0">
        <references count="1">
          <reference field="10" count="1">
            <x v="107"/>
          </reference>
        </references>
      </pivotArea>
    </format>
    <format dxfId="33">
      <pivotArea collapsedLevelsAreSubtotals="1" fieldPosition="0">
        <references count="1">
          <reference field="10" count="1">
            <x v="108"/>
          </reference>
        </references>
      </pivotArea>
    </format>
    <format dxfId="32">
      <pivotArea collapsedLevelsAreSubtotals="1" fieldPosition="0">
        <references count="1">
          <reference field="10" count="1">
            <x v="109"/>
          </reference>
        </references>
      </pivotArea>
    </format>
    <format dxfId="31">
      <pivotArea collapsedLevelsAreSubtotals="1" fieldPosition="0">
        <references count="1">
          <reference field="10" count="1">
            <x v="110"/>
          </reference>
        </references>
      </pivotArea>
    </format>
    <format dxfId="30">
      <pivotArea collapsedLevelsAreSubtotals="1" fieldPosition="0">
        <references count="1">
          <reference field="10" count="1">
            <x v="111"/>
          </reference>
        </references>
      </pivotArea>
    </format>
    <format dxfId="29">
      <pivotArea collapsedLevelsAreSubtotals="1" fieldPosition="0">
        <references count="1">
          <reference field="10" count="1">
            <x v="112"/>
          </reference>
        </references>
      </pivotArea>
    </format>
    <format dxfId="28">
      <pivotArea collapsedLevelsAreSubtotals="1" fieldPosition="0">
        <references count="1">
          <reference field="10" count="1">
            <x v="113"/>
          </reference>
        </references>
      </pivotArea>
    </format>
    <format dxfId="27">
      <pivotArea collapsedLevelsAreSubtotals="1" fieldPosition="0">
        <references count="1">
          <reference field="10" count="1">
            <x v="114"/>
          </reference>
        </references>
      </pivotArea>
    </format>
    <format dxfId="26">
      <pivotArea collapsedLevelsAreSubtotals="1" fieldPosition="0">
        <references count="1">
          <reference field="10" count="1">
            <x v="115"/>
          </reference>
        </references>
      </pivotArea>
    </format>
    <format dxfId="2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6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3:AM84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6">
        <item m="1" x="57"/>
        <item m="1" x="65"/>
        <item x="12"/>
        <item x="0"/>
        <item x="13"/>
        <item x="44"/>
        <item x="1"/>
        <item x="2"/>
        <item x="14"/>
        <item x="15"/>
        <item x="16"/>
        <item x="17"/>
        <item m="1" x="58"/>
        <item m="1" x="62"/>
        <item x="18"/>
        <item x="19"/>
        <item x="54"/>
        <item m="1" x="64"/>
        <item x="20"/>
        <item m="1" x="61"/>
        <item x="21"/>
        <item x="22"/>
        <item x="23"/>
        <item x="3"/>
        <item x="55"/>
        <item x="43"/>
        <item m="1" x="66"/>
        <item m="1" x="60"/>
        <item m="1" x="70"/>
        <item m="1" x="68"/>
        <item m="1" x="59"/>
        <item x="26"/>
        <item x="4"/>
        <item x="28"/>
        <item x="29"/>
        <item x="31"/>
        <item x="32"/>
        <item m="1" x="67"/>
        <item x="5"/>
        <item x="6"/>
        <item m="1" x="71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11"/>
        <item x="53"/>
        <item x="42"/>
        <item x="52"/>
        <item x="56"/>
        <item x="24"/>
        <item x="25"/>
        <item x="27"/>
        <item x="30"/>
        <item t="default"/>
      </items>
    </pivotField>
    <pivotField axis="axisCol" showAll="0">
      <items count="173">
        <item x="122"/>
        <item x="43"/>
        <item x="44"/>
        <item x="45"/>
        <item x="123"/>
        <item x="46"/>
        <item x="47"/>
        <item x="3"/>
        <item x="0"/>
        <item x="16"/>
        <item x="4"/>
        <item x="17"/>
        <item x="1"/>
        <item x="2"/>
        <item x="48"/>
        <item x="5"/>
        <item x="7"/>
        <item x="8"/>
        <item x="49"/>
        <item x="14"/>
        <item m="1" x="171"/>
        <item m="1" x="168"/>
        <item x="6"/>
        <item x="9"/>
        <item x="10"/>
        <item m="1" x="170"/>
        <item x="124"/>
        <item x="15"/>
        <item x="11"/>
        <item x="125"/>
        <item x="50"/>
        <item x="126"/>
        <item x="117"/>
        <item x="51"/>
        <item x="20"/>
        <item x="42"/>
        <item x="127"/>
        <item m="1" x="167"/>
        <item x="128"/>
        <item x="52"/>
        <item x="13"/>
        <item x="129"/>
        <item x="53"/>
        <item x="130"/>
        <item x="54"/>
        <item x="19"/>
        <item x="18"/>
        <item x="55"/>
        <item x="56"/>
        <item x="131"/>
        <item x="57"/>
        <item x="58"/>
        <item x="59"/>
        <item x="81"/>
        <item x="60"/>
        <item x="21"/>
        <item x="119"/>
        <item x="82"/>
        <item x="41"/>
        <item x="61"/>
        <item x="132"/>
        <item x="62"/>
        <item x="63"/>
        <item x="133"/>
        <item x="134"/>
        <item x="162"/>
        <item x="22"/>
        <item x="23"/>
        <item x="65"/>
        <item x="135"/>
        <item x="136"/>
        <item x="137"/>
        <item x="138"/>
        <item x="139"/>
        <item x="140"/>
        <item x="141"/>
        <item x="142"/>
        <item x="66"/>
        <item x="143"/>
        <item x="67"/>
        <item x="144"/>
        <item x="68"/>
        <item x="69"/>
        <item x="70"/>
        <item x="145"/>
        <item x="146"/>
        <item x="147"/>
        <item x="148"/>
        <item x="35"/>
        <item x="39"/>
        <item x="36"/>
        <item x="29"/>
        <item x="30"/>
        <item x="40"/>
        <item x="26"/>
        <item x="31"/>
        <item x="27"/>
        <item m="1" x="169"/>
        <item x="28"/>
        <item x="32"/>
        <item x="33"/>
        <item x="37"/>
        <item x="34"/>
        <item x="38"/>
        <item x="71"/>
        <item x="149"/>
        <item x="72"/>
        <item x="150"/>
        <item x="151"/>
        <item x="120"/>
        <item x="85"/>
        <item x="164"/>
        <item x="73"/>
        <item x="74"/>
        <item x="152"/>
        <item x="153"/>
        <item x="75"/>
        <item x="118"/>
        <item x="163"/>
        <item x="154"/>
        <item x="155"/>
        <item x="76"/>
        <item x="83"/>
        <item x="87"/>
        <item x="156"/>
        <item x="77"/>
        <item x="84"/>
        <item x="157"/>
        <item x="158"/>
        <item x="165"/>
        <item x="159"/>
        <item x="78"/>
        <item x="86"/>
        <item x="79"/>
        <item x="80"/>
        <item x="121"/>
        <item x="160"/>
        <item x="161"/>
        <item x="166"/>
        <item x="88"/>
        <item x="89"/>
        <item x="90"/>
        <item x="91"/>
        <item x="93"/>
        <item x="94"/>
        <item x="96"/>
        <item x="100"/>
        <item x="102"/>
        <item x="103"/>
        <item x="104"/>
        <item x="105"/>
        <item x="107"/>
        <item x="110"/>
        <item x="111"/>
        <item x="112"/>
        <item x="24"/>
        <item x="25"/>
        <item x="64"/>
        <item x="97"/>
        <item x="99"/>
        <item x="106"/>
        <item x="113"/>
        <item x="114"/>
        <item x="115"/>
        <item x="116"/>
        <item x="92"/>
        <item x="95"/>
        <item x="98"/>
        <item x="101"/>
        <item x="12"/>
        <item x="108"/>
        <item x="109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0"/>
        <item m="1" x="13"/>
        <item sd="0" x="8"/>
        <item sd="0" x="5"/>
        <item sd="0" x="1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46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1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6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6">
        <item x="12"/>
        <item x="0"/>
        <item x="13"/>
        <item x="44"/>
        <item x="1"/>
        <item x="14"/>
        <item x="15"/>
        <item x="16"/>
        <item x="17"/>
        <item m="1" x="58"/>
        <item m="1" x="62"/>
        <item x="18"/>
        <item x="19"/>
        <item x="54"/>
        <item m="1" x="64"/>
        <item x="3"/>
        <item x="55"/>
        <item x="43"/>
        <item m="1" x="70"/>
        <item m="1" x="68"/>
        <item m="1" x="59"/>
        <item x="26"/>
        <item x="4"/>
        <item x="31"/>
        <item x="32"/>
        <item m="1" x="67"/>
        <item x="5"/>
        <item x="6"/>
        <item m="1" x="74"/>
        <item m="1" x="69"/>
        <item m="1" x="72"/>
        <item x="33"/>
        <item x="34"/>
        <item x="45"/>
        <item x="35"/>
        <item x="46"/>
        <item x="36"/>
        <item x="47"/>
        <item m="1" x="63"/>
        <item m="1" x="73"/>
        <item x="48"/>
        <item x="49"/>
        <item x="37"/>
        <item x="38"/>
        <item x="7"/>
        <item x="51"/>
        <item x="39"/>
        <item x="8"/>
        <item x="9"/>
        <item x="10"/>
        <item x="50"/>
        <item x="40"/>
        <item x="41"/>
        <item x="42"/>
        <item x="52"/>
        <item x="56"/>
        <item m="1" x="66"/>
        <item m="1" x="60"/>
        <item m="1" x="65"/>
        <item x="2"/>
        <item x="11"/>
        <item x="21"/>
        <item x="22"/>
        <item x="23"/>
        <item x="28"/>
        <item x="29"/>
        <item m="1" x="61"/>
        <item m="1" x="57"/>
        <item x="20"/>
        <item m="1" x="71"/>
        <item x="53"/>
        <item x="24"/>
        <item x="25"/>
        <item x="27"/>
        <item x="30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0"/>
        <item x="1"/>
        <item x="2"/>
        <item m="1" x="13"/>
        <item m="1" x="14"/>
        <item t="default"/>
      </items>
    </pivotField>
    <pivotField showAll="0"/>
    <pivotField showAll="0"/>
    <pivotField axis="axisRow" showAll="0">
      <items count="140">
        <item x="81"/>
        <item x="13"/>
        <item x="14"/>
        <item x="15"/>
        <item x="82"/>
        <item x="11"/>
        <item m="1" x="128"/>
        <item x="16"/>
        <item m="1" x="132"/>
        <item x="2"/>
        <item x="17"/>
        <item x="4"/>
        <item x="83"/>
        <item x="84"/>
        <item x="18"/>
        <item x="85"/>
        <item x="76"/>
        <item x="0"/>
        <item x="86"/>
        <item x="87"/>
        <item x="19"/>
        <item x="88"/>
        <item x="9"/>
        <item x="89"/>
        <item x="20"/>
        <item x="47"/>
        <item x="21"/>
        <item x="22"/>
        <item x="90"/>
        <item x="23"/>
        <item x="24"/>
        <item x="3"/>
        <item x="5"/>
        <item x="1"/>
        <item x="25"/>
        <item x="91"/>
        <item x="26"/>
        <item x="27"/>
        <item x="92"/>
        <item x="93"/>
        <item x="120"/>
        <item x="29"/>
        <item x="94"/>
        <item x="95"/>
        <item m="1" x="133"/>
        <item x="96"/>
        <item x="97"/>
        <item x="98"/>
        <item m="1" x="131"/>
        <item x="99"/>
        <item x="100"/>
        <item x="101"/>
        <item x="10"/>
        <item x="102"/>
        <item x="6"/>
        <item x="103"/>
        <item x="30"/>
        <item x="31"/>
        <item x="104"/>
        <item x="105"/>
        <item x="106"/>
        <item x="107"/>
        <item x="7"/>
        <item x="108"/>
        <item m="1" x="135"/>
        <item x="33"/>
        <item m="1" x="129"/>
        <item x="109"/>
        <item x="110"/>
        <item x="44"/>
        <item x="122"/>
        <item x="12"/>
        <item x="34"/>
        <item x="111"/>
        <item m="1" x="126"/>
        <item x="112"/>
        <item x="77"/>
        <item x="121"/>
        <item x="113"/>
        <item x="114"/>
        <item x="36"/>
        <item x="42"/>
        <item x="46"/>
        <item x="115"/>
        <item x="37"/>
        <item x="43"/>
        <item x="116"/>
        <item x="117"/>
        <item x="66"/>
        <item x="123"/>
        <item x="118"/>
        <item x="38"/>
        <item x="45"/>
        <item x="39"/>
        <item x="40"/>
        <item x="80"/>
        <item x="119"/>
        <item x="8"/>
        <item x="124"/>
        <item x="41"/>
        <item m="1" x="134"/>
        <item m="1" x="137"/>
        <item m="1" x="136"/>
        <item x="67"/>
        <item x="68"/>
        <item x="69"/>
        <item x="70"/>
        <item x="71"/>
        <item x="78"/>
        <item x="79"/>
        <item m="1" x="125"/>
        <item m="1" x="127"/>
        <item x="48"/>
        <item x="63"/>
        <item x="64"/>
        <item m="1" x="130"/>
        <item x="49"/>
        <item x="55"/>
        <item x="61"/>
        <item x="50"/>
        <item x="52"/>
        <item x="53"/>
        <item x="62"/>
        <item m="1" x="138"/>
        <item x="32"/>
        <item x="35"/>
        <item x="59"/>
        <item x="28"/>
        <item x="56"/>
        <item x="58"/>
        <item x="65"/>
        <item x="72"/>
        <item x="73"/>
        <item x="74"/>
        <item x="75"/>
        <item x="51"/>
        <item x="54"/>
        <item x="57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38">
        <item x="10"/>
        <item sd="0" x="7"/>
        <item sd="0" x="9"/>
        <item sd="0" x="6"/>
        <item sd="0" x="8"/>
        <item m="1" x="13"/>
        <item m="1" x="28"/>
        <item m="1" x="29"/>
        <item m="1" x="14"/>
        <item m="1" x="30"/>
        <item x="3"/>
        <item x="1"/>
        <item x="11"/>
        <item m="1" x="17"/>
        <item m="1" x="20"/>
        <item m="1" x="35"/>
        <item m="1" x="15"/>
        <item m="1" x="16"/>
        <item m="1" x="32"/>
        <item m="1" x="19"/>
        <item x="4"/>
        <item m="1" x="26"/>
        <item m="1" x="27"/>
        <item x="2"/>
        <item x="0"/>
        <item m="1" x="12"/>
        <item m="1" x="36"/>
        <item m="1" x="24"/>
        <item m="1" x="23"/>
        <item m="1" x="33"/>
        <item m="1" x="22"/>
        <item m="1" x="21"/>
        <item m="1" x="31"/>
        <item m="1" x="34"/>
        <item m="1" x="25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135">
      <pivotArea outline="0" collapsedLevelsAreSubtotals="1" fieldPosition="0"/>
    </format>
    <format dxfId="1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AA47" firstHeaderRow="1" firstDataRow="3" firstDataCol="1"/>
  <pivotFields count="24">
    <pivotField showAll="0"/>
    <pivotField axis="axisRow" showAll="0">
      <items count="16">
        <item x="0"/>
        <item x="1"/>
        <item x="3"/>
        <item m="1" x="13"/>
        <item x="4"/>
        <item x="5"/>
        <item x="6"/>
        <item m="1" x="14"/>
        <item x="7"/>
        <item x="8"/>
        <item x="9"/>
        <item x="10"/>
        <item x="12"/>
        <item x="2"/>
        <item x="11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1"/>
        <item x="0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4"/>
    </i>
    <i>
      <x v="5"/>
    </i>
    <i>
      <x v="6"/>
    </i>
    <i>
      <x v="8"/>
    </i>
    <i>
      <x v="9"/>
    </i>
    <i>
      <x v="10"/>
    </i>
    <i>
      <x v="11"/>
    </i>
    <i>
      <x v="13"/>
    </i>
    <i>
      <x v="14"/>
    </i>
    <i t="grand">
      <x/>
    </i>
  </rowItems>
  <colFields count="2">
    <field x="7"/>
    <field x="16"/>
  </colFields>
  <colItems count="6">
    <i>
      <x/>
      <x v="2"/>
    </i>
    <i r="1">
      <x v="3"/>
    </i>
    <i>
      <x v="1"/>
      <x v="2"/>
    </i>
    <i r="1">
      <x v="3"/>
    </i>
    <i>
      <x v="2"/>
      <x v="2"/>
    </i>
    <i t="grand">
      <x/>
    </i>
  </colItems>
  <dataFields count="1">
    <dataField name="Sum of notional" fld="4" baseField="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6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0">
        <item x="6"/>
        <item x="3"/>
        <item x="1"/>
        <item x="7"/>
        <item x="4"/>
        <item x="0"/>
        <item x="2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7">
    <i>
      <x v="1"/>
    </i>
    <i>
      <x v="2"/>
    </i>
    <i>
      <x v="4"/>
    </i>
    <i>
      <x v="5"/>
    </i>
    <i>
      <x v="6"/>
    </i>
    <i>
      <x v="18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18">
      <pivotArea outline="0" collapsedLevelsAreSubtotals="1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60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AB19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0">
        <item m="1" x="13"/>
        <item m="1" x="14"/>
        <item x="1"/>
        <item x="3"/>
        <item x="2"/>
        <item x="4"/>
        <item m="1" x="8"/>
        <item x="0"/>
        <item m="1" x="12"/>
        <item n="CME Dec 22" m="1" x="11"/>
        <item m="1" x="9"/>
        <item m="1" x="10"/>
        <item m="1" x="17"/>
        <item m="1" x="18"/>
        <item m="1" x="16"/>
        <item h="1" x="6"/>
        <item h="1" x="7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</rowItems>
  <colFields count="1">
    <field x="17"/>
  </colFields>
  <colItems count="7">
    <i>
      <x v="2"/>
    </i>
    <i>
      <x v="3"/>
    </i>
    <i>
      <x v="4"/>
    </i>
    <i>
      <x v="5"/>
    </i>
    <i>
      <x v="7"/>
    </i>
    <i>
      <x v="18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P47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axis="axisCol" showAll="0">
      <items count="10">
        <item h="1" x="4"/>
        <item x="1"/>
        <item x="2"/>
        <item x="0"/>
        <item m="1" x="6"/>
        <item m="1" x="7"/>
        <item m="1" x="8"/>
        <item h="1"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4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15"/>
  </colFields>
  <colItems count="5">
    <i>
      <x v="1"/>
    </i>
    <i>
      <x v="2"/>
    </i>
    <i>
      <x v="3"/>
    </i>
    <i>
      <x v="8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6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S4:BB131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40">
        <item x="81"/>
        <item x="13"/>
        <item x="14"/>
        <item x="15"/>
        <item x="82"/>
        <item x="11"/>
        <item m="1" x="128"/>
        <item x="16"/>
        <item m="1" x="132"/>
        <item x="2"/>
        <item x="17"/>
        <item x="4"/>
        <item x="83"/>
        <item x="84"/>
        <item x="18"/>
        <item x="85"/>
        <item x="76"/>
        <item x="0"/>
        <item x="86"/>
        <item x="87"/>
        <item x="19"/>
        <item x="88"/>
        <item x="9"/>
        <item x="89"/>
        <item x="20"/>
        <item x="47"/>
        <item x="21"/>
        <item x="22"/>
        <item x="90"/>
        <item x="23"/>
        <item x="24"/>
        <item x="3"/>
        <item x="5"/>
        <item m="1" x="137"/>
        <item x="1"/>
        <item m="1" x="134"/>
        <item x="41"/>
        <item x="25"/>
        <item x="91"/>
        <item x="26"/>
        <item x="27"/>
        <item x="92"/>
        <item x="93"/>
        <item x="120"/>
        <item x="29"/>
        <item x="94"/>
        <item x="95"/>
        <item m="1" x="133"/>
        <item x="96"/>
        <item x="97"/>
        <item x="98"/>
        <item m="1" x="131"/>
        <item x="99"/>
        <item x="100"/>
        <item x="101"/>
        <item x="10"/>
        <item x="102"/>
        <item x="6"/>
        <item x="103"/>
        <item x="30"/>
        <item x="31"/>
        <item x="104"/>
        <item x="105"/>
        <item x="106"/>
        <item x="107"/>
        <item x="7"/>
        <item x="108"/>
        <item m="1" x="135"/>
        <item x="33"/>
        <item m="1" x="129"/>
        <item x="109"/>
        <item x="110"/>
        <item x="44"/>
        <item x="122"/>
        <item x="12"/>
        <item x="34"/>
        <item x="111"/>
        <item m="1" x="126"/>
        <item x="112"/>
        <item x="77"/>
        <item x="121"/>
        <item x="113"/>
        <item x="114"/>
        <item x="36"/>
        <item x="42"/>
        <item x="46"/>
        <item x="115"/>
        <item x="37"/>
        <item x="43"/>
        <item x="116"/>
        <item x="117"/>
        <item x="66"/>
        <item x="123"/>
        <item x="118"/>
        <item x="38"/>
        <item x="45"/>
        <item x="39"/>
        <item x="40"/>
        <item x="80"/>
        <item x="119"/>
        <item x="8"/>
        <item x="124"/>
        <item m="1" x="136"/>
        <item x="67"/>
        <item x="68"/>
        <item x="69"/>
        <item x="70"/>
        <item x="71"/>
        <item x="78"/>
        <item x="79"/>
        <item m="1" x="125"/>
        <item m="1" x="127"/>
        <item x="48"/>
        <item x="63"/>
        <item x="64"/>
        <item m="1" x="130"/>
        <item x="49"/>
        <item x="55"/>
        <item x="61"/>
        <item x="50"/>
        <item x="52"/>
        <item x="53"/>
        <item x="62"/>
        <item m="1" x="138"/>
        <item x="32"/>
        <item x="35"/>
        <item x="59"/>
        <item x="28"/>
        <item x="56"/>
        <item x="58"/>
        <item x="65"/>
        <item x="72"/>
        <item x="73"/>
        <item x="74"/>
        <item x="75"/>
        <item x="51"/>
        <item x="54"/>
        <item x="57"/>
        <item x="60"/>
        <item t="default"/>
      </items>
    </pivotField>
    <pivotField showAll="0"/>
    <pivotField showAll="0"/>
    <pivotField showAll="0"/>
    <pivotField showAll="0"/>
    <pivotField axis="axisCol" showAll="0">
      <items count="21">
        <item x="6"/>
        <item x="5"/>
        <item x="4"/>
        <item m="1" x="8"/>
        <item m="1" x="10"/>
        <item m="1" x="11"/>
        <item x="1"/>
        <item m="1" x="16"/>
        <item x="7"/>
        <item x="2"/>
        <item m="1" x="14"/>
        <item x="0"/>
        <item m="1" x="19"/>
        <item m="1" x="12"/>
        <item m="1" x="9"/>
        <item m="1" x="17"/>
        <item m="1" x="18"/>
        <item x="3"/>
        <item m="1" x="15"/>
        <item m="1"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 t="grand">
      <x/>
    </i>
  </rowItems>
  <colFields count="1">
    <field x="15"/>
  </colFields>
  <colItems count="9">
    <i>
      <x/>
    </i>
    <i>
      <x v="1"/>
    </i>
    <i>
      <x v="2"/>
    </i>
    <i>
      <x v="6"/>
    </i>
    <i>
      <x v="8"/>
    </i>
    <i>
      <x v="9"/>
    </i>
    <i>
      <x v="11"/>
    </i>
    <i>
      <x v="17"/>
    </i>
    <i t="grand">
      <x/>
    </i>
  </colItems>
  <dataFields count="1">
    <dataField name="Sum of notional" fld="4" baseField="0" baseItem="0" numFmtId="167"/>
  </dataFields>
  <formats count="1"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P20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m="1" x="15"/>
        <item m="1" x="25"/>
        <item x="11"/>
        <item x="2"/>
        <item x="4"/>
        <item m="1" x="20"/>
        <item m="1" x="22"/>
        <item x="0"/>
        <item m="1" x="29"/>
        <item x="9"/>
        <item m="1" x="19"/>
        <item m="1" x="30"/>
        <item x="3"/>
        <item x="5"/>
        <item x="1"/>
        <item m="1" x="27"/>
        <item m="1" x="17"/>
        <item x="10"/>
        <item x="6"/>
        <item m="1" x="23"/>
        <item x="12"/>
        <item m="1" x="24"/>
        <item m="1" x="26"/>
        <item m="1" x="16"/>
        <item m="1" x="21"/>
        <item m="1" x="28"/>
        <item m="1" x="18"/>
        <item m="1" x="14"/>
        <item x="8"/>
        <item x="13"/>
        <item x="7"/>
        <item t="default"/>
      </items>
    </pivotField>
    <pivotField showAll="0"/>
    <pivotField showAll="0"/>
    <pivotField showAll="0"/>
    <pivotField showAll="0"/>
    <pivotField axis="axisCol" showAll="0">
      <items count="10">
        <item h="1" x="4"/>
        <item x="1"/>
        <item x="2"/>
        <item x="0"/>
        <item x="3"/>
        <item h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18"/>
    </i>
    <i>
      <x v="20"/>
    </i>
    <i>
      <x v="28"/>
    </i>
    <i>
      <x v="30"/>
    </i>
    <i t="grand">
      <x/>
    </i>
  </rowItems>
  <colFields count="1">
    <field x="15"/>
  </colFields>
  <colItems count="5"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6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h="1"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0">
        <item x="6"/>
        <item x="3"/>
        <item x="1"/>
        <item x="7"/>
        <item x="4"/>
        <item x="2"/>
        <item x="0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6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0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x="11"/>
        <item x="2"/>
        <item x="4"/>
        <item x="0"/>
        <item x="9"/>
        <item m="1" x="19"/>
        <item m="1" x="30"/>
        <item x="3"/>
        <item x="5"/>
        <item x="1"/>
        <item m="1" x="27"/>
        <item m="1" x="17"/>
        <item x="10"/>
        <item x="6"/>
        <item x="12"/>
        <item m="1" x="24"/>
        <item m="1" x="28"/>
        <item x="8"/>
        <item x="13"/>
        <item m="1" x="1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m="1" x="2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0">
        <item x="6"/>
        <item x="3"/>
        <item x="1"/>
        <item x="7"/>
        <item x="4"/>
        <item x="2"/>
        <item x="0"/>
        <item m="1" x="8"/>
        <item m="1" x="14"/>
        <item m="1" x="13"/>
        <item m="1" x="12"/>
        <item m="1" x="11"/>
        <item m="1" x="9"/>
        <item m="1" x="10"/>
        <item m="1" x="17"/>
        <item m="1" x="18"/>
        <item m="1" x="16"/>
        <item m="1" x="15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4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063C50-B765-493D-AB6B-5AF24FEB70A8}" name="PivotTable5" cacheId="6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1:AD110" firstHeaderRow="0" firstDataRow="1" firstDataCol="1"/>
  <pivotFields count="4">
    <pivotField axis="axisRow" showAll="0">
      <items count="26">
        <item x="0"/>
        <item x="9"/>
        <item x="21"/>
        <item x="1"/>
        <item x="2"/>
        <item x="3"/>
        <item x="20"/>
        <item x="4"/>
        <item x="5"/>
        <item x="19"/>
        <item x="18"/>
        <item x="6"/>
        <item x="22"/>
        <item x="8"/>
        <item x="7"/>
        <item x="10"/>
        <item x="12"/>
        <item x="13"/>
        <item x="14"/>
        <item x="15"/>
        <item x="16"/>
        <item x="23"/>
        <item x="24"/>
        <item x="17"/>
        <item x="11"/>
        <item t="default"/>
      </items>
    </pivotField>
    <pivotField axis="axisRow" showAll="0">
      <items count="109">
        <item sd="0" x="32"/>
        <item sd="0" x="33"/>
        <item sd="0" x="48"/>
        <item sd="0" x="0"/>
        <item sd="0" x="1"/>
        <item sd="0" x="2"/>
        <item sd="0" x="49"/>
        <item sd="0" x="3"/>
        <item sd="0" x="37"/>
        <item sd="0" x="4"/>
        <item sd="0" x="38"/>
        <item sd="0" x="5"/>
        <item sd="0" x="6"/>
        <item sd="0" x="50"/>
        <item sd="0" x="51"/>
        <item sd="0" x="7"/>
        <item sd="0" x="52"/>
        <item sd="0" x="42"/>
        <item sd="0" x="8"/>
        <item sd="0" x="53"/>
        <item sd="0" x="54"/>
        <item sd="0" x="9"/>
        <item sd="0" x="55"/>
        <item sd="0" x="10"/>
        <item sd="0" x="56"/>
        <item sd="0" x="11"/>
        <item sd="0" x="31"/>
        <item sd="0" x="57"/>
        <item sd="0" x="12"/>
        <item sd="0" x="58"/>
        <item sd="0" x="13"/>
        <item sd="0" x="59"/>
        <item sd="0" x="14"/>
        <item sd="0" x="24"/>
        <item sd="0" x="15"/>
        <item sd="0" x="44"/>
        <item sd="0" x="25"/>
        <item sd="0" x="16"/>
        <item sd="0" x="60"/>
        <item sd="0" x="103"/>
        <item sd="0" x="17"/>
        <item sd="0" x="100"/>
        <item sd="0" x="104"/>
        <item sd="0" x="40"/>
        <item sd="0" x="61"/>
        <item sd="0" x="96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18"/>
        <item sd="0" x="71"/>
        <item sd="0" x="19"/>
        <item sd="0" x="72"/>
        <item sd="0" x="20"/>
        <item sd="0" x="101"/>
        <item sd="0" x="73"/>
        <item sd="0" x="74"/>
        <item sd="0" x="75"/>
        <item sd="0" x="76"/>
        <item sd="0" x="77"/>
        <item sd="0" x="78"/>
        <item sd="0" x="34"/>
        <item sd="0" x="35"/>
        <item sd="0" x="105"/>
        <item sd="0" x="106"/>
        <item sd="0" x="21"/>
        <item sd="0" x="79"/>
        <item sd="0" x="80"/>
        <item sd="0" x="45"/>
        <item sd="0" x="28"/>
        <item sd="0" x="98"/>
        <item sd="0" x="46"/>
        <item sd="0" x="22"/>
        <item sd="0" x="81"/>
        <item sd="0" x="41"/>
        <item sd="0" x="39"/>
        <item sd="0" x="82"/>
        <item sd="0" x="43"/>
        <item sd="0" x="97"/>
        <item sd="0" x="83"/>
        <item sd="0" x="84"/>
        <item sd="0" x="85"/>
        <item sd="0" x="26"/>
        <item sd="0" x="30"/>
        <item sd="0" x="86"/>
        <item sd="0" x="23"/>
        <item sd="0" x="107"/>
        <item sd="0" x="27"/>
        <item sd="0" x="102"/>
        <item sd="0" x="87"/>
        <item sd="0" x="88"/>
        <item sd="0" x="36"/>
        <item sd="0" x="99"/>
        <item sd="0" x="89"/>
        <item sd="0" x="90"/>
        <item sd="0" x="29"/>
        <item sd="0" x="91"/>
        <item sd="0" x="92"/>
        <item sd="0" x="47"/>
        <item sd="0" x="93"/>
        <item sd="0" x="94"/>
        <item sd="0" x="95"/>
        <item t="default" sd="0"/>
      </items>
    </pivotField>
    <pivotField dataField="1" showAll="0"/>
    <pivotField dataField="1" showAll="0"/>
  </pivotFields>
  <rowFields count="2">
    <field x="1"/>
    <field x="0"/>
  </rowFields>
  <rowItems count="10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x" fld="2" baseField="0" baseItem="0"/>
    <dataField name="Sum of Databricks" fld="3" baseField="0" baseItem="0"/>
  </dataFields>
  <formats count="4">
    <format dxfId="7">
      <pivotArea outline="0" collapsedLevelsAreSubtotals="1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60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6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60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9.xml"/><Relationship Id="rId3" Type="http://schemas.openxmlformats.org/officeDocument/2006/relationships/pivotTable" Target="../pivotTables/pivotTable14.xml"/><Relationship Id="rId7" Type="http://schemas.openxmlformats.org/officeDocument/2006/relationships/pivotTable" Target="../pivotTables/pivotTable18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H10"/>
  <sheetViews>
    <sheetView zoomScale="80" zoomScaleNormal="80" workbookViewId="0">
      <selection activeCell="J18" sqref="J18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2.28515625" bestFit="1" customWidth="1"/>
    <col min="4" max="4" width="14.28515625" bestFit="1" customWidth="1"/>
    <col min="5" max="5" width="13" bestFit="1" customWidth="1"/>
    <col min="6" max="6" width="12.28515625" bestFit="1" customWidth="1"/>
    <col min="7" max="7" width="13.42578125" bestFit="1" customWidth="1"/>
    <col min="8" max="8" width="14.28515625" bestFit="1" customWidth="1"/>
    <col min="9" max="10" width="15.28515625" bestFit="1" customWidth="1"/>
  </cols>
  <sheetData>
    <row r="3" spans="1:8" x14ac:dyDescent="0.25">
      <c r="A3" s="2" t="s">
        <v>61</v>
      </c>
      <c r="B3" s="2" t="s">
        <v>57</v>
      </c>
    </row>
    <row r="4" spans="1:8" x14ac:dyDescent="0.25">
      <c r="A4" s="2" t="s">
        <v>60</v>
      </c>
      <c r="B4" t="s">
        <v>262</v>
      </c>
      <c r="C4" t="s">
        <v>255</v>
      </c>
      <c r="D4" t="s">
        <v>58</v>
      </c>
      <c r="E4" t="s">
        <v>282</v>
      </c>
      <c r="F4" t="s">
        <v>283</v>
      </c>
      <c r="G4" t="s">
        <v>319</v>
      </c>
      <c r="H4" t="s">
        <v>59</v>
      </c>
    </row>
    <row r="5" spans="1:8" x14ac:dyDescent="0.25">
      <c r="A5" s="3" t="s">
        <v>262</v>
      </c>
      <c r="B5" s="8">
        <v>35322931.20457419</v>
      </c>
      <c r="C5" s="8"/>
      <c r="D5" s="8"/>
      <c r="E5" s="8"/>
      <c r="F5" s="8"/>
      <c r="G5" s="8"/>
      <c r="H5" s="8">
        <v>35322931.20457419</v>
      </c>
    </row>
    <row r="6" spans="1:8" x14ac:dyDescent="0.25">
      <c r="A6" s="3" t="s">
        <v>255</v>
      </c>
      <c r="B6" s="8"/>
      <c r="C6" s="8">
        <v>3135066.5424682135</v>
      </c>
      <c r="D6" s="8"/>
      <c r="E6" s="8"/>
      <c r="F6" s="8"/>
      <c r="G6" s="8"/>
      <c r="H6" s="8">
        <v>3135066.5424682135</v>
      </c>
    </row>
    <row r="7" spans="1:8" x14ac:dyDescent="0.25">
      <c r="A7" s="3" t="s">
        <v>14</v>
      </c>
      <c r="B7" s="8"/>
      <c r="C7" s="8"/>
      <c r="D7" s="8"/>
      <c r="E7" s="8">
        <v>-9167714.7973859683</v>
      </c>
      <c r="F7" s="8">
        <v>1061922.9691064418</v>
      </c>
      <c r="G7" s="8"/>
      <c r="H7" s="8">
        <v>-8105791.8282795269</v>
      </c>
    </row>
    <row r="8" spans="1:8" x14ac:dyDescent="0.25">
      <c r="A8" s="3" t="s">
        <v>18</v>
      </c>
      <c r="B8" s="8"/>
      <c r="C8" s="8"/>
      <c r="D8" s="8">
        <v>-34850778.339258946</v>
      </c>
      <c r="E8" s="8"/>
      <c r="F8" s="8"/>
      <c r="G8" s="8"/>
      <c r="H8" s="8">
        <v>-34850778.339258946</v>
      </c>
    </row>
    <row r="9" spans="1:8" x14ac:dyDescent="0.25">
      <c r="A9" s="3" t="s">
        <v>286</v>
      </c>
      <c r="B9" s="8"/>
      <c r="C9" s="8"/>
      <c r="D9" s="8"/>
      <c r="E9" s="8"/>
      <c r="F9" s="8"/>
      <c r="G9" s="8">
        <v>48108900</v>
      </c>
      <c r="H9" s="8">
        <v>48108900</v>
      </c>
    </row>
    <row r="10" spans="1:8" x14ac:dyDescent="0.25">
      <c r="A10" s="3" t="s">
        <v>59</v>
      </c>
      <c r="B10" s="8">
        <v>35322931.20457419</v>
      </c>
      <c r="C10" s="8">
        <v>3135066.5424682135</v>
      </c>
      <c r="D10" s="8">
        <v>-34850778.339258946</v>
      </c>
      <c r="E10" s="8">
        <v>-9167714.7973859683</v>
      </c>
      <c r="F10" s="8">
        <v>1061922.9691064418</v>
      </c>
      <c r="G10" s="8">
        <v>48108900</v>
      </c>
      <c r="H10" s="8">
        <v>43610327.579503931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54" sqref="A54:Z153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2.7109375" style="14" bestFit="1" customWidth="1"/>
    <col min="6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6" t="s">
        <v>723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285</v>
      </c>
      <c r="V1" s="13" t="s">
        <v>71</v>
      </c>
      <c r="W1" s="13" t="s">
        <v>72</v>
      </c>
      <c r="X1" s="13" t="s">
        <v>73</v>
      </c>
      <c r="Y1" s="12" t="s">
        <v>219</v>
      </c>
      <c r="Z1" s="11" t="s">
        <v>257</v>
      </c>
      <c r="AA1" s="11"/>
    </row>
    <row r="2" spans="1:27" x14ac:dyDescent="0.25">
      <c r="A2">
        <v>0</v>
      </c>
      <c r="B2" s="77">
        <v>44909.916666666664</v>
      </c>
      <c r="C2" s="14" t="s">
        <v>11</v>
      </c>
      <c r="D2" s="14" t="s">
        <v>12</v>
      </c>
      <c r="E2" s="14" t="s">
        <v>316</v>
      </c>
      <c r="F2" s="14">
        <v>4006</v>
      </c>
      <c r="G2" s="14">
        <v>400600</v>
      </c>
      <c r="H2" s="14">
        <v>18200.03058545</v>
      </c>
      <c r="I2" s="14">
        <v>1.94072069</v>
      </c>
      <c r="J2" s="14" t="s">
        <v>14</v>
      </c>
      <c r="K2" s="15">
        <v>45016.333333333336</v>
      </c>
      <c r="L2" s="14">
        <v>0</v>
      </c>
      <c r="M2" s="14" t="s">
        <v>15</v>
      </c>
      <c r="N2" s="49">
        <v>100</v>
      </c>
      <c r="O2" s="47">
        <v>22.01095202116085</v>
      </c>
      <c r="P2" s="48">
        <v>392139.41417652223</v>
      </c>
      <c r="Q2" s="16">
        <v>106</v>
      </c>
      <c r="R2" s="26" t="s">
        <v>283</v>
      </c>
      <c r="S2" s="26" t="s">
        <v>63</v>
      </c>
      <c r="T2" s="17" t="s">
        <v>281</v>
      </c>
      <c r="U2" s="17">
        <v>404606</v>
      </c>
      <c r="V2" s="17">
        <v>18382.030891304501</v>
      </c>
      <c r="W2" s="17">
        <v>0.01</v>
      </c>
      <c r="X2" s="17">
        <v>4006</v>
      </c>
      <c r="Y2" s="14" t="s">
        <v>89</v>
      </c>
      <c r="Z2" t="s">
        <v>1142</v>
      </c>
      <c r="AA2" s="30"/>
    </row>
    <row r="3" spans="1:27" x14ac:dyDescent="0.25">
      <c r="A3">
        <v>1</v>
      </c>
      <c r="B3" s="77">
        <v>44909.916666666664</v>
      </c>
      <c r="C3" s="14" t="s">
        <v>11</v>
      </c>
      <c r="D3" s="14" t="s">
        <v>12</v>
      </c>
      <c r="E3" s="14" t="s">
        <v>17</v>
      </c>
      <c r="F3" s="14">
        <v>-67749</v>
      </c>
      <c r="G3" s="14">
        <v>-6774900</v>
      </c>
      <c r="H3" s="14">
        <v>18086.77321508</v>
      </c>
      <c r="I3" s="14">
        <v>-8.0250139699999998</v>
      </c>
      <c r="J3" s="14" t="s">
        <v>18</v>
      </c>
      <c r="K3" s="15">
        <v>73050.333333333328</v>
      </c>
      <c r="L3" s="14">
        <v>0</v>
      </c>
      <c r="M3" s="14" t="s">
        <v>15</v>
      </c>
      <c r="N3" s="49">
        <v>100</v>
      </c>
      <c r="O3" s="47">
        <v>-374.57759432463996</v>
      </c>
      <c r="P3" s="48">
        <v>-6673343.263885255</v>
      </c>
      <c r="Q3" s="16">
        <v>28140</v>
      </c>
      <c r="R3" s="26" t="s">
        <v>58</v>
      </c>
      <c r="S3" s="26" t="s">
        <v>64</v>
      </c>
      <c r="T3" s="17" t="s">
        <v>67</v>
      </c>
      <c r="U3" s="17">
        <v>-6774900</v>
      </c>
      <c r="V3" s="17">
        <v>18086.77321508</v>
      </c>
      <c r="W3" s="17">
        <v>0</v>
      </c>
      <c r="X3" s="17">
        <v>0</v>
      </c>
      <c r="Y3" s="14" t="s">
        <v>89</v>
      </c>
      <c r="Z3" t="s">
        <v>1143</v>
      </c>
    </row>
    <row r="4" spans="1:27" x14ac:dyDescent="0.25">
      <c r="A4">
        <v>2</v>
      </c>
      <c r="B4" s="77">
        <v>44909.916666666664</v>
      </c>
      <c r="C4" s="14" t="s">
        <v>11</v>
      </c>
      <c r="D4" s="14" t="s">
        <v>12</v>
      </c>
      <c r="E4" s="14" t="s">
        <v>753</v>
      </c>
      <c r="F4" s="14">
        <v>-449174</v>
      </c>
      <c r="G4" s="14">
        <v>-4491740</v>
      </c>
      <c r="H4" s="14">
        <v>1340.62</v>
      </c>
      <c r="I4" s="14">
        <v>-53.515324489999998</v>
      </c>
      <c r="J4" s="14" t="s">
        <v>18</v>
      </c>
      <c r="K4" s="15">
        <v>73050.333333333328</v>
      </c>
      <c r="L4" s="14">
        <v>0</v>
      </c>
      <c r="M4" s="14" t="s">
        <v>16</v>
      </c>
      <c r="N4" s="49">
        <v>10</v>
      </c>
      <c r="O4" s="47">
        <v>-3350.4945472990112</v>
      </c>
      <c r="P4" s="48">
        <v>-4386898.5926861111</v>
      </c>
      <c r="Q4" s="16">
        <v>28140</v>
      </c>
      <c r="R4" s="26" t="s">
        <v>58</v>
      </c>
      <c r="S4" s="26" t="s">
        <v>64</v>
      </c>
      <c r="T4" s="17" t="s">
        <v>67</v>
      </c>
      <c r="U4" s="17">
        <v>-4491740</v>
      </c>
      <c r="V4" s="17">
        <v>1340.62</v>
      </c>
      <c r="W4" s="17">
        <v>0</v>
      </c>
      <c r="X4" s="17">
        <v>0</v>
      </c>
      <c r="Y4" s="14" t="s">
        <v>89</v>
      </c>
      <c r="Z4" t="s">
        <v>1144</v>
      </c>
    </row>
    <row r="5" spans="1:27" x14ac:dyDescent="0.25">
      <c r="A5">
        <v>3</v>
      </c>
      <c r="B5" s="77">
        <v>44909.916666666664</v>
      </c>
      <c r="C5" s="14" t="s">
        <v>11</v>
      </c>
      <c r="D5" s="14" t="s">
        <v>12</v>
      </c>
      <c r="E5" s="14" t="s">
        <v>13</v>
      </c>
      <c r="F5" s="14">
        <v>-160374</v>
      </c>
      <c r="G5" s="14">
        <v>-16037400</v>
      </c>
      <c r="H5" s="14">
        <v>18146.104786510001</v>
      </c>
      <c r="I5" s="14">
        <v>-20.22281353</v>
      </c>
      <c r="J5" s="14" t="s">
        <v>14</v>
      </c>
      <c r="K5" s="15">
        <v>44925.333333333336</v>
      </c>
      <c r="L5" s="14">
        <v>0</v>
      </c>
      <c r="M5" s="14" t="s">
        <v>15</v>
      </c>
      <c r="N5" s="49">
        <v>100</v>
      </c>
      <c r="O5" s="47">
        <v>-883.79297864092393</v>
      </c>
      <c r="P5" s="48">
        <v>-15745346.251465661</v>
      </c>
      <c r="Q5" s="16">
        <v>15</v>
      </c>
      <c r="R5" s="26" t="s">
        <v>282</v>
      </c>
      <c r="S5" s="26" t="s">
        <v>64</v>
      </c>
      <c r="T5" s="17" t="s">
        <v>718</v>
      </c>
      <c r="U5" s="17">
        <v>-16197774</v>
      </c>
      <c r="V5" s="17">
        <v>18327.565834375102</v>
      </c>
      <c r="W5" s="17">
        <v>0.01</v>
      </c>
      <c r="X5" s="17">
        <v>-160374</v>
      </c>
      <c r="Y5" s="14" t="s">
        <v>89</v>
      </c>
      <c r="Z5" t="s">
        <v>1145</v>
      </c>
    </row>
    <row r="6" spans="1:27" x14ac:dyDescent="0.25">
      <c r="A6">
        <v>4</v>
      </c>
      <c r="B6" s="77">
        <v>44909.916666666664</v>
      </c>
      <c r="C6" s="14" t="s">
        <v>11</v>
      </c>
      <c r="D6" s="14" t="s">
        <v>12</v>
      </c>
      <c r="E6" s="14" t="s">
        <v>754</v>
      </c>
      <c r="F6" s="14">
        <v>-682423</v>
      </c>
      <c r="G6" s="14">
        <v>-6824230</v>
      </c>
      <c r="H6" s="14">
        <v>1343.0967177</v>
      </c>
      <c r="I6" s="14">
        <v>-122.05636714000001</v>
      </c>
      <c r="J6" s="14" t="s">
        <v>14</v>
      </c>
      <c r="K6" s="15">
        <v>44925.333333333336</v>
      </c>
      <c r="L6" s="14">
        <v>0</v>
      </c>
      <c r="M6" s="14" t="s">
        <v>16</v>
      </c>
      <c r="N6" s="49">
        <v>10</v>
      </c>
      <c r="O6" s="47">
        <v>-5080.9669252160957</v>
      </c>
      <c r="P6" s="48">
        <v>-6652655.70173332</v>
      </c>
      <c r="Q6" s="16">
        <v>15</v>
      </c>
      <c r="R6" s="26" t="s">
        <v>282</v>
      </c>
      <c r="S6" s="26" t="s">
        <v>64</v>
      </c>
      <c r="T6" s="17" t="s">
        <v>718</v>
      </c>
      <c r="U6" s="17">
        <v>-6892472.2999999998</v>
      </c>
      <c r="V6" s="17">
        <v>1356.527684877</v>
      </c>
      <c r="W6" s="17">
        <v>0.01</v>
      </c>
      <c r="X6" s="17">
        <v>-68242.299999999814</v>
      </c>
      <c r="Y6" s="14" t="s">
        <v>89</v>
      </c>
      <c r="Z6" t="s">
        <v>1146</v>
      </c>
    </row>
    <row r="7" spans="1:27" x14ac:dyDescent="0.25">
      <c r="A7">
        <v>5</v>
      </c>
      <c r="B7" s="77">
        <v>44909.916666666664</v>
      </c>
      <c r="C7" s="14" t="s">
        <v>11</v>
      </c>
      <c r="D7" s="14" t="s">
        <v>19</v>
      </c>
      <c r="E7" s="14" t="s">
        <v>755</v>
      </c>
      <c r="F7" s="14">
        <v>6000</v>
      </c>
      <c r="G7" s="14">
        <v>47406</v>
      </c>
      <c r="H7" s="14">
        <v>7.9009999999999998</v>
      </c>
      <c r="I7" s="14">
        <v>-19250.307659999999</v>
      </c>
      <c r="J7" s="14" t="s">
        <v>18</v>
      </c>
      <c r="K7" s="15">
        <v>73050.333333333328</v>
      </c>
      <c r="L7" s="14">
        <v>1</v>
      </c>
      <c r="M7" s="14" t="s">
        <v>20</v>
      </c>
      <c r="N7" s="49">
        <v>1</v>
      </c>
      <c r="O7" s="47">
        <v>6000</v>
      </c>
      <c r="P7" s="48">
        <v>47406</v>
      </c>
      <c r="Q7" s="16">
        <v>28140</v>
      </c>
      <c r="R7" s="26" t="s">
        <v>58</v>
      </c>
      <c r="S7" s="26" t="s">
        <v>63</v>
      </c>
      <c r="T7" s="17" t="s">
        <v>66</v>
      </c>
      <c r="U7" s="17">
        <v>47406</v>
      </c>
      <c r="V7" s="17">
        <v>7.9009999999999998</v>
      </c>
      <c r="W7" s="17">
        <v>0</v>
      </c>
      <c r="X7" s="17">
        <v>0</v>
      </c>
      <c r="Y7" s="14" t="s">
        <v>89</v>
      </c>
      <c r="Z7" t="s">
        <v>1147</v>
      </c>
    </row>
    <row r="8" spans="1:27" x14ac:dyDescent="0.25">
      <c r="A8">
        <v>6</v>
      </c>
      <c r="B8" s="77">
        <v>44909.916666666664</v>
      </c>
      <c r="C8" s="14" t="s">
        <v>11</v>
      </c>
      <c r="D8" s="14" t="s">
        <v>19</v>
      </c>
      <c r="E8" s="14" t="s">
        <v>756</v>
      </c>
      <c r="F8" s="14">
        <v>645300.4</v>
      </c>
      <c r="G8" s="14">
        <v>648274.20236335997</v>
      </c>
      <c r="H8" s="14">
        <v>1.0046084</v>
      </c>
      <c r="I8" s="14">
        <v>8044.1663673000003</v>
      </c>
      <c r="J8" s="14" t="s">
        <v>18</v>
      </c>
      <c r="K8" s="15">
        <v>73050.333333333328</v>
      </c>
      <c r="L8" s="14">
        <v>1</v>
      </c>
      <c r="M8" s="14" t="s">
        <v>24</v>
      </c>
      <c r="N8" s="49">
        <v>1</v>
      </c>
      <c r="O8" s="47">
        <v>645300.4</v>
      </c>
      <c r="P8" s="48">
        <v>631117.55977524538</v>
      </c>
      <c r="Q8" s="16">
        <v>28140</v>
      </c>
      <c r="R8" s="26" t="s">
        <v>58</v>
      </c>
      <c r="S8" s="26" t="s">
        <v>63</v>
      </c>
      <c r="T8" s="17" t="s">
        <v>66</v>
      </c>
      <c r="U8" s="17">
        <v>648274.20236335997</v>
      </c>
      <c r="V8" s="17">
        <v>1.0046084</v>
      </c>
      <c r="W8" s="17">
        <v>0</v>
      </c>
      <c r="X8" s="17">
        <v>0</v>
      </c>
      <c r="Y8" s="14" t="s">
        <v>89</v>
      </c>
      <c r="Z8" t="s">
        <v>1149</v>
      </c>
    </row>
    <row r="9" spans="1:27" x14ac:dyDescent="0.25">
      <c r="A9">
        <v>7</v>
      </c>
      <c r="B9" s="77">
        <v>44909.916666666664</v>
      </c>
      <c r="C9" s="14" t="s">
        <v>11</v>
      </c>
      <c r="D9" s="14" t="s">
        <v>19</v>
      </c>
      <c r="E9" s="14" t="s">
        <v>758</v>
      </c>
      <c r="F9" s="14">
        <v>-1715.2529999999999</v>
      </c>
      <c r="G9" s="14">
        <v>-188214.71169</v>
      </c>
      <c r="H9" s="14">
        <v>109.73</v>
      </c>
      <c r="I9" s="14">
        <v>-6138.2706803199999</v>
      </c>
      <c r="J9" s="14" t="s">
        <v>18</v>
      </c>
      <c r="K9" s="15">
        <v>73050.333333333328</v>
      </c>
      <c r="L9" s="14">
        <v>1</v>
      </c>
      <c r="M9" s="14" t="s">
        <v>21</v>
      </c>
      <c r="N9" s="49">
        <v>1</v>
      </c>
      <c r="O9" s="47">
        <v>-1715.2529999999999</v>
      </c>
      <c r="P9" s="48">
        <v>-187148.67500899459</v>
      </c>
      <c r="Q9" s="16">
        <v>28140</v>
      </c>
      <c r="R9" s="26" t="s">
        <v>58</v>
      </c>
      <c r="S9" s="26" t="s">
        <v>64</v>
      </c>
      <c r="T9" s="17" t="s">
        <v>67</v>
      </c>
      <c r="U9" s="17">
        <v>-188214.71169</v>
      </c>
      <c r="V9" s="17">
        <v>109.73</v>
      </c>
      <c r="W9" s="17">
        <v>0</v>
      </c>
      <c r="X9" s="17">
        <v>0</v>
      </c>
      <c r="Y9" s="14" t="s">
        <v>89</v>
      </c>
      <c r="Z9" t="s">
        <v>1151</v>
      </c>
    </row>
    <row r="10" spans="1:27" x14ac:dyDescent="0.25">
      <c r="A10">
        <v>8</v>
      </c>
      <c r="B10" s="77">
        <v>44909.916666666664</v>
      </c>
      <c r="C10" s="14" t="s">
        <v>11</v>
      </c>
      <c r="D10" s="14" t="s">
        <v>19</v>
      </c>
      <c r="E10" s="14" t="s">
        <v>22</v>
      </c>
      <c r="F10" s="14">
        <v>-29.902000000000001</v>
      </c>
      <c r="G10" s="14">
        <v>-540664.04240000003</v>
      </c>
      <c r="H10" s="14">
        <v>18081.2</v>
      </c>
      <c r="I10" s="14">
        <v>-645.23858853000002</v>
      </c>
      <c r="J10" s="14" t="s">
        <v>18</v>
      </c>
      <c r="K10" s="15">
        <v>73050.333333333328</v>
      </c>
      <c r="L10" s="14">
        <v>1</v>
      </c>
      <c r="M10" s="14" t="s">
        <v>15</v>
      </c>
      <c r="N10" s="49">
        <v>1</v>
      </c>
      <c r="O10" s="47">
        <v>-29.902000000000001</v>
      </c>
      <c r="P10" s="48">
        <v>-532723.56195377116</v>
      </c>
      <c r="Q10" s="16">
        <v>28140</v>
      </c>
      <c r="R10" s="26" t="s">
        <v>58</v>
      </c>
      <c r="S10" s="26" t="s">
        <v>64</v>
      </c>
      <c r="T10" s="17" t="s">
        <v>67</v>
      </c>
      <c r="U10" s="17">
        <v>-540664.04240000003</v>
      </c>
      <c r="V10" s="17">
        <v>18081.2</v>
      </c>
      <c r="W10" s="17">
        <v>0</v>
      </c>
      <c r="X10" s="17">
        <v>0</v>
      </c>
      <c r="Y10" s="14" t="s">
        <v>89</v>
      </c>
      <c r="Z10" t="s">
        <v>1143</v>
      </c>
    </row>
    <row r="11" spans="1:27" x14ac:dyDescent="0.25">
      <c r="A11">
        <v>9</v>
      </c>
      <c r="B11" s="77">
        <v>44909.916666666664</v>
      </c>
      <c r="C11" s="14" t="s">
        <v>11</v>
      </c>
      <c r="D11" s="14" t="s">
        <v>19</v>
      </c>
      <c r="E11" s="14" t="s">
        <v>759</v>
      </c>
      <c r="F11" s="14">
        <v>-8.5299999999999994</v>
      </c>
      <c r="G11" s="14">
        <v>-165.24083404000001</v>
      </c>
      <c r="H11" s="14">
        <v>19.371727320000002</v>
      </c>
      <c r="I11" s="14">
        <v>11.31243772</v>
      </c>
      <c r="J11" s="14" t="s">
        <v>18</v>
      </c>
      <c r="K11" s="15">
        <v>73050.333333333328</v>
      </c>
      <c r="L11" s="14">
        <v>1</v>
      </c>
      <c r="M11" s="14" t="s">
        <v>30</v>
      </c>
      <c r="N11" s="49">
        <v>1</v>
      </c>
      <c r="O11" s="47">
        <v>-8.5299999999999994</v>
      </c>
      <c r="P11" s="48">
        <v>-160.25897205839783</v>
      </c>
      <c r="Q11" s="16">
        <v>28140</v>
      </c>
      <c r="R11" s="26" t="s">
        <v>58</v>
      </c>
      <c r="S11" s="26" t="s">
        <v>64</v>
      </c>
      <c r="T11" s="17" t="s">
        <v>67</v>
      </c>
      <c r="U11" s="17">
        <v>-165.24083404000001</v>
      </c>
      <c r="V11" s="17">
        <v>19.371727320000002</v>
      </c>
      <c r="W11" s="17">
        <v>0</v>
      </c>
      <c r="X11" s="17">
        <v>0</v>
      </c>
      <c r="Y11" s="14" t="s">
        <v>89</v>
      </c>
      <c r="Z11" t="s">
        <v>1152</v>
      </c>
    </row>
    <row r="12" spans="1:27" x14ac:dyDescent="0.25">
      <c r="A12">
        <v>10</v>
      </c>
      <c r="B12" s="77">
        <v>44909.916666666664</v>
      </c>
      <c r="C12" s="14" t="s">
        <v>11</v>
      </c>
      <c r="D12" s="14" t="s">
        <v>19</v>
      </c>
      <c r="E12" s="14" t="s">
        <v>760</v>
      </c>
      <c r="F12" s="14">
        <v>-20870.772000000001</v>
      </c>
      <c r="G12" s="14">
        <v>-27979810.940720402</v>
      </c>
      <c r="H12" s="14">
        <v>1340.6217527900001</v>
      </c>
      <c r="I12" s="14">
        <v>-330525.65157545998</v>
      </c>
      <c r="J12" s="14" t="s">
        <v>18</v>
      </c>
      <c r="K12" s="15">
        <v>73050.333333333328</v>
      </c>
      <c r="L12" s="14">
        <v>1</v>
      </c>
      <c r="M12" s="14" t="s">
        <v>16</v>
      </c>
      <c r="N12" s="49">
        <v>1</v>
      </c>
      <c r="O12" s="47">
        <v>-20870.772000000001</v>
      </c>
      <c r="P12" s="48">
        <v>-27326700.289329469</v>
      </c>
      <c r="Q12" s="16">
        <v>28140</v>
      </c>
      <c r="R12" s="26" t="s">
        <v>58</v>
      </c>
      <c r="S12" s="26" t="s">
        <v>64</v>
      </c>
      <c r="T12" s="17" t="s">
        <v>67</v>
      </c>
      <c r="U12" s="17">
        <v>-27979810.940720402</v>
      </c>
      <c r="V12" s="17">
        <v>1340.6217527900001</v>
      </c>
      <c r="W12" s="17">
        <v>0</v>
      </c>
      <c r="X12" s="17">
        <v>0</v>
      </c>
      <c r="Y12" s="14" t="s">
        <v>89</v>
      </c>
      <c r="Z12" t="s">
        <v>1144</v>
      </c>
    </row>
    <row r="13" spans="1:27" x14ac:dyDescent="0.25">
      <c r="A13">
        <v>11</v>
      </c>
      <c r="B13" s="77">
        <v>44909.916666666664</v>
      </c>
      <c r="C13" s="14" t="s">
        <v>11</v>
      </c>
      <c r="D13" s="14" t="s">
        <v>19</v>
      </c>
      <c r="E13" s="14" t="s">
        <v>761</v>
      </c>
      <c r="F13" s="14">
        <v>-3392.3029999999999</v>
      </c>
      <c r="G13" s="14">
        <v>-267344.75753834698</v>
      </c>
      <c r="H13" s="14">
        <v>78.809221210000004</v>
      </c>
      <c r="I13" s="14">
        <v>-2089.8192057000001</v>
      </c>
      <c r="J13" s="14" t="s">
        <v>18</v>
      </c>
      <c r="K13" s="15">
        <v>73050.333333333328</v>
      </c>
      <c r="L13" s="14">
        <v>1</v>
      </c>
      <c r="M13" s="14" t="s">
        <v>25</v>
      </c>
      <c r="N13" s="49">
        <v>1</v>
      </c>
      <c r="O13" s="47">
        <v>-3392.3029999999999</v>
      </c>
      <c r="P13" s="48">
        <v>-256036.99867437468</v>
      </c>
      <c r="Q13" s="16">
        <v>28140</v>
      </c>
      <c r="R13" s="26" t="s">
        <v>58</v>
      </c>
      <c r="S13" s="26" t="s">
        <v>64</v>
      </c>
      <c r="T13" s="17" t="s">
        <v>67</v>
      </c>
      <c r="U13" s="17">
        <v>-267344.75753834698</v>
      </c>
      <c r="V13" s="17">
        <v>78.809221210000004</v>
      </c>
      <c r="W13" s="17">
        <v>0</v>
      </c>
      <c r="X13" s="17">
        <v>0</v>
      </c>
      <c r="Y13" s="14" t="s">
        <v>89</v>
      </c>
      <c r="Z13" t="s">
        <v>1153</v>
      </c>
    </row>
    <row r="14" spans="1:27" x14ac:dyDescent="0.25">
      <c r="A14">
        <v>12</v>
      </c>
      <c r="B14" s="77">
        <v>44909.916666666664</v>
      </c>
      <c r="C14" s="14" t="s">
        <v>11</v>
      </c>
      <c r="D14" s="14" t="s">
        <v>19</v>
      </c>
      <c r="E14" s="14" t="s">
        <v>1170</v>
      </c>
      <c r="F14" s="14">
        <v>-24000</v>
      </c>
      <c r="G14" s="14">
        <v>-28573.161840000001</v>
      </c>
      <c r="H14" s="14">
        <v>1.1905484099999999</v>
      </c>
      <c r="I14" s="14">
        <v>-709.86192000000005</v>
      </c>
      <c r="J14" s="14" t="s">
        <v>18</v>
      </c>
      <c r="K14" s="15">
        <v>73050.333333333328</v>
      </c>
      <c r="L14" s="14">
        <v>1</v>
      </c>
      <c r="M14" s="14" t="s">
        <v>153</v>
      </c>
      <c r="N14" s="49">
        <v>1</v>
      </c>
      <c r="O14" s="47">
        <v>-24000</v>
      </c>
      <c r="P14" s="48">
        <v>-28267.740665380799</v>
      </c>
      <c r="Q14" s="16">
        <v>28140</v>
      </c>
      <c r="R14" s="26" t="s">
        <v>58</v>
      </c>
      <c r="S14" s="26" t="s">
        <v>64</v>
      </c>
      <c r="T14" s="17" t="s">
        <v>67</v>
      </c>
      <c r="U14" s="17" t="e">
        <v>#N/A</v>
      </c>
      <c r="V14" s="17" t="e">
        <v>#N/A</v>
      </c>
      <c r="W14" s="17" t="e">
        <v>#N/A</v>
      </c>
      <c r="X14" s="17" t="e">
        <v>#N/A</v>
      </c>
      <c r="Y14" s="14" t="s">
        <v>89</v>
      </c>
      <c r="Z14" t="s">
        <v>1174</v>
      </c>
    </row>
    <row r="15" spans="1:27" x14ac:dyDescent="0.25">
      <c r="A15">
        <v>13</v>
      </c>
      <c r="B15" s="77">
        <v>44909.916666666664</v>
      </c>
      <c r="C15" s="14" t="s">
        <v>11</v>
      </c>
      <c r="D15" s="14" t="s">
        <v>19</v>
      </c>
      <c r="E15" s="14" t="s">
        <v>762</v>
      </c>
      <c r="F15" s="14">
        <v>-836034</v>
      </c>
      <c r="G15" s="14">
        <v>-18559.9548</v>
      </c>
      <c r="H15" s="14">
        <v>2.2200000000000001E-2</v>
      </c>
      <c r="I15" s="14">
        <v>131.24061732000001</v>
      </c>
      <c r="J15" s="14" t="s">
        <v>18</v>
      </c>
      <c r="K15" s="15">
        <v>73050.333333333328</v>
      </c>
      <c r="L15" s="14">
        <v>1</v>
      </c>
      <c r="M15" s="14" t="s">
        <v>27</v>
      </c>
      <c r="N15" s="49">
        <v>1</v>
      </c>
      <c r="O15" s="47">
        <v>-836034</v>
      </c>
      <c r="P15" s="48">
        <v>-18217.492629457171</v>
      </c>
      <c r="Q15" s="16">
        <v>28140</v>
      </c>
      <c r="R15" s="26" t="s">
        <v>58</v>
      </c>
      <c r="S15" s="26" t="s">
        <v>64</v>
      </c>
      <c r="T15" s="17" t="s">
        <v>67</v>
      </c>
      <c r="U15" s="17">
        <v>-18559.9548</v>
      </c>
      <c r="V15" s="17">
        <v>2.2200000000000001E-2</v>
      </c>
      <c r="W15" s="17">
        <v>0</v>
      </c>
      <c r="X15" s="17">
        <v>0</v>
      </c>
      <c r="Y15" s="14" t="s">
        <v>89</v>
      </c>
      <c r="Z15" t="s">
        <v>1154</v>
      </c>
    </row>
    <row r="16" spans="1:27" x14ac:dyDescent="0.25">
      <c r="A16">
        <v>14</v>
      </c>
      <c r="B16" s="77">
        <v>44909.916666666664</v>
      </c>
      <c r="C16" s="14" t="s">
        <v>11</v>
      </c>
      <c r="D16" s="14" t="s">
        <v>19</v>
      </c>
      <c r="E16" s="14" t="s">
        <v>763</v>
      </c>
      <c r="F16" s="14">
        <v>-200.97900000000001</v>
      </c>
      <c r="G16" s="14">
        <v>-7992.9348300000001</v>
      </c>
      <c r="H16" s="14">
        <v>39.770000000000003</v>
      </c>
      <c r="I16" s="14">
        <v>1968.1015390099999</v>
      </c>
      <c r="J16" s="14" t="s">
        <v>18</v>
      </c>
      <c r="K16" s="15">
        <v>73050.333333333328</v>
      </c>
      <c r="L16" s="14">
        <v>1</v>
      </c>
      <c r="M16" s="14" t="s">
        <v>32</v>
      </c>
      <c r="N16" s="49">
        <v>1</v>
      </c>
      <c r="O16" s="47">
        <v>-200.97900000000001</v>
      </c>
      <c r="P16" s="48">
        <v>-7909.1746469742375</v>
      </c>
      <c r="Q16" s="16">
        <v>28140</v>
      </c>
      <c r="R16" s="26" t="s">
        <v>58</v>
      </c>
      <c r="S16" s="26" t="s">
        <v>64</v>
      </c>
      <c r="T16" s="17" t="s">
        <v>67</v>
      </c>
      <c r="U16" s="17">
        <v>-7992.9348300000001</v>
      </c>
      <c r="V16" s="17">
        <v>39.770000000000003</v>
      </c>
      <c r="W16" s="17">
        <v>0</v>
      </c>
      <c r="X16" s="17">
        <v>0</v>
      </c>
      <c r="Y16" s="14" t="s">
        <v>89</v>
      </c>
      <c r="Z16" t="s">
        <v>1155</v>
      </c>
    </row>
    <row r="17" spans="1:26" x14ac:dyDescent="0.25">
      <c r="A17">
        <v>15</v>
      </c>
      <c r="B17" s="77">
        <v>44909.916666666664</v>
      </c>
      <c r="C17" s="14" t="s">
        <v>11</v>
      </c>
      <c r="D17" s="14" t="s">
        <v>19</v>
      </c>
      <c r="E17" s="14" t="s">
        <v>764</v>
      </c>
      <c r="F17" s="14">
        <v>-66041.94</v>
      </c>
      <c r="G17" s="14">
        <v>-454962.92466000002</v>
      </c>
      <c r="H17" s="14">
        <v>6.8890000000000002</v>
      </c>
      <c r="I17" s="14">
        <v>-5442.1807823400004</v>
      </c>
      <c r="J17" s="14" t="s">
        <v>18</v>
      </c>
      <c r="K17" s="15">
        <v>73050.333333333328</v>
      </c>
      <c r="L17" s="14">
        <v>1</v>
      </c>
      <c r="M17" s="14" t="s">
        <v>28</v>
      </c>
      <c r="N17" s="49">
        <v>1</v>
      </c>
      <c r="O17" s="47">
        <v>-66041.94</v>
      </c>
      <c r="P17" s="48">
        <v>-444384.85884981666</v>
      </c>
      <c r="Q17" s="16">
        <v>28140</v>
      </c>
      <c r="R17" s="26" t="s">
        <v>58</v>
      </c>
      <c r="S17" s="26" t="s">
        <v>64</v>
      </c>
      <c r="T17" s="17" t="s">
        <v>67</v>
      </c>
      <c r="U17" s="17">
        <v>-454962.92466000002</v>
      </c>
      <c r="V17" s="17">
        <v>6.8890000000000002</v>
      </c>
      <c r="W17" s="17">
        <v>0</v>
      </c>
      <c r="X17" s="17">
        <v>0</v>
      </c>
      <c r="Y17" s="14" t="s">
        <v>89</v>
      </c>
      <c r="Z17" t="s">
        <v>1156</v>
      </c>
    </row>
    <row r="18" spans="1:26" x14ac:dyDescent="0.25">
      <c r="A18">
        <v>16</v>
      </c>
      <c r="B18" s="77">
        <v>44909.916666666664</v>
      </c>
      <c r="C18" s="14" t="s">
        <v>11</v>
      </c>
      <c r="D18" s="14" t="s">
        <v>19</v>
      </c>
      <c r="E18" s="14" t="s">
        <v>287</v>
      </c>
      <c r="F18" s="14">
        <v>-168.59700000000001</v>
      </c>
      <c r="G18" s="14">
        <v>-3054885.8626449802</v>
      </c>
      <c r="H18" s="14">
        <v>18119.455640640001</v>
      </c>
      <c r="I18" s="14">
        <v>-47227.332067930001</v>
      </c>
      <c r="J18" s="14" t="s">
        <v>14</v>
      </c>
      <c r="K18" s="15">
        <v>44925.333333333336</v>
      </c>
      <c r="L18" s="14">
        <v>1</v>
      </c>
      <c r="M18" s="14" t="s">
        <v>15</v>
      </c>
      <c r="N18" s="49">
        <v>1</v>
      </c>
      <c r="O18" s="47">
        <v>-168.59700000000001</v>
      </c>
      <c r="P18" s="48">
        <v>-3003665.1185445776</v>
      </c>
      <c r="Q18" s="16">
        <v>15</v>
      </c>
      <c r="R18" s="26" t="s">
        <v>282</v>
      </c>
      <c r="S18" s="26" t="s">
        <v>64</v>
      </c>
      <c r="T18" s="17" t="s">
        <v>718</v>
      </c>
      <c r="U18" s="17">
        <v>-3085434.7212714301</v>
      </c>
      <c r="V18" s="17">
        <v>18300.650197046401</v>
      </c>
      <c r="W18" s="17">
        <v>0.01</v>
      </c>
      <c r="X18" s="17">
        <v>-30548.858626449946</v>
      </c>
      <c r="Y18" s="14" t="s">
        <v>89</v>
      </c>
      <c r="Z18" t="s">
        <v>1145</v>
      </c>
    </row>
    <row r="19" spans="1:26" x14ac:dyDescent="0.25">
      <c r="A19">
        <v>17</v>
      </c>
      <c r="B19" s="77">
        <v>44909.916666666664</v>
      </c>
      <c r="C19" s="14" t="s">
        <v>11</v>
      </c>
      <c r="D19" s="14" t="s">
        <v>19</v>
      </c>
      <c r="E19" s="14" t="s">
        <v>757</v>
      </c>
      <c r="F19" s="14">
        <v>-386.97800000000001</v>
      </c>
      <c r="G19" s="14">
        <v>-519033.077796834</v>
      </c>
      <c r="H19" s="14">
        <v>1341.2469902600001</v>
      </c>
      <c r="I19" s="14">
        <v>-3713.8092368699999</v>
      </c>
      <c r="J19" s="14" t="s">
        <v>14</v>
      </c>
      <c r="K19" s="15">
        <v>44925.333333333336</v>
      </c>
      <c r="L19" s="14">
        <v>1</v>
      </c>
      <c r="M19" s="14" t="s">
        <v>16</v>
      </c>
      <c r="N19" s="49">
        <v>1</v>
      </c>
      <c r="O19" s="47">
        <v>-386.97800000000001</v>
      </c>
      <c r="P19" s="48">
        <v>-506681.39274216298</v>
      </c>
      <c r="Q19" s="16">
        <v>15</v>
      </c>
      <c r="R19" s="26" t="s">
        <v>282</v>
      </c>
      <c r="S19" s="26" t="s">
        <v>64</v>
      </c>
      <c r="T19" s="17" t="s">
        <v>718</v>
      </c>
      <c r="U19" s="17">
        <v>-524223.40857480234</v>
      </c>
      <c r="V19" s="17">
        <v>1354.6594601626</v>
      </c>
      <c r="W19" s="17">
        <v>0.01</v>
      </c>
      <c r="X19" s="17">
        <v>-5190.3307779683382</v>
      </c>
      <c r="Y19" s="14" t="s">
        <v>89</v>
      </c>
      <c r="Z19" t="s">
        <v>1146</v>
      </c>
    </row>
    <row r="20" spans="1:26" x14ac:dyDescent="0.25">
      <c r="A20">
        <v>18</v>
      </c>
      <c r="B20" s="77">
        <v>44909.916666666664</v>
      </c>
      <c r="C20" s="14" t="s">
        <v>11</v>
      </c>
      <c r="D20" s="14" t="s">
        <v>306</v>
      </c>
      <c r="E20" s="14" t="s">
        <v>22</v>
      </c>
      <c r="F20" s="14">
        <v>43.777000000000001</v>
      </c>
      <c r="G20" s="14">
        <v>791975.26269441703</v>
      </c>
      <c r="H20" s="14">
        <v>18091.126908980001</v>
      </c>
      <c r="I20" s="14">
        <v>7972.3690980499996</v>
      </c>
      <c r="J20" s="14" t="s">
        <v>18</v>
      </c>
      <c r="K20" s="15">
        <v>73050.333333333328</v>
      </c>
      <c r="L20" s="14">
        <v>1</v>
      </c>
      <c r="M20" s="14" t="s">
        <v>15</v>
      </c>
      <c r="N20" s="49">
        <v>1</v>
      </c>
      <c r="O20" s="47">
        <v>43.777000000000001</v>
      </c>
      <c r="P20" s="48">
        <v>779915.70368705248</v>
      </c>
      <c r="Q20" s="16">
        <v>28140</v>
      </c>
      <c r="R20" s="26" t="s">
        <v>58</v>
      </c>
      <c r="S20" s="26" t="s">
        <v>63</v>
      </c>
      <c r="T20" s="17" t="s">
        <v>66</v>
      </c>
      <c r="U20" s="17">
        <v>791975.26269441703</v>
      </c>
      <c r="V20" s="17">
        <v>18091.126908980001</v>
      </c>
      <c r="W20" s="17">
        <v>0</v>
      </c>
      <c r="X20" s="17">
        <v>0</v>
      </c>
      <c r="Y20" s="14" t="s">
        <v>89</v>
      </c>
      <c r="Z20" t="s">
        <v>1148</v>
      </c>
    </row>
    <row r="21" spans="1:26" x14ac:dyDescent="0.25">
      <c r="A21">
        <v>19</v>
      </c>
      <c r="B21" s="77">
        <v>44909.916666666664</v>
      </c>
      <c r="C21" s="14" t="s">
        <v>33</v>
      </c>
      <c r="D21" s="14" t="s">
        <v>34</v>
      </c>
      <c r="E21" s="14" t="s">
        <v>35</v>
      </c>
      <c r="F21" s="14">
        <v>-1.4123000000000001</v>
      </c>
      <c r="G21" s="14">
        <v>-25522.980780859001</v>
      </c>
      <c r="H21" s="14">
        <v>18071.92578125</v>
      </c>
      <c r="I21" s="14">
        <v>2007.843967</v>
      </c>
      <c r="J21" s="14" t="s">
        <v>18</v>
      </c>
      <c r="K21" s="15">
        <v>73050.333333333328</v>
      </c>
      <c r="L21" s="14">
        <v>1</v>
      </c>
      <c r="M21" s="14" t="s">
        <v>15</v>
      </c>
      <c r="N21" s="49">
        <v>1</v>
      </c>
      <c r="O21" s="47">
        <v>-1.4123000000000001</v>
      </c>
      <c r="P21" s="48">
        <v>-25161.042289723468</v>
      </c>
      <c r="Q21" s="16">
        <v>28140</v>
      </c>
      <c r="R21" s="26" t="s">
        <v>58</v>
      </c>
      <c r="S21" s="26" t="s">
        <v>64</v>
      </c>
      <c r="T21" s="17" t="s">
        <v>67</v>
      </c>
      <c r="U21" s="17">
        <v>-25522.980780859001</v>
      </c>
      <c r="V21" s="17">
        <v>18071.92578125</v>
      </c>
      <c r="W21" s="17">
        <v>0</v>
      </c>
      <c r="X21" s="17">
        <v>0</v>
      </c>
      <c r="Y21" s="14" t="s">
        <v>33</v>
      </c>
      <c r="Z21" t="s">
        <v>1143</v>
      </c>
    </row>
    <row r="22" spans="1:26" x14ac:dyDescent="0.25">
      <c r="A22">
        <v>20</v>
      </c>
      <c r="B22" s="77">
        <v>44909.916666666664</v>
      </c>
      <c r="C22" s="14" t="s">
        <v>33</v>
      </c>
      <c r="D22" s="14" t="s">
        <v>34</v>
      </c>
      <c r="E22" s="14" t="s">
        <v>765</v>
      </c>
      <c r="F22" s="14">
        <v>-426.6</v>
      </c>
      <c r="G22" s="14">
        <v>-4213.2295194629996</v>
      </c>
      <c r="H22" s="14">
        <v>9.8762998579999994</v>
      </c>
      <c r="I22" s="14">
        <v>5143.0681100000002</v>
      </c>
      <c r="J22" s="14" t="s">
        <v>18</v>
      </c>
      <c r="K22" s="15">
        <v>73050.333333333328</v>
      </c>
      <c r="L22" s="14">
        <v>1</v>
      </c>
      <c r="M22" s="14" t="s">
        <v>36</v>
      </c>
      <c r="N22" s="49">
        <v>1</v>
      </c>
      <c r="O22" s="47">
        <v>-426.6</v>
      </c>
      <c r="P22" s="48">
        <v>-4099.2586031132605</v>
      </c>
      <c r="Q22" s="16">
        <v>28140</v>
      </c>
      <c r="R22" s="26" t="s">
        <v>58</v>
      </c>
      <c r="S22" s="26" t="s">
        <v>64</v>
      </c>
      <c r="T22" s="17" t="s">
        <v>67</v>
      </c>
      <c r="U22" s="17">
        <v>-4213.2295194629996</v>
      </c>
      <c r="V22" s="17">
        <v>9.8762998579999994</v>
      </c>
      <c r="W22" s="17">
        <v>0</v>
      </c>
      <c r="X22" s="17">
        <v>0</v>
      </c>
      <c r="Y22" s="14" t="s">
        <v>33</v>
      </c>
      <c r="Z22" t="s">
        <v>1157</v>
      </c>
    </row>
    <row r="23" spans="1:26" x14ac:dyDescent="0.25">
      <c r="A23">
        <v>21</v>
      </c>
      <c r="B23" s="77">
        <v>44909.916666666664</v>
      </c>
      <c r="C23" s="14" t="s">
        <v>40</v>
      </c>
      <c r="D23" s="14" t="s">
        <v>41</v>
      </c>
      <c r="E23" s="14" t="s">
        <v>276</v>
      </c>
      <c r="F23" s="14">
        <v>2127</v>
      </c>
      <c r="G23" s="14">
        <v>212700</v>
      </c>
      <c r="H23" s="14">
        <v>18025.689999999999</v>
      </c>
      <c r="I23" s="14">
        <v>0.19737890699999999</v>
      </c>
      <c r="J23" s="14" t="s">
        <v>14</v>
      </c>
      <c r="K23" s="15">
        <v>44925.333333333336</v>
      </c>
      <c r="L23" s="14">
        <v>0</v>
      </c>
      <c r="M23" s="14" t="s">
        <v>15</v>
      </c>
      <c r="N23" s="49">
        <v>100</v>
      </c>
      <c r="O23" s="47">
        <v>11.799825693218956</v>
      </c>
      <c r="P23" s="48">
        <v>210221.56289630223</v>
      </c>
      <c r="Q23" s="16">
        <v>15</v>
      </c>
      <c r="R23" s="26" t="s">
        <v>282</v>
      </c>
      <c r="S23" s="26" t="s">
        <v>63</v>
      </c>
      <c r="T23" s="17" t="s">
        <v>280</v>
      </c>
      <c r="U23" s="17">
        <v>214827</v>
      </c>
      <c r="V23" s="17">
        <v>18205.946899999999</v>
      </c>
      <c r="W23" s="17">
        <v>0.01</v>
      </c>
      <c r="X23" s="17">
        <v>2127</v>
      </c>
      <c r="Y23" s="14" t="s">
        <v>218</v>
      </c>
      <c r="Z23" t="s">
        <v>1158</v>
      </c>
    </row>
    <row r="24" spans="1:26" x14ac:dyDescent="0.25">
      <c r="A24">
        <v>22</v>
      </c>
      <c r="B24" s="77">
        <v>44909.916666666664</v>
      </c>
      <c r="C24" s="14" t="s">
        <v>40</v>
      </c>
      <c r="D24" s="14" t="s">
        <v>41</v>
      </c>
      <c r="E24" s="14" t="s">
        <v>766</v>
      </c>
      <c r="F24" s="14">
        <v>64770</v>
      </c>
      <c r="G24" s="14">
        <v>647700</v>
      </c>
      <c r="H24" s="14">
        <v>1334.066</v>
      </c>
      <c r="I24" s="14">
        <v>7.3256461310000001</v>
      </c>
      <c r="J24" s="14" t="s">
        <v>14</v>
      </c>
      <c r="K24" s="15">
        <v>44925.333333333336</v>
      </c>
      <c r="L24" s="14">
        <v>0</v>
      </c>
      <c r="M24" s="14" t="s">
        <v>16</v>
      </c>
      <c r="N24" s="46">
        <v>10</v>
      </c>
      <c r="O24" s="47">
        <v>485.50821323682635</v>
      </c>
      <c r="P24" s="48">
        <v>635689.82647745928</v>
      </c>
      <c r="Q24" s="25">
        <v>15</v>
      </c>
      <c r="R24" s="26" t="s">
        <v>282</v>
      </c>
      <c r="S24" s="26" t="s">
        <v>63</v>
      </c>
      <c r="T24" s="26" t="s">
        <v>280</v>
      </c>
      <c r="U24" s="17">
        <v>654177</v>
      </c>
      <c r="V24" s="17">
        <v>1347.4066600000001</v>
      </c>
      <c r="W24" s="40">
        <v>0.01</v>
      </c>
      <c r="X24" s="17">
        <v>6477</v>
      </c>
      <c r="Y24" s="14" t="s">
        <v>218</v>
      </c>
      <c r="Z24" t="s">
        <v>1150</v>
      </c>
    </row>
    <row r="25" spans="1:26" x14ac:dyDescent="0.25">
      <c r="A25">
        <v>23</v>
      </c>
      <c r="B25" s="77">
        <v>44909.916666666664</v>
      </c>
      <c r="C25" s="14" t="s">
        <v>40</v>
      </c>
      <c r="D25" s="14" t="s">
        <v>42</v>
      </c>
      <c r="E25" s="14" t="s">
        <v>719</v>
      </c>
      <c r="F25" s="14">
        <v>14732</v>
      </c>
      <c r="G25" s="14">
        <v>1473200</v>
      </c>
      <c r="H25" s="14">
        <v>18083</v>
      </c>
      <c r="I25" s="14">
        <v>1.1685359739999901</v>
      </c>
      <c r="J25" s="14" t="s">
        <v>18</v>
      </c>
      <c r="K25" s="15">
        <v>73050.333333333328</v>
      </c>
      <c r="L25" s="14">
        <v>0</v>
      </c>
      <c r="M25" s="14" t="s">
        <v>15</v>
      </c>
      <c r="N25" s="46">
        <v>100</v>
      </c>
      <c r="O25" s="47">
        <v>81.46878283470663</v>
      </c>
      <c r="P25" s="48">
        <v>1451419.3090677268</v>
      </c>
      <c r="Q25" s="25">
        <v>28140</v>
      </c>
      <c r="R25" s="26" t="s">
        <v>58</v>
      </c>
      <c r="S25" s="26" t="s">
        <v>63</v>
      </c>
      <c r="T25" s="26" t="s">
        <v>66</v>
      </c>
      <c r="U25" s="17">
        <v>1473200</v>
      </c>
      <c r="V25" s="17">
        <v>18083</v>
      </c>
      <c r="W25" s="40">
        <v>0</v>
      </c>
      <c r="X25" s="17">
        <v>0</v>
      </c>
      <c r="Y25" s="14" t="s">
        <v>115</v>
      </c>
      <c r="Z25" t="s">
        <v>1148</v>
      </c>
    </row>
    <row r="26" spans="1:26" x14ac:dyDescent="0.25">
      <c r="A26">
        <v>24</v>
      </c>
      <c r="B26" s="77">
        <v>44909.916666666664</v>
      </c>
      <c r="C26" s="14" t="s">
        <v>40</v>
      </c>
      <c r="D26" s="14" t="s">
        <v>42</v>
      </c>
      <c r="E26" s="14" t="s">
        <v>767</v>
      </c>
      <c r="F26" s="14">
        <v>-44600</v>
      </c>
      <c r="G26" s="14">
        <v>-446000</v>
      </c>
      <c r="H26" s="14">
        <v>1339.71</v>
      </c>
      <c r="I26" s="14">
        <v>-3.5751686789999999</v>
      </c>
      <c r="J26" s="14" t="s">
        <v>18</v>
      </c>
      <c r="K26" s="15">
        <v>73050.333333333328</v>
      </c>
      <c r="L26" s="14">
        <v>0</v>
      </c>
      <c r="M26" s="14" t="s">
        <v>16</v>
      </c>
      <c r="N26" s="49">
        <v>10</v>
      </c>
      <c r="O26" s="47">
        <v>-332.90786812071269</v>
      </c>
      <c r="P26" s="48">
        <v>-435885.81850706507</v>
      </c>
      <c r="Q26" s="16">
        <v>28140</v>
      </c>
      <c r="R26" s="26" t="s">
        <v>58</v>
      </c>
      <c r="S26" s="26" t="s">
        <v>64</v>
      </c>
      <c r="T26" s="17" t="s">
        <v>67</v>
      </c>
      <c r="U26" s="17">
        <v>-446000</v>
      </c>
      <c r="V26" s="17">
        <v>1339.71</v>
      </c>
      <c r="W26" s="17">
        <v>0</v>
      </c>
      <c r="X26" s="17">
        <v>0</v>
      </c>
      <c r="Y26" s="14" t="s">
        <v>115</v>
      </c>
      <c r="Z26" t="s">
        <v>1144</v>
      </c>
    </row>
    <row r="27" spans="1:26" x14ac:dyDescent="0.25">
      <c r="A27">
        <v>25</v>
      </c>
      <c r="B27" s="77">
        <v>44909.916666666664</v>
      </c>
      <c r="C27" s="14" t="s">
        <v>40</v>
      </c>
      <c r="D27" s="14" t="s">
        <v>43</v>
      </c>
      <c r="E27" s="14" t="s">
        <v>722</v>
      </c>
      <c r="F27" s="14">
        <v>17.276</v>
      </c>
      <c r="G27" s="14">
        <v>312201.50640000001</v>
      </c>
      <c r="H27" s="14">
        <v>18071.400000000001</v>
      </c>
      <c r="I27" s="14">
        <v>3347.4644647959999</v>
      </c>
      <c r="J27" s="14" t="s">
        <v>18</v>
      </c>
      <c r="K27" s="15">
        <v>73050.333333333328</v>
      </c>
      <c r="L27" s="14">
        <v>1</v>
      </c>
      <c r="M27" s="14" t="s">
        <v>15</v>
      </c>
      <c r="N27" s="49">
        <v>1</v>
      </c>
      <c r="O27" s="47">
        <v>17.276</v>
      </c>
      <c r="P27" s="48">
        <v>307783.16688894894</v>
      </c>
      <c r="Q27" s="16">
        <v>28140</v>
      </c>
      <c r="R27" s="26" t="s">
        <v>58</v>
      </c>
      <c r="S27" s="26" t="s">
        <v>63</v>
      </c>
      <c r="T27" s="17" t="s">
        <v>66</v>
      </c>
      <c r="U27" s="17">
        <v>312201.50640000001</v>
      </c>
      <c r="V27" s="17">
        <v>18071.400000000001</v>
      </c>
      <c r="W27" s="17">
        <v>0</v>
      </c>
      <c r="X27" s="17">
        <v>0</v>
      </c>
      <c r="Y27" s="14" t="s">
        <v>115</v>
      </c>
      <c r="Z27" t="s">
        <v>1148</v>
      </c>
    </row>
    <row r="28" spans="1:26" x14ac:dyDescent="0.25">
      <c r="A28">
        <v>26</v>
      </c>
      <c r="B28" s="77">
        <v>44909.916666666664</v>
      </c>
      <c r="C28" s="14" t="s">
        <v>40</v>
      </c>
      <c r="D28" s="14" t="s">
        <v>43</v>
      </c>
      <c r="E28" s="14" t="s">
        <v>768</v>
      </c>
      <c r="F28" s="14">
        <v>-96.99</v>
      </c>
      <c r="G28" s="14">
        <v>-129992.7873</v>
      </c>
      <c r="H28" s="14">
        <v>1340.27</v>
      </c>
      <c r="I28" s="14">
        <v>-1262.468912888</v>
      </c>
      <c r="J28" s="14" t="s">
        <v>18</v>
      </c>
      <c r="K28" s="15">
        <v>73050.333333333328</v>
      </c>
      <c r="L28" s="14">
        <v>1</v>
      </c>
      <c r="M28" s="14" t="s">
        <v>16</v>
      </c>
      <c r="N28" s="49">
        <v>1</v>
      </c>
      <c r="O28" s="47">
        <v>-96.99</v>
      </c>
      <c r="P28" s="48">
        <v>-126991.78837572779</v>
      </c>
      <c r="Q28" s="16">
        <v>28140</v>
      </c>
      <c r="R28" s="26" t="s">
        <v>58</v>
      </c>
      <c r="S28" s="26" t="s">
        <v>64</v>
      </c>
      <c r="T28" s="17" t="s">
        <v>67</v>
      </c>
      <c r="U28" s="17">
        <v>-129992.7873</v>
      </c>
      <c r="V28" s="17">
        <v>1340.27</v>
      </c>
      <c r="W28" s="17">
        <v>0</v>
      </c>
      <c r="X28" s="17">
        <v>0</v>
      </c>
      <c r="Y28" s="14" t="s">
        <v>115</v>
      </c>
      <c r="Z28" t="s">
        <v>1144</v>
      </c>
    </row>
    <row r="29" spans="1:26" x14ac:dyDescent="0.25">
      <c r="A29">
        <v>27</v>
      </c>
      <c r="B29" s="77">
        <v>44909.916666666664</v>
      </c>
      <c r="C29" s="14" t="s">
        <v>46</v>
      </c>
      <c r="D29" s="14" t="s">
        <v>47</v>
      </c>
      <c r="E29" s="14" t="s">
        <v>769</v>
      </c>
      <c r="F29" s="14">
        <v>3548</v>
      </c>
      <c r="G29" s="14">
        <v>38985.424580927996</v>
      </c>
      <c r="H29" s="14">
        <v>109.88</v>
      </c>
      <c r="I29" s="14">
        <v>623.70118567199995</v>
      </c>
      <c r="J29" s="14" t="s">
        <v>18</v>
      </c>
      <c r="K29" s="15">
        <v>73050.333333333328</v>
      </c>
      <c r="L29" s="14">
        <v>1</v>
      </c>
      <c r="M29" s="14" t="s">
        <v>21</v>
      </c>
      <c r="N29" s="49">
        <v>0.1</v>
      </c>
      <c r="O29" s="47">
        <v>354.8</v>
      </c>
      <c r="P29" s="48">
        <v>38711.694364149946</v>
      </c>
      <c r="Q29" s="16">
        <v>28140</v>
      </c>
      <c r="R29" s="26" t="s">
        <v>58</v>
      </c>
      <c r="S29" s="26" t="s">
        <v>63</v>
      </c>
      <c r="T29" s="17" t="s">
        <v>66</v>
      </c>
      <c r="U29" s="17">
        <v>38985.424580927996</v>
      </c>
      <c r="V29" s="17">
        <v>109.88</v>
      </c>
      <c r="W29" s="17">
        <v>0</v>
      </c>
      <c r="X29" s="17">
        <v>0</v>
      </c>
      <c r="Y29" s="14" t="s">
        <v>46</v>
      </c>
      <c r="Z29" t="s">
        <v>1159</v>
      </c>
    </row>
    <row r="30" spans="1:26" x14ac:dyDescent="0.25">
      <c r="A30">
        <v>28</v>
      </c>
      <c r="B30" s="77">
        <v>44909.916666666664</v>
      </c>
      <c r="C30" s="14" t="s">
        <v>46</v>
      </c>
      <c r="D30" s="14" t="s">
        <v>47</v>
      </c>
      <c r="E30" s="14" t="s">
        <v>49</v>
      </c>
      <c r="F30" s="14">
        <v>32648</v>
      </c>
      <c r="G30" s="14">
        <v>5902007.3640798498</v>
      </c>
      <c r="H30" s="14">
        <v>18077.7</v>
      </c>
      <c r="I30" s="14">
        <v>39150.525126114</v>
      </c>
      <c r="J30" s="14" t="s">
        <v>18</v>
      </c>
      <c r="K30" s="15">
        <v>73050.333333333328</v>
      </c>
      <c r="L30" s="14">
        <v>1</v>
      </c>
      <c r="M30" s="14" t="s">
        <v>15</v>
      </c>
      <c r="N30" s="49">
        <v>0.01</v>
      </c>
      <c r="O30" s="47">
        <v>326.48</v>
      </c>
      <c r="P30" s="48">
        <v>5816453.3645464256</v>
      </c>
      <c r="Q30" s="16">
        <v>28140</v>
      </c>
      <c r="R30" s="26" t="s">
        <v>58</v>
      </c>
      <c r="S30" s="26" t="s">
        <v>63</v>
      </c>
      <c r="T30" s="17" t="s">
        <v>66</v>
      </c>
      <c r="U30" s="17">
        <v>5902007.3640798498</v>
      </c>
      <c r="V30" s="17">
        <v>18077.7</v>
      </c>
      <c r="W30" s="17">
        <v>0</v>
      </c>
      <c r="X30" s="17">
        <v>0</v>
      </c>
      <c r="Y30" s="14" t="s">
        <v>46</v>
      </c>
      <c r="Z30" t="s">
        <v>1148</v>
      </c>
    </row>
    <row r="31" spans="1:26" x14ac:dyDescent="0.25">
      <c r="A31">
        <v>29</v>
      </c>
      <c r="B31" s="77">
        <v>44909.916666666664</v>
      </c>
      <c r="C31" s="14" t="s">
        <v>46</v>
      </c>
      <c r="D31" s="14" t="s">
        <v>47</v>
      </c>
      <c r="E31" s="14" t="s">
        <v>770</v>
      </c>
      <c r="F31" s="14">
        <v>232</v>
      </c>
      <c r="G31" s="14">
        <v>2328.8159999999998</v>
      </c>
      <c r="H31" s="14">
        <v>1.0038</v>
      </c>
      <c r="I31" s="14">
        <v>103.482391596</v>
      </c>
      <c r="J31" s="14" t="s">
        <v>18</v>
      </c>
      <c r="K31" s="15">
        <v>73050.333333333328</v>
      </c>
      <c r="L31" s="14">
        <v>1</v>
      </c>
      <c r="M31" s="14" t="s">
        <v>24</v>
      </c>
      <c r="N31" s="49">
        <v>10</v>
      </c>
      <c r="O31" s="47">
        <v>2320</v>
      </c>
      <c r="P31" s="48">
        <v>2269.0095011231501</v>
      </c>
      <c r="Q31" s="16">
        <v>28140</v>
      </c>
      <c r="R31" s="26" t="s">
        <v>58</v>
      </c>
      <c r="S31" s="26" t="s">
        <v>63</v>
      </c>
      <c r="T31" s="17" t="s">
        <v>66</v>
      </c>
      <c r="U31" s="17">
        <v>2328.8159999999998</v>
      </c>
      <c r="V31" s="17">
        <v>1.0038</v>
      </c>
      <c r="W31" s="17">
        <v>0</v>
      </c>
      <c r="X31" s="17">
        <v>0</v>
      </c>
      <c r="Y31" s="14" t="s">
        <v>46</v>
      </c>
      <c r="Z31" t="s">
        <v>1149</v>
      </c>
    </row>
    <row r="32" spans="1:26" x14ac:dyDescent="0.25">
      <c r="A32">
        <v>30</v>
      </c>
      <c r="B32" s="77">
        <v>44909.916666666664</v>
      </c>
      <c r="C32" s="14" t="s">
        <v>46</v>
      </c>
      <c r="D32" s="14" t="s">
        <v>47</v>
      </c>
      <c r="E32" s="14" t="s">
        <v>771</v>
      </c>
      <c r="F32" s="14">
        <v>13927</v>
      </c>
      <c r="G32" s="14">
        <v>1865925.56080445</v>
      </c>
      <c r="H32" s="14">
        <v>1339.79</v>
      </c>
      <c r="I32" s="14">
        <v>139870.794260817</v>
      </c>
      <c r="J32" s="14" t="s">
        <v>14</v>
      </c>
      <c r="K32" s="15">
        <v>44925.333333333336</v>
      </c>
      <c r="L32" s="14">
        <v>1</v>
      </c>
      <c r="M32" s="14" t="s">
        <v>16</v>
      </c>
      <c r="N32" s="49">
        <v>0.1</v>
      </c>
      <c r="O32" s="47">
        <v>1392.7</v>
      </c>
      <c r="P32" s="48">
        <v>1823502.0483645333</v>
      </c>
      <c r="Q32" s="16">
        <v>15</v>
      </c>
      <c r="R32" s="26" t="s">
        <v>282</v>
      </c>
      <c r="S32" s="26" t="s">
        <v>63</v>
      </c>
      <c r="T32" s="17" t="s">
        <v>280</v>
      </c>
      <c r="U32" s="17">
        <v>1884584.8164124945</v>
      </c>
      <c r="V32" s="17">
        <v>1353.1878999999999</v>
      </c>
      <c r="W32" s="17">
        <v>0.01</v>
      </c>
      <c r="X32" s="17">
        <v>18659.255608044565</v>
      </c>
      <c r="Y32" s="14" t="s">
        <v>46</v>
      </c>
      <c r="Z32" t="s">
        <v>1150</v>
      </c>
    </row>
    <row r="33" spans="1:26" x14ac:dyDescent="0.25">
      <c r="A33">
        <v>31</v>
      </c>
      <c r="B33" s="77">
        <v>44909.916666666664</v>
      </c>
      <c r="C33" s="14" t="s">
        <v>46</v>
      </c>
      <c r="D33" s="14" t="s">
        <v>47</v>
      </c>
      <c r="E33" s="14" t="s">
        <v>772</v>
      </c>
      <c r="F33" s="14">
        <v>4630</v>
      </c>
      <c r="G33" s="14">
        <v>619873.66923683695</v>
      </c>
      <c r="H33" s="14">
        <v>1338.82</v>
      </c>
      <c r="I33" s="14">
        <v>14540.464708244999</v>
      </c>
      <c r="J33" s="14" t="s">
        <v>14</v>
      </c>
      <c r="K33" s="15">
        <v>45016.333333333336</v>
      </c>
      <c r="L33" s="14">
        <v>1</v>
      </c>
      <c r="M33" s="14" t="s">
        <v>16</v>
      </c>
      <c r="N33" s="49">
        <v>0.1</v>
      </c>
      <c r="O33" s="47">
        <v>463</v>
      </c>
      <c r="P33" s="48">
        <v>606219.1774199605</v>
      </c>
      <c r="Q33" s="16">
        <v>106</v>
      </c>
      <c r="R33" s="26" t="s">
        <v>283</v>
      </c>
      <c r="S33" s="26" t="s">
        <v>63</v>
      </c>
      <c r="T33" s="17" t="s">
        <v>281</v>
      </c>
      <c r="U33" s="17">
        <v>626072.40592920536</v>
      </c>
      <c r="V33" s="17">
        <v>1352.2082</v>
      </c>
      <c r="W33" s="17">
        <v>0.01</v>
      </c>
      <c r="X33" s="17">
        <v>6198.7366923684021</v>
      </c>
      <c r="Y33" s="14" t="s">
        <v>46</v>
      </c>
      <c r="Z33" t="s">
        <v>1160</v>
      </c>
    </row>
    <row r="34" spans="1:26" x14ac:dyDescent="0.25">
      <c r="A34">
        <v>32</v>
      </c>
      <c r="B34" s="77">
        <v>44909.916666666664</v>
      </c>
      <c r="C34" s="14" t="s">
        <v>46</v>
      </c>
      <c r="D34" s="14" t="s">
        <v>47</v>
      </c>
      <c r="E34" s="14" t="s">
        <v>52</v>
      </c>
      <c r="F34" s="14">
        <v>-9554</v>
      </c>
      <c r="G34" s="14">
        <v>-955400</v>
      </c>
      <c r="H34" s="18">
        <v>18088.7</v>
      </c>
      <c r="I34" s="14">
        <v>-0.79304966300000002</v>
      </c>
      <c r="J34" s="14" t="s">
        <v>18</v>
      </c>
      <c r="K34" s="15">
        <v>73050.333333333328</v>
      </c>
      <c r="L34" s="14">
        <v>0</v>
      </c>
      <c r="M34" s="14" t="s">
        <v>15</v>
      </c>
      <c r="N34" s="49">
        <v>100</v>
      </c>
      <c r="O34" s="47">
        <v>-52.817504851094881</v>
      </c>
      <c r="P34" s="48">
        <v>-940978.17262343166</v>
      </c>
      <c r="Q34" s="16">
        <v>28140</v>
      </c>
      <c r="R34" s="26" t="s">
        <v>58</v>
      </c>
      <c r="S34" s="26" t="s">
        <v>64</v>
      </c>
      <c r="T34" s="17" t="s">
        <v>67</v>
      </c>
      <c r="U34" s="17">
        <v>-955400</v>
      </c>
      <c r="V34" s="17">
        <v>18088.7</v>
      </c>
      <c r="W34" s="17">
        <v>0</v>
      </c>
      <c r="X34" s="17">
        <v>0</v>
      </c>
      <c r="Y34" s="14" t="s">
        <v>46</v>
      </c>
      <c r="Z34" t="s">
        <v>1143</v>
      </c>
    </row>
    <row r="35" spans="1:26" x14ac:dyDescent="0.25">
      <c r="A35">
        <v>33</v>
      </c>
      <c r="B35" s="77">
        <v>44909.916666666664</v>
      </c>
      <c r="C35" s="14" t="s">
        <v>46</v>
      </c>
      <c r="D35" s="14" t="s">
        <v>47</v>
      </c>
      <c r="E35" s="14" t="s">
        <v>773</v>
      </c>
      <c r="F35" s="14">
        <v>-96224</v>
      </c>
      <c r="G35" s="14">
        <v>-962240</v>
      </c>
      <c r="H35" s="14">
        <v>1340.19</v>
      </c>
      <c r="I35" s="14">
        <v>-6.3702212730000003</v>
      </c>
      <c r="J35" s="14" t="s">
        <v>18</v>
      </c>
      <c r="K35" s="15">
        <v>73050.333333333328</v>
      </c>
      <c r="L35" s="14">
        <v>0</v>
      </c>
      <c r="M35" s="14" t="s">
        <v>16</v>
      </c>
      <c r="N35" s="49">
        <v>10</v>
      </c>
      <c r="O35" s="47">
        <v>-717.98774800587978</v>
      </c>
      <c r="P35" s="48">
        <v>-940081.94815061404</v>
      </c>
      <c r="Q35" s="16">
        <v>28140</v>
      </c>
      <c r="R35" s="26" t="s">
        <v>58</v>
      </c>
      <c r="S35" s="26" t="s">
        <v>64</v>
      </c>
      <c r="T35" s="17" t="s">
        <v>67</v>
      </c>
      <c r="U35" s="17">
        <v>-962240</v>
      </c>
      <c r="V35" s="17">
        <v>1340.19</v>
      </c>
      <c r="W35" s="17">
        <v>0</v>
      </c>
      <c r="X35" s="17">
        <v>0</v>
      </c>
      <c r="Y35" s="14" t="s">
        <v>46</v>
      </c>
      <c r="Z35" t="s">
        <v>1144</v>
      </c>
    </row>
    <row r="36" spans="1:26" x14ac:dyDescent="0.25">
      <c r="A36">
        <v>34</v>
      </c>
      <c r="B36" s="77">
        <v>44909.916666666664</v>
      </c>
      <c r="C36" s="14" t="s">
        <v>46</v>
      </c>
      <c r="D36" s="14" t="s">
        <v>47</v>
      </c>
      <c r="E36" s="14" t="s">
        <v>774</v>
      </c>
      <c r="F36" s="14">
        <v>-19875</v>
      </c>
      <c r="G36" s="14">
        <v>-2663568.0396902501</v>
      </c>
      <c r="H36" s="14">
        <v>1340.16</v>
      </c>
      <c r="I36" s="14">
        <v>-31171.112554192001</v>
      </c>
      <c r="J36" s="14" t="s">
        <v>18</v>
      </c>
      <c r="K36" s="15">
        <v>73050.333333333328</v>
      </c>
      <c r="L36" s="14">
        <v>1</v>
      </c>
      <c r="M36" s="14" t="s">
        <v>16</v>
      </c>
      <c r="N36" s="49">
        <v>0.1</v>
      </c>
      <c r="O36" s="47">
        <v>-1987.5</v>
      </c>
      <c r="P36" s="48">
        <v>-2602290.7454042579</v>
      </c>
      <c r="Q36" s="16">
        <v>28140</v>
      </c>
      <c r="R36" s="26" t="s">
        <v>58</v>
      </c>
      <c r="S36" s="26" t="s">
        <v>64</v>
      </c>
      <c r="T36" s="17" t="s">
        <v>67</v>
      </c>
      <c r="U36" s="17">
        <v>-2663568.0396902501</v>
      </c>
      <c r="V36" s="17">
        <v>1340.16</v>
      </c>
      <c r="W36" s="17">
        <v>0</v>
      </c>
      <c r="X36" s="17">
        <v>0</v>
      </c>
      <c r="Y36" s="14" t="s">
        <v>46</v>
      </c>
      <c r="Z36" t="s">
        <v>1144</v>
      </c>
    </row>
    <row r="37" spans="1:26" x14ac:dyDescent="0.25">
      <c r="A37">
        <v>35</v>
      </c>
      <c r="B37" s="77">
        <v>44909.916666666664</v>
      </c>
      <c r="C37" s="14" t="s">
        <v>46</v>
      </c>
      <c r="D37" s="14" t="s">
        <v>47</v>
      </c>
      <c r="E37" s="14" t="s">
        <v>775</v>
      </c>
      <c r="F37" s="14">
        <v>-438</v>
      </c>
      <c r="G37" s="14">
        <v>-34514.400000000001</v>
      </c>
      <c r="H37" s="14">
        <v>78.8</v>
      </c>
      <c r="I37" s="14">
        <v>-462.46031231400002</v>
      </c>
      <c r="J37" s="14" t="s">
        <v>18</v>
      </c>
      <c r="K37" s="15">
        <v>73050.333333333328</v>
      </c>
      <c r="L37" s="14">
        <v>1</v>
      </c>
      <c r="M37" s="14" t="s">
        <v>25</v>
      </c>
      <c r="N37" s="49">
        <v>1</v>
      </c>
      <c r="O37" s="47">
        <v>-438</v>
      </c>
      <c r="P37" s="48">
        <v>-33058.42827700713</v>
      </c>
      <c r="Q37" s="16">
        <v>28140</v>
      </c>
      <c r="R37" s="26" t="s">
        <v>58</v>
      </c>
      <c r="S37" s="26" t="s">
        <v>64</v>
      </c>
      <c r="T37" s="17" t="s">
        <v>67</v>
      </c>
      <c r="U37" s="17">
        <v>-34514.400000000001</v>
      </c>
      <c r="V37" s="17">
        <v>78.8</v>
      </c>
      <c r="W37" s="17">
        <v>0</v>
      </c>
      <c r="X37" s="17">
        <v>0</v>
      </c>
      <c r="Y37" s="14" t="s">
        <v>46</v>
      </c>
      <c r="Z37" t="s">
        <v>1153</v>
      </c>
    </row>
    <row r="38" spans="1:26" x14ac:dyDescent="0.25">
      <c r="A38">
        <v>36</v>
      </c>
      <c r="B38" s="77">
        <v>44909.916666666664</v>
      </c>
      <c r="C38" s="14" t="s">
        <v>46</v>
      </c>
      <c r="D38" s="14" t="s">
        <v>47</v>
      </c>
      <c r="E38" s="14" t="s">
        <v>51</v>
      </c>
      <c r="F38" s="14">
        <v>-11635</v>
      </c>
      <c r="G38" s="14">
        <v>-1163500</v>
      </c>
      <c r="H38" s="14">
        <v>18115.8</v>
      </c>
      <c r="I38" s="14">
        <v>-0.60986192699999997</v>
      </c>
      <c r="J38" s="14" t="s">
        <v>14</v>
      </c>
      <c r="K38" s="15">
        <v>44925.333333333336</v>
      </c>
      <c r="L38" s="14">
        <v>0</v>
      </c>
      <c r="M38" s="14" t="s">
        <v>15</v>
      </c>
      <c r="N38" s="49">
        <v>100</v>
      </c>
      <c r="O38" s="47">
        <v>-64.22570352951567</v>
      </c>
      <c r="P38" s="48">
        <v>-1144222.6457504677</v>
      </c>
      <c r="Q38" s="16">
        <v>15</v>
      </c>
      <c r="R38" s="26" t="s">
        <v>282</v>
      </c>
      <c r="S38" s="26" t="s">
        <v>64</v>
      </c>
      <c r="T38" s="17" t="s">
        <v>718</v>
      </c>
      <c r="U38" s="17">
        <v>-1175135</v>
      </c>
      <c r="V38" s="17">
        <v>18296.957999999999</v>
      </c>
      <c r="W38" s="17">
        <v>0.01</v>
      </c>
      <c r="X38" s="17">
        <v>-11635</v>
      </c>
      <c r="Y38" s="14" t="s">
        <v>46</v>
      </c>
      <c r="Z38" t="s">
        <v>1145</v>
      </c>
    </row>
    <row r="39" spans="1:26" x14ac:dyDescent="0.25">
      <c r="A39">
        <v>37</v>
      </c>
      <c r="B39" s="77">
        <v>44909.916666666664</v>
      </c>
      <c r="C39" s="14" t="s">
        <v>46</v>
      </c>
      <c r="D39" s="14" t="s">
        <v>47</v>
      </c>
      <c r="E39" s="14" t="s">
        <v>776</v>
      </c>
      <c r="F39" s="14">
        <v>-201184</v>
      </c>
      <c r="G39" s="14">
        <v>-2011840</v>
      </c>
      <c r="H39" s="14">
        <v>1341.52</v>
      </c>
      <c r="I39" s="14">
        <v>-61.937708741000002</v>
      </c>
      <c r="J39" s="14" t="s">
        <v>14</v>
      </c>
      <c r="K39" s="15">
        <v>44925.333333333336</v>
      </c>
      <c r="L39" s="14">
        <v>0</v>
      </c>
      <c r="M39" s="14" t="s">
        <v>16</v>
      </c>
      <c r="N39" s="49">
        <v>10</v>
      </c>
      <c r="O39" s="47">
        <v>-1499.6720138350529</v>
      </c>
      <c r="P39" s="48">
        <v>-1963563.5737080374</v>
      </c>
      <c r="Q39" s="16">
        <v>15</v>
      </c>
      <c r="R39" s="26" t="s">
        <v>282</v>
      </c>
      <c r="S39" s="26" t="s">
        <v>64</v>
      </c>
      <c r="T39" s="17" t="s">
        <v>718</v>
      </c>
      <c r="U39" s="17">
        <v>-2031958.4</v>
      </c>
      <c r="V39" s="17">
        <v>1354.9351999999999</v>
      </c>
      <c r="W39" s="17">
        <v>0.01</v>
      </c>
      <c r="X39" s="17">
        <v>-20118.399999999907</v>
      </c>
      <c r="Y39" s="14" t="s">
        <v>46</v>
      </c>
      <c r="Z39" t="s">
        <v>1146</v>
      </c>
    </row>
    <row r="40" spans="1:26" x14ac:dyDescent="0.25">
      <c r="A40">
        <v>38</v>
      </c>
      <c r="B40" s="77">
        <v>44909.916666666664</v>
      </c>
      <c r="C40" s="14" t="s">
        <v>46</v>
      </c>
      <c r="D40" s="14" t="s">
        <v>47</v>
      </c>
      <c r="E40" s="14" t="s">
        <v>777</v>
      </c>
      <c r="F40" s="14">
        <v>-33090</v>
      </c>
      <c r="G40" s="14">
        <v>-227890.83</v>
      </c>
      <c r="H40" s="14">
        <v>6.8869999999999996</v>
      </c>
      <c r="I40" s="14">
        <v>-2522.956967355</v>
      </c>
      <c r="J40" s="14" t="s">
        <v>18</v>
      </c>
      <c r="K40" s="15">
        <v>73050.333333333328</v>
      </c>
      <c r="L40" s="14">
        <v>1</v>
      </c>
      <c r="M40" s="14" t="s">
        <v>28</v>
      </c>
      <c r="N40" s="49">
        <v>1</v>
      </c>
      <c r="O40" s="47">
        <v>-33090</v>
      </c>
      <c r="P40" s="48">
        <v>-222656.92042572392</v>
      </c>
      <c r="Q40" s="16">
        <v>28140</v>
      </c>
      <c r="R40" s="26" t="s">
        <v>58</v>
      </c>
      <c r="S40" s="26" t="s">
        <v>64</v>
      </c>
      <c r="T40" s="17" t="s">
        <v>67</v>
      </c>
      <c r="U40" s="17">
        <v>-227890.83</v>
      </c>
      <c r="V40" s="17">
        <v>6.8869999999999996</v>
      </c>
      <c r="W40" s="17">
        <v>0</v>
      </c>
      <c r="X40" s="17">
        <v>0</v>
      </c>
      <c r="Y40" s="14" t="s">
        <v>46</v>
      </c>
      <c r="Z40" t="s">
        <v>1156</v>
      </c>
    </row>
    <row r="41" spans="1:26" x14ac:dyDescent="0.25">
      <c r="A41">
        <v>39</v>
      </c>
      <c r="B41" s="77">
        <v>44909.916666666664</v>
      </c>
      <c r="C41" s="14" t="s">
        <v>46</v>
      </c>
      <c r="D41" s="14" t="s">
        <v>47</v>
      </c>
      <c r="E41" s="14" t="s">
        <v>778</v>
      </c>
      <c r="F41" s="14">
        <v>-89029</v>
      </c>
      <c r="G41" s="14">
        <v>-815505.64</v>
      </c>
      <c r="H41" s="14">
        <v>9.1600000000000004E-6</v>
      </c>
      <c r="I41" s="14">
        <v>117404.765870498</v>
      </c>
      <c r="J41" s="14" t="s">
        <v>18</v>
      </c>
      <c r="K41" s="15">
        <v>73050.333333333328</v>
      </c>
      <c r="L41" s="14">
        <v>1</v>
      </c>
      <c r="M41" s="14" t="s">
        <v>38</v>
      </c>
      <c r="N41" s="49">
        <v>1000000</v>
      </c>
      <c r="O41" s="47">
        <v>-89029000000</v>
      </c>
      <c r="P41" s="48">
        <v>-798835.50910863047</v>
      </c>
      <c r="Q41" s="16">
        <v>28140</v>
      </c>
      <c r="R41" s="26" t="s">
        <v>58</v>
      </c>
      <c r="S41" s="26" t="s">
        <v>64</v>
      </c>
      <c r="T41" s="17" t="s">
        <v>67</v>
      </c>
      <c r="U41" s="17">
        <v>-815505.64</v>
      </c>
      <c r="V41" s="17">
        <v>9.1600000000000004E-6</v>
      </c>
      <c r="W41" s="17">
        <v>0</v>
      </c>
      <c r="X41" s="17">
        <v>0</v>
      </c>
      <c r="Y41" s="14" t="s">
        <v>46</v>
      </c>
      <c r="Z41" t="s">
        <v>1161</v>
      </c>
    </row>
    <row r="42" spans="1:26" x14ac:dyDescent="0.25">
      <c r="A42">
        <v>40</v>
      </c>
      <c r="B42" s="77">
        <v>44909.916666666664</v>
      </c>
      <c r="C42" s="14" t="s">
        <v>46</v>
      </c>
      <c r="D42" s="14" t="s">
        <v>47</v>
      </c>
      <c r="E42" s="14" t="s">
        <v>48</v>
      </c>
      <c r="F42" s="14">
        <v>-16540</v>
      </c>
      <c r="G42" s="14">
        <v>-2994517.3130673198</v>
      </c>
      <c r="H42" s="14">
        <v>18104.7</v>
      </c>
      <c r="I42" s="14">
        <v>-75115.642557642001</v>
      </c>
      <c r="J42" s="14" t="s">
        <v>14</v>
      </c>
      <c r="K42" s="15">
        <v>44925.333333333336</v>
      </c>
      <c r="L42" s="14">
        <v>1</v>
      </c>
      <c r="M42" s="14" t="s">
        <v>15</v>
      </c>
      <c r="N42" s="49">
        <v>0.01</v>
      </c>
      <c r="O42" s="47">
        <v>-165.4</v>
      </c>
      <c r="P42" s="48">
        <v>-2946708.4859592589</v>
      </c>
      <c r="Q42" s="16">
        <v>15</v>
      </c>
      <c r="R42" s="26" t="s">
        <v>282</v>
      </c>
      <c r="S42" s="26" t="s">
        <v>64</v>
      </c>
      <c r="T42" s="17" t="s">
        <v>718</v>
      </c>
      <c r="U42" s="17">
        <v>-3024462.4861979932</v>
      </c>
      <c r="V42" s="17">
        <v>18285.746999999999</v>
      </c>
      <c r="W42" s="17">
        <v>0.01</v>
      </c>
      <c r="X42" s="17">
        <v>-29945.173130673356</v>
      </c>
      <c r="Y42" s="14" t="s">
        <v>46</v>
      </c>
      <c r="Z42" t="s">
        <v>1145</v>
      </c>
    </row>
    <row r="43" spans="1:26" x14ac:dyDescent="0.25">
      <c r="A43">
        <v>41</v>
      </c>
      <c r="B43" s="77">
        <v>44909.916666666664</v>
      </c>
      <c r="C43" s="14" t="s">
        <v>46</v>
      </c>
      <c r="D43" s="14" t="s">
        <v>50</v>
      </c>
      <c r="E43" s="14" t="s">
        <v>52</v>
      </c>
      <c r="F43" s="14">
        <v>624</v>
      </c>
      <c r="G43" s="14">
        <v>62400</v>
      </c>
      <c r="H43" s="14">
        <v>18090</v>
      </c>
      <c r="I43" s="14">
        <v>0.31251752799999999</v>
      </c>
      <c r="J43" s="14" t="s">
        <v>18</v>
      </c>
      <c r="K43" s="15">
        <v>73050.333333333328</v>
      </c>
      <c r="L43" s="14">
        <v>0</v>
      </c>
      <c r="M43" s="14" t="s">
        <v>15</v>
      </c>
      <c r="N43" s="49">
        <v>100</v>
      </c>
      <c r="O43" s="47">
        <v>3.4494195688225537</v>
      </c>
      <c r="P43" s="48">
        <v>61453.6512399235</v>
      </c>
      <c r="Q43" s="16">
        <v>28140</v>
      </c>
      <c r="R43" s="26" t="s">
        <v>58</v>
      </c>
      <c r="S43" s="26" t="s">
        <v>63</v>
      </c>
      <c r="T43" s="17" t="s">
        <v>66</v>
      </c>
      <c r="U43" s="17">
        <v>62400</v>
      </c>
      <c r="V43" s="17">
        <v>18090</v>
      </c>
      <c r="W43" s="17">
        <v>0</v>
      </c>
      <c r="X43" s="17">
        <v>0</v>
      </c>
      <c r="Y43" s="14" t="s">
        <v>46</v>
      </c>
      <c r="Z43" t="s">
        <v>1148</v>
      </c>
    </row>
    <row r="44" spans="1:26" x14ac:dyDescent="0.25">
      <c r="A44">
        <v>42</v>
      </c>
      <c r="B44" s="77">
        <v>44909.916666666664</v>
      </c>
      <c r="C44" s="14" t="s">
        <v>46</v>
      </c>
      <c r="D44" s="14" t="s">
        <v>50</v>
      </c>
      <c r="E44" s="14" t="s">
        <v>773</v>
      </c>
      <c r="F44" s="14">
        <v>-1915</v>
      </c>
      <c r="G44" s="14">
        <v>-19150</v>
      </c>
      <c r="H44" s="14">
        <v>1340.19</v>
      </c>
      <c r="I44" s="14">
        <v>-0.57658249800000005</v>
      </c>
      <c r="J44" s="14" t="s">
        <v>18</v>
      </c>
      <c r="K44" s="15">
        <v>73050.333333333328</v>
      </c>
      <c r="L44" s="14">
        <v>0</v>
      </c>
      <c r="M44" s="14" t="s">
        <v>16</v>
      </c>
      <c r="N44" s="49">
        <v>10</v>
      </c>
      <c r="O44" s="47">
        <v>-14.289018721226094</v>
      </c>
      <c r="P44" s="48">
        <v>-18709.021976933258</v>
      </c>
      <c r="Q44" s="16">
        <v>28140</v>
      </c>
      <c r="R44" s="26" t="s">
        <v>58</v>
      </c>
      <c r="S44" s="26" t="s">
        <v>64</v>
      </c>
      <c r="T44" s="17" t="s">
        <v>67</v>
      </c>
      <c r="U44" s="17">
        <v>-19150</v>
      </c>
      <c r="V44" s="17">
        <v>1340.19</v>
      </c>
      <c r="W44" s="17">
        <v>0</v>
      </c>
      <c r="X44" s="17">
        <v>0</v>
      </c>
      <c r="Y44" s="14" t="s">
        <v>46</v>
      </c>
      <c r="Z44" t="s">
        <v>1144</v>
      </c>
    </row>
    <row r="45" spans="1:26" x14ac:dyDescent="0.25">
      <c r="A45">
        <v>43</v>
      </c>
      <c r="B45" s="77">
        <v>44909.916666666664</v>
      </c>
      <c r="C45" s="14" t="s">
        <v>46</v>
      </c>
      <c r="D45" s="14" t="s">
        <v>50</v>
      </c>
      <c r="E45" s="14" t="s">
        <v>776</v>
      </c>
      <c r="F45" s="14">
        <v>-67</v>
      </c>
      <c r="G45" s="14">
        <v>-670</v>
      </c>
      <c r="H45" s="14">
        <v>1341.51</v>
      </c>
      <c r="I45" s="14">
        <v>-6.0022476999999998E-2</v>
      </c>
      <c r="J45" s="14" t="s">
        <v>14</v>
      </c>
      <c r="K45" s="15">
        <v>44925.333333333336</v>
      </c>
      <c r="L45" s="14">
        <v>0</v>
      </c>
      <c r="M45" s="14" t="s">
        <v>16</v>
      </c>
      <c r="N45" s="49">
        <v>10</v>
      </c>
      <c r="O45" s="47">
        <v>-0.49943720136264358</v>
      </c>
      <c r="P45" s="48">
        <v>-653.92745007125041</v>
      </c>
      <c r="Q45" s="16">
        <v>15</v>
      </c>
      <c r="R45" s="26" t="s">
        <v>282</v>
      </c>
      <c r="S45" s="26" t="s">
        <v>64</v>
      </c>
      <c r="T45" s="17" t="s">
        <v>718</v>
      </c>
      <c r="U45" s="17">
        <v>-676.7</v>
      </c>
      <c r="V45" s="17">
        <v>1354.9250999999999</v>
      </c>
      <c r="W45" s="17">
        <v>0.01</v>
      </c>
      <c r="X45" s="17">
        <v>-6.7000000000000455</v>
      </c>
      <c r="Y45" s="14" t="s">
        <v>46</v>
      </c>
      <c r="Z45" t="s">
        <v>1146</v>
      </c>
    </row>
    <row r="46" spans="1:26" x14ac:dyDescent="0.25">
      <c r="A46">
        <v>44</v>
      </c>
      <c r="B46" s="77">
        <v>44909.916666666664</v>
      </c>
      <c r="C46" s="14" t="s">
        <v>46</v>
      </c>
      <c r="D46" s="14" t="s">
        <v>53</v>
      </c>
      <c r="E46" s="14" t="s">
        <v>51</v>
      </c>
      <c r="F46" s="14">
        <v>2</v>
      </c>
      <c r="G46" s="14">
        <v>200</v>
      </c>
      <c r="H46" s="14">
        <v>18116.2</v>
      </c>
      <c r="I46" s="14">
        <v>9.5463999999999998E-4</v>
      </c>
      <c r="J46" s="14" t="s">
        <v>14</v>
      </c>
      <c r="K46" s="15">
        <v>44925.333333333336</v>
      </c>
      <c r="L46" s="14">
        <v>0</v>
      </c>
      <c r="M46" s="14" t="s">
        <v>15</v>
      </c>
      <c r="N46" s="49">
        <v>100</v>
      </c>
      <c r="O46" s="47">
        <v>1.1039842792638633E-2</v>
      </c>
      <c r="P46" s="48">
        <v>196.68197364404125</v>
      </c>
      <c r="Q46" s="16">
        <v>15</v>
      </c>
      <c r="R46" s="26" t="s">
        <v>282</v>
      </c>
      <c r="S46" s="26" t="s">
        <v>63</v>
      </c>
      <c r="T46" s="17" t="s">
        <v>280</v>
      </c>
      <c r="U46" s="17">
        <v>202</v>
      </c>
      <c r="V46" s="17">
        <v>18297.362000000001</v>
      </c>
      <c r="W46" s="17">
        <v>0.01</v>
      </c>
      <c r="X46" s="17">
        <v>2</v>
      </c>
      <c r="Y46" s="14" t="s">
        <v>46</v>
      </c>
      <c r="Z46" t="s">
        <v>1158</v>
      </c>
    </row>
    <row r="47" spans="1:26" x14ac:dyDescent="0.25">
      <c r="A47">
        <v>45</v>
      </c>
      <c r="B47" s="77">
        <v>44909.916666666664</v>
      </c>
      <c r="C47" s="14" t="s">
        <v>46</v>
      </c>
      <c r="D47" s="14" t="s">
        <v>53</v>
      </c>
      <c r="E47" s="14" t="s">
        <v>48</v>
      </c>
      <c r="F47" s="14">
        <v>1</v>
      </c>
      <c r="G47" s="14">
        <v>181.06199595300001</v>
      </c>
      <c r="H47" s="14">
        <v>18106.2</v>
      </c>
      <c r="I47" s="14">
        <v>16.792542715</v>
      </c>
      <c r="J47" s="14" t="s">
        <v>14</v>
      </c>
      <c r="K47" s="15">
        <v>44925.333333333336</v>
      </c>
      <c r="L47" s="14">
        <v>1</v>
      </c>
      <c r="M47" s="14" t="s">
        <v>15</v>
      </c>
      <c r="N47" s="49">
        <v>0.01</v>
      </c>
      <c r="O47" s="47">
        <v>0.01</v>
      </c>
      <c r="P47" s="48">
        <v>178.156498546509</v>
      </c>
      <c r="Q47" s="16">
        <v>15</v>
      </c>
      <c r="R47" s="26" t="s">
        <v>282</v>
      </c>
      <c r="S47" s="26" t="s">
        <v>63</v>
      </c>
      <c r="T47" s="17" t="s">
        <v>280</v>
      </c>
      <c r="U47" s="17">
        <v>182.87261591253002</v>
      </c>
      <c r="V47" s="17">
        <v>18287.262000000002</v>
      </c>
      <c r="W47" s="17">
        <v>0.01</v>
      </c>
      <c r="X47" s="17">
        <v>1.8106199595300154</v>
      </c>
      <c r="Y47" s="14" t="s">
        <v>46</v>
      </c>
      <c r="Z47" t="s">
        <v>1158</v>
      </c>
    </row>
    <row r="48" spans="1:26" x14ac:dyDescent="0.25">
      <c r="A48">
        <v>46</v>
      </c>
      <c r="B48" s="77">
        <v>44909.916666666664</v>
      </c>
      <c r="C48" s="14" t="s">
        <v>46</v>
      </c>
      <c r="D48" s="14" t="s">
        <v>53</v>
      </c>
      <c r="E48" s="14" t="s">
        <v>771</v>
      </c>
      <c r="F48" s="14">
        <v>9324</v>
      </c>
      <c r="G48" s="14">
        <v>1249238.8626151001</v>
      </c>
      <c r="H48" s="14">
        <v>1339.81</v>
      </c>
      <c r="I48" s="14">
        <v>101340.866707761</v>
      </c>
      <c r="J48" s="14" t="s">
        <v>14</v>
      </c>
      <c r="K48" s="15">
        <v>44925.333333333336</v>
      </c>
      <c r="L48" s="14">
        <v>1</v>
      </c>
      <c r="M48" s="14" t="s">
        <v>16</v>
      </c>
      <c r="N48" s="49">
        <v>0.1</v>
      </c>
      <c r="O48" s="47">
        <v>932.40000000000009</v>
      </c>
      <c r="P48" s="48">
        <v>1220818.058372292</v>
      </c>
      <c r="Q48" s="16">
        <v>15</v>
      </c>
      <c r="R48" s="26" t="s">
        <v>282</v>
      </c>
      <c r="S48" s="26" t="s">
        <v>63</v>
      </c>
      <c r="T48" s="17" t="s">
        <v>280</v>
      </c>
      <c r="U48" s="17">
        <v>1261731.2512412511</v>
      </c>
      <c r="V48" s="17">
        <v>1353.2081000000001</v>
      </c>
      <c r="W48" s="17">
        <v>0.01</v>
      </c>
      <c r="X48" s="17">
        <v>12492.38862615102</v>
      </c>
      <c r="Y48" s="14" t="s">
        <v>46</v>
      </c>
      <c r="Z48" t="s">
        <v>1150</v>
      </c>
    </row>
    <row r="49" spans="1:26" x14ac:dyDescent="0.25">
      <c r="A49">
        <v>47</v>
      </c>
      <c r="B49" s="77">
        <v>44909.916666666664</v>
      </c>
      <c r="C49" s="14" t="s">
        <v>46</v>
      </c>
      <c r="D49" s="14" t="s">
        <v>53</v>
      </c>
      <c r="E49" s="14" t="s">
        <v>49</v>
      </c>
      <c r="F49" s="14">
        <v>-1</v>
      </c>
      <c r="G49" s="14">
        <v>-180.78499595900001</v>
      </c>
      <c r="H49" s="14">
        <v>18078.5</v>
      </c>
      <c r="I49" s="14">
        <v>-7.2885998699999996</v>
      </c>
      <c r="J49" s="14" t="s">
        <v>18</v>
      </c>
      <c r="K49" s="15">
        <v>73050.333333333328</v>
      </c>
      <c r="L49" s="14">
        <v>1</v>
      </c>
      <c r="M49" s="14" t="s">
        <v>15</v>
      </c>
      <c r="N49" s="49">
        <v>0.01</v>
      </c>
      <c r="O49" s="47">
        <v>-0.01</v>
      </c>
      <c r="P49" s="48">
        <v>-178.156498546509</v>
      </c>
      <c r="Q49" s="16">
        <v>28140</v>
      </c>
      <c r="R49" s="26" t="s">
        <v>58</v>
      </c>
      <c r="S49" s="26" t="s">
        <v>64</v>
      </c>
      <c r="T49" s="17" t="s">
        <v>67</v>
      </c>
      <c r="U49" s="17">
        <v>-180.78499595900001</v>
      </c>
      <c r="V49" s="17">
        <v>18078.5</v>
      </c>
      <c r="W49" s="17">
        <v>0</v>
      </c>
      <c r="X49" s="17">
        <v>0</v>
      </c>
      <c r="Y49" s="14" t="s">
        <v>46</v>
      </c>
      <c r="Z49" t="s">
        <v>1143</v>
      </c>
    </row>
    <row r="50" spans="1:26" x14ac:dyDescent="0.25">
      <c r="A50">
        <v>48</v>
      </c>
      <c r="B50" s="77">
        <v>44909.916666666664</v>
      </c>
      <c r="C50" s="14" t="s">
        <v>46</v>
      </c>
      <c r="D50" s="14" t="s">
        <v>53</v>
      </c>
      <c r="E50" s="14" t="s">
        <v>774</v>
      </c>
      <c r="F50" s="14">
        <v>-9324</v>
      </c>
      <c r="G50" s="14">
        <v>-1249602.4986205201</v>
      </c>
      <c r="H50" s="14">
        <v>1340.2</v>
      </c>
      <c r="I50" s="14">
        <v>-109629.666586523</v>
      </c>
      <c r="J50" s="14" t="s">
        <v>18</v>
      </c>
      <c r="K50" s="15">
        <v>73050.333333333328</v>
      </c>
      <c r="L50" s="14">
        <v>1</v>
      </c>
      <c r="M50" s="14" t="s">
        <v>16</v>
      </c>
      <c r="N50" s="49">
        <v>0.1</v>
      </c>
      <c r="O50" s="47">
        <v>-932.40000000000009</v>
      </c>
      <c r="P50" s="48">
        <v>-1220818.058372292</v>
      </c>
      <c r="Q50" s="16">
        <v>28140</v>
      </c>
      <c r="R50" s="26" t="s">
        <v>58</v>
      </c>
      <c r="S50" s="26" t="s">
        <v>64</v>
      </c>
      <c r="T50" s="17" t="s">
        <v>67</v>
      </c>
      <c r="U50" s="17">
        <v>-1249602.4986205201</v>
      </c>
      <c r="V50" s="17">
        <v>1340.2</v>
      </c>
      <c r="W50" s="17">
        <v>0</v>
      </c>
      <c r="X50" s="17">
        <v>0</v>
      </c>
      <c r="Y50" s="14" t="s">
        <v>46</v>
      </c>
      <c r="Z50" t="s">
        <v>1144</v>
      </c>
    </row>
    <row r="51" spans="1:26" x14ac:dyDescent="0.25">
      <c r="A51">
        <v>49</v>
      </c>
      <c r="B51" s="77">
        <v>44909.916666666664</v>
      </c>
      <c r="C51" s="14" t="s">
        <v>46</v>
      </c>
      <c r="D51" s="14" t="s">
        <v>54</v>
      </c>
      <c r="E51" s="14" t="s">
        <v>779</v>
      </c>
      <c r="F51" s="14">
        <v>17440</v>
      </c>
      <c r="G51" s="14">
        <v>13777.600205302</v>
      </c>
      <c r="H51" s="14">
        <v>7.9</v>
      </c>
      <c r="I51" s="14">
        <v>-17756.410061801002</v>
      </c>
      <c r="J51" s="14" t="s">
        <v>18</v>
      </c>
      <c r="K51" s="15">
        <v>73050.333333333328</v>
      </c>
      <c r="L51" s="14">
        <v>1</v>
      </c>
      <c r="M51" s="14" t="s">
        <v>20</v>
      </c>
      <c r="N51" s="49">
        <v>0.1</v>
      </c>
      <c r="O51" s="47">
        <v>1744</v>
      </c>
      <c r="P51" s="48">
        <v>13777.6</v>
      </c>
      <c r="Q51" s="16">
        <v>28140</v>
      </c>
      <c r="R51" s="26" t="s">
        <v>58</v>
      </c>
      <c r="S51" s="26" t="s">
        <v>63</v>
      </c>
      <c r="T51" s="17" t="s">
        <v>66</v>
      </c>
      <c r="U51" s="17">
        <v>13777.600205302</v>
      </c>
      <c r="V51" s="17">
        <v>7.9</v>
      </c>
      <c r="W51" s="17">
        <v>0</v>
      </c>
      <c r="X51" s="17">
        <v>0</v>
      </c>
      <c r="Y51" s="14" t="s">
        <v>46</v>
      </c>
      <c r="Z51" t="s">
        <v>1147</v>
      </c>
    </row>
    <row r="52" spans="1:26" x14ac:dyDescent="0.25">
      <c r="A52">
        <v>50</v>
      </c>
      <c r="B52" s="77">
        <v>44909.916666666664</v>
      </c>
      <c r="C52" s="14" t="s">
        <v>268</v>
      </c>
      <c r="D52" s="14" t="s">
        <v>303</v>
      </c>
      <c r="E52" s="14" t="s">
        <v>780</v>
      </c>
      <c r="F52" s="14">
        <v>380</v>
      </c>
      <c r="G52" s="14">
        <v>24852000</v>
      </c>
      <c r="H52" s="14">
        <v>1308</v>
      </c>
      <c r="I52" s="14">
        <v>0</v>
      </c>
      <c r="J52" s="14" t="s">
        <v>286</v>
      </c>
      <c r="K52" s="15">
        <v>44925</v>
      </c>
      <c r="L52" s="14">
        <v>1</v>
      </c>
      <c r="M52" s="14" t="s">
        <v>16</v>
      </c>
      <c r="N52" s="49">
        <v>50</v>
      </c>
      <c r="O52" s="47">
        <v>19000</v>
      </c>
      <c r="P52" s="48">
        <v>24877244.861726239</v>
      </c>
      <c r="Q52" s="16">
        <v>15</v>
      </c>
      <c r="R52" s="26" t="s">
        <v>319</v>
      </c>
      <c r="S52" s="26" t="s">
        <v>63</v>
      </c>
      <c r="T52" s="17" t="s">
        <v>737</v>
      </c>
      <c r="U52" s="17">
        <v>25100520</v>
      </c>
      <c r="V52" s="17">
        <v>1321.08</v>
      </c>
      <c r="W52" s="17">
        <v>0.01</v>
      </c>
      <c r="X52" s="17">
        <v>248520</v>
      </c>
      <c r="Y52" s="14" t="s">
        <v>303</v>
      </c>
      <c r="Z52" t="s">
        <v>1162</v>
      </c>
    </row>
    <row r="53" spans="1:26" x14ac:dyDescent="0.25">
      <c r="A53">
        <v>51</v>
      </c>
      <c r="B53" s="77">
        <v>44909.916666666664</v>
      </c>
      <c r="C53" s="14" t="s">
        <v>268</v>
      </c>
      <c r="D53" s="14" t="s">
        <v>303</v>
      </c>
      <c r="E53" s="14" t="s">
        <v>317</v>
      </c>
      <c r="F53" s="14">
        <v>114</v>
      </c>
      <c r="G53" s="14">
        <v>10143150</v>
      </c>
      <c r="H53" s="14">
        <v>17795</v>
      </c>
      <c r="I53" s="14">
        <v>0</v>
      </c>
      <c r="J53" s="14" t="s">
        <v>286</v>
      </c>
      <c r="K53" s="15">
        <v>44925</v>
      </c>
      <c r="L53" s="14">
        <v>1</v>
      </c>
      <c r="M53" s="14" t="s">
        <v>15</v>
      </c>
      <c r="N53" s="49">
        <v>5</v>
      </c>
      <c r="O53" s="47">
        <v>570</v>
      </c>
      <c r="P53" s="48">
        <v>10154920.417151013</v>
      </c>
      <c r="Q53" s="16">
        <v>15</v>
      </c>
      <c r="R53" s="26" t="s">
        <v>319</v>
      </c>
      <c r="S53" s="26" t="s">
        <v>63</v>
      </c>
      <c r="T53" s="17" t="s">
        <v>737</v>
      </c>
      <c r="U53" s="17">
        <v>10244581.5</v>
      </c>
      <c r="V53" s="17">
        <v>17972.95</v>
      </c>
      <c r="W53" s="17">
        <v>0.01</v>
      </c>
      <c r="X53" s="17">
        <v>101431.5</v>
      </c>
      <c r="Y53" s="14" t="s">
        <v>303</v>
      </c>
      <c r="Z53" t="s">
        <v>1163</v>
      </c>
    </row>
    <row r="54" spans="1:26" x14ac:dyDescent="0.25">
      <c r="B54" s="77">
        <v>44910.000000081018</v>
      </c>
      <c r="C54" s="14" t="s">
        <v>271</v>
      </c>
      <c r="D54" s="14" t="s">
        <v>1164</v>
      </c>
      <c r="E54" s="14" t="s">
        <v>124</v>
      </c>
      <c r="F54" s="14">
        <v>377.09760540000002</v>
      </c>
      <c r="G54" s="14">
        <v>0.11125551983738501</v>
      </c>
      <c r="H54" s="14">
        <v>2.9503109604573746E-4</v>
      </c>
      <c r="I54" s="14">
        <v>0</v>
      </c>
      <c r="J54" s="14" t="s">
        <v>255</v>
      </c>
      <c r="K54" s="15"/>
      <c r="L54" s="14">
        <v>1</v>
      </c>
      <c r="M54" s="14" t="s">
        <v>124</v>
      </c>
      <c r="N54" s="49"/>
      <c r="O54" s="47"/>
      <c r="P54" s="48"/>
      <c r="Q54" s="16">
        <v>0</v>
      </c>
      <c r="R54" s="26" t="s">
        <v>255</v>
      </c>
      <c r="S54" s="26" t="s">
        <v>63</v>
      </c>
      <c r="T54" s="17" t="s">
        <v>1165</v>
      </c>
      <c r="U54" s="17">
        <v>0.11125551983738501</v>
      </c>
      <c r="V54" s="17">
        <v>2.9503109604573746E-4</v>
      </c>
      <c r="W54" s="17">
        <v>0</v>
      </c>
      <c r="X54" s="17">
        <v>0</v>
      </c>
      <c r="Y54" s="14" t="s">
        <v>271</v>
      </c>
      <c r="Z54" t="s">
        <v>124</v>
      </c>
    </row>
    <row r="55" spans="1:26" x14ac:dyDescent="0.25">
      <c r="B55" s="77">
        <v>44910.000000081018</v>
      </c>
      <c r="C55" s="14" t="s">
        <v>271</v>
      </c>
      <c r="D55" s="14" t="s">
        <v>1164</v>
      </c>
      <c r="E55" s="14" t="s">
        <v>119</v>
      </c>
      <c r="F55" s="14">
        <v>187.71498924000002</v>
      </c>
      <c r="G55" s="14">
        <v>11743.992340761812</v>
      </c>
      <c r="H55" s="14">
        <v>62.56289062642044</v>
      </c>
      <c r="I55" s="14">
        <v>0</v>
      </c>
      <c r="J55" s="14" t="s">
        <v>255</v>
      </c>
      <c r="K55" s="15"/>
      <c r="L55" s="14">
        <v>1</v>
      </c>
      <c r="M55" s="14" t="s">
        <v>119</v>
      </c>
      <c r="N55" s="49"/>
      <c r="O55" s="47"/>
      <c r="P55" s="48"/>
      <c r="Q55" s="16">
        <v>0</v>
      </c>
      <c r="R55" s="26" t="s">
        <v>255</v>
      </c>
      <c r="S55" s="26" t="s">
        <v>63</v>
      </c>
      <c r="T55" s="17" t="s">
        <v>1165</v>
      </c>
      <c r="U55" s="17">
        <v>11743.992340761812</v>
      </c>
      <c r="V55" s="17">
        <v>62.56289062642044</v>
      </c>
      <c r="W55" s="17">
        <v>0</v>
      </c>
      <c r="X55" s="17">
        <v>0</v>
      </c>
      <c r="Y55" s="14" t="s">
        <v>271</v>
      </c>
      <c r="Z55" t="s">
        <v>119</v>
      </c>
    </row>
    <row r="56" spans="1:26" x14ac:dyDescent="0.25">
      <c r="B56" s="77">
        <v>44910.000000081018</v>
      </c>
      <c r="C56" s="14" t="s">
        <v>271</v>
      </c>
      <c r="D56" s="14" t="s">
        <v>1164</v>
      </c>
      <c r="E56" s="14" t="s">
        <v>87</v>
      </c>
      <c r="F56" s="14">
        <v>1311.2999417100218</v>
      </c>
      <c r="G56" s="14">
        <v>404.05642661685124</v>
      </c>
      <c r="H56" s="14">
        <v>0.30813425194691535</v>
      </c>
      <c r="I56" s="14">
        <v>0</v>
      </c>
      <c r="J56" s="14" t="s">
        <v>255</v>
      </c>
      <c r="L56" s="14">
        <v>1</v>
      </c>
      <c r="M56" s="14" t="s">
        <v>87</v>
      </c>
      <c r="N56" s="49"/>
      <c r="O56" s="47"/>
      <c r="P56" s="48"/>
      <c r="Q56" s="16">
        <v>0</v>
      </c>
      <c r="R56" s="26" t="s">
        <v>255</v>
      </c>
      <c r="S56" s="26" t="s">
        <v>63</v>
      </c>
      <c r="T56" s="17" t="s">
        <v>1165</v>
      </c>
      <c r="U56" s="17">
        <v>404.05642661685124</v>
      </c>
      <c r="V56" s="17">
        <v>0.30813425194691535</v>
      </c>
      <c r="W56" s="17">
        <v>0</v>
      </c>
      <c r="X56" s="17">
        <v>0</v>
      </c>
      <c r="Y56" s="14" t="s">
        <v>271</v>
      </c>
      <c r="Z56" t="s">
        <v>87</v>
      </c>
    </row>
    <row r="57" spans="1:26" x14ac:dyDescent="0.25">
      <c r="B57" s="77">
        <v>44910.000000081018</v>
      </c>
      <c r="C57" s="14" t="s">
        <v>271</v>
      </c>
      <c r="D57" s="14" t="s">
        <v>1164</v>
      </c>
      <c r="E57" s="14" t="s">
        <v>125</v>
      </c>
      <c r="F57" s="14">
        <v>5134.4895702600188</v>
      </c>
      <c r="G57" s="14">
        <v>1134.2899072171967</v>
      </c>
      <c r="H57" s="18">
        <v>0.22091580705260921</v>
      </c>
      <c r="I57" s="14">
        <v>0</v>
      </c>
      <c r="J57" s="14" t="s">
        <v>255</v>
      </c>
      <c r="L57" s="14">
        <v>1</v>
      </c>
      <c r="M57" s="14" t="s">
        <v>125</v>
      </c>
      <c r="N57" s="49"/>
      <c r="O57" s="47"/>
      <c r="P57" s="48"/>
      <c r="Q57" s="16">
        <v>0</v>
      </c>
      <c r="R57" s="26" t="s">
        <v>255</v>
      </c>
      <c r="S57" s="26" t="s">
        <v>63</v>
      </c>
      <c r="T57" s="17" t="s">
        <v>1165</v>
      </c>
      <c r="U57" s="17">
        <v>1134.2899072171967</v>
      </c>
      <c r="V57" s="17">
        <v>0.22091580705260921</v>
      </c>
      <c r="W57" s="17">
        <v>0</v>
      </c>
      <c r="X57" s="17">
        <v>0</v>
      </c>
      <c r="Y57" s="14" t="s">
        <v>271</v>
      </c>
      <c r="Z57" t="s">
        <v>125</v>
      </c>
    </row>
    <row r="58" spans="1:26" x14ac:dyDescent="0.25">
      <c r="B58" s="77">
        <v>44910.000000081018</v>
      </c>
      <c r="C58" s="14" t="s">
        <v>271</v>
      </c>
      <c r="D58" s="14" t="s">
        <v>1164</v>
      </c>
      <c r="E58" s="14" t="s">
        <v>126</v>
      </c>
      <c r="F58" s="14">
        <v>0.53247394999999997</v>
      </c>
      <c r="G58" s="14">
        <v>1.5597477765298099E-2</v>
      </c>
      <c r="H58" s="14">
        <v>2.9292471050082543E-2</v>
      </c>
      <c r="I58" s="14">
        <v>0</v>
      </c>
      <c r="J58" s="14" t="s">
        <v>255</v>
      </c>
      <c r="L58" s="14">
        <v>1</v>
      </c>
      <c r="M58" s="14" t="s">
        <v>126</v>
      </c>
      <c r="N58" s="49"/>
      <c r="O58" s="47"/>
      <c r="P58" s="48"/>
      <c r="Q58" s="16">
        <v>0</v>
      </c>
      <c r="R58" s="26" t="s">
        <v>255</v>
      </c>
      <c r="S58" s="26" t="s">
        <v>63</v>
      </c>
      <c r="T58" s="17" t="s">
        <v>1165</v>
      </c>
      <c r="U58" s="17">
        <v>1.5597477765298099E-2</v>
      </c>
      <c r="V58" s="17">
        <v>2.9292471050082543E-2</v>
      </c>
      <c r="W58" s="17">
        <v>0</v>
      </c>
      <c r="X58" s="17">
        <v>0</v>
      </c>
      <c r="Y58" s="14" t="s">
        <v>271</v>
      </c>
      <c r="Z58" t="s">
        <v>126</v>
      </c>
    </row>
    <row r="59" spans="1:26" x14ac:dyDescent="0.25">
      <c r="B59" s="77">
        <v>44910.000000081018</v>
      </c>
      <c r="C59" s="14" t="s">
        <v>271</v>
      </c>
      <c r="D59" s="14" t="s">
        <v>1164</v>
      </c>
      <c r="E59" s="14" t="s">
        <v>36</v>
      </c>
      <c r="F59" s="14">
        <v>0.37945432000000001</v>
      </c>
      <c r="G59" s="14">
        <v>3.646229221163833</v>
      </c>
      <c r="H59" s="14">
        <v>9.6091387789809133</v>
      </c>
      <c r="I59" s="14">
        <v>0</v>
      </c>
      <c r="J59" s="14" t="s">
        <v>255</v>
      </c>
      <c r="L59" s="14">
        <v>1</v>
      </c>
      <c r="M59" s="14" t="s">
        <v>36</v>
      </c>
      <c r="N59" s="49"/>
      <c r="O59" s="47"/>
      <c r="P59" s="48"/>
      <c r="Q59" s="16">
        <v>0</v>
      </c>
      <c r="R59" s="26" t="s">
        <v>255</v>
      </c>
      <c r="S59" s="26" t="s">
        <v>63</v>
      </c>
      <c r="T59" s="17" t="s">
        <v>1165</v>
      </c>
      <c r="U59" s="17">
        <v>3.646229221163833</v>
      </c>
      <c r="V59" s="17">
        <v>9.6091387789809133</v>
      </c>
      <c r="W59" s="17">
        <v>0</v>
      </c>
      <c r="X59" s="17">
        <v>0</v>
      </c>
      <c r="Y59" s="14" t="s">
        <v>271</v>
      </c>
      <c r="Z59" t="s">
        <v>36</v>
      </c>
    </row>
    <row r="60" spans="1:26" x14ac:dyDescent="0.25">
      <c r="B60" s="77">
        <v>44910.000000081018</v>
      </c>
      <c r="C60" s="14" t="s">
        <v>271</v>
      </c>
      <c r="D60" s="14" t="s">
        <v>1164</v>
      </c>
      <c r="E60" s="14" t="s">
        <v>313</v>
      </c>
      <c r="F60" s="14">
        <v>463.45655553</v>
      </c>
      <c r="G60" s="14">
        <v>26.842364961398999</v>
      </c>
      <c r="H60" s="14">
        <v>5.7917758722179663E-2</v>
      </c>
      <c r="I60" s="14">
        <v>0</v>
      </c>
      <c r="J60" s="14" t="s">
        <v>255</v>
      </c>
      <c r="L60" s="14">
        <v>1</v>
      </c>
      <c r="M60" s="14" t="s">
        <v>313</v>
      </c>
      <c r="N60" s="49"/>
      <c r="O60" s="47"/>
      <c r="P60" s="48"/>
      <c r="Q60" s="16">
        <v>0</v>
      </c>
      <c r="R60" s="26" t="s">
        <v>255</v>
      </c>
      <c r="S60" s="26" t="s">
        <v>63</v>
      </c>
      <c r="T60" s="17" t="s">
        <v>1165</v>
      </c>
      <c r="U60" s="17">
        <v>26.842364961398999</v>
      </c>
      <c r="V60" s="17">
        <v>5.7917758722179663E-2</v>
      </c>
      <c r="W60" s="17">
        <v>0</v>
      </c>
      <c r="X60" s="17">
        <v>0</v>
      </c>
      <c r="Y60" s="14" t="s">
        <v>271</v>
      </c>
      <c r="Z60" t="s">
        <v>313</v>
      </c>
    </row>
    <row r="61" spans="1:26" x14ac:dyDescent="0.25">
      <c r="B61" s="77">
        <v>44910.000000081018</v>
      </c>
      <c r="C61" s="14" t="s">
        <v>271</v>
      </c>
      <c r="D61" s="14" t="s">
        <v>1164</v>
      </c>
      <c r="E61" s="14" t="s">
        <v>190</v>
      </c>
      <c r="F61" s="14">
        <v>-71.882609270000103</v>
      </c>
      <c r="G61" s="14">
        <v>-986.77280144217366</v>
      </c>
      <c r="H61" s="14">
        <v>13.72755957892028</v>
      </c>
      <c r="I61" s="14">
        <v>0</v>
      </c>
      <c r="J61" s="14" t="s">
        <v>255</v>
      </c>
      <c r="L61" s="14">
        <v>1</v>
      </c>
      <c r="M61" s="14" t="s">
        <v>190</v>
      </c>
      <c r="N61" s="49"/>
      <c r="O61" s="47"/>
      <c r="P61" s="48"/>
      <c r="Q61" s="16">
        <v>0</v>
      </c>
      <c r="R61" s="26" t="s">
        <v>255</v>
      </c>
      <c r="S61" s="26" t="s">
        <v>64</v>
      </c>
      <c r="T61" s="17" t="s">
        <v>1166</v>
      </c>
      <c r="U61" s="17">
        <v>-986.77280144217366</v>
      </c>
      <c r="V61" s="17">
        <v>13.72755957892028</v>
      </c>
      <c r="W61" s="17">
        <v>0</v>
      </c>
      <c r="X61" s="17">
        <v>0</v>
      </c>
      <c r="Y61" s="14" t="s">
        <v>271</v>
      </c>
      <c r="Z61" t="s">
        <v>190</v>
      </c>
    </row>
    <row r="62" spans="1:26" x14ac:dyDescent="0.25">
      <c r="B62" s="77">
        <v>44910.000000081018</v>
      </c>
      <c r="C62" s="14" t="s">
        <v>271</v>
      </c>
      <c r="D62" s="14" t="s">
        <v>1164</v>
      </c>
      <c r="E62" s="14" t="s">
        <v>314</v>
      </c>
      <c r="F62" s="14">
        <v>128.13018736000001</v>
      </c>
      <c r="G62" s="14">
        <v>787.63144938300502</v>
      </c>
      <c r="H62" s="14">
        <v>6.1471185331996923</v>
      </c>
      <c r="I62" s="14">
        <v>0</v>
      </c>
      <c r="J62" s="14" t="s">
        <v>255</v>
      </c>
      <c r="L62" s="14">
        <v>1</v>
      </c>
      <c r="M62" s="14" t="s">
        <v>314</v>
      </c>
      <c r="N62" s="49"/>
      <c r="O62" s="47"/>
      <c r="P62" s="48"/>
      <c r="Q62" s="16">
        <v>0</v>
      </c>
      <c r="R62" s="26" t="s">
        <v>255</v>
      </c>
      <c r="S62" s="26" t="s">
        <v>63</v>
      </c>
      <c r="T62" s="17" t="s">
        <v>1165</v>
      </c>
      <c r="U62" s="17">
        <v>787.63144938300502</v>
      </c>
      <c r="V62" s="17">
        <v>6.1471185331996923</v>
      </c>
      <c r="W62" s="17">
        <v>0</v>
      </c>
      <c r="X62" s="17">
        <v>0</v>
      </c>
      <c r="Y62" s="14" t="s">
        <v>271</v>
      </c>
      <c r="Z62" t="s">
        <v>314</v>
      </c>
    </row>
    <row r="63" spans="1:26" x14ac:dyDescent="0.25">
      <c r="B63" s="77">
        <v>44910.000000081018</v>
      </c>
      <c r="C63" s="14" t="s">
        <v>271</v>
      </c>
      <c r="D63" s="14" t="s">
        <v>1164</v>
      </c>
      <c r="E63" s="14" t="s">
        <v>127</v>
      </c>
      <c r="F63" s="14">
        <v>-242.01617074001115</v>
      </c>
      <c r="G63" s="14">
        <v>-54.202269811452425</v>
      </c>
      <c r="H63" s="14">
        <v>0.22396135615946045</v>
      </c>
      <c r="I63" s="14">
        <v>0</v>
      </c>
      <c r="J63" s="14" t="s">
        <v>255</v>
      </c>
      <c r="L63" s="14">
        <v>1</v>
      </c>
      <c r="M63" s="14" t="s">
        <v>127</v>
      </c>
      <c r="N63" s="49"/>
      <c r="O63" s="47"/>
      <c r="P63" s="48"/>
      <c r="Q63" s="16">
        <v>0</v>
      </c>
      <c r="R63" s="26" t="s">
        <v>255</v>
      </c>
      <c r="S63" s="26" t="s">
        <v>64</v>
      </c>
      <c r="T63" s="17" t="s">
        <v>1166</v>
      </c>
      <c r="U63" s="17">
        <v>-54.202269811452425</v>
      </c>
      <c r="V63" s="17">
        <v>0.22396135615946045</v>
      </c>
      <c r="W63" s="17">
        <v>0</v>
      </c>
      <c r="X63" s="17">
        <v>0</v>
      </c>
      <c r="Y63" s="14" t="s">
        <v>271</v>
      </c>
      <c r="Z63" t="s">
        <v>127</v>
      </c>
    </row>
    <row r="64" spans="1:26" x14ac:dyDescent="0.25">
      <c r="B64" s="77">
        <v>44910.000000081018</v>
      </c>
      <c r="C64" s="14" t="s">
        <v>271</v>
      </c>
      <c r="D64" s="14" t="s">
        <v>1164</v>
      </c>
      <c r="E64" s="14" t="s">
        <v>21</v>
      </c>
      <c r="F64" s="14">
        <v>1527.9969412400001</v>
      </c>
      <c r="G64" s="14">
        <v>166717.44807959287</v>
      </c>
      <c r="H64" s="14">
        <v>109.10849595307326</v>
      </c>
      <c r="I64" s="14">
        <v>0</v>
      </c>
      <c r="J64" s="14" t="s">
        <v>255</v>
      </c>
      <c r="L64" s="14">
        <v>1</v>
      </c>
      <c r="M64" s="14" t="s">
        <v>21</v>
      </c>
      <c r="N64" s="49"/>
      <c r="O64" s="47"/>
      <c r="P64" s="48"/>
      <c r="Q64" s="16">
        <v>0</v>
      </c>
      <c r="R64" s="26" t="s">
        <v>255</v>
      </c>
      <c r="S64" s="26" t="s">
        <v>63</v>
      </c>
      <c r="T64" s="17" t="s">
        <v>1165</v>
      </c>
      <c r="U64" s="17">
        <v>166717.44807959287</v>
      </c>
      <c r="V64" s="17">
        <v>109.10849595307326</v>
      </c>
      <c r="W64" s="17">
        <v>0</v>
      </c>
      <c r="X64" s="17">
        <v>0</v>
      </c>
      <c r="Y64" s="14" t="s">
        <v>271</v>
      </c>
      <c r="Z64" t="s">
        <v>21</v>
      </c>
    </row>
    <row r="65" spans="2:26" x14ac:dyDescent="0.25">
      <c r="B65" s="77">
        <v>44910.000000081018</v>
      </c>
      <c r="C65" s="14" t="s">
        <v>271</v>
      </c>
      <c r="D65" s="14" t="s">
        <v>1164</v>
      </c>
      <c r="E65" s="14" t="s">
        <v>128</v>
      </c>
      <c r="F65" s="14">
        <v>2.5033500000000001E-3</v>
      </c>
      <c r="G65" s="14">
        <v>1.9953523672060501E-4</v>
      </c>
      <c r="H65" s="14">
        <v>7.9707286923764151E-2</v>
      </c>
      <c r="I65" s="14">
        <v>0</v>
      </c>
      <c r="J65" s="14" t="s">
        <v>255</v>
      </c>
      <c r="L65" s="14">
        <v>1</v>
      </c>
      <c r="M65" s="14" t="s">
        <v>128</v>
      </c>
      <c r="N65" s="49"/>
      <c r="O65" s="47"/>
      <c r="P65" s="48"/>
      <c r="Q65" s="16">
        <v>0</v>
      </c>
      <c r="R65" s="26" t="s">
        <v>255</v>
      </c>
      <c r="S65" s="26" t="s">
        <v>63</v>
      </c>
      <c r="T65" s="17" t="s">
        <v>1165</v>
      </c>
      <c r="U65" s="17">
        <v>1.9953523672060501E-4</v>
      </c>
      <c r="V65" s="17">
        <v>7.9707286923764151E-2</v>
      </c>
      <c r="W65" s="17">
        <v>0</v>
      </c>
      <c r="X65" s="17">
        <v>0</v>
      </c>
      <c r="Y65" s="14" t="s">
        <v>271</v>
      </c>
      <c r="Z65" t="s">
        <v>128</v>
      </c>
    </row>
    <row r="66" spans="2:26" x14ac:dyDescent="0.25">
      <c r="B66" s="77">
        <v>44910.000000081018</v>
      </c>
      <c r="C66" s="14" t="s">
        <v>271</v>
      </c>
      <c r="D66" s="14" t="s">
        <v>1164</v>
      </c>
      <c r="E66" s="14" t="s">
        <v>129</v>
      </c>
      <c r="F66" s="14">
        <v>115.29838952</v>
      </c>
      <c r="G66" s="14">
        <v>7.2493053638472196</v>
      </c>
      <c r="H66" s="14">
        <v>6.2874298539874515E-2</v>
      </c>
      <c r="I66" s="14">
        <v>0</v>
      </c>
      <c r="J66" s="14" t="s">
        <v>255</v>
      </c>
      <c r="L66" s="14">
        <v>1</v>
      </c>
      <c r="M66" s="14" t="s">
        <v>129</v>
      </c>
      <c r="N66" s="49"/>
      <c r="O66" s="47"/>
      <c r="P66" s="48"/>
      <c r="Q66" s="16">
        <v>0</v>
      </c>
      <c r="R66" s="26" t="s">
        <v>255</v>
      </c>
      <c r="S66" s="26" t="s">
        <v>63</v>
      </c>
      <c r="T66" s="17" t="s">
        <v>1165</v>
      </c>
      <c r="U66" s="17">
        <v>7.2493053638472196</v>
      </c>
      <c r="V66" s="17">
        <v>6.2874298539874515E-2</v>
      </c>
      <c r="W66" s="17">
        <v>0</v>
      </c>
      <c r="X66" s="17">
        <v>0</v>
      </c>
      <c r="Y66" s="14" t="s">
        <v>271</v>
      </c>
      <c r="Z66" t="s">
        <v>129</v>
      </c>
    </row>
    <row r="67" spans="2:26" x14ac:dyDescent="0.25">
      <c r="B67" s="77">
        <v>44910.000000081018</v>
      </c>
      <c r="C67" s="14" t="s">
        <v>271</v>
      </c>
      <c r="D67" s="14" t="s">
        <v>1164</v>
      </c>
      <c r="E67" s="14" t="s">
        <v>90</v>
      </c>
      <c r="F67" s="14">
        <v>2637.0231170699994</v>
      </c>
      <c r="G67" s="14">
        <v>707332.77448328258</v>
      </c>
      <c r="H67" s="14">
        <v>268.23154105270078</v>
      </c>
      <c r="I67" s="14">
        <v>0</v>
      </c>
      <c r="J67" s="14" t="s">
        <v>255</v>
      </c>
      <c r="L67" s="14">
        <v>1</v>
      </c>
      <c r="M67" s="14" t="s">
        <v>90</v>
      </c>
      <c r="N67" s="49"/>
      <c r="O67" s="47"/>
      <c r="P67" s="48"/>
      <c r="Q67" s="16">
        <v>0</v>
      </c>
      <c r="R67" s="26" t="s">
        <v>255</v>
      </c>
      <c r="S67" s="26" t="s">
        <v>63</v>
      </c>
      <c r="T67" s="17" t="s">
        <v>1165</v>
      </c>
      <c r="U67" s="17">
        <v>707332.77448328258</v>
      </c>
      <c r="V67" s="17">
        <v>268.23154105270078</v>
      </c>
      <c r="W67" s="17">
        <v>0</v>
      </c>
      <c r="X67" s="17">
        <v>0</v>
      </c>
      <c r="Y67" s="14" t="s">
        <v>271</v>
      </c>
      <c r="Z67" t="s">
        <v>90</v>
      </c>
    </row>
    <row r="68" spans="2:26" x14ac:dyDescent="0.25">
      <c r="B68" s="77">
        <v>44910.000000081018</v>
      </c>
      <c r="C68" s="14" t="s">
        <v>271</v>
      </c>
      <c r="D68" s="14" t="s">
        <v>1164</v>
      </c>
      <c r="E68" s="14" t="s">
        <v>130</v>
      </c>
      <c r="F68" s="14">
        <v>14.7502</v>
      </c>
      <c r="G68" s="14">
        <v>3.0301948775707701</v>
      </c>
      <c r="H68" s="14">
        <v>0.20543415530438708</v>
      </c>
      <c r="I68" s="14">
        <v>0</v>
      </c>
      <c r="J68" s="14" t="s">
        <v>255</v>
      </c>
      <c r="L68" s="14">
        <v>1</v>
      </c>
      <c r="M68" s="14" t="s">
        <v>130</v>
      </c>
      <c r="N68" s="49"/>
      <c r="O68" s="47"/>
      <c r="P68" s="48"/>
      <c r="Q68" s="16">
        <v>0</v>
      </c>
      <c r="R68" s="26" t="s">
        <v>255</v>
      </c>
      <c r="S68" s="26" t="s">
        <v>63</v>
      </c>
      <c r="T68" s="17" t="s">
        <v>1165</v>
      </c>
      <c r="U68" s="17">
        <v>3.0301948775707701</v>
      </c>
      <c r="V68" s="17">
        <v>0.20543415530438708</v>
      </c>
      <c r="W68" s="17">
        <v>0</v>
      </c>
      <c r="X68" s="17">
        <v>0</v>
      </c>
      <c r="Y68" s="14" t="s">
        <v>271</v>
      </c>
      <c r="Z68" t="s">
        <v>130</v>
      </c>
    </row>
    <row r="69" spans="2:26" x14ac:dyDescent="0.25">
      <c r="B69" s="77">
        <v>44910.000000081018</v>
      </c>
      <c r="C69" s="14" t="s">
        <v>271</v>
      </c>
      <c r="D69" s="14" t="s">
        <v>1164</v>
      </c>
      <c r="E69" s="14" t="s">
        <v>116</v>
      </c>
      <c r="F69" s="14">
        <v>1.46109958</v>
      </c>
      <c r="G69" s="14">
        <v>66.204787084674365</v>
      </c>
      <c r="H69" s="14">
        <v>45.311618722574927</v>
      </c>
      <c r="I69" s="14">
        <v>0</v>
      </c>
      <c r="J69" s="14" t="s">
        <v>255</v>
      </c>
      <c r="L69" s="14">
        <v>1</v>
      </c>
      <c r="M69" s="14" t="s">
        <v>116</v>
      </c>
      <c r="N69" s="49"/>
      <c r="O69" s="47"/>
      <c r="P69" s="48"/>
      <c r="Q69" s="16">
        <v>0</v>
      </c>
      <c r="R69" s="26" t="s">
        <v>255</v>
      </c>
      <c r="S69" s="26" t="s">
        <v>63</v>
      </c>
      <c r="T69" s="17" t="s">
        <v>1165</v>
      </c>
      <c r="U69" s="17">
        <v>66.204787084674365</v>
      </c>
      <c r="V69" s="17">
        <v>45.311618722574927</v>
      </c>
      <c r="W69" s="17">
        <v>0</v>
      </c>
      <c r="X69" s="17">
        <v>0</v>
      </c>
      <c r="Y69" s="23" t="s">
        <v>271</v>
      </c>
      <c r="Z69" t="s">
        <v>116</v>
      </c>
    </row>
    <row r="70" spans="2:26" x14ac:dyDescent="0.25">
      <c r="B70" s="77">
        <v>44910.000000081018</v>
      </c>
      <c r="C70" s="14" t="s">
        <v>271</v>
      </c>
      <c r="D70" s="14" t="s">
        <v>1164</v>
      </c>
      <c r="E70" s="14" t="s">
        <v>15</v>
      </c>
      <c r="F70" s="14">
        <v>861.43719583000006</v>
      </c>
      <c r="G70" s="14">
        <v>15347063.452679358</v>
      </c>
      <c r="H70" s="14">
        <v>17815.649854650597</v>
      </c>
      <c r="I70" s="14">
        <v>0</v>
      </c>
      <c r="J70" s="14" t="s">
        <v>255</v>
      </c>
      <c r="L70" s="14">
        <v>1</v>
      </c>
      <c r="M70" s="14" t="s">
        <v>15</v>
      </c>
      <c r="N70" s="49"/>
      <c r="O70" s="47"/>
      <c r="P70" s="48"/>
      <c r="Q70" s="16">
        <v>0</v>
      </c>
      <c r="R70" s="26" t="s">
        <v>255</v>
      </c>
      <c r="S70" s="26" t="s">
        <v>63</v>
      </c>
      <c r="T70" s="17" t="s">
        <v>1165</v>
      </c>
      <c r="U70" s="17">
        <v>15347063.452679358</v>
      </c>
      <c r="V70" s="17">
        <v>17815.649854650597</v>
      </c>
      <c r="W70" s="17">
        <v>0</v>
      </c>
      <c r="X70" s="17">
        <v>0</v>
      </c>
      <c r="Y70" s="23" t="s">
        <v>271</v>
      </c>
      <c r="Z70" t="s">
        <v>15</v>
      </c>
    </row>
    <row r="71" spans="2:26" x14ac:dyDescent="0.25">
      <c r="B71" s="77">
        <v>44910.000000081018</v>
      </c>
      <c r="C71" s="14" t="s">
        <v>271</v>
      </c>
      <c r="D71" s="14" t="s">
        <v>1164</v>
      </c>
      <c r="E71" s="14" t="s">
        <v>131</v>
      </c>
      <c r="F71" s="14">
        <v>0.33565571999999999</v>
      </c>
      <c r="G71" s="14">
        <v>4.5998341691350798E-3</v>
      </c>
      <c r="H71" s="14">
        <v>1.3704024376927287E-2</v>
      </c>
      <c r="I71" s="14">
        <v>0</v>
      </c>
      <c r="J71" s="14" t="s">
        <v>255</v>
      </c>
      <c r="L71" s="14">
        <v>1</v>
      </c>
      <c r="M71" s="14" t="s">
        <v>131</v>
      </c>
      <c r="N71" s="49"/>
      <c r="O71" s="47"/>
      <c r="P71" s="48"/>
      <c r="Q71" s="16">
        <v>0</v>
      </c>
      <c r="R71" s="26" t="s">
        <v>255</v>
      </c>
      <c r="S71" s="26" t="s">
        <v>63</v>
      </c>
      <c r="T71" s="17" t="s">
        <v>1165</v>
      </c>
      <c r="U71" s="17">
        <v>4.5998341691350798E-3</v>
      </c>
      <c r="V71" s="17">
        <v>1.3704024376927287E-2</v>
      </c>
      <c r="W71" s="17">
        <v>0</v>
      </c>
      <c r="X71" s="17">
        <v>0</v>
      </c>
      <c r="Y71" s="23" t="s">
        <v>271</v>
      </c>
      <c r="Z71" t="s">
        <v>131</v>
      </c>
    </row>
    <row r="72" spans="2:26" x14ac:dyDescent="0.25">
      <c r="B72" s="77">
        <v>44910.000000081018</v>
      </c>
      <c r="C72" s="14" t="s">
        <v>271</v>
      </c>
      <c r="D72" s="14" t="s">
        <v>1164</v>
      </c>
      <c r="E72" s="14" t="s">
        <v>132</v>
      </c>
      <c r="F72" s="14">
        <v>1367501156.8785999</v>
      </c>
      <c r="G72" s="14">
        <v>926.78176959022505</v>
      </c>
      <c r="H72" s="14">
        <v>6.7771918504672987E-7</v>
      </c>
      <c r="I72" s="14">
        <v>0</v>
      </c>
      <c r="J72" s="14" t="s">
        <v>255</v>
      </c>
      <c r="L72" s="14">
        <v>1</v>
      </c>
      <c r="M72" s="14" t="s">
        <v>132</v>
      </c>
      <c r="N72" s="49"/>
      <c r="O72" s="47"/>
      <c r="P72" s="48"/>
      <c r="Q72" s="16">
        <v>0</v>
      </c>
      <c r="R72" s="26" t="s">
        <v>255</v>
      </c>
      <c r="S72" s="26" t="s">
        <v>63</v>
      </c>
      <c r="T72" s="17" t="s">
        <v>1165</v>
      </c>
      <c r="U72" s="17">
        <v>926.78176959022505</v>
      </c>
      <c r="V72" s="17">
        <v>6.7771918504672987E-7</v>
      </c>
      <c r="W72" s="17">
        <v>0</v>
      </c>
      <c r="X72" s="17">
        <v>0</v>
      </c>
      <c r="Y72" s="23" t="s">
        <v>271</v>
      </c>
      <c r="Z72" t="s">
        <v>132</v>
      </c>
    </row>
    <row r="73" spans="2:26" x14ac:dyDescent="0.25">
      <c r="B73" s="77">
        <v>44910.000000081018</v>
      </c>
      <c r="C73" s="14" t="s">
        <v>271</v>
      </c>
      <c r="D73" s="14" t="s">
        <v>1164</v>
      </c>
      <c r="E73" s="14" t="s">
        <v>91</v>
      </c>
      <c r="F73" s="14">
        <v>20719077.842394862</v>
      </c>
      <c r="G73" s="14">
        <v>20724299.138953604</v>
      </c>
      <c r="H73" s="14">
        <v>1.0002520042927807</v>
      </c>
      <c r="I73" s="14">
        <v>0</v>
      </c>
      <c r="J73" s="14" t="s">
        <v>255</v>
      </c>
      <c r="L73" s="14">
        <v>1</v>
      </c>
      <c r="M73" s="14" t="s">
        <v>91</v>
      </c>
      <c r="N73" s="49"/>
      <c r="O73" s="47"/>
      <c r="P73" s="48"/>
      <c r="Q73" s="25">
        <v>0</v>
      </c>
      <c r="R73" s="26" t="s">
        <v>255</v>
      </c>
      <c r="S73" s="26" t="s">
        <v>63</v>
      </c>
      <c r="T73" s="26" t="s">
        <v>1165</v>
      </c>
      <c r="U73" s="17">
        <v>20724299.138953604</v>
      </c>
      <c r="V73" s="26">
        <v>1.0002520042927807</v>
      </c>
      <c r="W73" s="26">
        <v>0</v>
      </c>
      <c r="X73" s="26">
        <v>0</v>
      </c>
      <c r="Y73" s="23" t="s">
        <v>271</v>
      </c>
      <c r="Z73" t="s">
        <v>91</v>
      </c>
    </row>
    <row r="74" spans="2:26" x14ac:dyDescent="0.25">
      <c r="B74" s="77">
        <v>44910.000000081018</v>
      </c>
      <c r="C74" s="14" t="s">
        <v>271</v>
      </c>
      <c r="D74" s="14" t="s">
        <v>1164</v>
      </c>
      <c r="E74" s="14" t="s">
        <v>133</v>
      </c>
      <c r="F74" s="14">
        <v>1.7855998900000001</v>
      </c>
      <c r="G74" s="14">
        <v>6.6804407083560597E-3</v>
      </c>
      <c r="H74" s="14">
        <v>3.7412864694766862E-3</v>
      </c>
      <c r="I74" s="14">
        <v>0</v>
      </c>
      <c r="J74" s="14" t="s">
        <v>255</v>
      </c>
      <c r="L74" s="14">
        <v>1</v>
      </c>
      <c r="M74" s="14" t="s">
        <v>133</v>
      </c>
      <c r="N74" s="49"/>
      <c r="O74" s="47"/>
      <c r="P74" s="48"/>
      <c r="Q74" s="25">
        <v>0</v>
      </c>
      <c r="R74" s="26" t="s">
        <v>255</v>
      </c>
      <c r="S74" s="26" t="s">
        <v>63</v>
      </c>
      <c r="T74" s="26" t="s">
        <v>1165</v>
      </c>
      <c r="U74" s="17">
        <v>6.6804407083560597E-3</v>
      </c>
      <c r="V74" s="26">
        <v>3.7412864694766862E-3</v>
      </c>
      <c r="W74" s="26">
        <v>0</v>
      </c>
      <c r="X74" s="26">
        <v>0</v>
      </c>
      <c r="Y74" s="23" t="s">
        <v>271</v>
      </c>
      <c r="Z74" t="s">
        <v>133</v>
      </c>
    </row>
    <row r="75" spans="2:26" x14ac:dyDescent="0.25">
      <c r="B75" s="77">
        <v>44910.000000081018</v>
      </c>
      <c r="C75" s="14" t="s">
        <v>271</v>
      </c>
      <c r="D75" s="14" t="s">
        <v>1164</v>
      </c>
      <c r="E75" s="14" t="s">
        <v>32</v>
      </c>
      <c r="F75" s="14">
        <v>308.17158299000039</v>
      </c>
      <c r="G75" s="14">
        <v>12127.549998269998</v>
      </c>
      <c r="H75" s="14">
        <v>39.353239129331129</v>
      </c>
      <c r="I75" s="14">
        <v>0</v>
      </c>
      <c r="J75" s="14" t="s">
        <v>255</v>
      </c>
      <c r="L75" s="14">
        <v>1</v>
      </c>
      <c r="M75" s="14" t="s">
        <v>32</v>
      </c>
      <c r="N75" s="49"/>
      <c r="O75" s="47"/>
      <c r="P75" s="48"/>
      <c r="Q75" s="25">
        <v>0</v>
      </c>
      <c r="R75" s="26" t="s">
        <v>255</v>
      </c>
      <c r="S75" s="26" t="s">
        <v>63</v>
      </c>
      <c r="T75" s="26" t="s">
        <v>1165</v>
      </c>
      <c r="U75" s="17">
        <v>12127.549998269998</v>
      </c>
      <c r="V75" s="26">
        <v>39.353239129331129</v>
      </c>
      <c r="W75" s="26">
        <v>0</v>
      </c>
      <c r="X75" s="26">
        <v>0</v>
      </c>
      <c r="Y75" s="23" t="s">
        <v>271</v>
      </c>
      <c r="Z75" t="s">
        <v>32</v>
      </c>
    </row>
    <row r="76" spans="2:26" x14ac:dyDescent="0.25">
      <c r="B76" s="77">
        <v>44910.000000081018</v>
      </c>
      <c r="C76" s="14" t="s">
        <v>271</v>
      </c>
      <c r="D76" s="14" t="s">
        <v>1164</v>
      </c>
      <c r="E76" s="14" t="s">
        <v>134</v>
      </c>
      <c r="F76" s="14">
        <v>0.30791584</v>
      </c>
      <c r="G76" s="14">
        <v>1.9071477542135899E-2</v>
      </c>
      <c r="H76" s="14">
        <v>6.1937305798025519E-2</v>
      </c>
      <c r="I76" s="14">
        <v>0</v>
      </c>
      <c r="J76" s="14" t="s">
        <v>255</v>
      </c>
      <c r="L76" s="14">
        <v>1</v>
      </c>
      <c r="M76" s="14" t="s">
        <v>134</v>
      </c>
      <c r="N76" s="49"/>
      <c r="O76" s="47"/>
      <c r="P76" s="48"/>
      <c r="Q76" s="25">
        <v>0</v>
      </c>
      <c r="R76" s="26" t="s">
        <v>255</v>
      </c>
      <c r="S76" s="26" t="s">
        <v>63</v>
      </c>
      <c r="T76" s="26" t="s">
        <v>1165</v>
      </c>
      <c r="U76" s="17">
        <v>1.9071477542135899E-2</v>
      </c>
      <c r="V76" s="26">
        <v>6.1937305798025519E-2</v>
      </c>
      <c r="W76" s="26">
        <v>0</v>
      </c>
      <c r="X76" s="26">
        <v>0</v>
      </c>
      <c r="Y76" s="23" t="s">
        <v>271</v>
      </c>
      <c r="Z76" t="s">
        <v>134</v>
      </c>
    </row>
    <row r="77" spans="2:26" x14ac:dyDescent="0.25">
      <c r="B77" s="77">
        <v>44910.000000081018</v>
      </c>
      <c r="C77" s="14" t="s">
        <v>271</v>
      </c>
      <c r="D77" s="14" t="s">
        <v>1164</v>
      </c>
      <c r="E77" s="14" t="s">
        <v>191</v>
      </c>
      <c r="F77" s="14">
        <v>105.3002444</v>
      </c>
      <c r="G77" s="14">
        <v>68.075135133439971</v>
      </c>
      <c r="H77" s="14">
        <v>0.64648601265202732</v>
      </c>
      <c r="I77" s="14">
        <v>0</v>
      </c>
      <c r="J77" s="14" t="s">
        <v>255</v>
      </c>
      <c r="L77" s="14">
        <v>1</v>
      </c>
      <c r="M77" s="14" t="s">
        <v>191</v>
      </c>
      <c r="N77" s="49"/>
      <c r="O77" s="47"/>
      <c r="P77" s="48"/>
      <c r="Q77" s="25">
        <v>0</v>
      </c>
      <c r="R77" s="26" t="s">
        <v>255</v>
      </c>
      <c r="S77" s="26" t="s">
        <v>63</v>
      </c>
      <c r="T77" s="26" t="s">
        <v>1165</v>
      </c>
      <c r="U77" s="17">
        <v>68.075135133439971</v>
      </c>
      <c r="V77" s="26">
        <v>0.64648601265202732</v>
      </c>
      <c r="W77" s="26">
        <v>0</v>
      </c>
      <c r="X77" s="26">
        <v>0</v>
      </c>
      <c r="Y77" s="23" t="s">
        <v>271</v>
      </c>
      <c r="Z77" t="s">
        <v>191</v>
      </c>
    </row>
    <row r="78" spans="2:26" x14ac:dyDescent="0.25">
      <c r="B78" s="77">
        <v>44910.000000081018</v>
      </c>
      <c r="C78" s="14" t="s">
        <v>271</v>
      </c>
      <c r="D78" s="14" t="s">
        <v>1164</v>
      </c>
      <c r="E78" s="14" t="s">
        <v>192</v>
      </c>
      <c r="F78" s="14">
        <v>3.4626987300000001</v>
      </c>
      <c r="G78" s="14">
        <v>13.530926361579093</v>
      </c>
      <c r="H78" s="14">
        <v>3.9076244907910578</v>
      </c>
      <c r="I78" s="14">
        <v>0</v>
      </c>
      <c r="J78" s="14" t="s">
        <v>255</v>
      </c>
      <c r="L78" s="14">
        <v>1</v>
      </c>
      <c r="M78" s="14" t="s">
        <v>192</v>
      </c>
      <c r="N78" s="49"/>
      <c r="O78" s="47"/>
      <c r="P78" s="48"/>
      <c r="Q78" s="25">
        <v>0</v>
      </c>
      <c r="R78" s="26" t="s">
        <v>255</v>
      </c>
      <c r="S78" s="26" t="s">
        <v>63</v>
      </c>
      <c r="T78" s="26" t="s">
        <v>1165</v>
      </c>
      <c r="U78" s="17">
        <v>13.530926361579093</v>
      </c>
      <c r="V78" s="26">
        <v>3.9076244907910578</v>
      </c>
      <c r="W78" s="26">
        <v>0</v>
      </c>
      <c r="X78" s="26">
        <v>0</v>
      </c>
      <c r="Y78" s="23" t="s">
        <v>271</v>
      </c>
      <c r="Z78" t="s">
        <v>192</v>
      </c>
    </row>
    <row r="79" spans="2:26" x14ac:dyDescent="0.25">
      <c r="B79" s="77">
        <v>44910.000000081018</v>
      </c>
      <c r="C79" s="14" t="s">
        <v>271</v>
      </c>
      <c r="D79" s="14" t="s">
        <v>1164</v>
      </c>
      <c r="E79" s="14" t="s">
        <v>670</v>
      </c>
      <c r="F79" s="14">
        <v>168347.15939687999</v>
      </c>
      <c r="G79" s="14">
        <v>168275.44119131</v>
      </c>
      <c r="H79" s="14">
        <v>0.99957398624469274</v>
      </c>
      <c r="I79" s="14">
        <v>0</v>
      </c>
      <c r="J79" s="14" t="s">
        <v>255</v>
      </c>
      <c r="L79" s="14">
        <v>1</v>
      </c>
      <c r="M79" s="14" t="s">
        <v>670</v>
      </c>
      <c r="N79" s="49"/>
      <c r="O79" s="47"/>
      <c r="P79" s="48"/>
      <c r="Q79" s="25">
        <v>0</v>
      </c>
      <c r="R79" s="26" t="s">
        <v>255</v>
      </c>
      <c r="S79" s="26" t="s">
        <v>63</v>
      </c>
      <c r="T79" s="26" t="s">
        <v>1165</v>
      </c>
      <c r="U79" s="17">
        <v>168275.44119131</v>
      </c>
      <c r="V79" s="26">
        <v>0.99957398624469274</v>
      </c>
      <c r="W79" s="26">
        <v>0</v>
      </c>
      <c r="X79" s="26">
        <v>0</v>
      </c>
      <c r="Y79" s="23" t="s">
        <v>271</v>
      </c>
      <c r="Z79" t="s">
        <v>670</v>
      </c>
    </row>
    <row r="80" spans="2:26" x14ac:dyDescent="0.25">
      <c r="B80" s="77">
        <v>44910.000000081018</v>
      </c>
      <c r="C80" s="14" t="s">
        <v>271</v>
      </c>
      <c r="D80" s="14" t="s">
        <v>1164</v>
      </c>
      <c r="E80" s="14" t="s">
        <v>135</v>
      </c>
      <c r="F80" s="14">
        <v>-0.10338559999996733</v>
      </c>
      <c r="G80" s="14">
        <v>-5.0497235654111137</v>
      </c>
      <c r="H80" s="14">
        <v>48.843587167001104</v>
      </c>
      <c r="I80" s="14">
        <v>0</v>
      </c>
      <c r="J80" s="14" t="s">
        <v>255</v>
      </c>
      <c r="L80" s="14">
        <v>1</v>
      </c>
      <c r="M80" s="14" t="s">
        <v>135</v>
      </c>
      <c r="N80" s="49"/>
      <c r="O80" s="47"/>
      <c r="P80" s="48"/>
      <c r="Q80" s="25">
        <v>0</v>
      </c>
      <c r="R80" s="26" t="s">
        <v>255</v>
      </c>
      <c r="S80" s="26" t="s">
        <v>64</v>
      </c>
      <c r="T80" s="26" t="s">
        <v>1166</v>
      </c>
      <c r="U80" s="17">
        <v>-5.0497235654111137</v>
      </c>
      <c r="V80" s="26">
        <v>48.843587167001104</v>
      </c>
      <c r="W80" s="26">
        <v>0</v>
      </c>
      <c r="X80" s="26">
        <v>0</v>
      </c>
      <c r="Y80" s="23" t="s">
        <v>271</v>
      </c>
      <c r="Z80" t="s">
        <v>135</v>
      </c>
    </row>
    <row r="81" spans="2:26" x14ac:dyDescent="0.25">
      <c r="B81" s="77">
        <v>44910.000000081018</v>
      </c>
      <c r="C81" s="14" t="s">
        <v>271</v>
      </c>
      <c r="D81" s="14" t="s">
        <v>1164</v>
      </c>
      <c r="E81" s="14" t="s">
        <v>193</v>
      </c>
      <c r="F81" s="14">
        <v>110560.80935360992</v>
      </c>
      <c r="G81" s="14">
        <v>9786.2228976837287</v>
      </c>
      <c r="H81" s="14">
        <v>8.8514392712015721E-2</v>
      </c>
      <c r="I81" s="14">
        <v>0</v>
      </c>
      <c r="J81" s="14" t="s">
        <v>255</v>
      </c>
      <c r="L81" s="14">
        <v>1</v>
      </c>
      <c r="M81" s="14" t="s">
        <v>193</v>
      </c>
      <c r="N81" s="49"/>
      <c r="O81" s="47"/>
      <c r="P81" s="48"/>
      <c r="Q81" s="25">
        <v>0</v>
      </c>
      <c r="R81" s="26" t="s">
        <v>255</v>
      </c>
      <c r="S81" s="26" t="s">
        <v>63</v>
      </c>
      <c r="T81" s="26" t="s">
        <v>1165</v>
      </c>
      <c r="U81" s="17">
        <v>9786.2228976837287</v>
      </c>
      <c r="V81" s="26">
        <v>8.8514392712015721E-2</v>
      </c>
      <c r="W81" s="26">
        <v>0</v>
      </c>
      <c r="X81" s="26">
        <v>0</v>
      </c>
      <c r="Y81" s="23" t="s">
        <v>271</v>
      </c>
      <c r="Z81" t="s">
        <v>193</v>
      </c>
    </row>
    <row r="82" spans="2:26" x14ac:dyDescent="0.25">
      <c r="B82" s="77">
        <v>44910.000000081018</v>
      </c>
      <c r="C82" s="14" t="s">
        <v>271</v>
      </c>
      <c r="D82" s="14" t="s">
        <v>1164</v>
      </c>
      <c r="E82" s="14" t="s">
        <v>136</v>
      </c>
      <c r="F82" s="14">
        <v>5.9800000000000001E-4</v>
      </c>
      <c r="G82" s="14">
        <v>2.9903151768703602E-6</v>
      </c>
      <c r="H82" s="14">
        <v>5.000527051622676E-3</v>
      </c>
      <c r="I82" s="14">
        <v>0</v>
      </c>
      <c r="J82" s="14" t="s">
        <v>255</v>
      </c>
      <c r="L82" s="14">
        <v>1</v>
      </c>
      <c r="M82" s="14" t="s">
        <v>136</v>
      </c>
      <c r="N82" s="49"/>
      <c r="O82" s="47"/>
      <c r="P82" s="48"/>
      <c r="Q82" s="25">
        <v>0</v>
      </c>
      <c r="R82" s="26" t="s">
        <v>255</v>
      </c>
      <c r="S82" s="26" t="s">
        <v>63</v>
      </c>
      <c r="T82" s="26" t="s">
        <v>1165</v>
      </c>
      <c r="U82" s="17">
        <v>2.9903151768703602E-6</v>
      </c>
      <c r="V82" s="26">
        <v>5.000527051622676E-3</v>
      </c>
      <c r="W82" s="26">
        <v>0</v>
      </c>
      <c r="X82" s="26">
        <v>0</v>
      </c>
      <c r="Y82" s="23" t="s">
        <v>271</v>
      </c>
      <c r="Z82" t="s">
        <v>136</v>
      </c>
    </row>
    <row r="83" spans="2:26" x14ac:dyDescent="0.25">
      <c r="B83" s="77">
        <v>44910.000000081018</v>
      </c>
      <c r="C83" s="14" t="s">
        <v>271</v>
      </c>
      <c r="D83" s="14" t="s">
        <v>1164</v>
      </c>
      <c r="E83" s="14" t="s">
        <v>23</v>
      </c>
      <c r="F83" s="14">
        <v>103.38961905999713</v>
      </c>
      <c r="G83" s="14">
        <v>539.19854947024214</v>
      </c>
      <c r="H83" s="14">
        <v>5.2152097509648865</v>
      </c>
      <c r="I83" s="14">
        <v>0</v>
      </c>
      <c r="J83" s="14" t="s">
        <v>255</v>
      </c>
      <c r="L83" s="14">
        <v>1</v>
      </c>
      <c r="M83" s="14" t="s">
        <v>23</v>
      </c>
      <c r="N83" s="49"/>
      <c r="O83" s="47"/>
      <c r="P83" s="48"/>
      <c r="Q83" s="25">
        <v>0</v>
      </c>
      <c r="R83" s="26" t="s">
        <v>255</v>
      </c>
      <c r="S83" s="26" t="s">
        <v>63</v>
      </c>
      <c r="T83" s="26" t="s">
        <v>1165</v>
      </c>
      <c r="U83" s="17">
        <v>539.19854947024214</v>
      </c>
      <c r="V83" s="26">
        <v>5.2152097509648865</v>
      </c>
      <c r="W83" s="26">
        <v>0</v>
      </c>
      <c r="X83" s="26">
        <v>0</v>
      </c>
      <c r="Y83" s="23" t="s">
        <v>271</v>
      </c>
      <c r="Z83" t="s">
        <v>23</v>
      </c>
    </row>
    <row r="84" spans="2:26" x14ac:dyDescent="0.25">
      <c r="B84" s="77">
        <v>44910.000000081018</v>
      </c>
      <c r="C84" s="14" t="s">
        <v>271</v>
      </c>
      <c r="D84" s="14" t="s">
        <v>1164</v>
      </c>
      <c r="E84" s="14" t="s">
        <v>29</v>
      </c>
      <c r="F84" s="14">
        <v>1001.6662486300011</v>
      </c>
      <c r="G84" s="14">
        <v>300.76433505721434</v>
      </c>
      <c r="H84" s="14">
        <v>0.3002640205443437</v>
      </c>
      <c r="I84" s="14">
        <v>0</v>
      </c>
      <c r="J84" s="14" t="s">
        <v>255</v>
      </c>
      <c r="L84" s="14">
        <v>1</v>
      </c>
      <c r="M84" s="14" t="s">
        <v>29</v>
      </c>
      <c r="N84" s="49"/>
      <c r="O84" s="47"/>
      <c r="P84" s="48"/>
      <c r="Q84" s="25">
        <v>0</v>
      </c>
      <c r="R84" s="26" t="s">
        <v>255</v>
      </c>
      <c r="S84" s="26" t="s">
        <v>63</v>
      </c>
      <c r="T84" s="26" t="s">
        <v>1165</v>
      </c>
      <c r="U84" s="17">
        <v>300.76433505721434</v>
      </c>
      <c r="V84" s="26">
        <v>0.3002640205443437</v>
      </c>
      <c r="W84" s="26">
        <v>0</v>
      </c>
      <c r="X84" s="26">
        <v>0</v>
      </c>
      <c r="Y84" s="23" t="s">
        <v>271</v>
      </c>
      <c r="Z84" t="s">
        <v>29</v>
      </c>
    </row>
    <row r="85" spans="2:26" x14ac:dyDescent="0.25">
      <c r="B85" s="77">
        <v>44910.000000081018</v>
      </c>
      <c r="C85" s="14" t="s">
        <v>271</v>
      </c>
      <c r="D85" s="14" t="s">
        <v>1164</v>
      </c>
      <c r="E85" s="14" t="s">
        <v>24</v>
      </c>
      <c r="F85" s="14">
        <v>-767465.41713713016</v>
      </c>
      <c r="G85" s="14">
        <v>-750597.55313258292</v>
      </c>
      <c r="H85" s="14">
        <v>0.97802133669101432</v>
      </c>
      <c r="I85" s="14">
        <v>0</v>
      </c>
      <c r="J85" s="14" t="s">
        <v>255</v>
      </c>
      <c r="L85" s="14">
        <v>1</v>
      </c>
      <c r="M85" s="14" t="s">
        <v>24</v>
      </c>
      <c r="N85" s="49"/>
      <c r="O85" s="47"/>
      <c r="P85" s="48"/>
      <c r="Q85" s="25">
        <v>0</v>
      </c>
      <c r="R85" s="26" t="s">
        <v>255</v>
      </c>
      <c r="S85" s="26" t="s">
        <v>64</v>
      </c>
      <c r="T85" s="26" t="s">
        <v>1166</v>
      </c>
      <c r="U85" s="17">
        <v>-750597.55313258292</v>
      </c>
      <c r="V85" s="26">
        <v>0.97802133669101432</v>
      </c>
      <c r="W85" s="26">
        <v>0</v>
      </c>
      <c r="X85" s="26">
        <v>0</v>
      </c>
      <c r="Y85" s="23" t="s">
        <v>271</v>
      </c>
      <c r="Z85" t="s">
        <v>24</v>
      </c>
    </row>
    <row r="86" spans="2:26" x14ac:dyDescent="0.25">
      <c r="B86" s="77">
        <v>44910.000000081018</v>
      </c>
      <c r="C86" s="14" t="s">
        <v>271</v>
      </c>
      <c r="D86" s="14" t="s">
        <v>1164</v>
      </c>
      <c r="E86" s="14" t="s">
        <v>30</v>
      </c>
      <c r="F86" s="14">
        <v>-373.60692171000636</v>
      </c>
      <c r="G86" s="14">
        <v>-7019.2099914582614</v>
      </c>
      <c r="H86" s="14">
        <v>18.787687228414281</v>
      </c>
      <c r="I86" s="14">
        <v>0</v>
      </c>
      <c r="J86" s="14" t="s">
        <v>255</v>
      </c>
      <c r="L86" s="14">
        <v>1</v>
      </c>
      <c r="M86" s="14" t="s">
        <v>30</v>
      </c>
      <c r="N86" s="49"/>
      <c r="O86" s="47"/>
      <c r="P86" s="48"/>
      <c r="Q86" s="25">
        <v>0</v>
      </c>
      <c r="R86" s="26" t="s">
        <v>255</v>
      </c>
      <c r="S86" s="26" t="s">
        <v>64</v>
      </c>
      <c r="T86" s="26" t="s">
        <v>1166</v>
      </c>
      <c r="U86" s="17">
        <v>-7019.2099914582614</v>
      </c>
      <c r="V86" s="26">
        <v>18.787687228414281</v>
      </c>
      <c r="W86" s="26">
        <v>0</v>
      </c>
      <c r="X86" s="26">
        <v>0</v>
      </c>
      <c r="Y86" s="23" t="s">
        <v>271</v>
      </c>
      <c r="Z86" t="s">
        <v>30</v>
      </c>
    </row>
    <row r="87" spans="2:26" x14ac:dyDescent="0.25">
      <c r="B87" s="77">
        <v>44910.000000081018</v>
      </c>
      <c r="C87" s="14" t="s">
        <v>271</v>
      </c>
      <c r="D87" s="14" t="s">
        <v>1164</v>
      </c>
      <c r="E87" s="14" t="s">
        <v>16</v>
      </c>
      <c r="F87" s="14">
        <v>11260.390717639988</v>
      </c>
      <c r="G87" s="14">
        <v>14743552.48007571</v>
      </c>
      <c r="H87" s="14">
        <v>1309.3286769329563</v>
      </c>
      <c r="I87" s="14">
        <v>0</v>
      </c>
      <c r="J87" s="14" t="s">
        <v>255</v>
      </c>
      <c r="L87" s="14">
        <v>1</v>
      </c>
      <c r="M87" s="14" t="s">
        <v>16</v>
      </c>
      <c r="N87" s="49"/>
      <c r="O87" s="47"/>
      <c r="P87" s="48"/>
      <c r="Q87" s="25">
        <v>0</v>
      </c>
      <c r="R87" s="26" t="s">
        <v>255</v>
      </c>
      <c r="S87" s="26" t="s">
        <v>63</v>
      </c>
      <c r="T87" s="26" t="s">
        <v>1165</v>
      </c>
      <c r="U87" s="17">
        <v>14743552.48007571</v>
      </c>
      <c r="V87" s="26">
        <v>1309.3286769329563</v>
      </c>
      <c r="W87" s="26">
        <v>0</v>
      </c>
      <c r="X87" s="26">
        <v>0</v>
      </c>
      <c r="Y87" s="23" t="s">
        <v>271</v>
      </c>
      <c r="Z87" t="s">
        <v>16</v>
      </c>
    </row>
    <row r="88" spans="2:26" x14ac:dyDescent="0.25">
      <c r="B88" s="77">
        <v>44910.000000081018</v>
      </c>
      <c r="C88" s="14" t="s">
        <v>271</v>
      </c>
      <c r="D88" s="14" t="s">
        <v>1164</v>
      </c>
      <c r="E88" s="14" t="s">
        <v>297</v>
      </c>
      <c r="F88" s="14">
        <v>9823.8374246499989</v>
      </c>
      <c r="G88" s="14">
        <v>2259.6461623143196</v>
      </c>
      <c r="H88" s="14">
        <v>0.2300166487532061</v>
      </c>
      <c r="I88" s="14">
        <v>0</v>
      </c>
      <c r="J88" s="14" t="s">
        <v>255</v>
      </c>
      <c r="L88" s="14">
        <v>1</v>
      </c>
      <c r="M88" s="14" t="s">
        <v>297</v>
      </c>
      <c r="N88" s="49"/>
      <c r="O88" s="47"/>
      <c r="P88" s="48"/>
      <c r="Q88" s="25">
        <v>0</v>
      </c>
      <c r="R88" s="26" t="s">
        <v>255</v>
      </c>
      <c r="S88" s="26" t="s">
        <v>63</v>
      </c>
      <c r="T88" s="26" t="s">
        <v>1165</v>
      </c>
      <c r="U88" s="17">
        <v>2259.6461623143196</v>
      </c>
      <c r="V88" s="26">
        <v>0.2300166487532061</v>
      </c>
      <c r="W88" s="26">
        <v>0</v>
      </c>
      <c r="X88" s="26">
        <v>0</v>
      </c>
      <c r="Y88" s="23" t="s">
        <v>271</v>
      </c>
      <c r="Z88" t="s">
        <v>297</v>
      </c>
    </row>
    <row r="89" spans="2:26" x14ac:dyDescent="0.25">
      <c r="B89" s="77">
        <v>44910.000000081018</v>
      </c>
      <c r="C89" s="14" t="s">
        <v>271</v>
      </c>
      <c r="D89" s="14" t="s">
        <v>1164</v>
      </c>
      <c r="E89" s="14" t="s">
        <v>275</v>
      </c>
      <c r="F89" s="14">
        <v>4732.5387514900003</v>
      </c>
      <c r="G89" s="14">
        <v>16755.611041088341</v>
      </c>
      <c r="H89" s="14">
        <v>3.5405121692480548</v>
      </c>
      <c r="I89" s="14">
        <v>0</v>
      </c>
      <c r="J89" s="14" t="s">
        <v>255</v>
      </c>
      <c r="L89" s="14">
        <v>1</v>
      </c>
      <c r="M89" s="14" t="s">
        <v>275</v>
      </c>
      <c r="N89" s="49"/>
      <c r="O89" s="47"/>
      <c r="P89" s="48"/>
      <c r="Q89" s="25">
        <v>0</v>
      </c>
      <c r="R89" s="26" t="s">
        <v>255</v>
      </c>
      <c r="S89" s="26" t="s">
        <v>63</v>
      </c>
      <c r="T89" s="26" t="s">
        <v>1165</v>
      </c>
      <c r="U89" s="17">
        <v>16755.611041088341</v>
      </c>
      <c r="V89" s="26">
        <v>3.5405121692480548</v>
      </c>
      <c r="W89" s="26">
        <v>0</v>
      </c>
      <c r="X89" s="26">
        <v>0</v>
      </c>
      <c r="Y89" s="23" t="s">
        <v>271</v>
      </c>
      <c r="Z89" t="s">
        <v>275</v>
      </c>
    </row>
    <row r="90" spans="2:26" x14ac:dyDescent="0.25">
      <c r="B90" s="77">
        <v>44910.000000081018</v>
      </c>
      <c r="C90" s="14" t="s">
        <v>271</v>
      </c>
      <c r="D90" s="14" t="s">
        <v>1164</v>
      </c>
      <c r="E90" s="14" t="s">
        <v>110</v>
      </c>
      <c r="F90" s="14">
        <v>-29203315.697223648</v>
      </c>
      <c r="G90" s="14">
        <v>-31197026.059873108</v>
      </c>
      <c r="H90" s="14">
        <v>1.0682700000000001</v>
      </c>
      <c r="I90" s="14">
        <v>0</v>
      </c>
      <c r="J90" s="14" t="s">
        <v>262</v>
      </c>
      <c r="L90" s="14">
        <v>1</v>
      </c>
      <c r="M90" s="14" t="s">
        <v>110</v>
      </c>
      <c r="N90" s="49"/>
      <c r="O90" s="47"/>
      <c r="P90" s="48"/>
      <c r="Q90" s="25">
        <v>0</v>
      </c>
      <c r="R90" s="26" t="s">
        <v>262</v>
      </c>
      <c r="S90" s="26" t="s">
        <v>64</v>
      </c>
      <c r="T90" s="26" t="s">
        <v>1167</v>
      </c>
      <c r="U90" s="17">
        <v>-31197026.059873108</v>
      </c>
      <c r="V90" s="26">
        <v>1.0682700000000001</v>
      </c>
      <c r="W90" s="26">
        <v>0</v>
      </c>
      <c r="X90" s="26">
        <v>0</v>
      </c>
      <c r="Y90" s="23" t="s">
        <v>271</v>
      </c>
      <c r="Z90" t="s">
        <v>110</v>
      </c>
    </row>
    <row r="91" spans="2:26" x14ac:dyDescent="0.25">
      <c r="B91" s="77">
        <v>44910.000000081018</v>
      </c>
      <c r="C91" s="14" t="s">
        <v>271</v>
      </c>
      <c r="D91" s="14" t="s">
        <v>1164</v>
      </c>
      <c r="E91" s="14" t="s">
        <v>261</v>
      </c>
      <c r="F91" s="14">
        <v>-14654974.50162456</v>
      </c>
      <c r="G91" s="14">
        <v>-15656370.060407372</v>
      </c>
      <c r="H91" s="14">
        <v>1.0683314432701199</v>
      </c>
      <c r="I91" s="14">
        <v>0</v>
      </c>
      <c r="J91" s="14" t="s">
        <v>255</v>
      </c>
      <c r="L91" s="14">
        <v>1</v>
      </c>
      <c r="M91" s="14" t="s">
        <v>261</v>
      </c>
      <c r="N91" s="49"/>
      <c r="O91" s="47"/>
      <c r="P91" s="48"/>
      <c r="Q91" s="25">
        <v>0</v>
      </c>
      <c r="R91" s="26" t="s">
        <v>255</v>
      </c>
      <c r="S91" s="26" t="s">
        <v>64</v>
      </c>
      <c r="T91" s="26" t="s">
        <v>1166</v>
      </c>
      <c r="U91" s="17">
        <v>-15656370.060407372</v>
      </c>
      <c r="V91" s="26">
        <v>1.0683314432701199</v>
      </c>
      <c r="W91" s="26">
        <v>0</v>
      </c>
      <c r="X91" s="26">
        <v>0</v>
      </c>
      <c r="Y91" s="23" t="s">
        <v>271</v>
      </c>
      <c r="Z91" t="s">
        <v>261</v>
      </c>
    </row>
    <row r="92" spans="2:26" x14ac:dyDescent="0.25">
      <c r="B92" s="77">
        <v>44910.000000081018</v>
      </c>
      <c r="C92" s="14" t="s">
        <v>271</v>
      </c>
      <c r="D92" s="14" t="s">
        <v>1164</v>
      </c>
      <c r="E92" s="14" t="s">
        <v>31</v>
      </c>
      <c r="F92" s="14">
        <v>1.1855321999999999</v>
      </c>
      <c r="G92" s="14">
        <v>5.0149075594361401</v>
      </c>
      <c r="H92" s="14">
        <v>4.2300897094453784</v>
      </c>
      <c r="I92" s="14">
        <v>0</v>
      </c>
      <c r="J92" s="14" t="s">
        <v>255</v>
      </c>
      <c r="L92" s="14">
        <v>1</v>
      </c>
      <c r="M92" s="14" t="s">
        <v>31</v>
      </c>
      <c r="N92" s="49"/>
      <c r="O92" s="47"/>
      <c r="P92" s="48"/>
      <c r="Q92" s="25">
        <v>0</v>
      </c>
      <c r="R92" s="26" t="s">
        <v>255</v>
      </c>
      <c r="S92" s="26" t="s">
        <v>63</v>
      </c>
      <c r="T92" s="26" t="s">
        <v>1165</v>
      </c>
      <c r="U92" s="17">
        <v>5.0149075594361401</v>
      </c>
      <c r="V92" s="26">
        <v>4.2300897094453784</v>
      </c>
      <c r="W92" s="26">
        <v>0</v>
      </c>
      <c r="X92" s="26">
        <v>0</v>
      </c>
      <c r="Y92" s="23" t="s">
        <v>271</v>
      </c>
      <c r="Z92" t="s">
        <v>31</v>
      </c>
    </row>
    <row r="93" spans="2:26" x14ac:dyDescent="0.25">
      <c r="B93" s="77">
        <v>44910.000000081018</v>
      </c>
      <c r="C93" s="14" t="s">
        <v>271</v>
      </c>
      <c r="D93" s="14" t="s">
        <v>1164</v>
      </c>
      <c r="E93" s="14" t="s">
        <v>194</v>
      </c>
      <c r="F93" s="14">
        <v>-3855.1312598299992</v>
      </c>
      <c r="G93" s="14">
        <v>-927.61926184689946</v>
      </c>
      <c r="H93" s="14">
        <v>0.24061937177407675</v>
      </c>
      <c r="I93" s="14">
        <v>0</v>
      </c>
      <c r="J93" s="14" t="s">
        <v>255</v>
      </c>
      <c r="L93" s="14">
        <v>1</v>
      </c>
      <c r="M93" s="14" t="s">
        <v>194</v>
      </c>
      <c r="N93" s="49"/>
      <c r="O93" s="47"/>
      <c r="P93" s="48"/>
      <c r="Q93" s="25">
        <v>0</v>
      </c>
      <c r="R93" s="26" t="s">
        <v>255</v>
      </c>
      <c r="S93" s="26" t="s">
        <v>64</v>
      </c>
      <c r="T93" s="26" t="s">
        <v>1166</v>
      </c>
      <c r="U93" s="17">
        <v>-927.61926184689946</v>
      </c>
      <c r="V93" s="26">
        <v>0.24061937177407675</v>
      </c>
      <c r="W93" s="26">
        <v>0</v>
      </c>
      <c r="X93" s="26">
        <v>0</v>
      </c>
      <c r="Y93" s="23" t="s">
        <v>271</v>
      </c>
      <c r="Z93" t="s">
        <v>194</v>
      </c>
    </row>
    <row r="94" spans="2:26" x14ac:dyDescent="0.25">
      <c r="B94" s="77">
        <v>44910.000000081018</v>
      </c>
      <c r="C94" s="14" t="s">
        <v>271</v>
      </c>
      <c r="D94" s="14" t="s">
        <v>1164</v>
      </c>
      <c r="E94" s="14" t="s">
        <v>112</v>
      </c>
      <c r="F94" s="14">
        <v>3.2244594900000001</v>
      </c>
      <c r="G94" s="14">
        <v>4.4215565173429621</v>
      </c>
      <c r="H94" s="14">
        <v>1.3712550990500929</v>
      </c>
      <c r="I94" s="14">
        <v>0</v>
      </c>
      <c r="J94" s="14" t="s">
        <v>255</v>
      </c>
      <c r="L94" s="14">
        <v>1</v>
      </c>
      <c r="M94" s="14" t="s">
        <v>112</v>
      </c>
      <c r="N94" s="49"/>
      <c r="O94" s="47"/>
      <c r="P94" s="48"/>
      <c r="Q94" s="25">
        <v>0</v>
      </c>
      <c r="R94" s="26" t="s">
        <v>255</v>
      </c>
      <c r="S94" s="26" t="s">
        <v>63</v>
      </c>
      <c r="T94" s="26" t="s">
        <v>1165</v>
      </c>
      <c r="U94" s="17">
        <v>4.4215565173429621</v>
      </c>
      <c r="V94" s="26">
        <v>1.3712550990500929</v>
      </c>
      <c r="W94" s="26">
        <v>0</v>
      </c>
      <c r="X94" s="26">
        <v>0</v>
      </c>
      <c r="Y94" s="23" t="s">
        <v>271</v>
      </c>
      <c r="Z94" t="s">
        <v>112</v>
      </c>
    </row>
    <row r="95" spans="2:26" x14ac:dyDescent="0.25">
      <c r="B95" s="77">
        <v>44910.000000081018</v>
      </c>
      <c r="C95" s="14" t="s">
        <v>271</v>
      </c>
      <c r="D95" s="14" t="s">
        <v>1164</v>
      </c>
      <c r="E95" s="14" t="s">
        <v>137</v>
      </c>
      <c r="F95" s="14">
        <v>54.776400000000002</v>
      </c>
      <c r="G95" s="14">
        <v>126.89314937976</v>
      </c>
      <c r="H95" s="14">
        <v>2.316566064578176</v>
      </c>
      <c r="I95" s="14">
        <v>0</v>
      </c>
      <c r="J95" s="14" t="s">
        <v>255</v>
      </c>
      <c r="L95" s="14">
        <v>1</v>
      </c>
      <c r="M95" s="14" t="s">
        <v>137</v>
      </c>
      <c r="N95" s="49"/>
      <c r="O95" s="47"/>
      <c r="P95" s="48"/>
      <c r="Q95" s="25">
        <v>0</v>
      </c>
      <c r="R95" s="26" t="s">
        <v>255</v>
      </c>
      <c r="S95" s="26" t="s">
        <v>63</v>
      </c>
      <c r="T95" s="26" t="s">
        <v>1165</v>
      </c>
      <c r="U95" s="17">
        <v>126.89314937976</v>
      </c>
      <c r="V95" s="26">
        <v>2.316566064578176</v>
      </c>
      <c r="W95" s="26">
        <v>0</v>
      </c>
      <c r="X95" s="26">
        <v>0</v>
      </c>
      <c r="Y95" s="23" t="s">
        <v>271</v>
      </c>
      <c r="Z95" t="s">
        <v>137</v>
      </c>
    </row>
    <row r="96" spans="2:26" x14ac:dyDescent="0.25">
      <c r="B96" s="77">
        <v>44910.000000081018</v>
      </c>
      <c r="C96" s="14" t="s">
        <v>271</v>
      </c>
      <c r="D96" s="14" t="s">
        <v>1164</v>
      </c>
      <c r="E96" s="14" t="s">
        <v>180</v>
      </c>
      <c r="F96" s="14">
        <v>0.01</v>
      </c>
      <c r="G96" s="14">
        <v>1.24276499999999E-2</v>
      </c>
      <c r="H96" s="14">
        <v>1.2427649999999899</v>
      </c>
      <c r="I96" s="14">
        <v>0</v>
      </c>
      <c r="J96" s="14" t="s">
        <v>255</v>
      </c>
      <c r="L96" s="14">
        <v>1</v>
      </c>
      <c r="M96" s="14" t="s">
        <v>180</v>
      </c>
      <c r="N96" s="49"/>
      <c r="O96" s="47"/>
      <c r="P96" s="48"/>
      <c r="Q96" s="25">
        <v>0</v>
      </c>
      <c r="R96" s="26" t="s">
        <v>255</v>
      </c>
      <c r="S96" s="26" t="s">
        <v>63</v>
      </c>
      <c r="T96" s="26" t="s">
        <v>1165</v>
      </c>
      <c r="U96" s="17">
        <v>1.24276499999999E-2</v>
      </c>
      <c r="V96" s="26">
        <v>1.2427649999999899</v>
      </c>
      <c r="W96" s="26">
        <v>0</v>
      </c>
      <c r="X96" s="26">
        <v>0</v>
      </c>
      <c r="Y96" s="23" t="s">
        <v>271</v>
      </c>
      <c r="Z96" t="s">
        <v>180</v>
      </c>
    </row>
    <row r="97" spans="2:26" x14ac:dyDescent="0.25">
      <c r="B97" s="77">
        <v>44910.000000081018</v>
      </c>
      <c r="C97" s="14" t="s">
        <v>271</v>
      </c>
      <c r="D97" s="14" t="s">
        <v>1164</v>
      </c>
      <c r="E97" s="14" t="s">
        <v>138</v>
      </c>
      <c r="F97" s="14">
        <v>161.16685131995473</v>
      </c>
      <c r="G97" s="14">
        <v>7.5230865019657358</v>
      </c>
      <c r="H97" s="14">
        <v>4.6678870005536131E-2</v>
      </c>
      <c r="I97" s="14">
        <v>0</v>
      </c>
      <c r="J97" s="14" t="s">
        <v>255</v>
      </c>
      <c r="L97" s="14">
        <v>1</v>
      </c>
      <c r="M97" s="14" t="s">
        <v>138</v>
      </c>
      <c r="N97" s="49"/>
      <c r="O97" s="47"/>
      <c r="P97" s="48"/>
      <c r="Q97" s="25">
        <v>0</v>
      </c>
      <c r="R97" s="26" t="s">
        <v>255</v>
      </c>
      <c r="S97" s="26" t="s">
        <v>63</v>
      </c>
      <c r="T97" s="26" t="s">
        <v>1165</v>
      </c>
      <c r="U97" s="17">
        <v>7.5230865019657358</v>
      </c>
      <c r="V97" s="26">
        <v>4.6678870005536131E-2</v>
      </c>
      <c r="W97" s="26">
        <v>0</v>
      </c>
      <c r="X97" s="26">
        <v>0</v>
      </c>
      <c r="Y97" s="23" t="s">
        <v>271</v>
      </c>
      <c r="Z97" t="s">
        <v>138</v>
      </c>
    </row>
    <row r="98" spans="2:26" x14ac:dyDescent="0.25">
      <c r="B98" s="77">
        <v>44910.000000081018</v>
      </c>
      <c r="C98" s="14" t="s">
        <v>271</v>
      </c>
      <c r="D98" s="14" t="s">
        <v>1164</v>
      </c>
      <c r="E98" s="14" t="s">
        <v>139</v>
      </c>
      <c r="F98" s="14">
        <v>5337.6979873099999</v>
      </c>
      <c r="G98" s="14">
        <v>4.2889520671411701</v>
      </c>
      <c r="H98" s="14">
        <v>8.035209330572563E-4</v>
      </c>
      <c r="I98" s="14">
        <v>0</v>
      </c>
      <c r="J98" s="14" t="s">
        <v>255</v>
      </c>
      <c r="L98" s="14">
        <v>1</v>
      </c>
      <c r="M98" s="14" t="s">
        <v>139</v>
      </c>
      <c r="N98" s="49"/>
      <c r="O98" s="47"/>
      <c r="P98" s="48"/>
      <c r="Q98" s="25">
        <v>0</v>
      </c>
      <c r="R98" s="26" t="s">
        <v>255</v>
      </c>
      <c r="S98" s="26" t="s">
        <v>63</v>
      </c>
      <c r="T98" s="26" t="s">
        <v>1165</v>
      </c>
      <c r="U98" s="17">
        <v>4.2889520671411701</v>
      </c>
      <c r="V98" s="26">
        <v>8.035209330572563E-4</v>
      </c>
      <c r="W98" s="26">
        <v>0</v>
      </c>
      <c r="X98" s="26">
        <v>0</v>
      </c>
      <c r="Y98" s="23" t="s">
        <v>271</v>
      </c>
      <c r="Z98" t="s">
        <v>139</v>
      </c>
    </row>
    <row r="99" spans="2:26" x14ac:dyDescent="0.25">
      <c r="B99" s="77">
        <v>44910.000000081018</v>
      </c>
      <c r="C99" s="14" t="s">
        <v>271</v>
      </c>
      <c r="D99" s="14" t="s">
        <v>1164</v>
      </c>
      <c r="E99" s="14" t="s">
        <v>140</v>
      </c>
      <c r="F99" s="14">
        <v>2231.62166088</v>
      </c>
      <c r="G99" s="14">
        <v>14057.7194527379</v>
      </c>
      <c r="H99" s="14">
        <v>6.2993291825257201</v>
      </c>
      <c r="I99" s="14">
        <v>0</v>
      </c>
      <c r="J99" s="14" t="s">
        <v>255</v>
      </c>
      <c r="L99" s="14">
        <v>1</v>
      </c>
      <c r="M99" s="14" t="s">
        <v>140</v>
      </c>
      <c r="N99" s="49"/>
      <c r="O99" s="47"/>
      <c r="P99" s="48"/>
      <c r="Q99" s="25">
        <v>0</v>
      </c>
      <c r="R99" s="26" t="s">
        <v>255</v>
      </c>
      <c r="S99" s="26" t="s">
        <v>63</v>
      </c>
      <c r="T99" s="26" t="s">
        <v>1165</v>
      </c>
      <c r="U99" s="17">
        <v>14057.7194527379</v>
      </c>
      <c r="V99" s="26">
        <v>6.2993291825257201</v>
      </c>
      <c r="W99" s="26">
        <v>0</v>
      </c>
      <c r="X99" s="26">
        <v>0</v>
      </c>
      <c r="Y99" s="23" t="s">
        <v>271</v>
      </c>
      <c r="Z99" t="s">
        <v>140</v>
      </c>
    </row>
    <row r="100" spans="2:26" x14ac:dyDescent="0.25">
      <c r="B100" s="77">
        <v>44910.000000081018</v>
      </c>
      <c r="C100" s="14" t="s">
        <v>271</v>
      </c>
      <c r="D100" s="14" t="s">
        <v>1164</v>
      </c>
      <c r="E100" s="14" t="s">
        <v>142</v>
      </c>
      <c r="F100" s="14">
        <v>14.785856219999999</v>
      </c>
      <c r="G100" s="14">
        <v>0.12275501988460601</v>
      </c>
      <c r="H100" s="14">
        <v>8.3021921800214837E-3</v>
      </c>
      <c r="I100" s="14">
        <v>0</v>
      </c>
      <c r="J100" s="14" t="s">
        <v>255</v>
      </c>
      <c r="L100" s="14">
        <v>1</v>
      </c>
      <c r="M100" s="14" t="s">
        <v>142</v>
      </c>
      <c r="N100" s="49"/>
      <c r="O100" s="47"/>
      <c r="P100" s="48"/>
      <c r="Q100" s="25">
        <v>0</v>
      </c>
      <c r="R100" s="26" t="s">
        <v>255</v>
      </c>
      <c r="S100" s="26" t="s">
        <v>63</v>
      </c>
      <c r="T100" s="26" t="s">
        <v>1165</v>
      </c>
      <c r="U100" s="17">
        <v>0.12275501988460601</v>
      </c>
      <c r="V100" s="26">
        <v>8.3021921800214837E-3</v>
      </c>
      <c r="W100" s="26">
        <v>0</v>
      </c>
      <c r="X100" s="26">
        <v>0</v>
      </c>
      <c r="Y100" s="23" t="s">
        <v>271</v>
      </c>
      <c r="Z100" t="s">
        <v>142</v>
      </c>
    </row>
    <row r="101" spans="2:26" x14ac:dyDescent="0.25">
      <c r="B101" s="77">
        <v>44910.000000081018</v>
      </c>
      <c r="C101" s="14" t="s">
        <v>271</v>
      </c>
      <c r="D101" s="14" t="s">
        <v>1164</v>
      </c>
      <c r="E101" s="14" t="s">
        <v>143</v>
      </c>
      <c r="F101" s="14">
        <v>0.81765067999999996</v>
      </c>
      <c r="G101" s="14">
        <v>1.1601565558051599E-2</v>
      </c>
      <c r="H101" s="14">
        <v>1.4188902231514807E-2</v>
      </c>
      <c r="I101" s="14">
        <v>0</v>
      </c>
      <c r="J101" s="14" t="s">
        <v>255</v>
      </c>
      <c r="L101" s="14">
        <v>1</v>
      </c>
      <c r="M101" s="14" t="s">
        <v>143</v>
      </c>
      <c r="N101" s="49"/>
      <c r="O101" s="47"/>
      <c r="P101" s="48"/>
      <c r="Q101" s="25">
        <v>0</v>
      </c>
      <c r="R101" s="26" t="s">
        <v>255</v>
      </c>
      <c r="S101" s="26" t="s">
        <v>63</v>
      </c>
      <c r="T101" s="26" t="s">
        <v>1165</v>
      </c>
      <c r="U101" s="17">
        <v>1.1601565558051599E-2</v>
      </c>
      <c r="V101" s="26">
        <v>1.4188902231514807E-2</v>
      </c>
      <c r="W101" s="26">
        <v>0</v>
      </c>
      <c r="X101" s="26">
        <v>0</v>
      </c>
      <c r="Y101" s="23" t="s">
        <v>271</v>
      </c>
      <c r="Z101" t="s">
        <v>143</v>
      </c>
    </row>
    <row r="102" spans="2:26" x14ac:dyDescent="0.25">
      <c r="B102" s="77">
        <v>44910.000000081018</v>
      </c>
      <c r="C102" s="14" t="s">
        <v>271</v>
      </c>
      <c r="D102" s="14" t="s">
        <v>1164</v>
      </c>
      <c r="E102" s="14" t="s">
        <v>144</v>
      </c>
      <c r="F102" s="14">
        <v>9.1121815000000002</v>
      </c>
      <c r="G102" s="14">
        <v>0.20402093989553599</v>
      </c>
      <c r="H102" s="14">
        <v>2.2389911778593962E-2</v>
      </c>
      <c r="I102" s="14">
        <v>0</v>
      </c>
      <c r="J102" s="14" t="s">
        <v>255</v>
      </c>
      <c r="L102" s="14">
        <v>1</v>
      </c>
      <c r="M102" s="14" t="s">
        <v>144</v>
      </c>
      <c r="N102" s="49"/>
      <c r="O102" s="47"/>
      <c r="P102" s="48"/>
      <c r="Q102" s="25">
        <v>0</v>
      </c>
      <c r="R102" s="26" t="s">
        <v>255</v>
      </c>
      <c r="S102" s="26" t="s">
        <v>63</v>
      </c>
      <c r="T102" s="26" t="s">
        <v>1165</v>
      </c>
      <c r="U102" s="17">
        <v>0.20402093989553599</v>
      </c>
      <c r="V102" s="26">
        <v>2.2389911778593962E-2</v>
      </c>
      <c r="W102" s="26">
        <v>0</v>
      </c>
      <c r="X102" s="26">
        <v>0</v>
      </c>
      <c r="Y102" s="23" t="s">
        <v>271</v>
      </c>
      <c r="Z102" t="s">
        <v>144</v>
      </c>
    </row>
    <row r="103" spans="2:26" x14ac:dyDescent="0.25">
      <c r="B103" s="77">
        <v>44910.000000081018</v>
      </c>
      <c r="C103" s="14" t="s">
        <v>271</v>
      </c>
      <c r="D103" s="14" t="s">
        <v>1164</v>
      </c>
      <c r="E103" s="14" t="s">
        <v>44</v>
      </c>
      <c r="F103" s="14">
        <v>9.3766399999999986E-3</v>
      </c>
      <c r="G103" s="14">
        <v>0.2583013376984456</v>
      </c>
      <c r="H103" s="14">
        <v>27.547323742667484</v>
      </c>
      <c r="I103" s="14">
        <v>0</v>
      </c>
      <c r="J103" s="14" t="s">
        <v>255</v>
      </c>
      <c r="L103" s="14">
        <v>1</v>
      </c>
      <c r="M103" s="14" t="s">
        <v>44</v>
      </c>
      <c r="N103" s="49"/>
      <c r="O103" s="47"/>
      <c r="P103" s="48"/>
      <c r="Q103" s="25">
        <v>0</v>
      </c>
      <c r="R103" s="26" t="s">
        <v>255</v>
      </c>
      <c r="S103" s="26" t="s">
        <v>63</v>
      </c>
      <c r="T103" s="26" t="s">
        <v>1165</v>
      </c>
      <c r="U103" s="17">
        <v>0.2583013376984456</v>
      </c>
      <c r="V103" s="26">
        <v>27.547323742667484</v>
      </c>
      <c r="W103" s="26">
        <v>0</v>
      </c>
      <c r="X103" s="26">
        <v>0</v>
      </c>
      <c r="Y103" s="23" t="s">
        <v>271</v>
      </c>
      <c r="Z103" t="s">
        <v>44</v>
      </c>
    </row>
    <row r="104" spans="2:26" x14ac:dyDescent="0.25">
      <c r="B104" s="77">
        <v>44910.000000081018</v>
      </c>
      <c r="C104" s="14" t="s">
        <v>271</v>
      </c>
      <c r="D104" s="14" t="s">
        <v>1164</v>
      </c>
      <c r="E104" s="14" t="s">
        <v>145</v>
      </c>
      <c r="F104" s="14">
        <v>0.24234807999999999</v>
      </c>
      <c r="G104" s="14">
        <v>3.0911104955718202E-4</v>
      </c>
      <c r="H104" s="14">
        <v>1.2754837981682463E-3</v>
      </c>
      <c r="I104" s="14">
        <v>0</v>
      </c>
      <c r="J104" s="14" t="s">
        <v>255</v>
      </c>
      <c r="L104" s="14">
        <v>1</v>
      </c>
      <c r="M104" s="14" t="s">
        <v>145</v>
      </c>
      <c r="N104" s="49"/>
      <c r="O104" s="47"/>
      <c r="P104" s="48"/>
      <c r="Q104" s="25">
        <v>0</v>
      </c>
      <c r="R104" s="26" t="s">
        <v>255</v>
      </c>
      <c r="S104" s="26" t="s">
        <v>63</v>
      </c>
      <c r="T104" s="26" t="s">
        <v>1165</v>
      </c>
      <c r="U104" s="17">
        <v>3.0911104955718202E-4</v>
      </c>
      <c r="V104" s="26">
        <v>1.2754837981682463E-3</v>
      </c>
      <c r="W104" s="26">
        <v>0</v>
      </c>
      <c r="X104" s="26">
        <v>0</v>
      </c>
      <c r="Y104" s="23" t="s">
        <v>271</v>
      </c>
      <c r="Z104" t="s">
        <v>145</v>
      </c>
    </row>
    <row r="105" spans="2:26" x14ac:dyDescent="0.25">
      <c r="B105" s="77">
        <v>44910.000000081018</v>
      </c>
      <c r="C105" s="14" t="s">
        <v>271</v>
      </c>
      <c r="D105" s="14" t="s">
        <v>1164</v>
      </c>
      <c r="E105" s="14" t="s">
        <v>146</v>
      </c>
      <c r="F105" s="14">
        <v>1E-8</v>
      </c>
      <c r="G105" s="14">
        <v>0</v>
      </c>
      <c r="H105" s="14">
        <v>0</v>
      </c>
      <c r="I105" s="14">
        <v>0</v>
      </c>
      <c r="J105" s="14" t="s">
        <v>255</v>
      </c>
      <c r="L105" s="14">
        <v>1</v>
      </c>
      <c r="M105" s="14" t="s">
        <v>146</v>
      </c>
      <c r="N105" s="49"/>
      <c r="O105" s="47"/>
      <c r="P105" s="48"/>
      <c r="Q105" s="25">
        <v>0</v>
      </c>
      <c r="R105" s="26" t="s">
        <v>255</v>
      </c>
      <c r="S105" s="26" t="s">
        <v>63</v>
      </c>
      <c r="T105" s="26" t="s">
        <v>1165</v>
      </c>
      <c r="U105" s="17">
        <v>0</v>
      </c>
      <c r="V105" s="26">
        <v>0</v>
      </c>
      <c r="W105" s="26">
        <v>0</v>
      </c>
      <c r="X105" s="26">
        <v>0</v>
      </c>
      <c r="Y105" s="23" t="s">
        <v>271</v>
      </c>
      <c r="Z105" t="s">
        <v>146</v>
      </c>
    </row>
    <row r="106" spans="2:26" x14ac:dyDescent="0.25">
      <c r="B106" s="77">
        <v>44910.000000081018</v>
      </c>
      <c r="C106" s="14" t="s">
        <v>271</v>
      </c>
      <c r="D106" s="14" t="s">
        <v>1164</v>
      </c>
      <c r="E106" s="14" t="s">
        <v>28</v>
      </c>
      <c r="F106" s="14">
        <v>62771.676444159995</v>
      </c>
      <c r="G106" s="14">
        <v>422379.81767955935</v>
      </c>
      <c r="H106" s="14">
        <v>6.7288280575921391</v>
      </c>
      <c r="I106" s="14">
        <v>0</v>
      </c>
      <c r="J106" s="14" t="s">
        <v>255</v>
      </c>
      <c r="L106" s="14">
        <v>1</v>
      </c>
      <c r="M106" s="14" t="s">
        <v>28</v>
      </c>
      <c r="N106" s="49"/>
      <c r="O106" s="47"/>
      <c r="P106" s="48"/>
      <c r="Q106" s="25">
        <v>0</v>
      </c>
      <c r="R106" s="26" t="s">
        <v>255</v>
      </c>
      <c r="S106" s="26" t="s">
        <v>63</v>
      </c>
      <c r="T106" s="26" t="s">
        <v>1165</v>
      </c>
      <c r="U106" s="17">
        <v>422379.81767955935</v>
      </c>
      <c r="V106" s="26">
        <v>6.7288280575921391</v>
      </c>
      <c r="W106" s="26">
        <v>0</v>
      </c>
      <c r="X106" s="26">
        <v>0</v>
      </c>
      <c r="Y106" s="23" t="s">
        <v>271</v>
      </c>
      <c r="Z106" t="s">
        <v>28</v>
      </c>
    </row>
    <row r="107" spans="2:26" x14ac:dyDescent="0.25">
      <c r="B107" s="77">
        <v>44910.000000081018</v>
      </c>
      <c r="C107" s="14" t="s">
        <v>271</v>
      </c>
      <c r="D107" s="14" t="s">
        <v>1164</v>
      </c>
      <c r="E107" s="14" t="s">
        <v>147</v>
      </c>
      <c r="F107" s="14">
        <v>4.3289484800000002</v>
      </c>
      <c r="G107" s="14">
        <v>1.23866429375467E-6</v>
      </c>
      <c r="H107" s="14">
        <v>2.8613514332114895E-7</v>
      </c>
      <c r="I107" s="14">
        <v>0</v>
      </c>
      <c r="J107" s="14" t="s">
        <v>255</v>
      </c>
      <c r="L107" s="14">
        <v>1</v>
      </c>
      <c r="M107" s="14" t="s">
        <v>147</v>
      </c>
      <c r="N107" s="49"/>
      <c r="O107" s="47"/>
      <c r="P107" s="48"/>
      <c r="Q107" s="25">
        <v>0</v>
      </c>
      <c r="R107" s="26" t="s">
        <v>255</v>
      </c>
      <c r="S107" s="26" t="s">
        <v>63</v>
      </c>
      <c r="T107" s="26" t="s">
        <v>1165</v>
      </c>
      <c r="U107" s="17">
        <v>1.23866429375467E-6</v>
      </c>
      <c r="V107" s="26">
        <v>2.8613514332114895E-7</v>
      </c>
      <c r="W107" s="26">
        <v>0</v>
      </c>
      <c r="X107" s="26">
        <v>0</v>
      </c>
      <c r="Y107" s="23" t="s">
        <v>271</v>
      </c>
      <c r="Z107" t="s">
        <v>147</v>
      </c>
    </row>
    <row r="108" spans="2:26" x14ac:dyDescent="0.25">
      <c r="B108" s="77">
        <v>44910.000000081018</v>
      </c>
      <c r="C108" s="14" t="s">
        <v>271</v>
      </c>
      <c r="D108" s="14" t="s">
        <v>1164</v>
      </c>
      <c r="E108" s="14" t="s">
        <v>25</v>
      </c>
      <c r="F108" s="14">
        <v>3013.2452131099999</v>
      </c>
      <c r="G108" s="14">
        <v>227427.28483705811</v>
      </c>
      <c r="H108" s="14">
        <v>75.475863646134584</v>
      </c>
      <c r="I108" s="14">
        <v>0</v>
      </c>
      <c r="J108" s="14" t="s">
        <v>255</v>
      </c>
      <c r="L108" s="14">
        <v>1</v>
      </c>
      <c r="M108" s="14" t="s">
        <v>25</v>
      </c>
      <c r="N108" s="49"/>
      <c r="O108" s="47"/>
      <c r="P108" s="48"/>
      <c r="Q108" s="25">
        <v>0</v>
      </c>
      <c r="R108" s="26" t="s">
        <v>255</v>
      </c>
      <c r="S108" s="26" t="s">
        <v>63</v>
      </c>
      <c r="T108" s="26" t="s">
        <v>1165</v>
      </c>
      <c r="U108" s="17">
        <v>227427.28483705811</v>
      </c>
      <c r="V108" s="26">
        <v>75.475863646134584</v>
      </c>
      <c r="W108" s="26">
        <v>0</v>
      </c>
      <c r="X108" s="26">
        <v>0</v>
      </c>
      <c r="Y108" s="23" t="s">
        <v>271</v>
      </c>
      <c r="Z108" t="s">
        <v>25</v>
      </c>
    </row>
    <row r="109" spans="2:26" x14ac:dyDescent="0.25">
      <c r="B109" s="77">
        <v>44910.000000081018</v>
      </c>
      <c r="C109" s="14" t="s">
        <v>271</v>
      </c>
      <c r="D109" s="14" t="s">
        <v>1164</v>
      </c>
      <c r="E109" s="14" t="s">
        <v>148</v>
      </c>
      <c r="F109" s="14">
        <v>0.66495972999999997</v>
      </c>
      <c r="G109" s="14">
        <v>1.4231638225488101E-4</v>
      </c>
      <c r="H109" s="14">
        <v>2.1402255780944964E-4</v>
      </c>
      <c r="I109" s="14">
        <v>0</v>
      </c>
      <c r="J109" s="14" t="s">
        <v>255</v>
      </c>
      <c r="L109" s="14">
        <v>1</v>
      </c>
      <c r="M109" s="14" t="s">
        <v>148</v>
      </c>
      <c r="N109" s="49"/>
      <c r="O109" s="47"/>
      <c r="P109" s="48"/>
      <c r="Q109" s="25">
        <v>0</v>
      </c>
      <c r="R109" s="26" t="s">
        <v>255</v>
      </c>
      <c r="S109" s="26" t="s">
        <v>63</v>
      </c>
      <c r="T109" s="26" t="s">
        <v>1165</v>
      </c>
      <c r="U109" s="17">
        <v>1.4231638225488101E-4</v>
      </c>
      <c r="V109" s="26">
        <v>2.1402255780944964E-4</v>
      </c>
      <c r="W109" s="26">
        <v>0</v>
      </c>
      <c r="X109" s="26">
        <v>0</v>
      </c>
      <c r="Y109" s="23" t="s">
        <v>271</v>
      </c>
      <c r="Z109" t="s">
        <v>148</v>
      </c>
    </row>
    <row r="110" spans="2:26" x14ac:dyDescent="0.25">
      <c r="B110" s="77">
        <v>44910.000000081018</v>
      </c>
      <c r="C110" s="14" t="s">
        <v>271</v>
      </c>
      <c r="D110" s="14" t="s">
        <v>1164</v>
      </c>
      <c r="E110" s="14" t="s">
        <v>195</v>
      </c>
      <c r="F110" s="14">
        <v>8872.190156259996</v>
      </c>
      <c r="G110" s="14">
        <v>3387.9380429154844</v>
      </c>
      <c r="H110" s="14">
        <v>0.38186039560085849</v>
      </c>
      <c r="I110" s="14">
        <v>0</v>
      </c>
      <c r="J110" s="14" t="s">
        <v>255</v>
      </c>
      <c r="L110" s="14">
        <v>1</v>
      </c>
      <c r="M110" s="14" t="s">
        <v>195</v>
      </c>
      <c r="N110" s="49"/>
      <c r="O110" s="47"/>
      <c r="P110" s="48"/>
      <c r="Q110" s="25">
        <v>0</v>
      </c>
      <c r="R110" s="26" t="s">
        <v>255</v>
      </c>
      <c r="S110" s="26" t="s">
        <v>63</v>
      </c>
      <c r="T110" s="26" t="s">
        <v>1165</v>
      </c>
      <c r="U110" s="17">
        <v>3387.9380429154844</v>
      </c>
      <c r="V110" s="26">
        <v>0.38186039560085849</v>
      </c>
      <c r="W110" s="26">
        <v>0</v>
      </c>
      <c r="X110" s="26">
        <v>0</v>
      </c>
      <c r="Y110" s="23" t="s">
        <v>271</v>
      </c>
      <c r="Z110" t="s">
        <v>195</v>
      </c>
    </row>
    <row r="111" spans="2:26" x14ac:dyDescent="0.25">
      <c r="B111" s="77">
        <v>44910.000000081018</v>
      </c>
      <c r="C111" s="14" t="s">
        <v>271</v>
      </c>
      <c r="D111" s="14" t="s">
        <v>1164</v>
      </c>
      <c r="E111" s="14" t="s">
        <v>196</v>
      </c>
      <c r="F111" s="14">
        <v>15781.008725189997</v>
      </c>
      <c r="G111" s="14">
        <v>14255.732471444593</v>
      </c>
      <c r="H111" s="14">
        <v>0.90334735375244268</v>
      </c>
      <c r="I111" s="14">
        <v>0</v>
      </c>
      <c r="J111" s="14" t="s">
        <v>255</v>
      </c>
      <c r="L111" s="14">
        <v>1</v>
      </c>
      <c r="M111" s="14" t="s">
        <v>196</v>
      </c>
      <c r="N111" s="49"/>
      <c r="O111" s="47"/>
      <c r="P111" s="48"/>
      <c r="Q111" s="25">
        <v>0</v>
      </c>
      <c r="R111" s="26" t="s">
        <v>255</v>
      </c>
      <c r="S111" s="26" t="s">
        <v>63</v>
      </c>
      <c r="T111" s="26" t="s">
        <v>1165</v>
      </c>
      <c r="U111" s="17">
        <v>14255.732471444593</v>
      </c>
      <c r="V111" s="26">
        <v>0.90334735375244268</v>
      </c>
      <c r="W111" s="26">
        <v>0</v>
      </c>
      <c r="X111" s="26">
        <v>0</v>
      </c>
      <c r="Y111" s="23" t="s">
        <v>271</v>
      </c>
      <c r="Z111" t="s">
        <v>196</v>
      </c>
    </row>
    <row r="112" spans="2:26" x14ac:dyDescent="0.25">
      <c r="B112" s="77">
        <v>44910.000000081018</v>
      </c>
      <c r="C112" s="14" t="s">
        <v>271</v>
      </c>
      <c r="D112" s="14" t="s">
        <v>1164</v>
      </c>
      <c r="E112" s="14" t="s">
        <v>1176</v>
      </c>
      <c r="F112" s="14">
        <v>524889.41030044004</v>
      </c>
      <c r="G112" s="14">
        <v>522674.40974300198</v>
      </c>
      <c r="H112" s="14">
        <v>0.99578006240177297</v>
      </c>
      <c r="I112" s="14">
        <v>0</v>
      </c>
      <c r="J112" s="14" t="s">
        <v>255</v>
      </c>
      <c r="L112" s="14">
        <v>1</v>
      </c>
      <c r="M112" s="14" t="s">
        <v>1176</v>
      </c>
      <c r="N112" s="49"/>
      <c r="O112" s="47"/>
      <c r="P112" s="48"/>
      <c r="Q112" s="25">
        <v>0</v>
      </c>
      <c r="R112" s="26" t="s">
        <v>255</v>
      </c>
      <c r="S112" s="26" t="s">
        <v>63</v>
      </c>
      <c r="T112" s="26" t="s">
        <v>1165</v>
      </c>
      <c r="U112" s="17">
        <v>522674.40974300198</v>
      </c>
      <c r="V112" s="26">
        <v>0.99578006240177297</v>
      </c>
      <c r="W112" s="26">
        <v>0</v>
      </c>
      <c r="X112" s="26">
        <v>0</v>
      </c>
      <c r="Y112" s="23" t="s">
        <v>271</v>
      </c>
      <c r="Z112" t="s">
        <v>1176</v>
      </c>
    </row>
    <row r="113" spans="2:26" x14ac:dyDescent="0.25">
      <c r="B113" s="77">
        <v>44910.000000081018</v>
      </c>
      <c r="C113" s="14" t="s">
        <v>271</v>
      </c>
      <c r="D113" s="14" t="s">
        <v>1164</v>
      </c>
      <c r="E113" s="14" t="s">
        <v>567</v>
      </c>
      <c r="F113" s="14">
        <v>0.92561750999999859</v>
      </c>
      <c r="G113" s="14">
        <v>561.07015232674166</v>
      </c>
      <c r="H113" s="14">
        <v>606.15766908595162</v>
      </c>
      <c r="I113" s="14">
        <v>0</v>
      </c>
      <c r="J113" s="14" t="s">
        <v>255</v>
      </c>
      <c r="L113" s="14">
        <v>1</v>
      </c>
      <c r="M113" s="14" t="s">
        <v>567</v>
      </c>
      <c r="N113" s="49"/>
      <c r="O113" s="47"/>
      <c r="P113" s="48"/>
      <c r="Q113" s="25">
        <v>0</v>
      </c>
      <c r="R113" s="26" t="s">
        <v>255</v>
      </c>
      <c r="S113" s="26" t="s">
        <v>63</v>
      </c>
      <c r="T113" s="26" t="s">
        <v>1165</v>
      </c>
      <c r="U113" s="17">
        <v>561.07015232674166</v>
      </c>
      <c r="V113" s="26">
        <v>606.15766908595162</v>
      </c>
      <c r="W113" s="26">
        <v>0</v>
      </c>
      <c r="X113" s="26">
        <v>0</v>
      </c>
      <c r="Y113" s="23" t="s">
        <v>271</v>
      </c>
      <c r="Z113" t="s">
        <v>567</v>
      </c>
    </row>
    <row r="114" spans="2:26" x14ac:dyDescent="0.25">
      <c r="B114" s="77">
        <v>44910.000000081018</v>
      </c>
      <c r="C114" s="14" t="s">
        <v>271</v>
      </c>
      <c r="D114" s="14" t="s">
        <v>1164</v>
      </c>
      <c r="E114" s="14" t="s">
        <v>149</v>
      </c>
      <c r="F114" s="14">
        <v>0.89105878000000005</v>
      </c>
      <c r="G114" s="14">
        <v>6.3936605193977698</v>
      </c>
      <c r="H114" s="14">
        <v>7.1753521349037932</v>
      </c>
      <c r="I114" s="14">
        <v>0</v>
      </c>
      <c r="J114" s="14" t="s">
        <v>255</v>
      </c>
      <c r="L114" s="14">
        <v>1</v>
      </c>
      <c r="M114" s="14" t="s">
        <v>149</v>
      </c>
      <c r="N114" s="49"/>
      <c r="O114" s="47"/>
      <c r="P114" s="48"/>
      <c r="Q114" s="25">
        <v>0</v>
      </c>
      <c r="R114" s="26" t="s">
        <v>255</v>
      </c>
      <c r="S114" s="26" t="s">
        <v>63</v>
      </c>
      <c r="T114" s="26" t="s">
        <v>1165</v>
      </c>
      <c r="U114" s="17">
        <v>6.3936605193977698</v>
      </c>
      <c r="V114" s="26">
        <v>7.1753521349037932</v>
      </c>
      <c r="W114" s="26">
        <v>0</v>
      </c>
      <c r="X114" s="26">
        <v>0</v>
      </c>
      <c r="Y114" s="23" t="s">
        <v>271</v>
      </c>
      <c r="Z114" t="s">
        <v>149</v>
      </c>
    </row>
    <row r="115" spans="2:26" x14ac:dyDescent="0.25">
      <c r="B115" s="77">
        <v>44910.000000081018</v>
      </c>
      <c r="C115" s="14" t="s">
        <v>271</v>
      </c>
      <c r="D115" s="14" t="s">
        <v>1164</v>
      </c>
      <c r="E115" s="14" t="s">
        <v>150</v>
      </c>
      <c r="F115" s="14">
        <v>40.704174029999997</v>
      </c>
      <c r="G115" s="14">
        <v>6.95299664114117E-3</v>
      </c>
      <c r="H115" s="14">
        <v>1.7081777991654216E-4</v>
      </c>
      <c r="I115" s="14">
        <v>0</v>
      </c>
      <c r="J115" s="14" t="s">
        <v>255</v>
      </c>
      <c r="L115" s="14">
        <v>1</v>
      </c>
      <c r="M115" s="14" t="s">
        <v>150</v>
      </c>
      <c r="N115" s="49"/>
      <c r="O115" s="47"/>
      <c r="P115" s="48"/>
      <c r="Q115" s="25">
        <v>0</v>
      </c>
      <c r="R115" s="26" t="s">
        <v>255</v>
      </c>
      <c r="S115" s="26" t="s">
        <v>63</v>
      </c>
      <c r="T115" s="26" t="s">
        <v>1165</v>
      </c>
      <c r="U115" s="17">
        <v>6.95299664114117E-3</v>
      </c>
      <c r="V115" s="26">
        <v>1.7081777991654216E-4</v>
      </c>
      <c r="W115" s="26">
        <v>0</v>
      </c>
      <c r="X115" s="26">
        <v>0</v>
      </c>
      <c r="Y115" s="23" t="s">
        <v>271</v>
      </c>
      <c r="Z115" t="s">
        <v>150</v>
      </c>
    </row>
    <row r="116" spans="2:26" x14ac:dyDescent="0.25">
      <c r="B116" s="77">
        <v>44910.000000081018</v>
      </c>
      <c r="C116" s="14" t="s">
        <v>271</v>
      </c>
      <c r="D116" s="14" t="s">
        <v>1164</v>
      </c>
      <c r="E116" s="14" t="s">
        <v>151</v>
      </c>
      <c r="F116" s="14">
        <v>3045130004.3544402</v>
      </c>
      <c r="G116" s="14">
        <v>1441.74270216525</v>
      </c>
      <c r="H116" s="14">
        <v>4.73458505910619E-7</v>
      </c>
      <c r="I116" s="14">
        <v>0</v>
      </c>
      <c r="J116" s="14" t="s">
        <v>255</v>
      </c>
      <c r="L116" s="14">
        <v>1</v>
      </c>
      <c r="M116" s="14" t="s">
        <v>151</v>
      </c>
      <c r="N116" s="49"/>
      <c r="O116" s="47"/>
      <c r="P116" s="48"/>
      <c r="Q116" s="25">
        <v>0</v>
      </c>
      <c r="R116" s="26" t="s">
        <v>255</v>
      </c>
      <c r="S116" s="26" t="s">
        <v>63</v>
      </c>
      <c r="T116" s="26" t="s">
        <v>1165</v>
      </c>
      <c r="U116" s="17">
        <v>1441.74270216525</v>
      </c>
      <c r="V116" s="26">
        <v>4.73458505910619E-7</v>
      </c>
      <c r="W116" s="26">
        <v>0</v>
      </c>
      <c r="X116" s="26">
        <v>0</v>
      </c>
      <c r="Y116" s="23" t="s">
        <v>271</v>
      </c>
      <c r="Z116" t="s">
        <v>151</v>
      </c>
    </row>
    <row r="117" spans="2:26" x14ac:dyDescent="0.25">
      <c r="B117" s="77">
        <v>44910.000000081018</v>
      </c>
      <c r="C117" s="14" t="s">
        <v>271</v>
      </c>
      <c r="D117" s="14" t="s">
        <v>1164</v>
      </c>
      <c r="E117" s="14" t="s">
        <v>152</v>
      </c>
      <c r="F117" s="14">
        <v>4.3068300000000002E-3</v>
      </c>
      <c r="G117" s="14">
        <v>9.1859295588851404E-4</v>
      </c>
      <c r="H117" s="14">
        <v>0.213287488916097</v>
      </c>
      <c r="I117" s="14">
        <v>0</v>
      </c>
      <c r="J117" s="14" t="s">
        <v>255</v>
      </c>
      <c r="L117" s="14">
        <v>1</v>
      </c>
      <c r="M117" s="14" t="s">
        <v>152</v>
      </c>
      <c r="N117" s="49"/>
      <c r="O117" s="47"/>
      <c r="P117" s="48"/>
      <c r="Q117" s="25">
        <v>0</v>
      </c>
      <c r="R117" s="26" t="s">
        <v>255</v>
      </c>
      <c r="S117" s="26" t="s">
        <v>63</v>
      </c>
      <c r="T117" s="26" t="s">
        <v>1165</v>
      </c>
      <c r="U117" s="17">
        <v>9.1859295588851404E-4</v>
      </c>
      <c r="V117" s="26">
        <v>0.213287488916097</v>
      </c>
      <c r="W117" s="26">
        <v>0</v>
      </c>
      <c r="X117" s="26">
        <v>0</v>
      </c>
      <c r="Y117" s="23" t="s">
        <v>271</v>
      </c>
      <c r="Z117" t="s">
        <v>152</v>
      </c>
    </row>
    <row r="118" spans="2:26" x14ac:dyDescent="0.25">
      <c r="B118" s="77">
        <v>44910.000000081018</v>
      </c>
      <c r="C118" s="14" t="s">
        <v>271</v>
      </c>
      <c r="D118" s="14" t="s">
        <v>1164</v>
      </c>
      <c r="E118" s="14" t="s">
        <v>153</v>
      </c>
      <c r="F118" s="14">
        <v>24121.420819300001</v>
      </c>
      <c r="G118" s="14">
        <v>28410.752841687077</v>
      </c>
      <c r="H118" s="14">
        <v>1.1778225277242003</v>
      </c>
      <c r="I118" s="14">
        <v>0</v>
      </c>
      <c r="J118" s="14" t="s">
        <v>255</v>
      </c>
      <c r="L118" s="14">
        <v>1</v>
      </c>
      <c r="M118" s="14" t="s">
        <v>153</v>
      </c>
      <c r="N118" s="49"/>
      <c r="O118" s="47"/>
      <c r="P118" s="48"/>
      <c r="Q118" s="25">
        <v>0</v>
      </c>
      <c r="R118" s="26" t="s">
        <v>255</v>
      </c>
      <c r="S118" s="26" t="s">
        <v>63</v>
      </c>
      <c r="T118" s="26" t="s">
        <v>1165</v>
      </c>
      <c r="U118" s="17">
        <v>28410.752841687077</v>
      </c>
      <c r="V118" s="26">
        <v>1.1778225277242003</v>
      </c>
      <c r="W118" s="26">
        <v>0</v>
      </c>
      <c r="X118" s="26">
        <v>0</v>
      </c>
      <c r="Y118" s="23" t="s">
        <v>271</v>
      </c>
      <c r="Z118" t="s">
        <v>153</v>
      </c>
    </row>
    <row r="119" spans="2:26" x14ac:dyDescent="0.25">
      <c r="B119" s="77">
        <v>44910.000000081018</v>
      </c>
      <c r="C119" s="14" t="s">
        <v>271</v>
      </c>
      <c r="D119" s="14" t="s">
        <v>1164</v>
      </c>
      <c r="E119" s="14" t="s">
        <v>154</v>
      </c>
      <c r="F119" s="14">
        <v>0.34782034000000001</v>
      </c>
      <c r="G119" s="14">
        <v>9.2591922833754503E-2</v>
      </c>
      <c r="H119" s="14">
        <v>0.26620617653859607</v>
      </c>
      <c r="I119" s="14">
        <v>0</v>
      </c>
      <c r="J119" s="14" t="s">
        <v>255</v>
      </c>
      <c r="L119" s="14">
        <v>1</v>
      </c>
      <c r="M119" s="14" t="s">
        <v>154</v>
      </c>
      <c r="N119" s="49"/>
      <c r="O119" s="47"/>
      <c r="P119" s="48"/>
      <c r="Q119" s="25">
        <v>0</v>
      </c>
      <c r="R119" s="26" t="s">
        <v>255</v>
      </c>
      <c r="S119" s="26" t="s">
        <v>63</v>
      </c>
      <c r="T119" s="26" t="s">
        <v>1165</v>
      </c>
      <c r="U119" s="17">
        <v>9.2591922833754503E-2</v>
      </c>
      <c r="V119" s="26">
        <v>0.26620617653859607</v>
      </c>
      <c r="W119" s="26">
        <v>0</v>
      </c>
      <c r="X119" s="26">
        <v>0</v>
      </c>
      <c r="Y119" s="23" t="s">
        <v>271</v>
      </c>
      <c r="Z119" t="s">
        <v>154</v>
      </c>
    </row>
    <row r="120" spans="2:26" x14ac:dyDescent="0.25">
      <c r="B120" s="77">
        <v>44910.000000081018</v>
      </c>
      <c r="C120" s="14" t="s">
        <v>271</v>
      </c>
      <c r="D120" s="14" t="s">
        <v>1164</v>
      </c>
      <c r="E120" s="14" t="s">
        <v>92</v>
      </c>
      <c r="F120" s="14">
        <v>11197.701488120025</v>
      </c>
      <c r="G120" s="14">
        <v>909.00557107512998</v>
      </c>
      <c r="H120" s="14">
        <v>8.1177871372934973E-2</v>
      </c>
      <c r="I120" s="14">
        <v>0</v>
      </c>
      <c r="J120" s="14" t="s">
        <v>255</v>
      </c>
      <c r="L120" s="14">
        <v>1</v>
      </c>
      <c r="M120" s="14" t="s">
        <v>92</v>
      </c>
      <c r="N120" s="49"/>
      <c r="O120" s="47"/>
      <c r="P120" s="48"/>
      <c r="Q120" s="25">
        <v>0</v>
      </c>
      <c r="R120" s="26" t="s">
        <v>255</v>
      </c>
      <c r="S120" s="26" t="s">
        <v>63</v>
      </c>
      <c r="T120" s="26" t="s">
        <v>1165</v>
      </c>
      <c r="U120" s="17">
        <v>909.00557107512998</v>
      </c>
      <c r="V120" s="26">
        <v>8.1177871372934973E-2</v>
      </c>
      <c r="W120" s="26">
        <v>0</v>
      </c>
      <c r="X120" s="26">
        <v>0</v>
      </c>
      <c r="Y120" s="23" t="s">
        <v>271</v>
      </c>
      <c r="Z120" t="s">
        <v>92</v>
      </c>
    </row>
    <row r="121" spans="2:26" x14ac:dyDescent="0.25">
      <c r="B121" s="77">
        <v>44910.000000081018</v>
      </c>
      <c r="C121" s="14" t="s">
        <v>271</v>
      </c>
      <c r="D121" s="14" t="s">
        <v>1164</v>
      </c>
      <c r="E121" s="14" t="s">
        <v>155</v>
      </c>
      <c r="F121" s="14">
        <v>3.0962099999999998E-3</v>
      </c>
      <c r="G121" s="14">
        <v>7.3057120862182502E-3</v>
      </c>
      <c r="H121" s="14">
        <v>2.3595660779528038</v>
      </c>
      <c r="I121" s="14">
        <v>0</v>
      </c>
      <c r="J121" s="14" t="s">
        <v>255</v>
      </c>
      <c r="L121" s="14">
        <v>1</v>
      </c>
      <c r="M121" s="14" t="s">
        <v>155</v>
      </c>
      <c r="N121" s="49"/>
      <c r="O121" s="47"/>
      <c r="P121" s="48"/>
      <c r="Q121" s="25">
        <v>0</v>
      </c>
      <c r="R121" s="26" t="s">
        <v>255</v>
      </c>
      <c r="S121" s="26" t="s">
        <v>63</v>
      </c>
      <c r="T121" s="26" t="s">
        <v>1165</v>
      </c>
      <c r="U121" s="17">
        <v>7.3057120862182502E-3</v>
      </c>
      <c r="V121" s="26">
        <v>2.3595660779528038</v>
      </c>
      <c r="W121" s="26">
        <v>0</v>
      </c>
      <c r="X121" s="26">
        <v>0</v>
      </c>
      <c r="Y121" s="23" t="s">
        <v>271</v>
      </c>
      <c r="Z121" t="s">
        <v>155</v>
      </c>
    </row>
    <row r="122" spans="2:26" x14ac:dyDescent="0.25">
      <c r="B122" s="77">
        <v>44910.000000081018</v>
      </c>
      <c r="C122" s="14" t="s">
        <v>271</v>
      </c>
      <c r="D122" s="14" t="s">
        <v>1164</v>
      </c>
      <c r="E122" s="14" t="s">
        <v>156</v>
      </c>
      <c r="F122" s="14">
        <v>2.6598900000000002E-2</v>
      </c>
      <c r="G122" s="14">
        <v>6.6126062963526102E-4</v>
      </c>
      <c r="H122" s="14">
        <v>2.4860450230470468E-2</v>
      </c>
      <c r="I122" s="14">
        <v>0</v>
      </c>
      <c r="J122" s="14" t="s">
        <v>255</v>
      </c>
      <c r="L122" s="14">
        <v>1</v>
      </c>
      <c r="M122" s="14" t="s">
        <v>156</v>
      </c>
      <c r="N122" s="49"/>
      <c r="O122" s="47"/>
      <c r="P122" s="48"/>
      <c r="Q122" s="25">
        <v>0</v>
      </c>
      <c r="R122" s="26" t="s">
        <v>255</v>
      </c>
      <c r="S122" s="26" t="s">
        <v>63</v>
      </c>
      <c r="T122" s="26" t="s">
        <v>1165</v>
      </c>
      <c r="U122" s="17">
        <v>6.6126062963526102E-4</v>
      </c>
      <c r="V122" s="26">
        <v>2.4860450230470468E-2</v>
      </c>
      <c r="W122" s="26">
        <v>0</v>
      </c>
      <c r="X122" s="26">
        <v>0</v>
      </c>
      <c r="Y122" s="23" t="s">
        <v>271</v>
      </c>
      <c r="Z122" t="s">
        <v>156</v>
      </c>
    </row>
    <row r="123" spans="2:26" x14ac:dyDescent="0.25">
      <c r="B123" s="77">
        <v>44910.000000081018</v>
      </c>
      <c r="C123" s="14" t="s">
        <v>271</v>
      </c>
      <c r="D123" s="14" t="s">
        <v>1164</v>
      </c>
      <c r="E123" s="14" t="s">
        <v>298</v>
      </c>
      <c r="F123" s="14">
        <v>9.5929999999999998E-5</v>
      </c>
      <c r="G123" s="14">
        <v>4.2092775676247699E-6</v>
      </c>
      <c r="H123" s="14">
        <v>4.3878636168297402E-2</v>
      </c>
      <c r="I123" s="14">
        <v>0</v>
      </c>
      <c r="J123" s="14" t="s">
        <v>255</v>
      </c>
      <c r="L123" s="14">
        <v>1</v>
      </c>
      <c r="M123" s="14" t="s">
        <v>298</v>
      </c>
      <c r="N123" s="49"/>
      <c r="O123" s="47"/>
      <c r="P123" s="48"/>
      <c r="Q123" s="25">
        <v>0</v>
      </c>
      <c r="R123" s="26" t="s">
        <v>255</v>
      </c>
      <c r="S123" s="26" t="s">
        <v>63</v>
      </c>
      <c r="T123" s="26" t="s">
        <v>1165</v>
      </c>
      <c r="U123" s="17">
        <v>4.2092775676247699E-6</v>
      </c>
      <c r="V123" s="26">
        <v>4.3878636168297402E-2</v>
      </c>
      <c r="W123" s="26">
        <v>0</v>
      </c>
      <c r="X123" s="26">
        <v>0</v>
      </c>
      <c r="Y123" s="23" t="s">
        <v>271</v>
      </c>
      <c r="Z123" t="s">
        <v>298</v>
      </c>
    </row>
    <row r="124" spans="2:26" x14ac:dyDescent="0.25">
      <c r="B124" s="77">
        <v>44910.000000081018</v>
      </c>
      <c r="C124" s="14" t="s">
        <v>271</v>
      </c>
      <c r="D124" s="14" t="s">
        <v>1164</v>
      </c>
      <c r="E124" s="14" t="s">
        <v>101</v>
      </c>
      <c r="F124" s="14">
        <v>1236499.8774543798</v>
      </c>
      <c r="G124" s="14">
        <v>14713.937917793688</v>
      </c>
      <c r="H124" s="14">
        <v>1.189966791431126E-2</v>
      </c>
      <c r="I124" s="14">
        <v>0</v>
      </c>
      <c r="J124" s="14" t="s">
        <v>255</v>
      </c>
      <c r="L124" s="14">
        <v>1</v>
      </c>
      <c r="M124" s="14" t="s">
        <v>101</v>
      </c>
      <c r="N124" s="49"/>
      <c r="O124" s="47"/>
      <c r="P124" s="48"/>
      <c r="Q124" s="25">
        <v>0</v>
      </c>
      <c r="R124" s="26" t="s">
        <v>255</v>
      </c>
      <c r="S124" s="26" t="s">
        <v>63</v>
      </c>
      <c r="T124" s="26" t="s">
        <v>1165</v>
      </c>
      <c r="U124" s="17">
        <v>14713.937917793688</v>
      </c>
      <c r="V124" s="26">
        <v>1.189966791431126E-2</v>
      </c>
      <c r="W124" s="26">
        <v>0</v>
      </c>
      <c r="X124" s="26">
        <v>0</v>
      </c>
      <c r="Y124" s="23" t="s">
        <v>271</v>
      </c>
      <c r="Z124" t="s">
        <v>101</v>
      </c>
    </row>
    <row r="125" spans="2:26" x14ac:dyDescent="0.25">
      <c r="B125" s="77">
        <v>44910.000000081018</v>
      </c>
      <c r="C125" s="14" t="s">
        <v>271</v>
      </c>
      <c r="D125" s="14" t="s">
        <v>1164</v>
      </c>
      <c r="E125" s="14" t="s">
        <v>184</v>
      </c>
      <c r="F125" s="14">
        <v>3393052.5294192201</v>
      </c>
      <c r="G125" s="14">
        <v>31408.321681189798</v>
      </c>
      <c r="H125" s="14">
        <v>9.2566564793401182E-3</v>
      </c>
      <c r="I125" s="14">
        <v>0</v>
      </c>
      <c r="J125" s="14" t="s">
        <v>255</v>
      </c>
      <c r="L125" s="14">
        <v>1</v>
      </c>
      <c r="M125" s="14" t="s">
        <v>184</v>
      </c>
      <c r="N125" s="49"/>
      <c r="O125" s="47"/>
      <c r="P125" s="48"/>
      <c r="Q125" s="25">
        <v>0</v>
      </c>
      <c r="R125" s="26" t="s">
        <v>255</v>
      </c>
      <c r="S125" s="26" t="s">
        <v>63</v>
      </c>
      <c r="T125" s="26" t="s">
        <v>1165</v>
      </c>
      <c r="U125" s="17">
        <v>31408.321681189798</v>
      </c>
      <c r="V125" s="26">
        <v>9.2566564793401182E-3</v>
      </c>
      <c r="W125" s="26">
        <v>0</v>
      </c>
      <c r="X125" s="26">
        <v>0</v>
      </c>
      <c r="Y125" s="23" t="s">
        <v>271</v>
      </c>
      <c r="Z125" t="s">
        <v>184</v>
      </c>
    </row>
    <row r="126" spans="2:26" x14ac:dyDescent="0.25">
      <c r="B126" s="77">
        <v>44910.000000081018</v>
      </c>
      <c r="C126" s="14" t="s">
        <v>271</v>
      </c>
      <c r="D126" s="14" t="s">
        <v>1164</v>
      </c>
      <c r="E126" s="14" t="s">
        <v>38</v>
      </c>
      <c r="F126" s="14">
        <v>175518418144.34607</v>
      </c>
      <c r="G126" s="14">
        <v>1574883.9694513008</v>
      </c>
      <c r="H126" s="14">
        <v>8.9727561705582302E-6</v>
      </c>
      <c r="I126" s="14">
        <v>0</v>
      </c>
      <c r="J126" s="14" t="s">
        <v>255</v>
      </c>
      <c r="L126" s="14">
        <v>1</v>
      </c>
      <c r="M126" s="14" t="s">
        <v>38</v>
      </c>
      <c r="N126" s="49"/>
      <c r="O126" s="47"/>
      <c r="P126" s="48"/>
      <c r="Q126" s="25">
        <v>0</v>
      </c>
      <c r="R126" s="26" t="s">
        <v>255</v>
      </c>
      <c r="S126" s="26" t="s">
        <v>63</v>
      </c>
      <c r="T126" s="26" t="s">
        <v>1165</v>
      </c>
      <c r="U126" s="17">
        <v>1574883.9694513008</v>
      </c>
      <c r="V126" s="26">
        <v>8.9727561705582302E-6</v>
      </c>
      <c r="W126" s="26">
        <v>0</v>
      </c>
      <c r="X126" s="26">
        <v>0</v>
      </c>
      <c r="Y126" s="23" t="s">
        <v>271</v>
      </c>
      <c r="Z126" t="s">
        <v>38</v>
      </c>
    </row>
    <row r="127" spans="2:26" x14ac:dyDescent="0.25">
      <c r="B127" s="77">
        <v>44910.000000081018</v>
      </c>
      <c r="C127" s="14" t="s">
        <v>271</v>
      </c>
      <c r="D127" s="14" t="s">
        <v>1164</v>
      </c>
      <c r="E127" s="14" t="s">
        <v>157</v>
      </c>
      <c r="F127" s="14">
        <v>376.01167062000059</v>
      </c>
      <c r="G127" s="14">
        <v>5317.0028794359969</v>
      </c>
      <c r="H127" s="14">
        <v>14.140526198745007</v>
      </c>
      <c r="I127" s="14">
        <v>0</v>
      </c>
      <c r="J127" s="14" t="s">
        <v>255</v>
      </c>
      <c r="L127" s="14">
        <v>1</v>
      </c>
      <c r="M127" s="14" t="s">
        <v>157</v>
      </c>
      <c r="N127" s="49"/>
      <c r="O127" s="47"/>
      <c r="P127" s="48"/>
      <c r="Q127" s="25">
        <v>0</v>
      </c>
      <c r="R127" s="26" t="s">
        <v>255</v>
      </c>
      <c r="S127" s="26" t="s">
        <v>63</v>
      </c>
      <c r="T127" s="26" t="s">
        <v>1165</v>
      </c>
      <c r="U127" s="17">
        <v>5317.0028794359969</v>
      </c>
      <c r="V127" s="26">
        <v>14.140526198745007</v>
      </c>
      <c r="W127" s="26">
        <v>0</v>
      </c>
      <c r="X127" s="26">
        <v>0</v>
      </c>
      <c r="Y127" s="23" t="s">
        <v>271</v>
      </c>
      <c r="Z127" t="s">
        <v>157</v>
      </c>
    </row>
    <row r="128" spans="2:26" x14ac:dyDescent="0.25">
      <c r="B128" s="77">
        <v>44910.000000081018</v>
      </c>
      <c r="C128" s="14" t="s">
        <v>271</v>
      </c>
      <c r="D128" s="14" t="s">
        <v>1164</v>
      </c>
      <c r="E128" s="14" t="s">
        <v>158</v>
      </c>
      <c r="F128" s="14">
        <v>38753.774400000002</v>
      </c>
      <c r="G128" s="14">
        <v>5874.2456954794798</v>
      </c>
      <c r="H128" s="14">
        <v>0.15157867295319444</v>
      </c>
      <c r="I128" s="14">
        <v>0</v>
      </c>
      <c r="J128" s="14" t="s">
        <v>255</v>
      </c>
      <c r="L128" s="14">
        <v>1</v>
      </c>
      <c r="M128" s="14" t="s">
        <v>158</v>
      </c>
      <c r="N128" s="49"/>
      <c r="O128" s="47"/>
      <c r="P128" s="48"/>
      <c r="Q128" s="25">
        <v>0</v>
      </c>
      <c r="R128" s="26" t="s">
        <v>255</v>
      </c>
      <c r="S128" s="26" t="s">
        <v>63</v>
      </c>
      <c r="T128" s="26" t="s">
        <v>1165</v>
      </c>
      <c r="U128" s="17">
        <v>5874.2456954794798</v>
      </c>
      <c r="V128" s="26">
        <v>0.15157867295319444</v>
      </c>
      <c r="W128" s="26">
        <v>0</v>
      </c>
      <c r="X128" s="26">
        <v>0</v>
      </c>
      <c r="Y128" s="23" t="s">
        <v>271</v>
      </c>
      <c r="Z128" t="s">
        <v>158</v>
      </c>
    </row>
    <row r="129" spans="2:26" x14ac:dyDescent="0.25">
      <c r="B129" s="77">
        <v>44910.000000081018</v>
      </c>
      <c r="C129" s="14" t="s">
        <v>271</v>
      </c>
      <c r="D129" s="14" t="s">
        <v>1164</v>
      </c>
      <c r="E129" s="14" t="s">
        <v>315</v>
      </c>
      <c r="F129" s="14">
        <v>623.41986664000001</v>
      </c>
      <c r="G129" s="14">
        <v>799906.53314526705</v>
      </c>
      <c r="H129" s="14">
        <v>1283.094389430456</v>
      </c>
      <c r="I129" s="14">
        <v>0</v>
      </c>
      <c r="J129" s="14" t="s">
        <v>255</v>
      </c>
      <c r="L129" s="14">
        <v>1</v>
      </c>
      <c r="M129" s="14" t="s">
        <v>315</v>
      </c>
      <c r="N129" s="49"/>
      <c r="O129" s="47"/>
      <c r="P129" s="48"/>
      <c r="Q129" s="25">
        <v>0</v>
      </c>
      <c r="R129" s="26" t="s">
        <v>255</v>
      </c>
      <c r="S129" s="26" t="s">
        <v>63</v>
      </c>
      <c r="T129" s="26" t="s">
        <v>1165</v>
      </c>
      <c r="U129" s="17">
        <v>799906.53314526705</v>
      </c>
      <c r="V129" s="26">
        <v>1283.094389430456</v>
      </c>
      <c r="W129" s="26">
        <v>0</v>
      </c>
      <c r="X129" s="26">
        <v>0</v>
      </c>
      <c r="Y129" s="23" t="s">
        <v>271</v>
      </c>
      <c r="Z129" t="s">
        <v>315</v>
      </c>
    </row>
    <row r="130" spans="2:26" x14ac:dyDescent="0.25">
      <c r="B130" s="77">
        <v>44910.000000081018</v>
      </c>
      <c r="C130" s="14" t="s">
        <v>271</v>
      </c>
      <c r="D130" s="14" t="s">
        <v>1164</v>
      </c>
      <c r="E130" s="14" t="s">
        <v>159</v>
      </c>
      <c r="F130" s="14">
        <v>29.76350429</v>
      </c>
      <c r="G130" s="14">
        <v>9.9667326333820299</v>
      </c>
      <c r="H130" s="14">
        <v>0.33486421949080342</v>
      </c>
      <c r="I130" s="14">
        <v>0</v>
      </c>
      <c r="J130" s="14" t="s">
        <v>255</v>
      </c>
      <c r="L130" s="14">
        <v>1</v>
      </c>
      <c r="M130" s="14" t="s">
        <v>159</v>
      </c>
      <c r="N130" s="49"/>
      <c r="O130" s="47"/>
      <c r="P130" s="48"/>
      <c r="Q130" s="25">
        <v>0</v>
      </c>
      <c r="R130" s="26" t="s">
        <v>255</v>
      </c>
      <c r="S130" s="26" t="s">
        <v>63</v>
      </c>
      <c r="T130" s="26" t="s">
        <v>1165</v>
      </c>
      <c r="U130" s="17">
        <v>9.9667326333820299</v>
      </c>
      <c r="V130" s="26">
        <v>0.33486421949080342</v>
      </c>
      <c r="W130" s="26">
        <v>0</v>
      </c>
      <c r="X130" s="26">
        <v>0</v>
      </c>
      <c r="Y130" s="23" t="s">
        <v>271</v>
      </c>
      <c r="Z130" t="s">
        <v>159</v>
      </c>
    </row>
    <row r="131" spans="2:26" x14ac:dyDescent="0.25">
      <c r="B131" s="77">
        <v>44910.000000081018</v>
      </c>
      <c r="C131" s="14" t="s">
        <v>271</v>
      </c>
      <c r="D131" s="14" t="s">
        <v>1164</v>
      </c>
      <c r="E131" s="14" t="s">
        <v>615</v>
      </c>
      <c r="F131" s="14">
        <v>71.99221647000013</v>
      </c>
      <c r="G131" s="14">
        <v>80.60642302758788</v>
      </c>
      <c r="H131" s="14">
        <v>1.1196546929650009</v>
      </c>
      <c r="I131" s="14">
        <v>0</v>
      </c>
      <c r="J131" s="14" t="s">
        <v>255</v>
      </c>
      <c r="L131" s="14">
        <v>1</v>
      </c>
      <c r="M131" s="14" t="s">
        <v>615</v>
      </c>
      <c r="N131" s="49"/>
      <c r="O131" s="47"/>
      <c r="P131" s="48"/>
      <c r="Q131" s="25">
        <v>0</v>
      </c>
      <c r="R131" s="26" t="s">
        <v>255</v>
      </c>
      <c r="S131" s="26" t="s">
        <v>63</v>
      </c>
      <c r="T131" s="26" t="s">
        <v>1165</v>
      </c>
      <c r="U131" s="17">
        <v>80.60642302758788</v>
      </c>
      <c r="V131" s="26">
        <v>1.1196546929650009</v>
      </c>
      <c r="W131" s="26">
        <v>0</v>
      </c>
      <c r="X131" s="26">
        <v>0</v>
      </c>
      <c r="Y131" s="23" t="s">
        <v>271</v>
      </c>
      <c r="Z131" t="s">
        <v>615</v>
      </c>
    </row>
    <row r="132" spans="2:26" x14ac:dyDescent="0.25">
      <c r="B132" s="77">
        <v>44910.000000081018</v>
      </c>
      <c r="C132" s="14" t="s">
        <v>271</v>
      </c>
      <c r="D132" s="14" t="s">
        <v>1164</v>
      </c>
      <c r="E132" s="14" t="s">
        <v>26</v>
      </c>
      <c r="F132" s="14">
        <v>45.224419630000007</v>
      </c>
      <c r="G132" s="14">
        <v>2.5174786941756908</v>
      </c>
      <c r="H132" s="14">
        <v>5.5666357131218987E-2</v>
      </c>
      <c r="I132" s="14">
        <v>0</v>
      </c>
      <c r="J132" s="14" t="s">
        <v>255</v>
      </c>
      <c r="L132" s="14">
        <v>1</v>
      </c>
      <c r="M132" s="14" t="s">
        <v>26</v>
      </c>
      <c r="N132" s="49"/>
      <c r="O132" s="47"/>
      <c r="P132" s="48"/>
      <c r="Q132" s="25">
        <v>0</v>
      </c>
      <c r="R132" s="26" t="s">
        <v>255</v>
      </c>
      <c r="S132" s="26" t="s">
        <v>63</v>
      </c>
      <c r="T132" s="26" t="s">
        <v>1165</v>
      </c>
      <c r="U132" s="17">
        <v>2.5174786941756908</v>
      </c>
      <c r="V132" s="26">
        <v>5.5666357131218987E-2</v>
      </c>
      <c r="W132" s="26">
        <v>0</v>
      </c>
      <c r="X132" s="26">
        <v>0</v>
      </c>
      <c r="Y132" s="23" t="s">
        <v>271</v>
      </c>
      <c r="Z132" t="s">
        <v>26</v>
      </c>
    </row>
    <row r="133" spans="2:26" x14ac:dyDescent="0.25">
      <c r="B133" s="77">
        <v>44910.000000081018</v>
      </c>
      <c r="C133" s="14" t="s">
        <v>271</v>
      </c>
      <c r="D133" s="14" t="s">
        <v>1164</v>
      </c>
      <c r="E133" s="14" t="s">
        <v>182</v>
      </c>
      <c r="F133" s="14">
        <v>0.10983253</v>
      </c>
      <c r="G133" s="14">
        <v>5.8358694645149999E-3</v>
      </c>
      <c r="H133" s="14">
        <v>5.3134253253703613E-2</v>
      </c>
      <c r="I133" s="14">
        <v>0</v>
      </c>
      <c r="J133" s="14" t="s">
        <v>255</v>
      </c>
      <c r="L133" s="14">
        <v>1</v>
      </c>
      <c r="M133" s="14" t="s">
        <v>182</v>
      </c>
      <c r="N133" s="49"/>
      <c r="O133" s="47"/>
      <c r="P133" s="48"/>
      <c r="Q133" s="25">
        <v>0</v>
      </c>
      <c r="R133" s="26" t="s">
        <v>255</v>
      </c>
      <c r="S133" s="26" t="s">
        <v>63</v>
      </c>
      <c r="T133" s="26" t="s">
        <v>1165</v>
      </c>
      <c r="U133" s="17">
        <v>5.8358694645149999E-3</v>
      </c>
      <c r="V133" s="26">
        <v>5.3134253253703613E-2</v>
      </c>
      <c r="W133" s="26">
        <v>0</v>
      </c>
      <c r="X133" s="26">
        <v>0</v>
      </c>
      <c r="Y133" s="23" t="s">
        <v>271</v>
      </c>
      <c r="Z133" t="s">
        <v>182</v>
      </c>
    </row>
    <row r="134" spans="2:26" x14ac:dyDescent="0.25">
      <c r="B134" s="77">
        <v>44910.000000081018</v>
      </c>
      <c r="C134" s="14" t="s">
        <v>271</v>
      </c>
      <c r="D134" s="14" t="s">
        <v>1164</v>
      </c>
      <c r="E134" s="14" t="s">
        <v>160</v>
      </c>
      <c r="F134" s="14">
        <v>6.3152970000000003E-2</v>
      </c>
      <c r="G134" s="14">
        <v>2.4075889084370101E-4</v>
      </c>
      <c r="H134" s="14">
        <v>3.8123130368009771E-3</v>
      </c>
      <c r="I134" s="14">
        <v>0</v>
      </c>
      <c r="J134" s="14" t="s">
        <v>255</v>
      </c>
      <c r="L134" s="14">
        <v>1</v>
      </c>
      <c r="M134" s="14" t="s">
        <v>160</v>
      </c>
      <c r="N134" s="49"/>
      <c r="O134" s="47"/>
      <c r="P134" s="48"/>
      <c r="Q134" s="25">
        <v>0</v>
      </c>
      <c r="R134" s="26" t="s">
        <v>255</v>
      </c>
      <c r="S134" s="26" t="s">
        <v>63</v>
      </c>
      <c r="T134" s="26" t="s">
        <v>1165</v>
      </c>
      <c r="U134" s="17">
        <v>2.4075889084370101E-4</v>
      </c>
      <c r="V134" s="26">
        <v>3.8123130368009771E-3</v>
      </c>
      <c r="W134" s="26">
        <v>0</v>
      </c>
      <c r="X134" s="26">
        <v>0</v>
      </c>
      <c r="Y134" s="23" t="s">
        <v>271</v>
      </c>
      <c r="Z134" t="s">
        <v>160</v>
      </c>
    </row>
    <row r="135" spans="2:26" x14ac:dyDescent="0.25">
      <c r="B135" s="77">
        <v>44910.000000081018</v>
      </c>
      <c r="C135" s="14" t="s">
        <v>271</v>
      </c>
      <c r="D135" s="14" t="s">
        <v>1164</v>
      </c>
      <c r="E135" s="14" t="s">
        <v>161</v>
      </c>
      <c r="F135" s="14">
        <v>20</v>
      </c>
      <c r="G135" s="14">
        <v>19.9996805291984</v>
      </c>
      <c r="H135" s="14">
        <v>0.99998402645992002</v>
      </c>
      <c r="I135" s="14">
        <v>0</v>
      </c>
      <c r="J135" s="14" t="s">
        <v>255</v>
      </c>
      <c r="L135" s="14">
        <v>1</v>
      </c>
      <c r="M135" s="14" t="s">
        <v>161</v>
      </c>
      <c r="N135" s="49"/>
      <c r="O135" s="47"/>
      <c r="P135" s="48"/>
      <c r="Q135" s="25">
        <v>0</v>
      </c>
      <c r="R135" s="26" t="s">
        <v>255</v>
      </c>
      <c r="S135" s="26" t="s">
        <v>63</v>
      </c>
      <c r="T135" s="26" t="s">
        <v>1165</v>
      </c>
      <c r="U135" s="17">
        <v>19.9996805291984</v>
      </c>
      <c r="V135" s="26">
        <v>0.99998402645992002</v>
      </c>
      <c r="W135" s="26">
        <v>0</v>
      </c>
      <c r="X135" s="26">
        <v>0</v>
      </c>
      <c r="Y135" s="23" t="s">
        <v>271</v>
      </c>
      <c r="Z135" t="s">
        <v>161</v>
      </c>
    </row>
    <row r="136" spans="2:26" x14ac:dyDescent="0.25">
      <c r="B136" s="77">
        <v>44910.000000081018</v>
      </c>
      <c r="C136" s="14" t="s">
        <v>271</v>
      </c>
      <c r="D136" s="14" t="s">
        <v>1164</v>
      </c>
      <c r="E136" s="14" t="s">
        <v>162</v>
      </c>
      <c r="F136" s="14">
        <v>253.19983698000033</v>
      </c>
      <c r="G136" s="14">
        <v>1498.8512345638228</v>
      </c>
      <c r="H136" s="14">
        <v>5.9196374391118329</v>
      </c>
      <c r="I136" s="14">
        <v>0</v>
      </c>
      <c r="J136" s="14" t="s">
        <v>255</v>
      </c>
      <c r="L136" s="14">
        <v>1</v>
      </c>
      <c r="M136" s="14" t="s">
        <v>162</v>
      </c>
      <c r="N136" s="49"/>
      <c r="O136" s="47"/>
      <c r="P136" s="48"/>
      <c r="Q136" s="25">
        <v>0</v>
      </c>
      <c r="R136" s="26" t="s">
        <v>255</v>
      </c>
      <c r="S136" s="26" t="s">
        <v>63</v>
      </c>
      <c r="T136" s="26" t="s">
        <v>1165</v>
      </c>
      <c r="U136" s="17">
        <v>1498.8512345638228</v>
      </c>
      <c r="V136" s="26">
        <v>5.9196374391118329</v>
      </c>
      <c r="W136" s="26">
        <v>0</v>
      </c>
      <c r="X136" s="26">
        <v>0</v>
      </c>
      <c r="Y136" s="23" t="s">
        <v>271</v>
      </c>
      <c r="Z136" t="s">
        <v>162</v>
      </c>
    </row>
    <row r="137" spans="2:26" x14ac:dyDescent="0.25">
      <c r="B137" s="77">
        <v>44910.000000081018</v>
      </c>
      <c r="C137" s="14" t="s">
        <v>271</v>
      </c>
      <c r="D137" s="14" t="s">
        <v>1164</v>
      </c>
      <c r="E137" s="14" t="s">
        <v>98</v>
      </c>
      <c r="F137" s="14">
        <v>74234766.365592495</v>
      </c>
      <c r="G137" s="14">
        <v>74234766.365592495</v>
      </c>
      <c r="H137" s="14">
        <v>1</v>
      </c>
      <c r="I137" s="14">
        <v>0</v>
      </c>
      <c r="J137" s="14" t="s">
        <v>262</v>
      </c>
      <c r="L137" s="14">
        <v>1</v>
      </c>
      <c r="M137" s="14" t="s">
        <v>98</v>
      </c>
      <c r="N137" s="49"/>
      <c r="O137" s="47"/>
      <c r="P137" s="48"/>
      <c r="Q137" s="25">
        <v>0</v>
      </c>
      <c r="R137" s="26" t="s">
        <v>262</v>
      </c>
      <c r="S137" s="26" t="s">
        <v>63</v>
      </c>
      <c r="T137" s="26" t="s">
        <v>1168</v>
      </c>
      <c r="U137" s="17">
        <v>74234766.365592495</v>
      </c>
      <c r="V137" s="26">
        <v>1</v>
      </c>
      <c r="W137" s="26">
        <v>0</v>
      </c>
      <c r="X137" s="26">
        <v>0</v>
      </c>
      <c r="Y137" s="23" t="s">
        <v>271</v>
      </c>
      <c r="Z137" t="s">
        <v>98</v>
      </c>
    </row>
    <row r="138" spans="2:26" x14ac:dyDescent="0.25">
      <c r="B138" s="77">
        <v>44910.000000081018</v>
      </c>
      <c r="C138" s="14" t="s">
        <v>271</v>
      </c>
      <c r="D138" s="14" t="s">
        <v>1164</v>
      </c>
      <c r="E138" s="14" t="s">
        <v>95</v>
      </c>
      <c r="F138" s="14">
        <v>-56124018.341877401</v>
      </c>
      <c r="G138" s="14">
        <v>-56122869.219687894</v>
      </c>
      <c r="H138" s="14">
        <v>0.99997952530443368</v>
      </c>
      <c r="I138" s="14">
        <v>0</v>
      </c>
      <c r="J138" s="14" t="s">
        <v>255</v>
      </c>
      <c r="L138" s="14">
        <v>1</v>
      </c>
      <c r="M138" s="14" t="s">
        <v>95</v>
      </c>
      <c r="N138" s="49"/>
      <c r="O138" s="47"/>
      <c r="P138" s="48"/>
      <c r="Q138" s="25">
        <v>0</v>
      </c>
      <c r="R138" s="26" t="s">
        <v>255</v>
      </c>
      <c r="S138" s="26" t="s">
        <v>64</v>
      </c>
      <c r="T138" s="26" t="s">
        <v>1166</v>
      </c>
      <c r="U138" s="17">
        <v>-56122869.219687894</v>
      </c>
      <c r="V138" s="26">
        <v>0.99997952530443368</v>
      </c>
      <c r="W138" s="26">
        <v>0</v>
      </c>
      <c r="X138" s="26">
        <v>0</v>
      </c>
      <c r="Y138" s="23" t="s">
        <v>271</v>
      </c>
      <c r="Z138" t="s">
        <v>95</v>
      </c>
    </row>
    <row r="139" spans="2:26" x14ac:dyDescent="0.25">
      <c r="B139" s="77">
        <v>44910.000000081018</v>
      </c>
      <c r="C139" s="14" t="s">
        <v>271</v>
      </c>
      <c r="D139" s="14" t="s">
        <v>1164</v>
      </c>
      <c r="E139" s="14" t="s">
        <v>163</v>
      </c>
      <c r="F139" s="14">
        <v>0.34680431</v>
      </c>
      <c r="G139" s="14">
        <v>0.34804517992871897</v>
      </c>
      <c r="H139" s="14">
        <v>1.0035780118439674</v>
      </c>
      <c r="I139" s="14">
        <v>0</v>
      </c>
      <c r="J139" s="14" t="s">
        <v>255</v>
      </c>
      <c r="L139" s="14">
        <v>1</v>
      </c>
      <c r="M139" s="14" t="s">
        <v>163</v>
      </c>
      <c r="N139" s="49"/>
      <c r="O139" s="47"/>
      <c r="P139" s="48"/>
      <c r="Q139" s="25">
        <v>0</v>
      </c>
      <c r="R139" s="26" t="s">
        <v>255</v>
      </c>
      <c r="S139" s="26" t="s">
        <v>63</v>
      </c>
      <c r="T139" s="26" t="s">
        <v>1165</v>
      </c>
      <c r="U139" s="17">
        <v>0.34804517992871897</v>
      </c>
      <c r="V139" s="26">
        <v>1.0035780118439674</v>
      </c>
      <c r="W139" s="26">
        <v>0</v>
      </c>
      <c r="X139" s="26">
        <v>0</v>
      </c>
      <c r="Y139" s="23" t="s">
        <v>271</v>
      </c>
      <c r="Z139" t="s">
        <v>163</v>
      </c>
    </row>
    <row r="140" spans="2:26" x14ac:dyDescent="0.25">
      <c r="B140" s="77">
        <v>44910.000000081018</v>
      </c>
      <c r="C140" s="14" t="s">
        <v>271</v>
      </c>
      <c r="D140" s="14" t="s">
        <v>1164</v>
      </c>
      <c r="E140" s="14" t="s">
        <v>39</v>
      </c>
      <c r="F140" s="14">
        <v>13177475.8031369</v>
      </c>
      <c r="G140" s="14">
        <v>13178864.845137877</v>
      </c>
      <c r="H140" s="14">
        <v>1.0001054103245361</v>
      </c>
      <c r="I140" s="14">
        <v>0</v>
      </c>
      <c r="J140" s="14" t="s">
        <v>255</v>
      </c>
      <c r="L140" s="14">
        <v>1</v>
      </c>
      <c r="M140" s="14" t="s">
        <v>39</v>
      </c>
      <c r="N140" s="49"/>
      <c r="O140" s="47"/>
      <c r="P140" s="48"/>
      <c r="Q140" s="25">
        <v>0</v>
      </c>
      <c r="R140" s="26" t="s">
        <v>255</v>
      </c>
      <c r="S140" s="26" t="s">
        <v>63</v>
      </c>
      <c r="T140" s="26" t="s">
        <v>1165</v>
      </c>
      <c r="U140" s="17">
        <v>13178864.845137877</v>
      </c>
      <c r="V140" s="26">
        <v>1.0001054103245361</v>
      </c>
      <c r="W140" s="26">
        <v>0</v>
      </c>
      <c r="X140" s="26">
        <v>0</v>
      </c>
      <c r="Y140" s="23" t="s">
        <v>271</v>
      </c>
      <c r="Z140" t="s">
        <v>39</v>
      </c>
    </row>
    <row r="141" spans="2:26" x14ac:dyDescent="0.25">
      <c r="B141" s="77">
        <v>44910.000000081018</v>
      </c>
      <c r="C141" s="14" t="s">
        <v>271</v>
      </c>
      <c r="D141" s="14" t="s">
        <v>1164</v>
      </c>
      <c r="E141" s="14" t="s">
        <v>99</v>
      </c>
      <c r="F141" s="14">
        <v>29.9885932</v>
      </c>
      <c r="G141" s="14">
        <v>0</v>
      </c>
      <c r="H141" s="14">
        <v>0</v>
      </c>
      <c r="I141" s="14">
        <v>0</v>
      </c>
      <c r="J141" s="14" t="s">
        <v>255</v>
      </c>
      <c r="L141" s="14">
        <v>1</v>
      </c>
      <c r="M141" s="14" t="s">
        <v>99</v>
      </c>
      <c r="N141" s="49"/>
      <c r="O141" s="47"/>
      <c r="P141" s="48"/>
      <c r="Q141" s="25">
        <v>0</v>
      </c>
      <c r="R141" s="26" t="s">
        <v>255</v>
      </c>
      <c r="S141" s="26" t="s">
        <v>63</v>
      </c>
      <c r="T141" s="26" t="s">
        <v>1165</v>
      </c>
      <c r="U141" s="17">
        <v>0</v>
      </c>
      <c r="V141" s="26">
        <v>0</v>
      </c>
      <c r="W141" s="26">
        <v>0</v>
      </c>
      <c r="X141" s="26">
        <v>0</v>
      </c>
      <c r="Y141" s="23" t="s">
        <v>271</v>
      </c>
      <c r="Z141" t="s">
        <v>99</v>
      </c>
    </row>
    <row r="142" spans="2:26" x14ac:dyDescent="0.25">
      <c r="B142" s="77">
        <v>44910.000000081018</v>
      </c>
      <c r="C142" s="14" t="s">
        <v>271</v>
      </c>
      <c r="D142" s="14" t="s">
        <v>1164</v>
      </c>
      <c r="E142" s="14" t="s">
        <v>199</v>
      </c>
      <c r="F142" s="14">
        <v>-74.040518480000003</v>
      </c>
      <c r="G142" s="14">
        <v>-1.3878582842920431</v>
      </c>
      <c r="H142" s="14">
        <v>1.8744578141587899E-2</v>
      </c>
      <c r="I142" s="14">
        <v>0</v>
      </c>
      <c r="J142" s="14" t="s">
        <v>255</v>
      </c>
      <c r="L142" s="14">
        <v>1</v>
      </c>
      <c r="M142" s="14" t="s">
        <v>199</v>
      </c>
      <c r="N142" s="49"/>
      <c r="O142" s="47"/>
      <c r="P142" s="48"/>
      <c r="Q142" s="25">
        <v>0</v>
      </c>
      <c r="R142" s="26" t="s">
        <v>255</v>
      </c>
      <c r="S142" s="26" t="s">
        <v>64</v>
      </c>
      <c r="T142" s="26" t="s">
        <v>1166</v>
      </c>
      <c r="U142" s="17">
        <v>-1.3878582842920431</v>
      </c>
      <c r="V142" s="26">
        <v>1.8744578141587899E-2</v>
      </c>
      <c r="W142" s="26">
        <v>0</v>
      </c>
      <c r="X142" s="26">
        <v>0</v>
      </c>
      <c r="Y142" s="23" t="s">
        <v>271</v>
      </c>
      <c r="Z142" t="s">
        <v>199</v>
      </c>
    </row>
    <row r="143" spans="2:26" x14ac:dyDescent="0.25">
      <c r="B143" s="77">
        <v>44910.000000081018</v>
      </c>
      <c r="C143" s="14" t="s">
        <v>271</v>
      </c>
      <c r="D143" s="14" t="s">
        <v>1164</v>
      </c>
      <c r="E143" s="14" t="s">
        <v>164</v>
      </c>
      <c r="F143" s="14">
        <v>0.20872535</v>
      </c>
      <c r="G143" s="14">
        <v>2.1650087385953701E-4</v>
      </c>
      <c r="H143" s="14">
        <v>1.03725241739701E-3</v>
      </c>
      <c r="I143" s="14">
        <v>0</v>
      </c>
      <c r="J143" s="14" t="s">
        <v>255</v>
      </c>
      <c r="L143" s="14">
        <v>1</v>
      </c>
      <c r="M143" s="14" t="s">
        <v>164</v>
      </c>
      <c r="N143" s="49"/>
      <c r="O143" s="47"/>
      <c r="P143" s="48"/>
      <c r="Q143" s="25">
        <v>0</v>
      </c>
      <c r="R143" s="26" t="s">
        <v>255</v>
      </c>
      <c r="S143" s="26" t="s">
        <v>63</v>
      </c>
      <c r="T143" s="26" t="s">
        <v>1165</v>
      </c>
      <c r="U143" s="17">
        <v>2.1650087385953701E-4</v>
      </c>
      <c r="V143" s="26">
        <v>1.03725241739701E-3</v>
      </c>
      <c r="W143" s="26">
        <v>0</v>
      </c>
      <c r="X143" s="26">
        <v>0</v>
      </c>
      <c r="Y143" s="23" t="s">
        <v>271</v>
      </c>
      <c r="Z143" t="s">
        <v>164</v>
      </c>
    </row>
    <row r="144" spans="2:26" x14ac:dyDescent="0.25">
      <c r="B144" s="77">
        <v>44910.000000081018</v>
      </c>
      <c r="C144" s="14" t="s">
        <v>271</v>
      </c>
      <c r="D144" s="14" t="s">
        <v>1164</v>
      </c>
      <c r="E144" s="14" t="s">
        <v>260</v>
      </c>
      <c r="F144" s="14">
        <v>154.70349367</v>
      </c>
      <c r="G144" s="14">
        <v>202282.976567092</v>
      </c>
      <c r="H144" s="14">
        <v>1307.5527369704037</v>
      </c>
      <c r="I144" s="14">
        <v>0</v>
      </c>
      <c r="J144" s="14" t="s">
        <v>255</v>
      </c>
      <c r="L144" s="14">
        <v>1</v>
      </c>
      <c r="M144" s="14" t="s">
        <v>260</v>
      </c>
      <c r="N144" s="49"/>
      <c r="O144" s="47"/>
      <c r="P144" s="48"/>
      <c r="Q144" s="25">
        <v>0</v>
      </c>
      <c r="R144" s="26" t="s">
        <v>255</v>
      </c>
      <c r="S144" s="26" t="s">
        <v>63</v>
      </c>
      <c r="T144" s="26" t="s">
        <v>1165</v>
      </c>
      <c r="U144" s="17">
        <v>202282.976567092</v>
      </c>
      <c r="V144" s="26">
        <v>1307.5527369704037</v>
      </c>
      <c r="W144" s="26">
        <v>0</v>
      </c>
      <c r="X144" s="26">
        <v>0</v>
      </c>
      <c r="Y144" s="23" t="s">
        <v>271</v>
      </c>
      <c r="Z144" t="s">
        <v>260</v>
      </c>
    </row>
    <row r="145" spans="2:26" x14ac:dyDescent="0.25">
      <c r="B145" s="77">
        <v>44910.000000081018</v>
      </c>
      <c r="C145" s="14" t="s">
        <v>271</v>
      </c>
      <c r="D145" s="14" t="s">
        <v>1164</v>
      </c>
      <c r="E145" s="14" t="s">
        <v>188</v>
      </c>
      <c r="F145" s="14">
        <v>1644286.05309931</v>
      </c>
      <c r="G145" s="14">
        <v>222148.28450126699</v>
      </c>
      <c r="H145" s="14">
        <v>0.13510318601957386</v>
      </c>
      <c r="I145" s="14">
        <v>0</v>
      </c>
      <c r="J145" s="14" t="s">
        <v>255</v>
      </c>
      <c r="L145" s="14">
        <v>1</v>
      </c>
      <c r="M145" s="14" t="s">
        <v>188</v>
      </c>
      <c r="N145" s="49"/>
      <c r="O145" s="47"/>
      <c r="P145" s="48"/>
      <c r="Q145" s="25">
        <v>0</v>
      </c>
      <c r="R145" s="26" t="s">
        <v>255</v>
      </c>
      <c r="S145" s="26" t="s">
        <v>63</v>
      </c>
      <c r="T145" s="26" t="s">
        <v>1165</v>
      </c>
      <c r="U145" s="17">
        <v>222148.28450126699</v>
      </c>
      <c r="V145" s="26">
        <v>0.13510318601957386</v>
      </c>
      <c r="W145" s="26">
        <v>0</v>
      </c>
      <c r="X145" s="26">
        <v>0</v>
      </c>
      <c r="Y145" s="23" t="s">
        <v>271</v>
      </c>
      <c r="Z145" t="s">
        <v>188</v>
      </c>
    </row>
    <row r="146" spans="2:26" x14ac:dyDescent="0.25">
      <c r="B146" s="77">
        <v>44910.000000081018</v>
      </c>
      <c r="C146" s="14" t="s">
        <v>271</v>
      </c>
      <c r="D146" s="14" t="s">
        <v>1164</v>
      </c>
      <c r="E146" s="14" t="s">
        <v>165</v>
      </c>
      <c r="F146" s="14">
        <v>97856395.370000005</v>
      </c>
      <c r="G146" s="14">
        <v>2824.1969782590322</v>
      </c>
      <c r="H146" s="14">
        <v>2.8860627530582953E-5</v>
      </c>
      <c r="I146" s="14">
        <v>0</v>
      </c>
      <c r="J146" s="14" t="s">
        <v>255</v>
      </c>
      <c r="L146" s="14">
        <v>1</v>
      </c>
      <c r="M146" s="14" t="s">
        <v>165</v>
      </c>
      <c r="N146" s="49"/>
      <c r="O146" s="47"/>
      <c r="P146" s="48"/>
      <c r="Q146" s="25">
        <v>0</v>
      </c>
      <c r="R146" s="26" t="s">
        <v>255</v>
      </c>
      <c r="S146" s="26" t="s">
        <v>63</v>
      </c>
      <c r="T146" s="26" t="s">
        <v>1165</v>
      </c>
      <c r="U146" s="17">
        <v>2824.1969782590322</v>
      </c>
      <c r="V146" s="26">
        <v>2.8860627530582953E-5</v>
      </c>
      <c r="W146" s="26">
        <v>0</v>
      </c>
      <c r="X146" s="26">
        <v>0</v>
      </c>
      <c r="Y146" s="23" t="s">
        <v>271</v>
      </c>
      <c r="Z146" t="s">
        <v>165</v>
      </c>
    </row>
    <row r="147" spans="2:26" x14ac:dyDescent="0.25">
      <c r="B147" s="77">
        <v>44910.000000081018</v>
      </c>
      <c r="C147" s="14" t="s">
        <v>271</v>
      </c>
      <c r="D147" s="14" t="s">
        <v>1164</v>
      </c>
      <c r="E147" s="14" t="s">
        <v>166</v>
      </c>
      <c r="F147" s="14">
        <v>2572.7947470700601</v>
      </c>
      <c r="G147" s="14">
        <v>213.57744089412154</v>
      </c>
      <c r="H147" s="14">
        <v>8.3013789241192654E-2</v>
      </c>
      <c r="I147" s="14">
        <v>0</v>
      </c>
      <c r="J147" s="14" t="s">
        <v>255</v>
      </c>
      <c r="L147" s="14">
        <v>1</v>
      </c>
      <c r="M147" s="14" t="s">
        <v>166</v>
      </c>
      <c r="N147" s="49"/>
      <c r="O147" s="47"/>
      <c r="P147" s="48"/>
      <c r="Q147" s="25">
        <v>0</v>
      </c>
      <c r="R147" s="26" t="s">
        <v>255</v>
      </c>
      <c r="S147" s="26" t="s">
        <v>63</v>
      </c>
      <c r="T147" s="26" t="s">
        <v>1165</v>
      </c>
      <c r="U147" s="17">
        <v>213.57744089412154</v>
      </c>
      <c r="V147" s="26">
        <v>8.3013789241192654E-2</v>
      </c>
      <c r="W147" s="26">
        <v>0</v>
      </c>
      <c r="X147" s="26">
        <v>0</v>
      </c>
      <c r="Y147" s="23" t="s">
        <v>271</v>
      </c>
      <c r="Z147" t="s">
        <v>166</v>
      </c>
    </row>
    <row r="148" spans="2:26" x14ac:dyDescent="0.25">
      <c r="B148" s="77">
        <v>44910.000000081018</v>
      </c>
      <c r="C148" s="14" t="s">
        <v>271</v>
      </c>
      <c r="D148" s="14" t="s">
        <v>1164</v>
      </c>
      <c r="E148" s="14" t="s">
        <v>102</v>
      </c>
      <c r="F148" s="14">
        <v>131194.38476391998</v>
      </c>
      <c r="G148" s="14">
        <v>50695.309968311492</v>
      </c>
      <c r="H148" s="14">
        <v>0.38641371777866901</v>
      </c>
      <c r="I148" s="14">
        <v>0</v>
      </c>
      <c r="J148" s="14" t="s">
        <v>255</v>
      </c>
      <c r="L148" s="14">
        <v>1</v>
      </c>
      <c r="M148" s="14" t="s">
        <v>102</v>
      </c>
      <c r="N148" s="49"/>
      <c r="O148" s="47"/>
      <c r="P148" s="48"/>
      <c r="Q148" s="25">
        <v>0</v>
      </c>
      <c r="R148" s="26" t="s">
        <v>255</v>
      </c>
      <c r="S148" s="26" t="s">
        <v>63</v>
      </c>
      <c r="T148" s="26" t="s">
        <v>1165</v>
      </c>
      <c r="U148" s="17">
        <v>50695.309968311492</v>
      </c>
      <c r="V148" s="26">
        <v>0.38641371777866901</v>
      </c>
      <c r="W148" s="26">
        <v>0</v>
      </c>
      <c r="X148" s="26">
        <v>0</v>
      </c>
      <c r="Y148" s="23" t="s">
        <v>271</v>
      </c>
      <c r="Z148" t="s">
        <v>102</v>
      </c>
    </row>
    <row r="149" spans="2:26" x14ac:dyDescent="0.25">
      <c r="B149" s="77">
        <v>44910.000000081018</v>
      </c>
      <c r="C149" s="14" t="s">
        <v>271</v>
      </c>
      <c r="D149" s="14" t="s">
        <v>1164</v>
      </c>
      <c r="E149" s="14" t="s">
        <v>167</v>
      </c>
      <c r="F149" s="14">
        <v>-1.1786939099984011</v>
      </c>
      <c r="G149" s="14">
        <v>-1.1214699041302083</v>
      </c>
      <c r="H149" s="14">
        <v>0.95145134340409854</v>
      </c>
      <c r="I149" s="14">
        <v>0</v>
      </c>
      <c r="J149" s="14" t="s">
        <v>255</v>
      </c>
      <c r="L149" s="14">
        <v>1</v>
      </c>
      <c r="M149" s="14" t="s">
        <v>167</v>
      </c>
      <c r="N149" s="49"/>
      <c r="O149" s="47"/>
      <c r="P149" s="48"/>
      <c r="Q149" s="25">
        <v>0</v>
      </c>
      <c r="R149" s="26" t="s">
        <v>255</v>
      </c>
      <c r="S149" s="26" t="s">
        <v>64</v>
      </c>
      <c r="T149" s="26" t="s">
        <v>1166</v>
      </c>
      <c r="U149" s="17">
        <v>-1.1214699041302083</v>
      </c>
      <c r="V149" s="26">
        <v>0.95145134340409854</v>
      </c>
      <c r="W149" s="26">
        <v>0</v>
      </c>
      <c r="X149" s="26">
        <v>0</v>
      </c>
      <c r="Y149" s="23" t="s">
        <v>271</v>
      </c>
      <c r="Z149" t="s">
        <v>167</v>
      </c>
    </row>
    <row r="150" spans="2:26" x14ac:dyDescent="0.25">
      <c r="B150" s="77">
        <v>44910.000000081018</v>
      </c>
      <c r="C150" s="14" t="s">
        <v>271</v>
      </c>
      <c r="D150" s="14" t="s">
        <v>1164</v>
      </c>
      <c r="E150" s="14" t="s">
        <v>174</v>
      </c>
      <c r="F150" s="14">
        <v>4.0610258299999993</v>
      </c>
      <c r="G150" s="14">
        <v>26204.910938232431</v>
      </c>
      <c r="H150" s="14">
        <v>6452.7811531384514</v>
      </c>
      <c r="I150" s="14">
        <v>0</v>
      </c>
      <c r="J150" s="14" t="s">
        <v>255</v>
      </c>
      <c r="L150" s="14">
        <v>1</v>
      </c>
      <c r="M150" s="14" t="s">
        <v>174</v>
      </c>
      <c r="N150" s="49"/>
      <c r="O150" s="47"/>
      <c r="P150" s="48"/>
      <c r="Q150" s="25">
        <v>0</v>
      </c>
      <c r="R150" s="26" t="s">
        <v>255</v>
      </c>
      <c r="S150" s="26" t="s">
        <v>63</v>
      </c>
      <c r="T150" s="26" t="s">
        <v>1165</v>
      </c>
      <c r="U150" s="17">
        <v>26204.910938232431</v>
      </c>
      <c r="V150" s="26">
        <v>6452.7811531384514</v>
      </c>
      <c r="W150" s="26">
        <v>0</v>
      </c>
      <c r="X150" s="26">
        <v>0</v>
      </c>
      <c r="Y150" s="23" t="s">
        <v>271</v>
      </c>
      <c r="Z150" t="s">
        <v>174</v>
      </c>
    </row>
    <row r="151" spans="2:26" x14ac:dyDescent="0.25">
      <c r="B151" s="77">
        <v>44910.000000081018</v>
      </c>
      <c r="C151" s="14" t="s">
        <v>271</v>
      </c>
      <c r="D151" s="14" t="s">
        <v>1164</v>
      </c>
      <c r="E151" s="14" t="s">
        <v>120</v>
      </c>
      <c r="F151" s="14">
        <v>1.572583E-2</v>
      </c>
      <c r="G151" s="14">
        <v>21.126042696669181</v>
      </c>
      <c r="H151" s="14">
        <v>1343.397626495338</v>
      </c>
      <c r="I151" s="14">
        <v>0</v>
      </c>
      <c r="J151" s="14" t="s">
        <v>255</v>
      </c>
      <c r="L151" s="14">
        <v>1</v>
      </c>
      <c r="M151" s="14" t="s">
        <v>120</v>
      </c>
      <c r="N151" s="49"/>
      <c r="O151" s="47"/>
      <c r="P151" s="48"/>
      <c r="Q151" s="25">
        <v>0</v>
      </c>
      <c r="R151" s="26" t="s">
        <v>255</v>
      </c>
      <c r="S151" s="26" t="s">
        <v>63</v>
      </c>
      <c r="T151" s="26" t="s">
        <v>1165</v>
      </c>
      <c r="U151" s="17">
        <v>21.126042696669181</v>
      </c>
      <c r="V151" s="26">
        <v>1343.397626495338</v>
      </c>
      <c r="W151" s="26">
        <v>0</v>
      </c>
      <c r="X151" s="26">
        <v>0</v>
      </c>
      <c r="Y151" s="23" t="s">
        <v>271</v>
      </c>
      <c r="Z151" t="s">
        <v>120</v>
      </c>
    </row>
    <row r="152" spans="2:26" x14ac:dyDescent="0.25">
      <c r="B152" s="77">
        <v>44910.000000081018</v>
      </c>
      <c r="C152" s="14" t="s">
        <v>271</v>
      </c>
      <c r="D152" s="14" t="s">
        <v>1164</v>
      </c>
      <c r="E152" s="14" t="s">
        <v>168</v>
      </c>
      <c r="F152" s="14">
        <v>2.173E-4</v>
      </c>
      <c r="G152" s="14">
        <v>1.0078858162692401E-2</v>
      </c>
      <c r="H152" s="14">
        <v>46.382228084180397</v>
      </c>
      <c r="I152" s="14">
        <v>0</v>
      </c>
      <c r="J152" s="14" t="s">
        <v>255</v>
      </c>
      <c r="L152" s="14">
        <v>1</v>
      </c>
      <c r="M152" s="14" t="s">
        <v>168</v>
      </c>
      <c r="N152" s="49"/>
      <c r="O152" s="47"/>
      <c r="P152" s="48"/>
      <c r="Q152" s="25">
        <v>0</v>
      </c>
      <c r="R152" s="26" t="s">
        <v>255</v>
      </c>
      <c r="S152" s="26" t="s">
        <v>63</v>
      </c>
      <c r="T152" s="26" t="s">
        <v>1165</v>
      </c>
      <c r="U152" s="17">
        <v>1.0078858162692401E-2</v>
      </c>
      <c r="V152" s="26"/>
      <c r="W152" s="26">
        <v>0</v>
      </c>
      <c r="X152" s="26"/>
    </row>
    <row r="153" spans="2:26" x14ac:dyDescent="0.25">
      <c r="B153" s="77">
        <v>44910.000000081018</v>
      </c>
      <c r="C153" s="14" t="s">
        <v>271</v>
      </c>
      <c r="D153" s="14" t="s">
        <v>1164</v>
      </c>
      <c r="E153" s="14" t="s">
        <v>27</v>
      </c>
      <c r="F153" s="14">
        <v>899629.67356981128</v>
      </c>
      <c r="G153" s="14">
        <v>19603.266072312414</v>
      </c>
      <c r="H153" s="14">
        <v>2.1790372914807149E-2</v>
      </c>
      <c r="I153" s="14">
        <v>0</v>
      </c>
      <c r="J153" s="14" t="s">
        <v>255</v>
      </c>
      <c r="L153" s="14">
        <v>1</v>
      </c>
      <c r="M153" s="14" t="s">
        <v>27</v>
      </c>
      <c r="N153" s="49"/>
      <c r="O153" s="47"/>
      <c r="P153" s="48"/>
      <c r="Q153" s="25">
        <v>0</v>
      </c>
      <c r="T153" s="26"/>
      <c r="V153" s="26"/>
      <c r="W153" s="26">
        <v>0</v>
      </c>
      <c r="X153" s="26"/>
      <c r="Z153" t="s">
        <v>27</v>
      </c>
    </row>
    <row r="154" spans="2:26" x14ac:dyDescent="0.25">
      <c r="B154" s="77"/>
      <c r="N154" s="49"/>
      <c r="O154" s="47"/>
      <c r="P154" s="48"/>
      <c r="Q154" s="25"/>
      <c r="T154" s="26"/>
      <c r="V154" s="26"/>
      <c r="W154" s="26"/>
      <c r="X154" s="26"/>
    </row>
    <row r="155" spans="2:26" x14ac:dyDescent="0.25">
      <c r="B155" s="77"/>
      <c r="N155" s="49"/>
      <c r="O155" s="47"/>
      <c r="P155" s="48"/>
      <c r="Q155" s="25"/>
      <c r="T155" s="26"/>
      <c r="V155" s="26"/>
      <c r="W155" s="26"/>
      <c r="X155" s="26"/>
    </row>
    <row r="156" spans="2:26" x14ac:dyDescent="0.25">
      <c r="B156" s="77"/>
      <c r="N156" s="49"/>
      <c r="O156" s="47"/>
      <c r="P156" s="48"/>
      <c r="Q156" s="25"/>
      <c r="T156" s="26"/>
      <c r="V156" s="26"/>
      <c r="W156" s="26"/>
      <c r="X156" s="26"/>
    </row>
    <row r="157" spans="2:26" x14ac:dyDescent="0.25">
      <c r="B157" s="77"/>
      <c r="N157" s="49"/>
      <c r="O157" s="47"/>
      <c r="P157" s="48"/>
      <c r="Q157" s="25"/>
      <c r="T157" s="26"/>
      <c r="V157" s="26"/>
      <c r="W157" s="26"/>
      <c r="X157" s="26"/>
    </row>
    <row r="158" spans="2:26" x14ac:dyDescent="0.25">
      <c r="B158" s="77"/>
      <c r="N158" s="49"/>
      <c r="O158" s="47"/>
      <c r="P158" s="48"/>
      <c r="Q158" s="25"/>
      <c r="T158" s="26"/>
      <c r="V158" s="26"/>
      <c r="W158" s="26"/>
      <c r="X158" s="26"/>
    </row>
    <row r="159" spans="2:26" x14ac:dyDescent="0.25">
      <c r="B159" s="77"/>
      <c r="N159" s="49"/>
      <c r="O159" s="47"/>
      <c r="P159" s="48"/>
      <c r="Q159" s="25"/>
      <c r="T159" s="26"/>
      <c r="V159" s="26"/>
      <c r="W159" s="26"/>
      <c r="X159" s="26"/>
    </row>
    <row r="160" spans="2:26" x14ac:dyDescent="0.25">
      <c r="B160" s="77"/>
      <c r="N160" s="49"/>
      <c r="O160" s="47"/>
      <c r="P160" s="48"/>
      <c r="Q160" s="25"/>
      <c r="T160" s="26"/>
      <c r="V160" s="26"/>
      <c r="W160" s="26"/>
      <c r="X160" s="26"/>
    </row>
    <row r="161" spans="2:24" x14ac:dyDescent="0.25">
      <c r="B161" s="77"/>
      <c r="N161" s="49"/>
      <c r="O161" s="47"/>
      <c r="P161" s="48"/>
      <c r="Q161" s="25"/>
      <c r="T161" s="26"/>
      <c r="V161" s="26"/>
      <c r="W161" s="26"/>
      <c r="X161" s="26"/>
    </row>
    <row r="162" spans="2:24" x14ac:dyDescent="0.25">
      <c r="B162" s="77"/>
      <c r="N162" s="49"/>
      <c r="O162" s="47"/>
      <c r="P162" s="48"/>
      <c r="Q162" s="25"/>
      <c r="T162" s="26"/>
      <c r="V162" s="26"/>
      <c r="W162" s="26"/>
      <c r="X162" s="26"/>
    </row>
    <row r="163" spans="2:24" x14ac:dyDescent="0.25">
      <c r="B163" s="77"/>
      <c r="N163" s="49"/>
      <c r="O163" s="47"/>
      <c r="P163" s="48"/>
      <c r="Q163" s="25"/>
      <c r="T163" s="26"/>
      <c r="V163" s="26"/>
      <c r="W163" s="26"/>
      <c r="X163" s="26"/>
    </row>
    <row r="164" spans="2:24" x14ac:dyDescent="0.25">
      <c r="B164" s="77"/>
      <c r="N164" s="49"/>
      <c r="O164" s="47"/>
      <c r="P164" s="48"/>
      <c r="Q164" s="25"/>
      <c r="T164" s="26"/>
      <c r="V164" s="26"/>
      <c r="W164" s="26"/>
      <c r="X164" s="26"/>
    </row>
    <row r="165" spans="2:24" x14ac:dyDescent="0.25">
      <c r="B165" s="77"/>
      <c r="N165" s="49"/>
      <c r="O165" s="47"/>
      <c r="P165" s="48"/>
      <c r="Q165" s="25"/>
      <c r="T165" s="26"/>
      <c r="V165" s="26"/>
      <c r="W165" s="26"/>
      <c r="X165" s="26"/>
    </row>
    <row r="166" spans="2:24" x14ac:dyDescent="0.25">
      <c r="B166" s="77"/>
      <c r="N166" s="49"/>
      <c r="O166" s="47"/>
      <c r="P166" s="48"/>
      <c r="Q166" s="25"/>
      <c r="T166" s="26"/>
      <c r="V166" s="26"/>
      <c r="W166" s="26"/>
      <c r="X166" s="26"/>
    </row>
    <row r="167" spans="2:24" x14ac:dyDescent="0.25">
      <c r="B167" s="77"/>
      <c r="N167" s="49"/>
      <c r="O167" s="47"/>
      <c r="P167" s="48"/>
      <c r="Q167" s="25"/>
      <c r="T167" s="26"/>
      <c r="V167" s="26"/>
      <c r="W167" s="26"/>
      <c r="X167" s="26"/>
    </row>
    <row r="168" spans="2:24" x14ac:dyDescent="0.25">
      <c r="B168" s="77"/>
      <c r="N168" s="49"/>
      <c r="O168" s="47"/>
      <c r="P168" s="48"/>
      <c r="Q168" s="25"/>
      <c r="T168" s="26"/>
      <c r="V168" s="26"/>
      <c r="W168" s="26"/>
      <c r="X168" s="26"/>
    </row>
    <row r="169" spans="2:24" x14ac:dyDescent="0.25">
      <c r="B169" s="77"/>
      <c r="N169" s="49"/>
      <c r="O169" s="47"/>
      <c r="P169" s="48"/>
      <c r="Q169" s="25"/>
      <c r="T169" s="26"/>
      <c r="V169" s="26"/>
      <c r="W169" s="26"/>
      <c r="X169" s="26"/>
    </row>
    <row r="170" spans="2:24" x14ac:dyDescent="0.25">
      <c r="B170" s="77"/>
      <c r="N170" s="49"/>
      <c r="O170" s="47"/>
      <c r="P170" s="48"/>
      <c r="Q170" s="25"/>
      <c r="T170" s="26"/>
      <c r="V170" s="26"/>
      <c r="W170" s="26"/>
      <c r="X170" s="26"/>
    </row>
    <row r="171" spans="2:24" x14ac:dyDescent="0.25">
      <c r="B171" s="77"/>
      <c r="N171" s="49"/>
      <c r="O171" s="47"/>
      <c r="P171" s="48"/>
      <c r="Q171" s="25"/>
      <c r="T171" s="26"/>
      <c r="V171" s="26"/>
      <c r="W171" s="26"/>
      <c r="X171" s="26"/>
    </row>
    <row r="172" spans="2:24" x14ac:dyDescent="0.25">
      <c r="B172" s="77"/>
      <c r="N172" s="49"/>
      <c r="O172" s="47"/>
      <c r="P172" s="48"/>
      <c r="Q172" s="25"/>
      <c r="T172" s="26"/>
      <c r="V172" s="26"/>
      <c r="W172" s="26"/>
      <c r="X172" s="26"/>
    </row>
    <row r="173" spans="2:24" x14ac:dyDescent="0.25">
      <c r="B173" s="77"/>
      <c r="N173" s="49"/>
      <c r="O173" s="47"/>
      <c r="P173" s="48"/>
      <c r="Q173" s="25"/>
      <c r="T173" s="26"/>
      <c r="V173" s="26"/>
      <c r="W173" s="26"/>
      <c r="X173" s="26"/>
    </row>
    <row r="174" spans="2:24" x14ac:dyDescent="0.25">
      <c r="B174" s="77"/>
      <c r="N174" s="49"/>
      <c r="O174" s="47"/>
      <c r="P174" s="48"/>
      <c r="Q174" s="25"/>
      <c r="T174" s="26"/>
      <c r="V174" s="26"/>
      <c r="W174" s="26"/>
      <c r="X174" s="26"/>
    </row>
  </sheetData>
  <autoFilter ref="C1:X168" xr:uid="{CC3770C1-D3AF-4CB2-B622-4EC4E70506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P1" zoomScale="80" zoomScaleNormal="80" workbookViewId="0">
      <pane ySplit="1" topLeftCell="A2" activePane="bottomLeft" state="frozenSplit"/>
      <selection pane="bottomLeft" activeCell="AG2" sqref="AG2:AI101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7" width="13.5703125" bestFit="1" customWidth="1"/>
    <col min="8" max="8" width="13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18.425781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5" width="13.5703125" bestFit="1" customWidth="1"/>
    <col min="36" max="36" width="13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6" t="s">
        <v>723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55</v>
      </c>
      <c r="O1" s="13" t="s">
        <v>56</v>
      </c>
      <c r="P1" s="13" t="s">
        <v>62</v>
      </c>
      <c r="Q1" s="13" t="s">
        <v>65</v>
      </c>
      <c r="R1" s="13" t="s">
        <v>70</v>
      </c>
      <c r="S1" s="13" t="s">
        <v>71</v>
      </c>
      <c r="T1" s="13" t="s">
        <v>72</v>
      </c>
      <c r="U1" s="13" t="s">
        <v>73</v>
      </c>
      <c r="V1" s="12" t="s">
        <v>219</v>
      </c>
      <c r="W1" s="11" t="s">
        <v>257</v>
      </c>
      <c r="X1" s="93" t="s">
        <v>267</v>
      </c>
      <c r="Y1" s="2" t="s">
        <v>60</v>
      </c>
      <c r="Z1" t="s">
        <v>272</v>
      </c>
      <c r="AA1" t="s">
        <v>61</v>
      </c>
      <c r="AC1" s="10" t="s">
        <v>721</v>
      </c>
      <c r="AD1" s="76" t="s">
        <v>723</v>
      </c>
      <c r="AE1" s="12" t="s">
        <v>0</v>
      </c>
      <c r="AF1" s="12" t="s">
        <v>1</v>
      </c>
      <c r="AG1" s="12" t="s">
        <v>2</v>
      </c>
      <c r="AH1" s="12" t="s">
        <v>3</v>
      </c>
      <c r="AI1" s="12" t="s">
        <v>4</v>
      </c>
      <c r="AJ1" s="12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55</v>
      </c>
      <c r="AT1" s="13" t="s">
        <v>56</v>
      </c>
      <c r="AU1" s="13" t="s">
        <v>62</v>
      </c>
      <c r="AV1" s="13" t="s">
        <v>65</v>
      </c>
      <c r="AW1" s="13" t="s">
        <v>70</v>
      </c>
      <c r="AX1" s="13" t="s">
        <v>71</v>
      </c>
      <c r="AY1" s="13" t="s">
        <v>72</v>
      </c>
      <c r="AZ1" s="13" t="s">
        <v>73</v>
      </c>
      <c r="BA1" s="12" t="s">
        <v>219</v>
      </c>
      <c r="BB1" s="11" t="s">
        <v>257</v>
      </c>
    </row>
    <row r="2" spans="1:54" x14ac:dyDescent="0.25">
      <c r="A2">
        <v>52</v>
      </c>
      <c r="B2" s="77">
        <v>44910.000000081018</v>
      </c>
      <c r="C2" s="14" t="s">
        <v>11</v>
      </c>
      <c r="D2" s="23" t="s">
        <v>86</v>
      </c>
      <c r="E2" s="23" t="s">
        <v>119</v>
      </c>
      <c r="F2" s="23">
        <v>585.43739457000004</v>
      </c>
      <c r="G2" s="23">
        <v>36626.655685099497</v>
      </c>
      <c r="H2" s="23">
        <v>62.562890626420497</v>
      </c>
      <c r="I2" s="23">
        <v>0</v>
      </c>
      <c r="J2" s="23" t="s">
        <v>88</v>
      </c>
      <c r="K2" s="24">
        <v>44910.000000081018</v>
      </c>
      <c r="L2" s="23">
        <v>1</v>
      </c>
      <c r="M2" s="23" t="s">
        <v>119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94" t="s">
        <v>267</v>
      </c>
      <c r="Y2" s="3" t="s">
        <v>124</v>
      </c>
      <c r="Z2" s="31">
        <v>377.09760540000002</v>
      </c>
      <c r="AA2" s="35">
        <v>0.11125551983738501</v>
      </c>
      <c r="AD2" s="77">
        <f>IF($AG2="","",$B$2)</f>
        <v>44910.000000081018</v>
      </c>
      <c r="AE2" s="14" t="str">
        <f>IF($AG2="","","-")</f>
        <v>-</v>
      </c>
      <c r="AF2" s="14" t="str">
        <f>IF($AG2="","","WALLET")</f>
        <v>WALLET</v>
      </c>
      <c r="AG2" s="14" t="s">
        <v>124</v>
      </c>
      <c r="AH2" s="14">
        <v>377.09760540000002</v>
      </c>
      <c r="AI2" s="14">
        <v>0.11125551983738501</v>
      </c>
      <c r="AJ2" s="14">
        <f>IF(AH2&lt;&gt;0,AI2/AH2,"")</f>
        <v>2.9503109604573746E-4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6"/>
      <c r="AQ2" s="47"/>
      <c r="AR2" s="48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0.11125551983738501</v>
      </c>
      <c r="AX2" s="26">
        <f t="shared" ref="AX2:AX33" si="6">IF($AE2="","",$AJ2*(1+$AY2))</f>
        <v>2.9503109604573746E-4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271</v>
      </c>
      <c r="BB2" t="str">
        <f>IF($AE2="","",$AO2)</f>
        <v>AAC</v>
      </c>
    </row>
    <row r="3" spans="1:54" x14ac:dyDescent="0.25">
      <c r="A3">
        <v>53</v>
      </c>
      <c r="B3" s="77">
        <v>44910.000000081018</v>
      </c>
      <c r="C3" s="14" t="s">
        <v>11</v>
      </c>
      <c r="D3" s="23" t="s">
        <v>86</v>
      </c>
      <c r="E3" s="23" t="s">
        <v>87</v>
      </c>
      <c r="F3" s="23">
        <v>228897.2703</v>
      </c>
      <c r="G3" s="23">
        <v>70531.089156587404</v>
      </c>
      <c r="H3" s="23">
        <v>0.308134251946941</v>
      </c>
      <c r="I3" s="23">
        <v>0</v>
      </c>
      <c r="J3" s="23" t="s">
        <v>88</v>
      </c>
      <c r="K3" s="24">
        <v>44910.000000081018</v>
      </c>
      <c r="L3" s="23">
        <v>1</v>
      </c>
      <c r="M3" s="23" t="s">
        <v>87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94" t="s">
        <v>267</v>
      </c>
      <c r="Y3" s="3" t="s">
        <v>119</v>
      </c>
      <c r="Z3" s="31">
        <v>187.71498924000002</v>
      </c>
      <c r="AA3" s="31">
        <v>11743.992340761812</v>
      </c>
      <c r="AD3" s="77">
        <f t="shared" ref="AD3:AD66" si="12">IF($AG3="","",$B$2)</f>
        <v>44910.000000081018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119</v>
      </c>
      <c r="AH3" s="14">
        <v>187.71498924000002</v>
      </c>
      <c r="AI3" s="14">
        <v>11743.992340761812</v>
      </c>
      <c r="AJ3" s="14">
        <f t="shared" ref="AJ3:AJ66" si="15">IF(AH3&lt;&gt;0,AI3/AH3,"")</f>
        <v>62.56289062642044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6"/>
      <c r="AQ3" s="47"/>
      <c r="AR3" s="48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11743.992340761812</v>
      </c>
      <c r="AX3" s="26">
        <f t="shared" si="6"/>
        <v>62.56289062642044</v>
      </c>
      <c r="AY3" s="26">
        <f t="shared" si="7"/>
        <v>0</v>
      </c>
      <c r="AZ3" s="26">
        <f t="shared" si="8"/>
        <v>0</v>
      </c>
      <c r="BA3" s="23" t="s">
        <v>271</v>
      </c>
      <c r="BB3" t="str">
        <f t="shared" ref="BB3:BB66" si="21">IF($AE3="","",$AO3)</f>
        <v>AAVE</v>
      </c>
    </row>
    <row r="4" spans="1:54" x14ac:dyDescent="0.25">
      <c r="A4">
        <v>54</v>
      </c>
      <c r="B4" s="77">
        <v>44910.000000081018</v>
      </c>
      <c r="C4" s="14" t="s">
        <v>11</v>
      </c>
      <c r="D4" s="23" t="s">
        <v>86</v>
      </c>
      <c r="E4" s="23" t="s">
        <v>125</v>
      </c>
      <c r="F4" s="23">
        <v>137194.54519</v>
      </c>
      <c r="G4" s="23">
        <v>30308.443673863399</v>
      </c>
      <c r="H4" s="23">
        <v>0.220915807052601</v>
      </c>
      <c r="I4" s="23">
        <v>0</v>
      </c>
      <c r="J4" s="23" t="s">
        <v>88</v>
      </c>
      <c r="K4" s="24">
        <v>44910.000000081018</v>
      </c>
      <c r="L4" s="23">
        <v>1</v>
      </c>
      <c r="M4" s="23" t="s">
        <v>125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94" t="s">
        <v>267</v>
      </c>
      <c r="Y4" s="3" t="s">
        <v>87</v>
      </c>
      <c r="Z4" s="31">
        <v>1311.2999417100218</v>
      </c>
      <c r="AA4" s="31">
        <v>404.05642661685124</v>
      </c>
      <c r="AD4" s="77">
        <f t="shared" si="12"/>
        <v>44910.000000081018</v>
      </c>
      <c r="AE4" s="14" t="str">
        <f t="shared" si="13"/>
        <v>-</v>
      </c>
      <c r="AF4" s="14" t="str">
        <f t="shared" si="14"/>
        <v>WALLET</v>
      </c>
      <c r="AG4" s="14" t="s">
        <v>87</v>
      </c>
      <c r="AH4" s="14">
        <v>1311.2999417100218</v>
      </c>
      <c r="AI4" s="14">
        <v>404.05642661685124</v>
      </c>
      <c r="AJ4" s="14">
        <f t="shared" si="15"/>
        <v>0.30813425194691535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6"/>
      <c r="AQ4" s="47"/>
      <c r="AR4" s="48"/>
      <c r="AS4" s="25">
        <f t="shared" si="2"/>
        <v>0</v>
      </c>
      <c r="AT4" s="26" t="str">
        <f t="shared" si="3"/>
        <v>COIN</v>
      </c>
      <c r="AU4" s="26" t="str">
        <f t="shared" si="20"/>
        <v>LONG</v>
      </c>
      <c r="AV4" s="26" t="str">
        <f t="shared" si="4"/>
        <v>COIN LONG</v>
      </c>
      <c r="AW4" s="26">
        <f t="shared" si="5"/>
        <v>404.05642661685124</v>
      </c>
      <c r="AX4" s="26">
        <f t="shared" si="6"/>
        <v>0.30813425194691535</v>
      </c>
      <c r="AY4" s="26">
        <f t="shared" si="7"/>
        <v>0</v>
      </c>
      <c r="AZ4" s="26">
        <f t="shared" si="8"/>
        <v>0</v>
      </c>
      <c r="BA4" s="23" t="s">
        <v>271</v>
      </c>
      <c r="BB4" t="str">
        <f t="shared" si="21"/>
        <v>ADA</v>
      </c>
    </row>
    <row r="5" spans="1:54" x14ac:dyDescent="0.25">
      <c r="A5">
        <v>55</v>
      </c>
      <c r="B5" s="77">
        <v>44910.000000081018</v>
      </c>
      <c r="C5" s="14" t="s">
        <v>11</v>
      </c>
      <c r="D5" s="23" t="s">
        <v>86</v>
      </c>
      <c r="E5" s="23" t="s">
        <v>36</v>
      </c>
      <c r="F5" s="23">
        <v>4.2548999999999998E-3</v>
      </c>
      <c r="G5" s="23">
        <v>4.08859245906859E-2</v>
      </c>
      <c r="H5" s="23">
        <v>9.6091387789809204</v>
      </c>
      <c r="I5" s="23">
        <v>0</v>
      </c>
      <c r="J5" s="23" t="s">
        <v>88</v>
      </c>
      <c r="K5" s="24">
        <v>44910.000000081018</v>
      </c>
      <c r="L5" s="23">
        <v>1</v>
      </c>
      <c r="M5" s="23" t="s">
        <v>36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94" t="s">
        <v>267</v>
      </c>
      <c r="Y5" s="3" t="s">
        <v>125</v>
      </c>
      <c r="Z5" s="31">
        <v>5134.4895702600188</v>
      </c>
      <c r="AA5" s="31">
        <v>1134.2899072171967</v>
      </c>
      <c r="AD5" s="77">
        <f t="shared" si="12"/>
        <v>44910.000000081018</v>
      </c>
      <c r="AE5" s="14" t="str">
        <f t="shared" si="13"/>
        <v>-</v>
      </c>
      <c r="AF5" s="14" t="str">
        <f t="shared" si="14"/>
        <v>WALLET</v>
      </c>
      <c r="AG5" s="14" t="s">
        <v>125</v>
      </c>
      <c r="AH5" s="14">
        <v>5134.4895702600188</v>
      </c>
      <c r="AI5" s="14">
        <v>1134.2899072171967</v>
      </c>
      <c r="AJ5" s="14">
        <f t="shared" si="15"/>
        <v>0.22091580705260921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6"/>
      <c r="AQ5" s="47"/>
      <c r="AR5" s="48"/>
      <c r="AS5" s="25">
        <f t="shared" si="2"/>
        <v>0</v>
      </c>
      <c r="AT5" s="26" t="str">
        <f t="shared" si="3"/>
        <v>COIN</v>
      </c>
      <c r="AU5" s="26" t="str">
        <f t="shared" si="20"/>
        <v>LONG</v>
      </c>
      <c r="AV5" s="26" t="str">
        <f t="shared" si="4"/>
        <v>COIN LONG</v>
      </c>
      <c r="AW5" s="26">
        <f t="shared" si="5"/>
        <v>1134.2899072171967</v>
      </c>
      <c r="AX5" s="26">
        <f t="shared" si="6"/>
        <v>0.22091580705260921</v>
      </c>
      <c r="AY5" s="26">
        <f t="shared" si="7"/>
        <v>0</v>
      </c>
      <c r="AZ5" s="26">
        <f t="shared" si="8"/>
        <v>0</v>
      </c>
      <c r="BA5" s="23" t="s">
        <v>271</v>
      </c>
      <c r="BB5" t="str">
        <f t="shared" si="21"/>
        <v>ALGO</v>
      </c>
    </row>
    <row r="6" spans="1:54" x14ac:dyDescent="0.25">
      <c r="A6">
        <v>56</v>
      </c>
      <c r="B6" s="77">
        <v>44910.000000081018</v>
      </c>
      <c r="C6" s="14" t="s">
        <v>11</v>
      </c>
      <c r="D6" s="23" t="s">
        <v>86</v>
      </c>
      <c r="E6" s="23" t="s">
        <v>190</v>
      </c>
      <c r="F6" s="23">
        <v>1522.8681305699999</v>
      </c>
      <c r="G6" s="23">
        <v>20905.262993237699</v>
      </c>
      <c r="H6" s="23">
        <v>13.7275595789196</v>
      </c>
      <c r="I6" s="23">
        <v>0</v>
      </c>
      <c r="J6" s="23" t="s">
        <v>88</v>
      </c>
      <c r="K6" s="24">
        <v>44910.000000081018</v>
      </c>
      <c r="L6" s="23">
        <v>1</v>
      </c>
      <c r="M6" s="23" t="s">
        <v>190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94" t="s">
        <v>267</v>
      </c>
      <c r="Y6" s="3" t="s">
        <v>126</v>
      </c>
      <c r="Z6" s="31">
        <v>0.53247394999999997</v>
      </c>
      <c r="AA6" s="31">
        <v>1.5597477765298099E-2</v>
      </c>
      <c r="AD6" s="77">
        <f t="shared" si="12"/>
        <v>44910.000000081018</v>
      </c>
      <c r="AE6" s="14" t="str">
        <f t="shared" si="13"/>
        <v>-</v>
      </c>
      <c r="AF6" s="14" t="str">
        <f t="shared" si="14"/>
        <v>WALLET</v>
      </c>
      <c r="AG6" s="14" t="s">
        <v>126</v>
      </c>
      <c r="AH6" s="14">
        <v>0.53247394999999997</v>
      </c>
      <c r="AI6" s="14">
        <v>1.5597477765298099E-2</v>
      </c>
      <c r="AJ6" s="14">
        <f t="shared" si="15"/>
        <v>2.9292471050082543E-2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6"/>
      <c r="AQ6" s="47"/>
      <c r="AR6" s="48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1.5597477765298099E-2</v>
      </c>
      <c r="AX6" s="26">
        <f t="shared" si="6"/>
        <v>2.9292471050082543E-2</v>
      </c>
      <c r="AY6" s="26">
        <f t="shared" si="7"/>
        <v>0</v>
      </c>
      <c r="AZ6" s="26">
        <f t="shared" si="8"/>
        <v>0</v>
      </c>
      <c r="BA6" s="23" t="s">
        <v>271</v>
      </c>
      <c r="BB6" t="str">
        <f t="shared" si="21"/>
        <v>ARPA</v>
      </c>
    </row>
    <row r="7" spans="1:54" x14ac:dyDescent="0.25">
      <c r="A7">
        <v>57</v>
      </c>
      <c r="B7" s="77">
        <v>44910.000000081018</v>
      </c>
      <c r="C7" s="14" t="s">
        <v>11</v>
      </c>
      <c r="D7" s="23" t="s">
        <v>86</v>
      </c>
      <c r="E7" s="23" t="s">
        <v>127</v>
      </c>
      <c r="F7" s="23">
        <v>91411.592165359994</v>
      </c>
      <c r="G7" s="23">
        <v>20472.664150056</v>
      </c>
      <c r="H7" s="23">
        <v>0.223961356159531</v>
      </c>
      <c r="I7" s="23">
        <v>0</v>
      </c>
      <c r="J7" s="23" t="s">
        <v>88</v>
      </c>
      <c r="K7" s="24">
        <v>44910.000000081018</v>
      </c>
      <c r="L7" s="23">
        <v>1</v>
      </c>
      <c r="M7" s="23" t="s">
        <v>127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94" t="s">
        <v>267</v>
      </c>
      <c r="Y7" s="3" t="s">
        <v>36</v>
      </c>
      <c r="Z7" s="31">
        <v>0.37945432000000001</v>
      </c>
      <c r="AA7" s="31">
        <v>3.646229221163833</v>
      </c>
      <c r="AD7" s="77">
        <f t="shared" si="12"/>
        <v>44910.000000081018</v>
      </c>
      <c r="AE7" s="14" t="str">
        <f t="shared" si="13"/>
        <v>-</v>
      </c>
      <c r="AF7" s="14" t="str">
        <f t="shared" si="14"/>
        <v>WALLET</v>
      </c>
      <c r="AG7" s="14" t="s">
        <v>36</v>
      </c>
      <c r="AH7" s="14">
        <v>0.37945432000000001</v>
      </c>
      <c r="AI7" s="14">
        <v>3.646229221163833</v>
      </c>
      <c r="AJ7" s="14">
        <f t="shared" si="15"/>
        <v>9.6091387789809133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6"/>
      <c r="AQ7" s="47"/>
      <c r="AR7" s="48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3.646229221163833</v>
      </c>
      <c r="AX7" s="26">
        <f t="shared" si="6"/>
        <v>9.6091387789809133</v>
      </c>
      <c r="AY7" s="26">
        <f t="shared" si="7"/>
        <v>0</v>
      </c>
      <c r="AZ7" s="26">
        <f t="shared" si="8"/>
        <v>0</v>
      </c>
      <c r="BA7" s="23" t="s">
        <v>271</v>
      </c>
      <c r="BB7" t="str">
        <f t="shared" si="21"/>
        <v>ATOM</v>
      </c>
    </row>
    <row r="8" spans="1:54" x14ac:dyDescent="0.25">
      <c r="A8">
        <v>58</v>
      </c>
      <c r="B8" s="77">
        <v>44910.000000081018</v>
      </c>
      <c r="C8" s="14" t="s">
        <v>11</v>
      </c>
      <c r="D8" s="23" t="s">
        <v>86</v>
      </c>
      <c r="E8" s="23" t="s">
        <v>21</v>
      </c>
      <c r="F8" s="23">
        <v>401.29513104</v>
      </c>
      <c r="G8" s="23">
        <v>43784.708181065696</v>
      </c>
      <c r="H8" s="23">
        <v>109.10849595307199</v>
      </c>
      <c r="I8" s="23">
        <v>0</v>
      </c>
      <c r="J8" s="23" t="s">
        <v>88</v>
      </c>
      <c r="K8" s="24">
        <v>44910.000000081018</v>
      </c>
      <c r="L8" s="23">
        <v>1</v>
      </c>
      <c r="M8" s="23" t="s">
        <v>21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94" t="s">
        <v>267</v>
      </c>
      <c r="Y8" s="3" t="s">
        <v>313</v>
      </c>
      <c r="Z8" s="31">
        <v>463.45655553</v>
      </c>
      <c r="AA8" s="31">
        <v>26.842364961398999</v>
      </c>
      <c r="AD8" s="77">
        <f t="shared" si="12"/>
        <v>44910.000000081018</v>
      </c>
      <c r="AE8" s="14" t="str">
        <f t="shared" si="13"/>
        <v>-</v>
      </c>
      <c r="AF8" s="14" t="str">
        <f t="shared" si="14"/>
        <v>WALLET</v>
      </c>
      <c r="AG8" s="14" t="s">
        <v>313</v>
      </c>
      <c r="AH8" s="14">
        <v>463.45655553</v>
      </c>
      <c r="AI8" s="14">
        <v>26.842364961398999</v>
      </c>
      <c r="AJ8" s="14">
        <f t="shared" si="15"/>
        <v>5.7917758722179663E-2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AURA</v>
      </c>
      <c r="AP8" s="46"/>
      <c r="AQ8" s="47"/>
      <c r="AR8" s="48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26.842364961398999</v>
      </c>
      <c r="AX8" s="26">
        <f t="shared" si="6"/>
        <v>5.7917758722179663E-2</v>
      </c>
      <c r="AY8" s="26">
        <f t="shared" si="7"/>
        <v>0</v>
      </c>
      <c r="AZ8" s="26">
        <f t="shared" si="8"/>
        <v>0</v>
      </c>
      <c r="BA8" s="23" t="s">
        <v>271</v>
      </c>
      <c r="BB8" t="str">
        <f t="shared" si="21"/>
        <v>AURA</v>
      </c>
    </row>
    <row r="9" spans="1:54" x14ac:dyDescent="0.25">
      <c r="A9">
        <v>59</v>
      </c>
      <c r="B9" s="77">
        <v>44910.000000081018</v>
      </c>
      <c r="C9" s="14" t="s">
        <v>11</v>
      </c>
      <c r="D9" s="23" t="s">
        <v>86</v>
      </c>
      <c r="E9" s="23" t="s">
        <v>90</v>
      </c>
      <c r="F9" s="23">
        <v>144.75781040999999</v>
      </c>
      <c r="G9" s="23">
        <v>38828.610565688999</v>
      </c>
      <c r="H9" s="23">
        <v>268.231541052701</v>
      </c>
      <c r="I9" s="23">
        <v>0</v>
      </c>
      <c r="J9" s="23" t="s">
        <v>88</v>
      </c>
      <c r="K9" s="24">
        <v>44910.000000081018</v>
      </c>
      <c r="L9" s="23">
        <v>1</v>
      </c>
      <c r="M9" s="23" t="s">
        <v>90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BNB COIN LONG</v>
      </c>
      <c r="X9" s="94" t="s">
        <v>267</v>
      </c>
      <c r="Y9" s="3" t="s">
        <v>190</v>
      </c>
      <c r="Z9" s="31">
        <v>-71.882609270000103</v>
      </c>
      <c r="AA9" s="31">
        <v>-986.77280144217366</v>
      </c>
      <c r="AD9" s="77">
        <f t="shared" si="12"/>
        <v>44910.000000081018</v>
      </c>
      <c r="AE9" s="14" t="str">
        <f t="shared" si="13"/>
        <v>-</v>
      </c>
      <c r="AF9" s="14" t="str">
        <f t="shared" si="14"/>
        <v>WALLET</v>
      </c>
      <c r="AG9" s="14" t="s">
        <v>190</v>
      </c>
      <c r="AH9" s="14">
        <v>-71.882609270000103</v>
      </c>
      <c r="AI9" s="14">
        <v>-986.77280144217366</v>
      </c>
      <c r="AJ9" s="14">
        <f t="shared" si="15"/>
        <v>13.72755957892028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AVAX</v>
      </c>
      <c r="AP9" s="46"/>
      <c r="AQ9" s="47"/>
      <c r="AR9" s="48"/>
      <c r="AS9" s="25">
        <f t="shared" si="2"/>
        <v>0</v>
      </c>
      <c r="AT9" s="26" t="str">
        <f t="shared" si="3"/>
        <v>COIN</v>
      </c>
      <c r="AU9" s="26" t="str">
        <f t="shared" si="20"/>
        <v>SHORT</v>
      </c>
      <c r="AV9" s="26" t="str">
        <f t="shared" si="4"/>
        <v>COIN SHORT</v>
      </c>
      <c r="AW9" s="26">
        <f t="shared" si="5"/>
        <v>-986.77280144217366</v>
      </c>
      <c r="AX9" s="26">
        <f t="shared" si="6"/>
        <v>13.72755957892028</v>
      </c>
      <c r="AY9" s="26">
        <f t="shared" si="7"/>
        <v>0</v>
      </c>
      <c r="AZ9" s="26">
        <f t="shared" si="8"/>
        <v>0</v>
      </c>
      <c r="BA9" s="23" t="s">
        <v>271</v>
      </c>
      <c r="BB9" t="str">
        <f t="shared" si="21"/>
        <v>AVAX</v>
      </c>
    </row>
    <row r="10" spans="1:54" x14ac:dyDescent="0.25">
      <c r="A10">
        <v>60</v>
      </c>
      <c r="B10" s="77">
        <v>44910.000000081018</v>
      </c>
      <c r="C10" s="14" t="s">
        <v>11</v>
      </c>
      <c r="D10" s="23" t="s">
        <v>86</v>
      </c>
      <c r="E10" s="23" t="s">
        <v>15</v>
      </c>
      <c r="F10" s="23">
        <v>12.44551824</v>
      </c>
      <c r="G10" s="23">
        <v>221724.99522351101</v>
      </c>
      <c r="H10" s="23">
        <v>17815.649854650899</v>
      </c>
      <c r="I10" s="23">
        <v>0</v>
      </c>
      <c r="J10" s="23" t="s">
        <v>88</v>
      </c>
      <c r="K10" s="24">
        <v>44910.000000081018</v>
      </c>
      <c r="L10" s="23">
        <v>1</v>
      </c>
      <c r="M10" s="23" t="s">
        <v>15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BTC COIN LONG</v>
      </c>
      <c r="X10" s="94" t="s">
        <v>267</v>
      </c>
      <c r="Y10" s="3" t="s">
        <v>314</v>
      </c>
      <c r="Z10" s="31">
        <v>128.13018736000001</v>
      </c>
      <c r="AA10" s="31">
        <v>787.63144938300502</v>
      </c>
      <c r="AD10" s="77">
        <f t="shared" si="12"/>
        <v>44910.000000081018</v>
      </c>
      <c r="AE10" s="14" t="str">
        <f t="shared" si="13"/>
        <v>-</v>
      </c>
      <c r="AF10" s="14" t="str">
        <f t="shared" si="14"/>
        <v>WALLET</v>
      </c>
      <c r="AG10" s="14" t="s">
        <v>314</v>
      </c>
      <c r="AH10" s="14">
        <v>128.13018736000001</v>
      </c>
      <c r="AI10" s="14">
        <v>787.63144938300502</v>
      </c>
      <c r="AJ10" s="14">
        <f t="shared" si="15"/>
        <v>6.1471185331996923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BAL</v>
      </c>
      <c r="AP10" s="46"/>
      <c r="AQ10" s="47"/>
      <c r="AR10" s="48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787.63144938300502</v>
      </c>
      <c r="AX10" s="26">
        <f t="shared" si="6"/>
        <v>6.1471185331996923</v>
      </c>
      <c r="AY10" s="26">
        <f t="shared" si="7"/>
        <v>0</v>
      </c>
      <c r="AZ10" s="26">
        <f t="shared" si="8"/>
        <v>0</v>
      </c>
      <c r="BA10" s="23" t="s">
        <v>271</v>
      </c>
      <c r="BB10" t="str">
        <f t="shared" si="21"/>
        <v>BAL</v>
      </c>
    </row>
    <row r="11" spans="1:54" x14ac:dyDescent="0.25">
      <c r="A11">
        <v>61</v>
      </c>
      <c r="B11" s="77">
        <v>44910.000000081018</v>
      </c>
      <c r="C11" s="14" t="s">
        <v>11</v>
      </c>
      <c r="D11" s="23" t="s">
        <v>86</v>
      </c>
      <c r="E11" s="23" t="s">
        <v>91</v>
      </c>
      <c r="F11" s="23">
        <v>196876.92648426001</v>
      </c>
      <c r="G11" s="23">
        <v>196926.54031488299</v>
      </c>
      <c r="H11" s="23">
        <v>1.0002520042927801</v>
      </c>
      <c r="I11" s="23">
        <v>0</v>
      </c>
      <c r="J11" s="23" t="s">
        <v>88</v>
      </c>
      <c r="K11" s="24">
        <v>44910.000000081018</v>
      </c>
      <c r="L11" s="23">
        <v>1</v>
      </c>
      <c r="M11" s="23" t="s">
        <v>91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BUSD COIN LONG</v>
      </c>
      <c r="X11" s="94" t="s">
        <v>267</v>
      </c>
      <c r="Y11" s="3" t="s">
        <v>127</v>
      </c>
      <c r="Z11" s="31">
        <v>-242.01617074001115</v>
      </c>
      <c r="AA11" s="31">
        <v>-54.202269811452425</v>
      </c>
      <c r="AD11" s="77">
        <f t="shared" si="12"/>
        <v>44910.000000081018</v>
      </c>
      <c r="AE11" s="14" t="str">
        <f t="shared" si="13"/>
        <v>-</v>
      </c>
      <c r="AF11" s="14" t="str">
        <f t="shared" si="14"/>
        <v>WALLET</v>
      </c>
      <c r="AG11" s="14" t="s">
        <v>127</v>
      </c>
      <c r="AH11" s="14">
        <v>-242.01617074001115</v>
      </c>
      <c r="AI11" s="14">
        <v>-54.202269811452425</v>
      </c>
      <c r="AJ11" s="14">
        <f t="shared" si="15"/>
        <v>0.22396135615946045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BAT</v>
      </c>
      <c r="AP11" s="46"/>
      <c r="AQ11" s="47"/>
      <c r="AR11" s="48"/>
      <c r="AS11" s="25">
        <f t="shared" si="2"/>
        <v>0</v>
      </c>
      <c r="AT11" s="26" t="str">
        <f t="shared" si="3"/>
        <v>COIN</v>
      </c>
      <c r="AU11" s="26" t="str">
        <f t="shared" si="20"/>
        <v>SHORT</v>
      </c>
      <c r="AV11" s="26" t="str">
        <f t="shared" si="4"/>
        <v>COIN SHORT</v>
      </c>
      <c r="AW11" s="26">
        <f t="shared" si="5"/>
        <v>-54.202269811452425</v>
      </c>
      <c r="AX11" s="26">
        <f t="shared" si="6"/>
        <v>0.22396135615946045</v>
      </c>
      <c r="AY11" s="26">
        <f t="shared" si="7"/>
        <v>0</v>
      </c>
      <c r="AZ11" s="26">
        <f t="shared" si="8"/>
        <v>0</v>
      </c>
      <c r="BA11" s="23" t="s">
        <v>271</v>
      </c>
      <c r="BB11" t="str">
        <f t="shared" si="21"/>
        <v>BAT</v>
      </c>
    </row>
    <row r="12" spans="1:54" x14ac:dyDescent="0.25">
      <c r="A12">
        <v>62</v>
      </c>
      <c r="B12" s="77">
        <v>44910.000000081018</v>
      </c>
      <c r="C12" s="14" t="s">
        <v>11</v>
      </c>
      <c r="D12" s="23" t="s">
        <v>86</v>
      </c>
      <c r="E12" s="23" t="s">
        <v>32</v>
      </c>
      <c r="F12" s="23">
        <v>0.86121729000000002</v>
      </c>
      <c r="G12" s="23">
        <v>33.891689955686203</v>
      </c>
      <c r="H12" s="23">
        <v>39.353239129333097</v>
      </c>
      <c r="I12" s="23">
        <v>0</v>
      </c>
      <c r="J12" s="23" t="s">
        <v>88</v>
      </c>
      <c r="K12" s="24">
        <v>44910.000000081018</v>
      </c>
      <c r="L12" s="23">
        <v>1</v>
      </c>
      <c r="M12" s="23" t="s">
        <v>32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COMP COIN LONG</v>
      </c>
      <c r="X12" s="94" t="s">
        <v>267</v>
      </c>
      <c r="Y12" s="3" t="s">
        <v>21</v>
      </c>
      <c r="Z12" s="31">
        <v>1527.9969412400001</v>
      </c>
      <c r="AA12" s="31">
        <v>166717.44807959287</v>
      </c>
      <c r="AD12" s="77">
        <f t="shared" si="12"/>
        <v>44910.000000081018</v>
      </c>
      <c r="AE12" s="14" t="str">
        <f t="shared" si="13"/>
        <v>-</v>
      </c>
      <c r="AF12" s="14" t="str">
        <f t="shared" si="14"/>
        <v>WALLET</v>
      </c>
      <c r="AG12" s="14" t="s">
        <v>21</v>
      </c>
      <c r="AH12" s="14">
        <v>1527.9969412400001</v>
      </c>
      <c r="AI12" s="14">
        <v>166717.44807959287</v>
      </c>
      <c r="AJ12" s="14">
        <f t="shared" si="15"/>
        <v>109.10849595307326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BCH</v>
      </c>
      <c r="AP12" s="46"/>
      <c r="AQ12" s="47"/>
      <c r="AR12" s="48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166717.44807959287</v>
      </c>
      <c r="AX12" s="26">
        <f t="shared" si="6"/>
        <v>109.10849595307326</v>
      </c>
      <c r="AY12" s="26">
        <f t="shared" si="7"/>
        <v>0</v>
      </c>
      <c r="AZ12" s="26">
        <f t="shared" si="8"/>
        <v>0</v>
      </c>
      <c r="BA12" s="23" t="s">
        <v>271</v>
      </c>
      <c r="BB12" t="str">
        <f t="shared" si="21"/>
        <v>BCH</v>
      </c>
    </row>
    <row r="13" spans="1:54" x14ac:dyDescent="0.25">
      <c r="A13">
        <v>63</v>
      </c>
      <c r="B13" s="77">
        <v>44910.000000081018</v>
      </c>
      <c r="C13" s="14" t="s">
        <v>11</v>
      </c>
      <c r="D13" s="23" t="s">
        <v>86</v>
      </c>
      <c r="E13" s="23" t="s">
        <v>191</v>
      </c>
      <c r="F13" s="23">
        <v>1.5637979999999999E-2</v>
      </c>
      <c r="G13" s="23">
        <v>1.0109735336132099E-2</v>
      </c>
      <c r="H13" s="23">
        <v>0.64648601265202699</v>
      </c>
      <c r="I13" s="23">
        <v>0</v>
      </c>
      <c r="J13" s="23" t="s">
        <v>88</v>
      </c>
      <c r="K13" s="24">
        <v>44910.000000081018</v>
      </c>
      <c r="L13" s="23">
        <v>1</v>
      </c>
      <c r="M13" s="23" t="s">
        <v>191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CRV COIN LONG</v>
      </c>
      <c r="X13" s="94" t="s">
        <v>267</v>
      </c>
      <c r="Y13" s="3" t="s">
        <v>128</v>
      </c>
      <c r="Z13" s="31">
        <v>2.5033500000000001E-3</v>
      </c>
      <c r="AA13" s="31">
        <v>1.9953523672060501E-4</v>
      </c>
      <c r="AD13" s="77">
        <f t="shared" si="12"/>
        <v>44910.000000081018</v>
      </c>
      <c r="AE13" s="14" t="str">
        <f t="shared" si="13"/>
        <v>-</v>
      </c>
      <c r="AF13" s="14" t="str">
        <f t="shared" si="14"/>
        <v>WALLET</v>
      </c>
      <c r="AG13" s="14" t="s">
        <v>128</v>
      </c>
      <c r="AH13" s="14">
        <v>2.5033500000000001E-3</v>
      </c>
      <c r="AI13" s="14">
        <v>1.9953523672060501E-4</v>
      </c>
      <c r="AJ13" s="14">
        <f t="shared" si="15"/>
        <v>7.9707286923764151E-2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BHD</v>
      </c>
      <c r="AP13" s="46"/>
      <c r="AQ13" s="47"/>
      <c r="AR13" s="48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1.9953523672060501E-4</v>
      </c>
      <c r="AX13" s="26">
        <f t="shared" si="6"/>
        <v>7.9707286923764151E-2</v>
      </c>
      <c r="AY13" s="26">
        <f t="shared" si="7"/>
        <v>0</v>
      </c>
      <c r="AZ13" s="26">
        <f t="shared" si="8"/>
        <v>0</v>
      </c>
      <c r="BA13" s="23" t="s">
        <v>271</v>
      </c>
      <c r="BB13" t="str">
        <f t="shared" si="21"/>
        <v>BHD</v>
      </c>
    </row>
    <row r="14" spans="1:54" x14ac:dyDescent="0.25">
      <c r="A14">
        <v>64</v>
      </c>
      <c r="B14" s="77">
        <v>44910.000000081018</v>
      </c>
      <c r="C14" s="14" t="s">
        <v>11</v>
      </c>
      <c r="D14" s="23" t="s">
        <v>86</v>
      </c>
      <c r="E14" s="23" t="s">
        <v>135</v>
      </c>
      <c r="F14" s="23">
        <v>497.31768</v>
      </c>
      <c r="G14" s="23">
        <v>24290.779452657502</v>
      </c>
      <c r="H14" s="23">
        <v>48.843587166773403</v>
      </c>
      <c r="I14" s="23">
        <v>0</v>
      </c>
      <c r="J14" s="23" t="s">
        <v>88</v>
      </c>
      <c r="K14" s="24">
        <v>44910.000000081018</v>
      </c>
      <c r="L14" s="23">
        <v>1</v>
      </c>
      <c r="M14" s="23" t="s">
        <v>135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DASH COIN LONG</v>
      </c>
      <c r="X14" s="94" t="s">
        <v>267</v>
      </c>
      <c r="Y14" s="3" t="s">
        <v>129</v>
      </c>
      <c r="Z14" s="31">
        <v>115.29838952</v>
      </c>
      <c r="AA14" s="31">
        <v>7.2493053638472196</v>
      </c>
      <c r="AD14" s="77">
        <f t="shared" si="12"/>
        <v>44910.000000081018</v>
      </c>
      <c r="AE14" s="14" t="str">
        <f t="shared" si="13"/>
        <v>-</v>
      </c>
      <c r="AF14" s="14" t="str">
        <f t="shared" si="14"/>
        <v>WALLET</v>
      </c>
      <c r="AG14" s="14" t="s">
        <v>129</v>
      </c>
      <c r="AH14" s="14">
        <v>115.29838952</v>
      </c>
      <c r="AI14" s="14">
        <v>7.2493053638472196</v>
      </c>
      <c r="AJ14" s="14">
        <f t="shared" si="15"/>
        <v>6.2874298539874515E-2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BLZ</v>
      </c>
      <c r="AP14" s="46"/>
      <c r="AQ14" s="47"/>
      <c r="AR14" s="48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7.2493053638472196</v>
      </c>
      <c r="AX14" s="26">
        <f t="shared" si="6"/>
        <v>6.2874298539874515E-2</v>
      </c>
      <c r="AY14" s="26">
        <f t="shared" si="7"/>
        <v>0</v>
      </c>
      <c r="AZ14" s="26">
        <f t="shared" si="8"/>
        <v>0</v>
      </c>
      <c r="BA14" s="23" t="s">
        <v>271</v>
      </c>
      <c r="BB14" t="str">
        <f t="shared" si="21"/>
        <v>BLZ</v>
      </c>
    </row>
    <row r="15" spans="1:54" x14ac:dyDescent="0.25">
      <c r="A15">
        <v>65</v>
      </c>
      <c r="B15" s="77">
        <v>44910.000000081018</v>
      </c>
      <c r="C15" s="14" t="s">
        <v>11</v>
      </c>
      <c r="D15" s="23" t="s">
        <v>86</v>
      </c>
      <c r="E15" s="23" t="s">
        <v>193</v>
      </c>
      <c r="F15" s="23">
        <v>604880.55008426995</v>
      </c>
      <c r="G15" s="23">
        <v>53540.6345540189</v>
      </c>
      <c r="H15" s="23">
        <v>8.8514392712015305E-2</v>
      </c>
      <c r="I15" s="23">
        <v>0</v>
      </c>
      <c r="J15" s="23" t="s">
        <v>88</v>
      </c>
      <c r="K15" s="24">
        <v>44910.000000081018</v>
      </c>
      <c r="L15" s="23">
        <v>1</v>
      </c>
      <c r="M15" s="23" t="s">
        <v>193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DOGE COIN LONG</v>
      </c>
      <c r="X15" s="94" t="s">
        <v>267</v>
      </c>
      <c r="Y15" s="3" t="s">
        <v>90</v>
      </c>
      <c r="Z15" s="31">
        <v>2637.0231170699994</v>
      </c>
      <c r="AA15" s="31">
        <v>707332.77448328258</v>
      </c>
      <c r="AD15" s="77">
        <f t="shared" si="12"/>
        <v>44910.000000081018</v>
      </c>
      <c r="AE15" s="14" t="str">
        <f t="shared" si="13"/>
        <v>-</v>
      </c>
      <c r="AF15" s="14" t="str">
        <f t="shared" si="14"/>
        <v>WALLET</v>
      </c>
      <c r="AG15" s="14" t="s">
        <v>90</v>
      </c>
      <c r="AH15" s="14">
        <v>2637.0231170699994</v>
      </c>
      <c r="AI15" s="14">
        <v>707332.77448328258</v>
      </c>
      <c r="AJ15" s="14">
        <f t="shared" si="15"/>
        <v>268.23154105270078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BNB</v>
      </c>
      <c r="AP15" s="46"/>
      <c r="AQ15" s="47"/>
      <c r="AR15" s="48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707332.77448328258</v>
      </c>
      <c r="AX15" s="26">
        <f t="shared" si="6"/>
        <v>268.23154105270078</v>
      </c>
      <c r="AY15" s="26">
        <f t="shared" si="7"/>
        <v>0</v>
      </c>
      <c r="AZ15" s="26">
        <f t="shared" si="8"/>
        <v>0</v>
      </c>
      <c r="BA15" s="23" t="s">
        <v>271</v>
      </c>
      <c r="BB15" t="str">
        <f t="shared" si="21"/>
        <v>BNB</v>
      </c>
    </row>
    <row r="16" spans="1:54" x14ac:dyDescent="0.25">
      <c r="A16">
        <v>66</v>
      </c>
      <c r="B16" s="77">
        <v>44910.000000081018</v>
      </c>
      <c r="C16" s="14" t="s">
        <v>11</v>
      </c>
      <c r="D16" s="23" t="s">
        <v>86</v>
      </c>
      <c r="E16" s="23" t="s">
        <v>23</v>
      </c>
      <c r="F16" s="23">
        <v>4998.7032519799995</v>
      </c>
      <c r="G16" s="23">
        <v>26069.2859419087</v>
      </c>
      <c r="H16" s="23">
        <v>5.21520975096543</v>
      </c>
      <c r="I16" s="23">
        <v>0</v>
      </c>
      <c r="J16" s="23" t="s">
        <v>88</v>
      </c>
      <c r="K16" s="24">
        <v>44910.000000081018</v>
      </c>
      <c r="L16" s="23">
        <v>1</v>
      </c>
      <c r="M16" s="23" t="s">
        <v>23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DOT COIN LONG</v>
      </c>
      <c r="X16" s="94" t="s">
        <v>267</v>
      </c>
      <c r="Y16" s="3" t="s">
        <v>130</v>
      </c>
      <c r="Z16" s="31">
        <v>14.7502</v>
      </c>
      <c r="AA16" s="31">
        <v>3.0301948775707701</v>
      </c>
      <c r="AD16" s="77">
        <f t="shared" si="12"/>
        <v>44910.000000081018</v>
      </c>
      <c r="AE16" s="14" t="str">
        <f t="shared" si="13"/>
        <v>-</v>
      </c>
      <c r="AF16" s="14" t="str">
        <f t="shared" si="14"/>
        <v>WALLET</v>
      </c>
      <c r="AG16" s="14" t="s">
        <v>130</v>
      </c>
      <c r="AH16" s="14">
        <v>14.7502</v>
      </c>
      <c r="AI16" s="14">
        <v>3.0301948775707701</v>
      </c>
      <c r="AJ16" s="14">
        <f t="shared" si="15"/>
        <v>0.20543415530438708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BOBA</v>
      </c>
      <c r="AP16" s="46"/>
      <c r="AQ16" s="47"/>
      <c r="AR16" s="48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3.0301948775707701</v>
      </c>
      <c r="AX16" s="26">
        <f t="shared" si="6"/>
        <v>0.20543415530438708</v>
      </c>
      <c r="AY16" s="26">
        <f t="shared" si="7"/>
        <v>0</v>
      </c>
      <c r="AZ16" s="26">
        <f t="shared" si="8"/>
        <v>0</v>
      </c>
      <c r="BA16" s="23" t="s">
        <v>271</v>
      </c>
      <c r="BB16" t="str">
        <f t="shared" si="21"/>
        <v>BOBA</v>
      </c>
    </row>
    <row r="17" spans="1:54" x14ac:dyDescent="0.25">
      <c r="A17">
        <v>67</v>
      </c>
      <c r="B17" s="77">
        <v>44910.000000081018</v>
      </c>
      <c r="C17" s="14" t="s">
        <v>11</v>
      </c>
      <c r="D17" s="23" t="s">
        <v>86</v>
      </c>
      <c r="E17" s="23" t="s">
        <v>29</v>
      </c>
      <c r="F17" s="23">
        <v>30831.324700000001</v>
      </c>
      <c r="G17" s="23">
        <v>9257.5375131300498</v>
      </c>
      <c r="H17" s="23">
        <v>0.30026402054434098</v>
      </c>
      <c r="I17" s="23">
        <v>0</v>
      </c>
      <c r="J17" s="23" t="s">
        <v>88</v>
      </c>
      <c r="K17" s="24">
        <v>44910.000000081018</v>
      </c>
      <c r="L17" s="23">
        <v>1</v>
      </c>
      <c r="M17" s="23" t="s">
        <v>29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ENJ COIN LONG</v>
      </c>
      <c r="X17" s="94" t="s">
        <v>267</v>
      </c>
      <c r="Y17" s="3" t="s">
        <v>116</v>
      </c>
      <c r="Z17" s="31">
        <v>1.46109958</v>
      </c>
      <c r="AA17" s="31">
        <v>66.204787084674365</v>
      </c>
      <c r="AD17" s="77">
        <f t="shared" si="12"/>
        <v>44910.000000081018</v>
      </c>
      <c r="AE17" s="14" t="str">
        <f t="shared" si="13"/>
        <v>-</v>
      </c>
      <c r="AF17" s="14" t="str">
        <f t="shared" si="14"/>
        <v>WALLET</v>
      </c>
      <c r="AG17" s="14" t="s">
        <v>116</v>
      </c>
      <c r="AH17" s="14">
        <v>1.46109958</v>
      </c>
      <c r="AI17" s="14">
        <v>66.204787084674365</v>
      </c>
      <c r="AJ17" s="14">
        <f t="shared" si="15"/>
        <v>45.311618722574927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BSV</v>
      </c>
      <c r="AP17" s="46"/>
      <c r="AQ17" s="47"/>
      <c r="AR17" s="48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66.204787084674365</v>
      </c>
      <c r="AX17" s="26">
        <f t="shared" si="6"/>
        <v>45.311618722574927</v>
      </c>
      <c r="AY17" s="26">
        <f t="shared" si="7"/>
        <v>0</v>
      </c>
      <c r="AZ17" s="26">
        <f t="shared" si="8"/>
        <v>0</v>
      </c>
      <c r="BA17" s="23" t="s">
        <v>271</v>
      </c>
      <c r="BB17" t="str">
        <f t="shared" si="21"/>
        <v>BSV</v>
      </c>
    </row>
    <row r="18" spans="1:54" x14ac:dyDescent="0.25">
      <c r="A18">
        <v>68</v>
      </c>
      <c r="B18" s="77">
        <v>44910.000000081018</v>
      </c>
      <c r="C18" s="14" t="s">
        <v>11</v>
      </c>
      <c r="D18" s="23" t="s">
        <v>86</v>
      </c>
      <c r="E18" s="23" t="s">
        <v>24</v>
      </c>
      <c r="F18" s="23">
        <v>79109.898400000005</v>
      </c>
      <c r="G18" s="23">
        <v>77371.168578658195</v>
      </c>
      <c r="H18" s="23">
        <v>0.97802133669101299</v>
      </c>
      <c r="I18" s="23">
        <v>0</v>
      </c>
      <c r="J18" s="23" t="s">
        <v>88</v>
      </c>
      <c r="K18" s="24">
        <v>44910.000000081018</v>
      </c>
      <c r="L18" s="23">
        <v>1</v>
      </c>
      <c r="M18" s="23" t="s">
        <v>24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EOS COIN LONG</v>
      </c>
      <c r="X18" s="94" t="s">
        <v>267</v>
      </c>
      <c r="Y18" s="3" t="s">
        <v>15</v>
      </c>
      <c r="Z18" s="31">
        <v>861.43719583000006</v>
      </c>
      <c r="AA18" s="31">
        <v>15347063.452679358</v>
      </c>
      <c r="AD18" s="77">
        <f t="shared" si="12"/>
        <v>44910.000000081018</v>
      </c>
      <c r="AE18" s="14" t="str">
        <f t="shared" si="13"/>
        <v>-</v>
      </c>
      <c r="AF18" s="14" t="str">
        <f t="shared" si="14"/>
        <v>WALLET</v>
      </c>
      <c r="AG18" s="14" t="s">
        <v>15</v>
      </c>
      <c r="AH18" s="14">
        <v>861.43719583000006</v>
      </c>
      <c r="AI18" s="14">
        <v>15347063.452679358</v>
      </c>
      <c r="AJ18" s="14">
        <f t="shared" si="15"/>
        <v>17815.649854650597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BTC</v>
      </c>
      <c r="AP18" s="46"/>
      <c r="AQ18" s="47"/>
      <c r="AR18" s="48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15347063.452679358</v>
      </c>
      <c r="AX18" s="26">
        <f t="shared" si="6"/>
        <v>17815.649854650597</v>
      </c>
      <c r="AY18" s="26">
        <f t="shared" si="7"/>
        <v>0</v>
      </c>
      <c r="AZ18" s="26">
        <f t="shared" si="8"/>
        <v>0</v>
      </c>
      <c r="BA18" s="23" t="s">
        <v>271</v>
      </c>
      <c r="BB18" t="str">
        <f t="shared" si="21"/>
        <v>BTC</v>
      </c>
    </row>
    <row r="19" spans="1:54" x14ac:dyDescent="0.25">
      <c r="A19">
        <v>69</v>
      </c>
      <c r="B19" s="77">
        <v>44910.000000081018</v>
      </c>
      <c r="C19" s="14" t="s">
        <v>11</v>
      </c>
      <c r="D19" s="23" t="s">
        <v>86</v>
      </c>
      <c r="E19" s="23" t="s">
        <v>16</v>
      </c>
      <c r="F19" s="23">
        <v>207.5909</v>
      </c>
      <c r="G19" s="23">
        <v>271804.71844032197</v>
      </c>
      <c r="H19" s="23">
        <v>1309.32867693296</v>
      </c>
      <c r="I19" s="23">
        <v>0</v>
      </c>
      <c r="J19" s="23" t="s">
        <v>88</v>
      </c>
      <c r="K19" s="24">
        <v>44910.000000081018</v>
      </c>
      <c r="L19" s="23">
        <v>1</v>
      </c>
      <c r="M19" s="23" t="s">
        <v>16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94" t="s">
        <v>267</v>
      </c>
      <c r="Y19" s="3" t="s">
        <v>131</v>
      </c>
      <c r="Z19" s="31">
        <v>0.33565571999999999</v>
      </c>
      <c r="AA19" s="31">
        <v>4.5998341691350798E-3</v>
      </c>
      <c r="AD19" s="77">
        <f t="shared" si="12"/>
        <v>44910.000000081018</v>
      </c>
      <c r="AE19" s="14" t="str">
        <f t="shared" si="13"/>
        <v>-</v>
      </c>
      <c r="AF19" s="14" t="str">
        <f t="shared" si="14"/>
        <v>WALLET</v>
      </c>
      <c r="AG19" s="14" t="s">
        <v>131</v>
      </c>
      <c r="AH19" s="14">
        <v>0.33565571999999999</v>
      </c>
      <c r="AI19" s="14">
        <v>4.5998341691350798E-3</v>
      </c>
      <c r="AJ19" s="14">
        <f t="shared" si="15"/>
        <v>1.3704024376927287E-2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BTM</v>
      </c>
      <c r="AP19" s="46"/>
      <c r="AQ19" s="47"/>
      <c r="AR19" s="48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4.5998341691350798E-3</v>
      </c>
      <c r="AX19" s="26">
        <f t="shared" si="6"/>
        <v>1.3704024376927287E-2</v>
      </c>
      <c r="AY19" s="26">
        <f t="shared" si="7"/>
        <v>0</v>
      </c>
      <c r="AZ19" s="26">
        <f t="shared" si="8"/>
        <v>0</v>
      </c>
      <c r="BA19" s="23" t="s">
        <v>271</v>
      </c>
      <c r="BB19" t="str">
        <f t="shared" si="21"/>
        <v>BTM</v>
      </c>
    </row>
    <row r="20" spans="1:54" x14ac:dyDescent="0.25">
      <c r="A20">
        <v>70</v>
      </c>
      <c r="B20" s="77">
        <v>44910.000000081018</v>
      </c>
      <c r="C20" s="14" t="s">
        <v>11</v>
      </c>
      <c r="D20" s="23" t="s">
        <v>86</v>
      </c>
      <c r="E20" s="23" t="s">
        <v>110</v>
      </c>
      <c r="F20" s="23">
        <v>796684.29277635005</v>
      </c>
      <c r="G20" s="23">
        <v>851073.92944419105</v>
      </c>
      <c r="H20" s="23">
        <v>1.0682700000000001</v>
      </c>
      <c r="I20" s="23">
        <v>0</v>
      </c>
      <c r="J20" s="23" t="s">
        <v>88</v>
      </c>
      <c r="K20" s="24">
        <v>44910.000000081018</v>
      </c>
      <c r="L20" s="23">
        <v>1</v>
      </c>
      <c r="M20" s="23" t="s">
        <v>110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94" t="s">
        <v>267</v>
      </c>
      <c r="Y20" s="3" t="s">
        <v>132</v>
      </c>
      <c r="Z20" s="31">
        <v>1367501156.8785999</v>
      </c>
      <c r="AA20" s="31">
        <v>926.78176959022505</v>
      </c>
      <c r="AD20" s="77">
        <f t="shared" si="12"/>
        <v>44910.000000081018</v>
      </c>
      <c r="AE20" s="14" t="str">
        <f t="shared" si="13"/>
        <v>-</v>
      </c>
      <c r="AF20" s="14" t="str">
        <f t="shared" si="14"/>
        <v>WALLET</v>
      </c>
      <c r="AG20" s="14" t="s">
        <v>132</v>
      </c>
      <c r="AH20" s="14">
        <v>1367501156.8785999</v>
      </c>
      <c r="AI20" s="14">
        <v>926.78176959022505</v>
      </c>
      <c r="AJ20" s="14">
        <f t="shared" si="15"/>
        <v>6.7771918504672987E-7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BTT</v>
      </c>
      <c r="AP20" s="46"/>
      <c r="AQ20" s="47"/>
      <c r="AR20" s="48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926.78176959022505</v>
      </c>
      <c r="AX20" s="26">
        <f t="shared" si="6"/>
        <v>6.7771918504672987E-7</v>
      </c>
      <c r="AY20" s="26">
        <f t="shared" si="7"/>
        <v>0</v>
      </c>
      <c r="AZ20" s="26">
        <f t="shared" si="8"/>
        <v>0</v>
      </c>
      <c r="BA20" s="23" t="s">
        <v>271</v>
      </c>
      <c r="BB20" t="str">
        <f t="shared" si="21"/>
        <v>BTT</v>
      </c>
    </row>
    <row r="21" spans="1:54" x14ac:dyDescent="0.25">
      <c r="A21">
        <v>71</v>
      </c>
      <c r="B21" s="77">
        <v>44910.000000081018</v>
      </c>
      <c r="C21" s="14" t="s">
        <v>11</v>
      </c>
      <c r="D21" s="23" t="s">
        <v>86</v>
      </c>
      <c r="E21" s="23" t="s">
        <v>31</v>
      </c>
      <c r="F21" s="23">
        <v>0.19800000000000001</v>
      </c>
      <c r="G21" s="23">
        <v>0.83755776247018499</v>
      </c>
      <c r="H21" s="23">
        <v>4.2300897094453704</v>
      </c>
      <c r="I21" s="23">
        <v>0</v>
      </c>
      <c r="J21" s="23" t="s">
        <v>88</v>
      </c>
      <c r="K21" s="24">
        <v>44910.000000081018</v>
      </c>
      <c r="L21" s="23">
        <v>1</v>
      </c>
      <c r="M21" s="23" t="s">
        <v>31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94" t="s">
        <v>267</v>
      </c>
      <c r="Y21" s="3" t="s">
        <v>91</v>
      </c>
      <c r="Z21" s="31">
        <v>20719077.842394862</v>
      </c>
      <c r="AA21" s="31">
        <v>20724299.138953604</v>
      </c>
      <c r="AD21" s="77">
        <f t="shared" si="12"/>
        <v>44910.000000081018</v>
      </c>
      <c r="AE21" s="14" t="str">
        <f t="shared" si="13"/>
        <v>-</v>
      </c>
      <c r="AF21" s="14" t="str">
        <f t="shared" si="14"/>
        <v>WALLET</v>
      </c>
      <c r="AG21" s="14" t="s">
        <v>91</v>
      </c>
      <c r="AH21" s="14">
        <v>20719077.842394862</v>
      </c>
      <c r="AI21" s="14">
        <v>20724299.138953604</v>
      </c>
      <c r="AJ21" s="14">
        <f t="shared" si="15"/>
        <v>1.0002520042927807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BUSD</v>
      </c>
      <c r="AP21" s="46"/>
      <c r="AQ21" s="47"/>
      <c r="AR21" s="48"/>
      <c r="AS21" s="25">
        <f t="shared" si="2"/>
        <v>0</v>
      </c>
      <c r="AT21" s="26" t="str">
        <f t="shared" si="3"/>
        <v>COIN</v>
      </c>
      <c r="AU21" s="26" t="str">
        <f t="shared" si="20"/>
        <v>LONG</v>
      </c>
      <c r="AV21" s="26" t="str">
        <f t="shared" si="4"/>
        <v>COIN LONG</v>
      </c>
      <c r="AW21" s="26">
        <f t="shared" si="5"/>
        <v>20724299.138953604</v>
      </c>
      <c r="AX21" s="26">
        <f t="shared" si="6"/>
        <v>1.0002520042927807</v>
      </c>
      <c r="AY21" s="26">
        <f t="shared" si="7"/>
        <v>0</v>
      </c>
      <c r="AZ21" s="26">
        <f t="shared" si="8"/>
        <v>0</v>
      </c>
      <c r="BA21" s="23" t="s">
        <v>271</v>
      </c>
      <c r="BB21" t="str">
        <f t="shared" si="21"/>
        <v>BUSD</v>
      </c>
    </row>
    <row r="22" spans="1:54" x14ac:dyDescent="0.25">
      <c r="A22">
        <v>72</v>
      </c>
      <c r="B22" s="77">
        <v>44910.000000081018</v>
      </c>
      <c r="C22" s="14" t="s">
        <v>11</v>
      </c>
      <c r="D22" s="23" t="s">
        <v>86</v>
      </c>
      <c r="E22" s="23" t="s">
        <v>194</v>
      </c>
      <c r="F22" s="23">
        <v>142175.21349967</v>
      </c>
      <c r="G22" s="23">
        <v>34210.1105541367</v>
      </c>
      <c r="H22" s="23">
        <v>0.24061937177408299</v>
      </c>
      <c r="I22" s="23">
        <v>0</v>
      </c>
      <c r="J22" s="23" t="s">
        <v>88</v>
      </c>
      <c r="K22" s="24">
        <v>44910.000000081018</v>
      </c>
      <c r="L22" s="23">
        <v>1</v>
      </c>
      <c r="M22" s="23" t="s">
        <v>194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94" t="s">
        <v>267</v>
      </c>
      <c r="Y22" s="3" t="s">
        <v>133</v>
      </c>
      <c r="Z22" s="31">
        <v>1.7855998900000001</v>
      </c>
      <c r="AA22" s="31">
        <v>6.6804407083560597E-3</v>
      </c>
      <c r="AD22" s="77">
        <f t="shared" si="12"/>
        <v>44910.000000081018</v>
      </c>
      <c r="AE22" s="14" t="str">
        <f t="shared" si="13"/>
        <v>-</v>
      </c>
      <c r="AF22" s="14" t="str">
        <f t="shared" si="14"/>
        <v>WALLET</v>
      </c>
      <c r="AG22" s="14" t="s">
        <v>133</v>
      </c>
      <c r="AH22" s="14">
        <v>1.7855998900000001</v>
      </c>
      <c r="AI22" s="14">
        <v>6.6804407083560597E-3</v>
      </c>
      <c r="AJ22" s="14">
        <f t="shared" si="15"/>
        <v>3.7412864694766862E-3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CMT</v>
      </c>
      <c r="AP22" s="46"/>
      <c r="AQ22" s="47"/>
      <c r="AR22" s="48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6.6804407083560597E-3</v>
      </c>
      <c r="AX22" s="26">
        <f t="shared" si="6"/>
        <v>3.7412864694766862E-3</v>
      </c>
      <c r="AY22" s="26">
        <f t="shared" si="7"/>
        <v>0</v>
      </c>
      <c r="AZ22" s="26">
        <f t="shared" si="8"/>
        <v>0</v>
      </c>
      <c r="BA22" s="23" t="s">
        <v>271</v>
      </c>
      <c r="BB22" t="str">
        <f t="shared" si="21"/>
        <v>CMT</v>
      </c>
    </row>
    <row r="23" spans="1:54" x14ac:dyDescent="0.25">
      <c r="A23">
        <v>73</v>
      </c>
      <c r="B23" s="77">
        <v>44910.000000081018</v>
      </c>
      <c r="C23" s="14" t="s">
        <v>11</v>
      </c>
      <c r="D23" s="23" t="s">
        <v>86</v>
      </c>
      <c r="E23" s="23" t="s">
        <v>635</v>
      </c>
      <c r="F23" s="23">
        <v>239455.44699999999</v>
      </c>
      <c r="G23" s="23">
        <v>15735.0778713698</v>
      </c>
      <c r="H23" s="23">
        <v>6.5711922900504302E-2</v>
      </c>
      <c r="I23" s="23">
        <v>0</v>
      </c>
      <c r="J23" s="23" t="s">
        <v>88</v>
      </c>
      <c r="K23" s="24">
        <v>44910.000000081018</v>
      </c>
      <c r="L23" s="23">
        <v>1</v>
      </c>
      <c r="M23" s="23" t="s">
        <v>635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94" t="s">
        <v>267</v>
      </c>
      <c r="Y23" s="3" t="s">
        <v>32</v>
      </c>
      <c r="Z23" s="31">
        <v>308.17158299000039</v>
      </c>
      <c r="AA23" s="31">
        <v>12127.549998269998</v>
      </c>
      <c r="AD23" s="77">
        <f t="shared" si="12"/>
        <v>44910.000000081018</v>
      </c>
      <c r="AE23" s="14" t="str">
        <f t="shared" si="13"/>
        <v>-</v>
      </c>
      <c r="AF23" s="14" t="str">
        <f t="shared" si="14"/>
        <v>WALLET</v>
      </c>
      <c r="AG23" s="14" t="s">
        <v>32</v>
      </c>
      <c r="AH23" s="14">
        <v>308.17158299000039</v>
      </c>
      <c r="AI23" s="14">
        <v>12127.549998269998</v>
      </c>
      <c r="AJ23" s="14">
        <f t="shared" si="15"/>
        <v>39.353239129331129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COMP</v>
      </c>
      <c r="AP23" s="46"/>
      <c r="AQ23" s="47"/>
      <c r="AR23" s="48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12127.549998269998</v>
      </c>
      <c r="AX23" s="26">
        <f t="shared" si="6"/>
        <v>39.353239129331129</v>
      </c>
      <c r="AY23" s="26">
        <f t="shared" si="7"/>
        <v>0</v>
      </c>
      <c r="AZ23" s="26">
        <f t="shared" si="8"/>
        <v>0</v>
      </c>
      <c r="BA23" s="23" t="s">
        <v>271</v>
      </c>
      <c r="BB23" t="str">
        <f t="shared" si="21"/>
        <v>COMP</v>
      </c>
    </row>
    <row r="24" spans="1:54" x14ac:dyDescent="0.25">
      <c r="A24">
        <v>74</v>
      </c>
      <c r="B24" s="77">
        <v>44910.000000081018</v>
      </c>
      <c r="C24" s="14" t="s">
        <v>11</v>
      </c>
      <c r="D24" s="23" t="s">
        <v>86</v>
      </c>
      <c r="E24" s="23" t="s">
        <v>138</v>
      </c>
      <c r="F24" s="23">
        <v>622005.60076897999</v>
      </c>
      <c r="G24" s="23">
        <v>29034.5185808321</v>
      </c>
      <c r="H24" s="23">
        <v>4.6678870005249097E-2</v>
      </c>
      <c r="I24" s="23">
        <v>0</v>
      </c>
      <c r="J24" s="23" t="s">
        <v>88</v>
      </c>
      <c r="K24" s="24">
        <v>44910.000000081018</v>
      </c>
      <c r="L24" s="23">
        <v>1</v>
      </c>
      <c r="M24" s="23" t="s">
        <v>138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94" t="s">
        <v>267</v>
      </c>
      <c r="Y24" s="3" t="s">
        <v>134</v>
      </c>
      <c r="Z24" s="31">
        <v>0.30791584</v>
      </c>
      <c r="AA24" s="31">
        <v>1.9071477542135899E-2</v>
      </c>
      <c r="AD24" s="77">
        <f t="shared" si="12"/>
        <v>44910.000000081018</v>
      </c>
      <c r="AE24" s="14" t="str">
        <f t="shared" si="13"/>
        <v>-</v>
      </c>
      <c r="AF24" s="14" t="str">
        <f t="shared" si="14"/>
        <v>WALLET</v>
      </c>
      <c r="AG24" s="14" t="s">
        <v>134</v>
      </c>
      <c r="AH24" s="14">
        <v>0.30791584</v>
      </c>
      <c r="AI24" s="14">
        <v>1.9071477542135899E-2</v>
      </c>
      <c r="AJ24" s="14">
        <f t="shared" si="15"/>
        <v>6.1937305798025519E-2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CRO</v>
      </c>
      <c r="AP24" s="46"/>
      <c r="AQ24" s="47"/>
      <c r="AR24" s="48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1.9071477542135899E-2</v>
      </c>
      <c r="AX24" s="26">
        <f t="shared" si="6"/>
        <v>6.1937305798025519E-2</v>
      </c>
      <c r="AY24" s="26">
        <f t="shared" si="7"/>
        <v>0</v>
      </c>
      <c r="AZ24" s="26">
        <f t="shared" si="8"/>
        <v>0</v>
      </c>
      <c r="BA24" s="23" t="s">
        <v>271</v>
      </c>
      <c r="BB24" t="str">
        <f t="shared" si="21"/>
        <v>CRO</v>
      </c>
    </row>
    <row r="25" spans="1:54" x14ac:dyDescent="0.25">
      <c r="A25">
        <v>75</v>
      </c>
      <c r="B25" s="77">
        <v>44910.000000081018</v>
      </c>
      <c r="C25" s="14" t="s">
        <v>11</v>
      </c>
      <c r="D25" s="23" t="s">
        <v>86</v>
      </c>
      <c r="E25" s="23" t="s">
        <v>28</v>
      </c>
      <c r="F25" s="23">
        <v>9313.9301735600002</v>
      </c>
      <c r="G25" s="23">
        <v>62671.8346783046</v>
      </c>
      <c r="H25" s="23">
        <v>6.72882805759214</v>
      </c>
      <c r="I25" s="23">
        <v>0</v>
      </c>
      <c r="J25" s="23" t="s">
        <v>88</v>
      </c>
      <c r="K25" s="24">
        <v>44910.000000081018</v>
      </c>
      <c r="L25" s="23">
        <v>1</v>
      </c>
      <c r="M25" s="23" t="s">
        <v>28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94" t="s">
        <v>267</v>
      </c>
      <c r="Y25" s="3" t="s">
        <v>191</v>
      </c>
      <c r="Z25" s="31">
        <v>105.3002444</v>
      </c>
      <c r="AA25" s="31">
        <v>68.075135133439971</v>
      </c>
      <c r="AD25" s="77">
        <f t="shared" si="12"/>
        <v>44910.000000081018</v>
      </c>
      <c r="AE25" s="14" t="str">
        <f t="shared" si="13"/>
        <v>-</v>
      </c>
      <c r="AF25" s="14" t="str">
        <f t="shared" si="14"/>
        <v>WALLET</v>
      </c>
      <c r="AG25" s="14" t="s">
        <v>191</v>
      </c>
      <c r="AH25" s="14">
        <v>105.3002444</v>
      </c>
      <c r="AI25" s="14">
        <v>68.075135133439971</v>
      </c>
      <c r="AJ25" s="14">
        <f t="shared" si="15"/>
        <v>0.64648601265202732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CRV</v>
      </c>
      <c r="AP25" s="46"/>
      <c r="AQ25" s="47"/>
      <c r="AR25" s="48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68.075135133439971</v>
      </c>
      <c r="AX25" s="26">
        <f t="shared" si="6"/>
        <v>0.64648601265202732</v>
      </c>
      <c r="AY25" s="26">
        <f t="shared" si="7"/>
        <v>0</v>
      </c>
      <c r="AZ25" s="26">
        <f t="shared" si="8"/>
        <v>0</v>
      </c>
      <c r="BA25" s="23" t="s">
        <v>271</v>
      </c>
      <c r="BB25" t="str">
        <f t="shared" si="21"/>
        <v>CRV</v>
      </c>
    </row>
    <row r="26" spans="1:54" x14ac:dyDescent="0.25">
      <c r="A26">
        <v>76</v>
      </c>
      <c r="B26" s="77">
        <v>44910.000000081018</v>
      </c>
      <c r="C26" s="14" t="s">
        <v>11</v>
      </c>
      <c r="D26" s="23" t="s">
        <v>86</v>
      </c>
      <c r="E26" s="23" t="s">
        <v>25</v>
      </c>
      <c r="F26" s="23">
        <v>690.72668716999999</v>
      </c>
      <c r="G26" s="23">
        <v>52133.193257589402</v>
      </c>
      <c r="H26" s="23">
        <v>75.475863646134997</v>
      </c>
      <c r="I26" s="23">
        <v>0</v>
      </c>
      <c r="J26" s="23" t="s">
        <v>88</v>
      </c>
      <c r="K26" s="24">
        <v>44910.000000081018</v>
      </c>
      <c r="L26" s="23">
        <v>1</v>
      </c>
      <c r="M26" s="23" t="s">
        <v>25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94" t="s">
        <v>267</v>
      </c>
      <c r="Y26" s="3" t="s">
        <v>192</v>
      </c>
      <c r="Z26" s="31">
        <v>3.4626987300000001</v>
      </c>
      <c r="AA26" s="31">
        <v>13.530926361579093</v>
      </c>
      <c r="AD26" s="77">
        <f t="shared" si="12"/>
        <v>44910.000000081018</v>
      </c>
      <c r="AE26" s="14" t="str">
        <f t="shared" si="13"/>
        <v>-</v>
      </c>
      <c r="AF26" s="14" t="str">
        <f t="shared" si="14"/>
        <v>WALLET</v>
      </c>
      <c r="AG26" s="14" t="s">
        <v>192</v>
      </c>
      <c r="AH26" s="14">
        <v>3.4626987300000001</v>
      </c>
      <c r="AI26" s="14">
        <v>13.530926361579093</v>
      </c>
      <c r="AJ26" s="14">
        <f t="shared" si="15"/>
        <v>3.9076244907910578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CVX</v>
      </c>
      <c r="AP26" s="46"/>
      <c r="AQ26" s="47"/>
      <c r="AR26" s="48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13.530926361579093</v>
      </c>
      <c r="AX26" s="26">
        <f t="shared" si="6"/>
        <v>3.9076244907910578</v>
      </c>
      <c r="AY26" s="26">
        <f t="shared" si="7"/>
        <v>0</v>
      </c>
      <c r="AZ26" s="26">
        <f t="shared" si="8"/>
        <v>0</v>
      </c>
      <c r="BA26" s="23" t="s">
        <v>271</v>
      </c>
      <c r="BB26" t="str">
        <f t="shared" si="21"/>
        <v>CVX</v>
      </c>
    </row>
    <row r="27" spans="1:54" x14ac:dyDescent="0.25">
      <c r="A27">
        <v>77</v>
      </c>
      <c r="B27" s="77">
        <v>44910.000000081018</v>
      </c>
      <c r="C27" s="14" t="s">
        <v>11</v>
      </c>
      <c r="D27" s="23" t="s">
        <v>86</v>
      </c>
      <c r="E27" s="23" t="s">
        <v>195</v>
      </c>
      <c r="F27" s="23">
        <v>51976.868269259998</v>
      </c>
      <c r="G27" s="23">
        <v>19847.9074793933</v>
      </c>
      <c r="H27" s="23">
        <v>0.38186039560085799</v>
      </c>
      <c r="I27" s="23">
        <v>0</v>
      </c>
      <c r="J27" s="23" t="s">
        <v>88</v>
      </c>
      <c r="K27" s="24">
        <v>44910.000000081018</v>
      </c>
      <c r="L27" s="23">
        <v>1</v>
      </c>
      <c r="M27" s="23" t="s">
        <v>195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94" t="s">
        <v>267</v>
      </c>
      <c r="Y27" s="3" t="s">
        <v>670</v>
      </c>
      <c r="Z27" s="31">
        <v>168347.15939687999</v>
      </c>
      <c r="AA27" s="31">
        <v>168275.44119131</v>
      </c>
      <c r="AD27" s="77">
        <f t="shared" si="12"/>
        <v>44910.000000081018</v>
      </c>
      <c r="AE27" s="14" t="str">
        <f t="shared" si="13"/>
        <v>-</v>
      </c>
      <c r="AF27" s="14" t="str">
        <f t="shared" si="14"/>
        <v>WALLET</v>
      </c>
      <c r="AG27" s="14" t="s">
        <v>670</v>
      </c>
      <c r="AH27" s="14">
        <v>168347.15939687999</v>
      </c>
      <c r="AI27" s="14">
        <v>168275.44119131</v>
      </c>
      <c r="AJ27" s="14">
        <f t="shared" si="15"/>
        <v>0.99957398624469274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DAI</v>
      </c>
      <c r="AP27" s="46"/>
      <c r="AQ27" s="47"/>
      <c r="AR27" s="48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168275.44119131</v>
      </c>
      <c r="AX27" s="26">
        <f t="shared" si="6"/>
        <v>0.99957398624469274</v>
      </c>
      <c r="AY27" s="26">
        <f t="shared" si="7"/>
        <v>0</v>
      </c>
      <c r="AZ27" s="26">
        <f t="shared" si="8"/>
        <v>0</v>
      </c>
      <c r="BA27" s="23" t="s">
        <v>271</v>
      </c>
      <c r="BB27" t="str">
        <f t="shared" si="21"/>
        <v>DAI</v>
      </c>
    </row>
    <row r="28" spans="1:54" x14ac:dyDescent="0.25">
      <c r="A28">
        <v>78</v>
      </c>
      <c r="B28" s="77">
        <v>44910.000000081018</v>
      </c>
      <c r="C28" s="14" t="s">
        <v>11</v>
      </c>
      <c r="D28" s="23" t="s">
        <v>86</v>
      </c>
      <c r="E28" s="23" t="s">
        <v>196</v>
      </c>
      <c r="F28" s="23">
        <v>56026.01335152</v>
      </c>
      <c r="G28" s="23">
        <v>50610.950902394499</v>
      </c>
      <c r="H28" s="23">
        <v>0.90334735375244002</v>
      </c>
      <c r="I28" s="23">
        <v>0</v>
      </c>
      <c r="J28" s="23" t="s">
        <v>88</v>
      </c>
      <c r="K28" s="24">
        <v>44910.000000081018</v>
      </c>
      <c r="L28" s="23">
        <v>1</v>
      </c>
      <c r="M28" s="23" t="s">
        <v>196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94" t="s">
        <v>267</v>
      </c>
      <c r="Y28" s="3" t="s">
        <v>135</v>
      </c>
      <c r="Z28" s="31">
        <v>-0.10338559999996733</v>
      </c>
      <c r="AA28" s="31">
        <v>-5.0497235654111137</v>
      </c>
      <c r="AD28" s="77">
        <f t="shared" si="12"/>
        <v>44910.000000081018</v>
      </c>
      <c r="AE28" s="14" t="str">
        <f t="shared" si="13"/>
        <v>-</v>
      </c>
      <c r="AF28" s="14" t="str">
        <f t="shared" si="14"/>
        <v>WALLET</v>
      </c>
      <c r="AG28" s="14" t="s">
        <v>135</v>
      </c>
      <c r="AH28" s="14">
        <v>-0.10338559999996733</v>
      </c>
      <c r="AI28" s="14">
        <v>-5.0497235654111137</v>
      </c>
      <c r="AJ28" s="14">
        <f t="shared" si="15"/>
        <v>48.843587167001104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DASH</v>
      </c>
      <c r="AP28" s="46"/>
      <c r="AQ28" s="47"/>
      <c r="AR28" s="48"/>
      <c r="AS28" s="25">
        <f t="shared" si="2"/>
        <v>0</v>
      </c>
      <c r="AT28" s="26" t="str">
        <f t="shared" si="3"/>
        <v>COIN</v>
      </c>
      <c r="AU28" s="26" t="str">
        <f t="shared" si="20"/>
        <v>SHORT</v>
      </c>
      <c r="AV28" s="26" t="str">
        <f t="shared" si="4"/>
        <v>COIN SHORT</v>
      </c>
      <c r="AW28" s="26">
        <f t="shared" si="5"/>
        <v>-5.0497235654111137</v>
      </c>
      <c r="AX28" s="26">
        <f t="shared" si="6"/>
        <v>48.843587167001104</v>
      </c>
      <c r="AY28" s="26">
        <f t="shared" si="7"/>
        <v>0</v>
      </c>
      <c r="AZ28" s="26">
        <f t="shared" si="8"/>
        <v>0</v>
      </c>
      <c r="BA28" s="23" t="s">
        <v>271</v>
      </c>
      <c r="BB28" t="str">
        <f t="shared" si="21"/>
        <v>DASH</v>
      </c>
    </row>
    <row r="29" spans="1:54" x14ac:dyDescent="0.25">
      <c r="A29">
        <v>79</v>
      </c>
      <c r="B29" s="77">
        <v>44910.000000081018</v>
      </c>
      <c r="C29" s="14" t="s">
        <v>11</v>
      </c>
      <c r="D29" s="23" t="s">
        <v>86</v>
      </c>
      <c r="E29" s="23" t="s">
        <v>567</v>
      </c>
      <c r="F29" s="23">
        <v>14.148957319999999</v>
      </c>
      <c r="G29" s="23">
        <v>8576.4989890877805</v>
      </c>
      <c r="H29" s="23">
        <v>606.15766908594901</v>
      </c>
      <c r="I29" s="23">
        <v>0</v>
      </c>
      <c r="J29" s="23" t="s">
        <v>88</v>
      </c>
      <c r="K29" s="24">
        <v>44910.000000081018</v>
      </c>
      <c r="L29" s="23">
        <v>1</v>
      </c>
      <c r="M29" s="23" t="s">
        <v>567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94" t="s">
        <v>267</v>
      </c>
      <c r="Y29" s="3" t="s">
        <v>193</v>
      </c>
      <c r="Z29" s="31">
        <v>110560.80935360992</v>
      </c>
      <c r="AA29" s="31">
        <v>9786.2228976837287</v>
      </c>
      <c r="AD29" s="77">
        <f t="shared" si="12"/>
        <v>44910.000000081018</v>
      </c>
      <c r="AE29" s="14" t="str">
        <f t="shared" si="13"/>
        <v>-</v>
      </c>
      <c r="AF29" s="14" t="str">
        <f t="shared" si="14"/>
        <v>WALLET</v>
      </c>
      <c r="AG29" s="14" t="s">
        <v>193</v>
      </c>
      <c r="AH29" s="14">
        <v>110560.80935360992</v>
      </c>
      <c r="AI29" s="14">
        <v>9786.2228976837287</v>
      </c>
      <c r="AJ29" s="14">
        <f t="shared" si="15"/>
        <v>8.8514392712015721E-2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DOGE</v>
      </c>
      <c r="AP29" s="46"/>
      <c r="AQ29" s="47"/>
      <c r="AR29" s="48"/>
      <c r="AS29" s="25">
        <f t="shared" si="2"/>
        <v>0</v>
      </c>
      <c r="AT29" s="26" t="str">
        <f t="shared" si="3"/>
        <v>COIN</v>
      </c>
      <c r="AU29" s="26" t="str">
        <f t="shared" si="20"/>
        <v>LONG</v>
      </c>
      <c r="AV29" s="26" t="str">
        <f t="shared" si="4"/>
        <v>COIN LONG</v>
      </c>
      <c r="AW29" s="26">
        <f t="shared" si="5"/>
        <v>9786.2228976837287</v>
      </c>
      <c r="AX29" s="26">
        <f t="shared" si="6"/>
        <v>8.8514392712015721E-2</v>
      </c>
      <c r="AY29" s="26">
        <f t="shared" si="7"/>
        <v>0</v>
      </c>
      <c r="AZ29" s="26">
        <f t="shared" si="8"/>
        <v>0</v>
      </c>
      <c r="BA29" s="23" t="s">
        <v>271</v>
      </c>
      <c r="BB29" t="str">
        <f t="shared" si="21"/>
        <v>DOGE</v>
      </c>
    </row>
    <row r="30" spans="1:54" x14ac:dyDescent="0.25">
      <c r="A30">
        <v>80</v>
      </c>
      <c r="B30" s="77">
        <v>44910.000000081018</v>
      </c>
      <c r="C30" s="14" t="s">
        <v>11</v>
      </c>
      <c r="D30" s="23" t="s">
        <v>86</v>
      </c>
      <c r="E30" s="23" t="s">
        <v>153</v>
      </c>
      <c r="F30" s="23">
        <v>24304.849819300001</v>
      </c>
      <c r="G30" s="23">
        <v>28626.799650125002</v>
      </c>
      <c r="H30" s="23">
        <v>1.1778225277242</v>
      </c>
      <c r="I30" s="23">
        <v>0</v>
      </c>
      <c r="J30" s="23" t="s">
        <v>88</v>
      </c>
      <c r="K30" s="24">
        <v>44910.000000081018</v>
      </c>
      <c r="L30" s="23">
        <v>1</v>
      </c>
      <c r="M30" s="23" t="s">
        <v>153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94" t="s">
        <v>267</v>
      </c>
      <c r="Y30" s="3" t="s">
        <v>136</v>
      </c>
      <c r="Z30" s="31">
        <v>5.9800000000000001E-4</v>
      </c>
      <c r="AA30" s="31">
        <v>2.9903151768703602E-6</v>
      </c>
      <c r="AD30" s="77">
        <f t="shared" si="12"/>
        <v>44910.000000081018</v>
      </c>
      <c r="AE30" s="14" t="str">
        <f t="shared" si="13"/>
        <v>-</v>
      </c>
      <c r="AF30" s="14" t="str">
        <f t="shared" si="14"/>
        <v>WALLET</v>
      </c>
      <c r="AG30" s="14" t="s">
        <v>136</v>
      </c>
      <c r="AH30" s="14">
        <v>5.9800000000000001E-4</v>
      </c>
      <c r="AI30" s="14">
        <v>2.9903151768703602E-6</v>
      </c>
      <c r="AJ30" s="14">
        <f t="shared" si="15"/>
        <v>5.000527051622676E-3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DON</v>
      </c>
      <c r="AP30" s="46"/>
      <c r="AQ30" s="47"/>
      <c r="AR30" s="48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2.9903151768703602E-6</v>
      </c>
      <c r="AX30" s="26">
        <f t="shared" si="6"/>
        <v>5.000527051622676E-3</v>
      </c>
      <c r="AY30" s="26">
        <f t="shared" si="7"/>
        <v>0</v>
      </c>
      <c r="AZ30" s="26">
        <f t="shared" si="8"/>
        <v>0</v>
      </c>
      <c r="BA30" s="23" t="s">
        <v>271</v>
      </c>
      <c r="BB30" t="str">
        <f t="shared" si="21"/>
        <v>DON</v>
      </c>
    </row>
    <row r="31" spans="1:54" x14ac:dyDescent="0.25">
      <c r="A31">
        <v>81</v>
      </c>
      <c r="B31" s="77">
        <v>44910.000000081018</v>
      </c>
      <c r="C31" s="14" t="s">
        <v>11</v>
      </c>
      <c r="D31" s="23" t="s">
        <v>86</v>
      </c>
      <c r="E31" s="23" t="s">
        <v>92</v>
      </c>
      <c r="F31" s="23">
        <v>579497.75941952004</v>
      </c>
      <c r="G31" s="23">
        <v>47042.394575068101</v>
      </c>
      <c r="H31" s="23">
        <v>8.1177871372945895E-2</v>
      </c>
      <c r="I31" s="23">
        <v>0</v>
      </c>
      <c r="J31" s="23" t="s">
        <v>88</v>
      </c>
      <c r="K31" s="24">
        <v>44910.000000081018</v>
      </c>
      <c r="L31" s="23">
        <v>1</v>
      </c>
      <c r="M31" s="23" t="s">
        <v>92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94" t="s">
        <v>267</v>
      </c>
      <c r="Y31" s="3" t="s">
        <v>23</v>
      </c>
      <c r="Z31" s="31">
        <v>103.38961905999713</v>
      </c>
      <c r="AA31" s="31">
        <v>539.19854947024214</v>
      </c>
      <c r="AD31" s="77">
        <f t="shared" si="12"/>
        <v>44910.000000081018</v>
      </c>
      <c r="AE31" s="14" t="str">
        <f t="shared" si="13"/>
        <v>-</v>
      </c>
      <c r="AF31" s="14" t="str">
        <f t="shared" si="14"/>
        <v>WALLET</v>
      </c>
      <c r="AG31" s="14" t="s">
        <v>23</v>
      </c>
      <c r="AH31" s="14">
        <v>103.38961905999713</v>
      </c>
      <c r="AI31" s="14">
        <v>539.19854947024214</v>
      </c>
      <c r="AJ31" s="14">
        <f t="shared" si="15"/>
        <v>5.2152097509648865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DOT</v>
      </c>
      <c r="AP31" s="46"/>
      <c r="AQ31" s="47"/>
      <c r="AR31" s="48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539.19854947024214</v>
      </c>
      <c r="AX31" s="26">
        <f t="shared" si="6"/>
        <v>5.2152097509648865</v>
      </c>
      <c r="AY31" s="26">
        <f t="shared" si="7"/>
        <v>0</v>
      </c>
      <c r="AZ31" s="26">
        <f t="shared" si="8"/>
        <v>0</v>
      </c>
      <c r="BA31" s="23" t="s">
        <v>271</v>
      </c>
      <c r="BB31" t="str">
        <f t="shared" si="21"/>
        <v>DOT</v>
      </c>
    </row>
    <row r="32" spans="1:54" x14ac:dyDescent="0.25">
      <c r="A32">
        <v>82</v>
      </c>
      <c r="B32" s="77">
        <v>44910.000000081018</v>
      </c>
      <c r="C32" s="14" t="s">
        <v>11</v>
      </c>
      <c r="D32" s="23" t="s">
        <v>86</v>
      </c>
      <c r="E32" s="23" t="s">
        <v>38</v>
      </c>
      <c r="F32" s="23">
        <v>3891093088.6999998</v>
      </c>
      <c r="G32" s="23">
        <v>34913.829521849402</v>
      </c>
      <c r="H32" s="23">
        <v>8.9727561705582505E-6</v>
      </c>
      <c r="I32" s="23">
        <v>0</v>
      </c>
      <c r="J32" s="23" t="s">
        <v>88</v>
      </c>
      <c r="K32" s="24">
        <v>44910.000000081018</v>
      </c>
      <c r="L32" s="23">
        <v>1</v>
      </c>
      <c r="M32" s="23" t="s">
        <v>38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94" t="s">
        <v>267</v>
      </c>
      <c r="Y32" s="3" t="s">
        <v>29</v>
      </c>
      <c r="Z32" s="31">
        <v>1001.6662486300011</v>
      </c>
      <c r="AA32" s="31">
        <v>300.76433505721434</v>
      </c>
      <c r="AD32" s="77">
        <f t="shared" si="12"/>
        <v>44910.000000081018</v>
      </c>
      <c r="AE32" s="14" t="str">
        <f t="shared" si="13"/>
        <v>-</v>
      </c>
      <c r="AF32" s="14" t="str">
        <f t="shared" si="14"/>
        <v>WALLET</v>
      </c>
      <c r="AG32" s="14" t="s">
        <v>29</v>
      </c>
      <c r="AH32" s="14">
        <v>1001.6662486300011</v>
      </c>
      <c r="AI32" s="14">
        <v>300.76433505721434</v>
      </c>
      <c r="AJ32" s="14">
        <f t="shared" si="15"/>
        <v>0.3002640205443437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ENJ</v>
      </c>
      <c r="AP32" s="46"/>
      <c r="AQ32" s="47"/>
      <c r="AR32" s="48"/>
      <c r="AS32" s="25">
        <f t="shared" si="2"/>
        <v>0</v>
      </c>
      <c r="AT32" s="26" t="str">
        <f t="shared" si="3"/>
        <v>COIN</v>
      </c>
      <c r="AU32" s="26" t="str">
        <f t="shared" si="20"/>
        <v>LONG</v>
      </c>
      <c r="AV32" s="26" t="str">
        <f t="shared" si="4"/>
        <v>COIN LONG</v>
      </c>
      <c r="AW32" s="26">
        <f t="shared" si="5"/>
        <v>300.76433505721434</v>
      </c>
      <c r="AX32" s="26">
        <f t="shared" si="6"/>
        <v>0.3002640205443437</v>
      </c>
      <c r="AY32" s="26">
        <f t="shared" si="7"/>
        <v>0</v>
      </c>
      <c r="AZ32" s="26">
        <f t="shared" si="8"/>
        <v>0</v>
      </c>
      <c r="BA32" s="23" t="s">
        <v>271</v>
      </c>
      <c r="BB32" t="str">
        <f t="shared" si="21"/>
        <v>ENJ</v>
      </c>
    </row>
    <row r="33" spans="1:54" x14ac:dyDescent="0.25">
      <c r="A33">
        <v>83</v>
      </c>
      <c r="B33" s="77">
        <v>44910.000000081018</v>
      </c>
      <c r="C33" s="14" t="s">
        <v>11</v>
      </c>
      <c r="D33" s="23" t="s">
        <v>86</v>
      </c>
      <c r="E33" s="23" t="s">
        <v>157</v>
      </c>
      <c r="F33" s="23">
        <v>4911.3312864700001</v>
      </c>
      <c r="G33" s="23">
        <v>69448.808727044394</v>
      </c>
      <c r="H33" s="23">
        <v>14.1405261987448</v>
      </c>
      <c r="I33" s="23">
        <v>0</v>
      </c>
      <c r="J33" s="23" t="s">
        <v>88</v>
      </c>
      <c r="K33" s="24">
        <v>44910.000000081018</v>
      </c>
      <c r="L33" s="23">
        <v>1</v>
      </c>
      <c r="M33" s="23" t="s">
        <v>157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94" t="s">
        <v>267</v>
      </c>
      <c r="Y33" s="3" t="s">
        <v>24</v>
      </c>
      <c r="Z33" s="31">
        <v>-767465.41713713016</v>
      </c>
      <c r="AA33" s="31">
        <v>-750597.55313258292</v>
      </c>
      <c r="AD33" s="77">
        <f t="shared" si="12"/>
        <v>44910.000000081018</v>
      </c>
      <c r="AE33" s="14" t="str">
        <f t="shared" si="13"/>
        <v>-</v>
      </c>
      <c r="AF33" s="14" t="str">
        <f t="shared" si="14"/>
        <v>WALLET</v>
      </c>
      <c r="AG33" s="14" t="s">
        <v>24</v>
      </c>
      <c r="AH33" s="14">
        <v>-767465.41713713016</v>
      </c>
      <c r="AI33" s="14">
        <v>-750597.55313258292</v>
      </c>
      <c r="AJ33" s="14">
        <f t="shared" si="15"/>
        <v>0.97802133669101432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EOS</v>
      </c>
      <c r="AP33" s="46"/>
      <c r="AQ33" s="47"/>
      <c r="AR33" s="48"/>
      <c r="AS33" s="25">
        <f t="shared" si="2"/>
        <v>0</v>
      </c>
      <c r="AT33" s="26" t="str">
        <f t="shared" si="3"/>
        <v>COIN</v>
      </c>
      <c r="AU33" s="26" t="str">
        <f t="shared" si="20"/>
        <v>SHORT</v>
      </c>
      <c r="AV33" s="26" t="str">
        <f t="shared" si="4"/>
        <v>COIN SHORT</v>
      </c>
      <c r="AW33" s="26">
        <f t="shared" si="5"/>
        <v>-750597.55313258292</v>
      </c>
      <c r="AX33" s="26">
        <f t="shared" si="6"/>
        <v>0.97802133669101432</v>
      </c>
      <c r="AY33" s="26">
        <f t="shared" si="7"/>
        <v>0</v>
      </c>
      <c r="AZ33" s="26">
        <f t="shared" si="8"/>
        <v>0</v>
      </c>
      <c r="BA33" s="23" t="s">
        <v>271</v>
      </c>
      <c r="BB33" t="str">
        <f t="shared" si="21"/>
        <v>EOS</v>
      </c>
    </row>
    <row r="34" spans="1:54" x14ac:dyDescent="0.25">
      <c r="A34">
        <v>84</v>
      </c>
      <c r="B34" s="77">
        <v>44910.000000081018</v>
      </c>
      <c r="C34" s="14" t="s">
        <v>11</v>
      </c>
      <c r="D34" s="23" t="s">
        <v>86</v>
      </c>
      <c r="E34" s="23" t="s">
        <v>615</v>
      </c>
      <c r="F34" s="23">
        <v>28471.638187349999</v>
      </c>
      <c r="G34" s="23">
        <v>31878.4033128544</v>
      </c>
      <c r="H34" s="23">
        <v>1.1196546929645199</v>
      </c>
      <c r="I34" s="23">
        <v>0</v>
      </c>
      <c r="J34" s="23" t="s">
        <v>88</v>
      </c>
      <c r="K34" s="24">
        <v>44910.000000081018</v>
      </c>
      <c r="L34" s="23">
        <v>1</v>
      </c>
      <c r="M34" s="23" t="s">
        <v>615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94" t="s">
        <v>267</v>
      </c>
      <c r="Y34" s="3" t="s">
        <v>30</v>
      </c>
      <c r="Z34" s="31">
        <v>-373.60692171000636</v>
      </c>
      <c r="AA34" s="31">
        <v>-7019.2099914582614</v>
      </c>
      <c r="AD34" s="77">
        <f t="shared" si="12"/>
        <v>44910.000000081018</v>
      </c>
      <c r="AE34" s="14" t="str">
        <f t="shared" si="13"/>
        <v>-</v>
      </c>
      <c r="AF34" s="14" t="str">
        <f t="shared" si="14"/>
        <v>WALLET</v>
      </c>
      <c r="AG34" s="14" t="s">
        <v>30</v>
      </c>
      <c r="AH34" s="14">
        <v>-373.60692171000636</v>
      </c>
      <c r="AI34" s="14">
        <v>-7019.2099914582614</v>
      </c>
      <c r="AJ34" s="14">
        <f t="shared" si="15"/>
        <v>18.787687228414281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ETC</v>
      </c>
      <c r="AP34" s="46"/>
      <c r="AQ34" s="47"/>
      <c r="AR34" s="48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SHORT</v>
      </c>
      <c r="AV34" s="26" t="str">
        <f t="shared" ref="AV34:AV65" si="23">IF($AE34="","",$AT34&amp;" "&amp;$AU34)</f>
        <v>COIN SHORT</v>
      </c>
      <c r="AW34" s="26">
        <f t="shared" ref="AW34:AW65" si="24">IF($AE34="","",$AI34*(1+$AY34))</f>
        <v>-7019.2099914582614</v>
      </c>
      <c r="AX34" s="26">
        <f t="shared" ref="AX34:AX65" si="25">IF($AE34="","",$AJ34*(1+$AY34))</f>
        <v>18.787687228414281</v>
      </c>
      <c r="AY34" s="26">
        <f t="shared" si="7"/>
        <v>0</v>
      </c>
      <c r="AZ34" s="26">
        <f t="shared" ref="AZ34:AZ65" si="26">IF($AE34="","",$AI34-$AW34)</f>
        <v>0</v>
      </c>
      <c r="BA34" s="23" t="s">
        <v>271</v>
      </c>
      <c r="BB34" t="str">
        <f t="shared" si="21"/>
        <v>ETC</v>
      </c>
    </row>
    <row r="35" spans="1:54" x14ac:dyDescent="0.25">
      <c r="A35">
        <v>85</v>
      </c>
      <c r="B35" s="77">
        <v>44910.000000081018</v>
      </c>
      <c r="C35" s="14" t="s">
        <v>11</v>
      </c>
      <c r="D35" s="23" t="s">
        <v>86</v>
      </c>
      <c r="E35" s="23" t="s">
        <v>162</v>
      </c>
      <c r="F35" s="23">
        <v>5519.2358653000001</v>
      </c>
      <c r="G35" s="23">
        <v>32671.8752635192</v>
      </c>
      <c r="H35" s="23">
        <v>5.9196374391119297</v>
      </c>
      <c r="I35" s="23">
        <v>0</v>
      </c>
      <c r="J35" s="23" t="s">
        <v>88</v>
      </c>
      <c r="K35" s="24">
        <v>44910.000000081018</v>
      </c>
      <c r="L35" s="23">
        <v>1</v>
      </c>
      <c r="M35" s="23" t="s">
        <v>162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UNI COIN LONG</v>
      </c>
      <c r="X35" s="94" t="s">
        <v>267</v>
      </c>
      <c r="Y35" s="3" t="s">
        <v>16</v>
      </c>
      <c r="Z35" s="31">
        <v>11260.390717639988</v>
      </c>
      <c r="AA35" s="31">
        <v>14743552.48007571</v>
      </c>
      <c r="AD35" s="77">
        <f t="shared" si="12"/>
        <v>44910.000000081018</v>
      </c>
      <c r="AE35" s="14" t="str">
        <f t="shared" si="13"/>
        <v>-</v>
      </c>
      <c r="AF35" s="14" t="str">
        <f t="shared" si="14"/>
        <v>WALLET</v>
      </c>
      <c r="AG35" s="14" t="s">
        <v>16</v>
      </c>
      <c r="AH35" s="14">
        <v>11260.390717639988</v>
      </c>
      <c r="AI35" s="14">
        <v>14743552.48007571</v>
      </c>
      <c r="AJ35" s="14">
        <f t="shared" si="15"/>
        <v>1309.3286769329563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</v>
      </c>
      <c r="AP35" s="46"/>
      <c r="AQ35" s="47"/>
      <c r="AR35" s="48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14743552.48007571</v>
      </c>
      <c r="AX35" s="26">
        <f t="shared" si="25"/>
        <v>1309.3286769329563</v>
      </c>
      <c r="AY35" s="26">
        <f t="shared" si="7"/>
        <v>0</v>
      </c>
      <c r="AZ35" s="26">
        <f t="shared" si="26"/>
        <v>0</v>
      </c>
      <c r="BA35" s="23" t="s">
        <v>271</v>
      </c>
      <c r="BB35" t="str">
        <f t="shared" si="21"/>
        <v>ETH</v>
      </c>
    </row>
    <row r="36" spans="1:54" x14ac:dyDescent="0.25">
      <c r="A36">
        <v>86</v>
      </c>
      <c r="B36" s="77">
        <v>44910.000000081018</v>
      </c>
      <c r="C36" s="14" t="s">
        <v>11</v>
      </c>
      <c r="D36" s="23" t="s">
        <v>86</v>
      </c>
      <c r="E36" s="23" t="s">
        <v>39</v>
      </c>
      <c r="F36" s="23">
        <v>1097551.0372077101</v>
      </c>
      <c r="G36" s="23">
        <v>1097666.7304187301</v>
      </c>
      <c r="H36" s="23">
        <v>1.0001054103245299</v>
      </c>
      <c r="I36" s="23">
        <v>0</v>
      </c>
      <c r="J36" s="23" t="s">
        <v>88</v>
      </c>
      <c r="K36" s="24">
        <v>44910.000000081018</v>
      </c>
      <c r="L36" s="23">
        <v>1</v>
      </c>
      <c r="M36" s="23" t="s">
        <v>39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USDT COIN LONG</v>
      </c>
      <c r="X36" s="94" t="s">
        <v>267</v>
      </c>
      <c r="Y36" s="3" t="s">
        <v>297</v>
      </c>
      <c r="Z36" s="31">
        <v>9823.8374246499989</v>
      </c>
      <c r="AA36" s="31">
        <v>2259.6461623143196</v>
      </c>
      <c r="AD36" s="77">
        <f t="shared" si="12"/>
        <v>44910.000000081018</v>
      </c>
      <c r="AE36" s="14" t="str">
        <f t="shared" si="13"/>
        <v>-</v>
      </c>
      <c r="AF36" s="14" t="str">
        <f t="shared" si="14"/>
        <v>WALLET</v>
      </c>
      <c r="AG36" s="14" t="s">
        <v>297</v>
      </c>
      <c r="AH36" s="14">
        <v>9823.8374246499989</v>
      </c>
      <c r="AI36" s="14">
        <v>2259.6461623143196</v>
      </c>
      <c r="AJ36" s="14">
        <f t="shared" si="15"/>
        <v>0.2300166487532061</v>
      </c>
      <c r="AK36" s="14">
        <f t="shared" si="16"/>
        <v>0</v>
      </c>
      <c r="AL36" s="14" t="str">
        <f t="shared" si="17"/>
        <v>COIN</v>
      </c>
      <c r="AM36" s="24"/>
      <c r="AN36" s="14">
        <f t="shared" si="18"/>
        <v>1</v>
      </c>
      <c r="AO36" s="14" t="str">
        <f t="shared" si="19"/>
        <v>ETHF</v>
      </c>
      <c r="AP36" s="46"/>
      <c r="AQ36" s="47"/>
      <c r="AR36" s="48"/>
      <c r="AS36" s="25">
        <f t="shared" si="2"/>
        <v>0</v>
      </c>
      <c r="AT36" s="26" t="str">
        <f t="shared" si="22"/>
        <v>COIN</v>
      </c>
      <c r="AU36" s="26" t="str">
        <f t="shared" si="20"/>
        <v>LONG</v>
      </c>
      <c r="AV36" s="26" t="str">
        <f t="shared" si="23"/>
        <v>COIN LONG</v>
      </c>
      <c r="AW36" s="26">
        <f t="shared" si="24"/>
        <v>2259.6461623143196</v>
      </c>
      <c r="AX36" s="26">
        <f t="shared" si="25"/>
        <v>0.2300166487532061</v>
      </c>
      <c r="AY36" s="26">
        <f t="shared" si="7"/>
        <v>0</v>
      </c>
      <c r="AZ36" s="26">
        <f t="shared" si="26"/>
        <v>0</v>
      </c>
      <c r="BA36" s="23" t="s">
        <v>271</v>
      </c>
      <c r="BB36" t="str">
        <f t="shared" si="21"/>
        <v>ETHF</v>
      </c>
    </row>
    <row r="37" spans="1:54" x14ac:dyDescent="0.25">
      <c r="A37">
        <v>87</v>
      </c>
      <c r="B37" s="77">
        <v>44910.000000081018</v>
      </c>
      <c r="C37" s="14" t="s">
        <v>11</v>
      </c>
      <c r="D37" s="23" t="s">
        <v>86</v>
      </c>
      <c r="E37" s="23" t="s">
        <v>166</v>
      </c>
      <c r="F37" s="23">
        <v>497026.08497730002</v>
      </c>
      <c r="G37" s="23">
        <v>41260.018665677497</v>
      </c>
      <c r="H37" s="23">
        <v>8.3013789241186201E-2</v>
      </c>
      <c r="I37" s="23">
        <v>0</v>
      </c>
      <c r="J37" s="23" t="s">
        <v>88</v>
      </c>
      <c r="K37" s="24">
        <v>44910.000000081018</v>
      </c>
      <c r="L37" s="23">
        <v>1</v>
      </c>
      <c r="M37" s="23" t="s">
        <v>166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XLM COIN LONG</v>
      </c>
      <c r="X37" s="94" t="s">
        <v>267</v>
      </c>
      <c r="Y37" s="3" t="s">
        <v>275</v>
      </c>
      <c r="Z37" s="31">
        <v>4732.5387514900003</v>
      </c>
      <c r="AA37" s="31">
        <v>16755.611041088341</v>
      </c>
      <c r="AD37" s="77">
        <f t="shared" si="12"/>
        <v>44910.000000081018</v>
      </c>
      <c r="AE37" s="14" t="str">
        <f t="shared" si="13"/>
        <v>-</v>
      </c>
      <c r="AF37" s="14" t="str">
        <f t="shared" si="14"/>
        <v>WALLET</v>
      </c>
      <c r="AG37" s="14" t="s">
        <v>275</v>
      </c>
      <c r="AH37" s="14">
        <v>4732.5387514900003</v>
      </c>
      <c r="AI37" s="14">
        <v>16755.611041088341</v>
      </c>
      <c r="AJ37" s="14">
        <f t="shared" si="15"/>
        <v>3.5405121692480548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ETHW</v>
      </c>
      <c r="AP37" s="46"/>
      <c r="AQ37" s="47"/>
      <c r="AR37" s="48"/>
      <c r="AS37" s="25">
        <f t="shared" si="2"/>
        <v>0</v>
      </c>
      <c r="AT37" s="26" t="str">
        <f t="shared" si="22"/>
        <v>COIN</v>
      </c>
      <c r="AU37" s="26" t="str">
        <f t="shared" si="20"/>
        <v>LONG</v>
      </c>
      <c r="AV37" s="26" t="str">
        <f t="shared" si="23"/>
        <v>COIN LONG</v>
      </c>
      <c r="AW37" s="26">
        <f t="shared" si="24"/>
        <v>16755.611041088341</v>
      </c>
      <c r="AX37" s="26">
        <f t="shared" si="25"/>
        <v>3.5405121692480548</v>
      </c>
      <c r="AY37" s="26">
        <f t="shared" si="7"/>
        <v>0</v>
      </c>
      <c r="AZ37" s="26">
        <f t="shared" si="26"/>
        <v>0</v>
      </c>
      <c r="BA37" s="23" t="s">
        <v>271</v>
      </c>
      <c r="BB37" t="str">
        <f t="shared" si="21"/>
        <v>ETHW</v>
      </c>
    </row>
    <row r="38" spans="1:54" x14ac:dyDescent="0.25">
      <c r="A38">
        <v>88</v>
      </c>
      <c r="B38" s="77">
        <v>44910.000000081018</v>
      </c>
      <c r="C38" s="14" t="s">
        <v>11</v>
      </c>
      <c r="D38" s="23" t="s">
        <v>86</v>
      </c>
      <c r="E38" s="23" t="s">
        <v>167</v>
      </c>
      <c r="F38" s="23">
        <v>39920.39445</v>
      </c>
      <c r="G38" s="23">
        <v>37982.312929221203</v>
      </c>
      <c r="H38" s="23">
        <v>0.95145134341780602</v>
      </c>
      <c r="I38" s="23">
        <v>0</v>
      </c>
      <c r="J38" s="23" t="s">
        <v>88</v>
      </c>
      <c r="K38" s="24">
        <v>44910.000000081018</v>
      </c>
      <c r="L38" s="23">
        <v>1</v>
      </c>
      <c r="M38" s="23" t="s">
        <v>167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XTZ COIN LONG</v>
      </c>
      <c r="X38" s="94" t="s">
        <v>267</v>
      </c>
      <c r="Y38" s="3" t="s">
        <v>110</v>
      </c>
      <c r="Z38" s="31">
        <v>-29203315.697223648</v>
      </c>
      <c r="AA38" s="31">
        <v>-31197026.059873108</v>
      </c>
      <c r="AD38" s="77">
        <f t="shared" si="12"/>
        <v>44910.000000081018</v>
      </c>
      <c r="AE38" s="14" t="str">
        <f t="shared" si="13"/>
        <v>-</v>
      </c>
      <c r="AF38" s="14" t="str">
        <f t="shared" si="14"/>
        <v>WALLET</v>
      </c>
      <c r="AG38" s="14" t="s">
        <v>110</v>
      </c>
      <c r="AH38" s="14">
        <v>-29203315.697223648</v>
      </c>
      <c r="AI38" s="14">
        <v>-31197026.059873108</v>
      </c>
      <c r="AJ38" s="14">
        <f t="shared" si="15"/>
        <v>1.0682700000000001</v>
      </c>
      <c r="AK38" s="14">
        <f t="shared" si="16"/>
        <v>0</v>
      </c>
      <c r="AL38" s="14" t="str">
        <f t="shared" si="17"/>
        <v>CASH</v>
      </c>
      <c r="AM38" s="24"/>
      <c r="AN38" s="14">
        <f t="shared" si="18"/>
        <v>1</v>
      </c>
      <c r="AO38" s="14" t="str">
        <f t="shared" si="19"/>
        <v>EUR</v>
      </c>
      <c r="AP38" s="46"/>
      <c r="AQ38" s="47"/>
      <c r="AR38" s="48"/>
      <c r="AS38" s="25">
        <f t="shared" si="2"/>
        <v>0</v>
      </c>
      <c r="AT38" s="26" t="str">
        <f t="shared" si="22"/>
        <v>CASH</v>
      </c>
      <c r="AU38" s="26" t="str">
        <f t="shared" si="20"/>
        <v>SHORT</v>
      </c>
      <c r="AV38" s="26" t="str">
        <f t="shared" si="23"/>
        <v>CASH SHORT</v>
      </c>
      <c r="AW38" s="26">
        <f t="shared" si="24"/>
        <v>-31197026.059873108</v>
      </c>
      <c r="AX38" s="26">
        <f t="shared" si="25"/>
        <v>1.0682700000000001</v>
      </c>
      <c r="AY38" s="26">
        <f t="shared" si="7"/>
        <v>0</v>
      </c>
      <c r="AZ38" s="26">
        <f t="shared" si="26"/>
        <v>0</v>
      </c>
      <c r="BA38" s="23" t="s">
        <v>271</v>
      </c>
      <c r="BB38" t="str">
        <f t="shared" si="21"/>
        <v>EUR</v>
      </c>
    </row>
    <row r="39" spans="1:54" x14ac:dyDescent="0.25">
      <c r="A39">
        <v>89</v>
      </c>
      <c r="B39" s="77">
        <v>44910.000000081018</v>
      </c>
      <c r="C39" s="14" t="s">
        <v>11</v>
      </c>
      <c r="D39" s="23" t="s">
        <v>86</v>
      </c>
      <c r="E39" s="23" t="s">
        <v>174</v>
      </c>
      <c r="F39" s="23">
        <v>4.1090000000000002E-2</v>
      </c>
      <c r="G39" s="23">
        <v>265.14477758245903</v>
      </c>
      <c r="H39" s="23">
        <v>6452.7811531384496</v>
      </c>
      <c r="I39" s="23">
        <v>0</v>
      </c>
      <c r="J39" s="23" t="s">
        <v>88</v>
      </c>
      <c r="K39" s="24">
        <v>44910.000000081018</v>
      </c>
      <c r="L39" s="23">
        <v>1</v>
      </c>
      <c r="M39" s="23" t="s">
        <v>174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YFI COIN LONG</v>
      </c>
      <c r="X39" s="94" t="s">
        <v>267</v>
      </c>
      <c r="Y39" s="3" t="s">
        <v>261</v>
      </c>
      <c r="Z39" s="31">
        <v>-14654974.50162456</v>
      </c>
      <c r="AA39" s="31">
        <v>-15656370.060407372</v>
      </c>
      <c r="AD39" s="77">
        <f t="shared" si="12"/>
        <v>44910.000000081018</v>
      </c>
      <c r="AE39" s="14" t="str">
        <f t="shared" si="13"/>
        <v>-</v>
      </c>
      <c r="AF39" s="14" t="str">
        <f t="shared" si="14"/>
        <v>WALLET</v>
      </c>
      <c r="AG39" s="14" t="s">
        <v>261</v>
      </c>
      <c r="AH39" s="14">
        <v>-14654974.50162456</v>
      </c>
      <c r="AI39" s="14">
        <v>-15656370.060407372</v>
      </c>
      <c r="AJ39" s="14">
        <f t="shared" si="15"/>
        <v>1.0683314432701199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EUROC</v>
      </c>
      <c r="AP39" s="46"/>
      <c r="AQ39" s="47"/>
      <c r="AR39" s="48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-15656370.060407372</v>
      </c>
      <c r="AX39" s="26">
        <f t="shared" si="25"/>
        <v>1.0683314432701199</v>
      </c>
      <c r="AY39" s="26">
        <f t="shared" si="7"/>
        <v>0</v>
      </c>
      <c r="AZ39" s="26">
        <f t="shared" si="26"/>
        <v>0</v>
      </c>
      <c r="BA39" s="23" t="s">
        <v>271</v>
      </c>
      <c r="BB39" t="str">
        <f t="shared" si="21"/>
        <v>EUROC</v>
      </c>
    </row>
    <row r="40" spans="1:54" x14ac:dyDescent="0.25">
      <c r="A40">
        <v>90</v>
      </c>
      <c r="B40" s="77">
        <v>44910.000002511573</v>
      </c>
      <c r="C40" s="14" t="s">
        <v>11</v>
      </c>
      <c r="D40" s="23" t="s">
        <v>12</v>
      </c>
      <c r="E40" s="23" t="s">
        <v>15</v>
      </c>
      <c r="F40" s="23">
        <v>755.24808492</v>
      </c>
      <c r="G40" s="23">
        <v>13455235.434330299</v>
      </c>
      <c r="H40" s="23">
        <v>17815.649854650899</v>
      </c>
      <c r="I40" s="23">
        <v>0</v>
      </c>
      <c r="J40" s="23" t="s">
        <v>88</v>
      </c>
      <c r="K40" s="24">
        <v>44910.000002511573</v>
      </c>
      <c r="L40" s="23">
        <v>1</v>
      </c>
      <c r="M40" s="23" t="s">
        <v>15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BTC COIN LONG</v>
      </c>
      <c r="X40" s="94" t="s">
        <v>267</v>
      </c>
      <c r="Y40" s="3" t="s">
        <v>31</v>
      </c>
      <c r="Z40" s="31">
        <v>1.1855321999999999</v>
      </c>
      <c r="AA40" s="31">
        <v>5.0149075594361401</v>
      </c>
      <c r="AD40" s="77">
        <f t="shared" si="12"/>
        <v>44910.000000081018</v>
      </c>
      <c r="AE40" s="14" t="str">
        <f t="shared" si="13"/>
        <v>-</v>
      </c>
      <c r="AF40" s="14" t="str">
        <f t="shared" si="14"/>
        <v>WALLET</v>
      </c>
      <c r="AG40" s="14" t="s">
        <v>31</v>
      </c>
      <c r="AH40" s="14">
        <v>1.1855321999999999</v>
      </c>
      <c r="AI40" s="14">
        <v>5.0149075594361401</v>
      </c>
      <c r="AJ40" s="14">
        <f t="shared" si="15"/>
        <v>4.2300897094453784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FIL</v>
      </c>
      <c r="AP40" s="46"/>
      <c r="AQ40" s="47"/>
      <c r="AR40" s="48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5.0149075594361401</v>
      </c>
      <c r="AX40" s="26">
        <f t="shared" si="25"/>
        <v>4.2300897094453784</v>
      </c>
      <c r="AY40" s="26">
        <f t="shared" si="7"/>
        <v>0</v>
      </c>
      <c r="AZ40" s="26">
        <f t="shared" si="26"/>
        <v>0</v>
      </c>
      <c r="BA40" s="23" t="s">
        <v>271</v>
      </c>
      <c r="BB40" t="str">
        <f t="shared" si="21"/>
        <v>FIL</v>
      </c>
    </row>
    <row r="41" spans="1:54" x14ac:dyDescent="0.25">
      <c r="A41">
        <v>91</v>
      </c>
      <c r="B41" s="77">
        <v>44910.000002511573</v>
      </c>
      <c r="C41" s="14" t="s">
        <v>11</v>
      </c>
      <c r="D41" s="23" t="s">
        <v>12</v>
      </c>
      <c r="E41" s="23" t="s">
        <v>15</v>
      </c>
      <c r="F41" s="23">
        <v>-1.3556931999999999</v>
      </c>
      <c r="G41" s="23">
        <v>-24152.555361531198</v>
      </c>
      <c r="H41" s="23">
        <v>17815.649854650899</v>
      </c>
      <c r="I41" s="23">
        <v>0</v>
      </c>
      <c r="J41" s="23" t="s">
        <v>256</v>
      </c>
      <c r="K41" s="24">
        <v>44910.000002511573</v>
      </c>
      <c r="L41" s="23">
        <v>1</v>
      </c>
      <c r="M41" s="23" t="s">
        <v>15</v>
      </c>
      <c r="N41" s="25">
        <v>0</v>
      </c>
      <c r="O41" s="26" t="str">
        <f t="shared" si="0"/>
        <v>COIN</v>
      </c>
      <c r="P41" s="26" t="str">
        <f t="shared" si="9"/>
        <v>SHORT</v>
      </c>
      <c r="Q41" s="26" t="str">
        <f t="shared" si="10"/>
        <v>COIN SHORT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BTC COIN SHORT</v>
      </c>
      <c r="X41" s="94" t="s">
        <v>267</v>
      </c>
      <c r="Y41" s="3" t="s">
        <v>194</v>
      </c>
      <c r="Z41" s="31">
        <v>-3855.1312598299992</v>
      </c>
      <c r="AA41" s="31">
        <v>-927.61926184689946</v>
      </c>
      <c r="AD41" s="77">
        <f t="shared" si="12"/>
        <v>44910.000000081018</v>
      </c>
      <c r="AE41" s="14" t="str">
        <f t="shared" si="13"/>
        <v>-</v>
      </c>
      <c r="AF41" s="14" t="str">
        <f t="shared" si="14"/>
        <v>WALLET</v>
      </c>
      <c r="AG41" s="14" t="s">
        <v>194</v>
      </c>
      <c r="AH41" s="14">
        <v>-3855.1312598299992</v>
      </c>
      <c r="AI41" s="14">
        <v>-927.61926184689946</v>
      </c>
      <c r="AJ41" s="14">
        <f t="shared" si="15"/>
        <v>0.24061937177407675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FTM</v>
      </c>
      <c r="AP41" s="46"/>
      <c r="AQ41" s="47"/>
      <c r="AR41" s="48"/>
      <c r="AS41" s="25">
        <f t="shared" si="2"/>
        <v>0</v>
      </c>
      <c r="AT41" s="26" t="str">
        <f t="shared" si="22"/>
        <v>COIN</v>
      </c>
      <c r="AU41" s="26" t="str">
        <f t="shared" si="20"/>
        <v>SHORT</v>
      </c>
      <c r="AV41" s="26" t="str">
        <f t="shared" si="23"/>
        <v>COIN SHORT</v>
      </c>
      <c r="AW41" s="26">
        <f t="shared" si="24"/>
        <v>-927.61926184689946</v>
      </c>
      <c r="AX41" s="26">
        <f t="shared" si="25"/>
        <v>0.24061937177407675</v>
      </c>
      <c r="AY41" s="26">
        <f t="shared" si="7"/>
        <v>0</v>
      </c>
      <c r="AZ41" s="26">
        <f t="shared" si="26"/>
        <v>0</v>
      </c>
      <c r="BA41" s="23" t="s">
        <v>271</v>
      </c>
      <c r="BB41" t="str">
        <f t="shared" si="21"/>
        <v>FTM</v>
      </c>
    </row>
    <row r="42" spans="1:54" x14ac:dyDescent="0.25">
      <c r="A42">
        <v>92</v>
      </c>
      <c r="B42" s="77">
        <v>44910.000002511573</v>
      </c>
      <c r="C42" s="14" t="s">
        <v>11</v>
      </c>
      <c r="D42" s="23" t="s">
        <v>12</v>
      </c>
      <c r="E42" s="23" t="s">
        <v>16</v>
      </c>
      <c r="F42" s="23">
        <v>6196.1898552499997</v>
      </c>
      <c r="G42" s="23">
        <v>8112849.06519992</v>
      </c>
      <c r="H42" s="23">
        <v>1309.32867693296</v>
      </c>
      <c r="I42" s="23">
        <v>0</v>
      </c>
      <c r="J42" s="23" t="s">
        <v>88</v>
      </c>
      <c r="K42" s="24">
        <v>44910.000002511573</v>
      </c>
      <c r="L42" s="23">
        <v>1</v>
      </c>
      <c r="M42" s="23" t="s">
        <v>16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ETH COIN LONG</v>
      </c>
      <c r="X42" s="94" t="s">
        <v>267</v>
      </c>
      <c r="Y42" s="3" t="s">
        <v>112</v>
      </c>
      <c r="Z42" s="31">
        <v>3.2244594900000001</v>
      </c>
      <c r="AA42" s="31">
        <v>4.4215565173429621</v>
      </c>
      <c r="AD42" s="77">
        <f t="shared" si="12"/>
        <v>44910.000000081018</v>
      </c>
      <c r="AE42" s="14" t="str">
        <f t="shared" si="13"/>
        <v>-</v>
      </c>
      <c r="AF42" s="14" t="str">
        <f t="shared" si="14"/>
        <v>WALLET</v>
      </c>
      <c r="AG42" s="14" t="s">
        <v>112</v>
      </c>
      <c r="AH42" s="14">
        <v>3.2244594900000001</v>
      </c>
      <c r="AI42" s="14">
        <v>4.4215565173429621</v>
      </c>
      <c r="AJ42" s="14">
        <f t="shared" si="15"/>
        <v>1.3712550990500929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FTT</v>
      </c>
      <c r="AP42" s="46"/>
      <c r="AQ42" s="47"/>
      <c r="AR42" s="48"/>
      <c r="AS42" s="25">
        <f t="shared" si="2"/>
        <v>0</v>
      </c>
      <c r="AT42" s="26" t="str">
        <f t="shared" si="22"/>
        <v>COIN</v>
      </c>
      <c r="AU42" s="26" t="str">
        <f t="shared" si="20"/>
        <v>LONG</v>
      </c>
      <c r="AV42" s="26" t="str">
        <f t="shared" si="23"/>
        <v>COIN LONG</v>
      </c>
      <c r="AW42" s="26">
        <f t="shared" si="24"/>
        <v>4.4215565173429621</v>
      </c>
      <c r="AX42" s="26">
        <f t="shared" si="25"/>
        <v>1.3712550990500929</v>
      </c>
      <c r="AY42" s="26">
        <f t="shared" si="7"/>
        <v>0</v>
      </c>
      <c r="AZ42" s="26">
        <f t="shared" si="26"/>
        <v>0</v>
      </c>
      <c r="BA42" s="23" t="s">
        <v>271</v>
      </c>
      <c r="BB42" t="str">
        <f t="shared" si="21"/>
        <v>FTT</v>
      </c>
    </row>
    <row r="43" spans="1:54" x14ac:dyDescent="0.25">
      <c r="A43">
        <v>93</v>
      </c>
      <c r="B43" s="77">
        <v>44910.000002511573</v>
      </c>
      <c r="C43" s="14" t="s">
        <v>11</v>
      </c>
      <c r="D43" s="23" t="s">
        <v>12</v>
      </c>
      <c r="E43" s="23" t="s">
        <v>16</v>
      </c>
      <c r="F43" s="23">
        <v>45.487666580000003</v>
      </c>
      <c r="G43" s="23">
        <v>59558.306299959098</v>
      </c>
      <c r="H43" s="23">
        <v>1309.32867693296</v>
      </c>
      <c r="I43" s="23">
        <v>0</v>
      </c>
      <c r="J43" s="23" t="s">
        <v>256</v>
      </c>
      <c r="K43" s="24">
        <v>44910.000002511573</v>
      </c>
      <c r="L43" s="23">
        <v>1</v>
      </c>
      <c r="M43" s="23" t="s">
        <v>16</v>
      </c>
      <c r="N43" s="25">
        <v>0</v>
      </c>
      <c r="O43" s="26" t="str">
        <f t="shared" si="0"/>
        <v>COIN</v>
      </c>
      <c r="P43" s="26" t="str">
        <f t="shared" si="9"/>
        <v>LONG</v>
      </c>
      <c r="Q43" s="26" t="str">
        <f t="shared" si="10"/>
        <v>COIN LONG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ETH COIN LONG</v>
      </c>
      <c r="X43" s="94" t="s">
        <v>267</v>
      </c>
      <c r="Y43" s="3" t="s">
        <v>137</v>
      </c>
      <c r="Z43" s="31">
        <v>54.776400000000002</v>
      </c>
      <c r="AA43" s="31">
        <v>126.89314937976</v>
      </c>
      <c r="AD43" s="77">
        <f t="shared" si="12"/>
        <v>44910.000000081018</v>
      </c>
      <c r="AE43" s="14" t="str">
        <f t="shared" si="13"/>
        <v>-</v>
      </c>
      <c r="AF43" s="14" t="str">
        <f t="shared" si="14"/>
        <v>WALLET</v>
      </c>
      <c r="AG43" s="14" t="s">
        <v>137</v>
      </c>
      <c r="AH43" s="14">
        <v>54.776400000000002</v>
      </c>
      <c r="AI43" s="14">
        <v>126.89314937976</v>
      </c>
      <c r="AJ43" s="14">
        <f t="shared" si="15"/>
        <v>2.316566064578176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GAS</v>
      </c>
      <c r="AP43" s="46"/>
      <c r="AQ43" s="47"/>
      <c r="AR43" s="48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126.89314937976</v>
      </c>
      <c r="AX43" s="26">
        <f t="shared" si="25"/>
        <v>2.316566064578176</v>
      </c>
      <c r="AY43" s="26">
        <f t="shared" si="7"/>
        <v>0</v>
      </c>
      <c r="AZ43" s="26">
        <f t="shared" si="26"/>
        <v>0</v>
      </c>
      <c r="BA43" s="23" t="s">
        <v>271</v>
      </c>
      <c r="BB43" t="str">
        <f t="shared" si="21"/>
        <v>GAS</v>
      </c>
    </row>
    <row r="44" spans="1:54" x14ac:dyDescent="0.25">
      <c r="A44">
        <v>94</v>
      </c>
      <c r="B44" s="77">
        <v>44910.000002928238</v>
      </c>
      <c r="C44" s="14" t="s">
        <v>11</v>
      </c>
      <c r="D44" s="23" t="s">
        <v>94</v>
      </c>
      <c r="E44" s="23" t="s">
        <v>90</v>
      </c>
      <c r="F44" s="23">
        <v>2425.4498470899998</v>
      </c>
      <c r="G44" s="23">
        <v>650582.15023098805</v>
      </c>
      <c r="H44" s="23">
        <v>268.231541052701</v>
      </c>
      <c r="I44" s="23">
        <v>0</v>
      </c>
      <c r="J44" s="23" t="s">
        <v>88</v>
      </c>
      <c r="K44" s="24">
        <v>44910.000002928238</v>
      </c>
      <c r="L44" s="23">
        <v>1</v>
      </c>
      <c r="M44" s="23" t="s">
        <v>90</v>
      </c>
      <c r="N44" s="25">
        <v>0</v>
      </c>
      <c r="O44" s="26" t="str">
        <f t="shared" si="0"/>
        <v>COIN</v>
      </c>
      <c r="P44" s="26" t="str">
        <f t="shared" si="9"/>
        <v>LONG</v>
      </c>
      <c r="Q44" s="26" t="str">
        <f t="shared" si="10"/>
        <v>COIN LONG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BNB COIN LONG</v>
      </c>
      <c r="X44" s="94" t="s">
        <v>267</v>
      </c>
      <c r="Y44" s="3" t="s">
        <v>180</v>
      </c>
      <c r="Z44" s="31">
        <v>0.01</v>
      </c>
      <c r="AA44" s="31">
        <v>1.24276499999999E-2</v>
      </c>
      <c r="AD44" s="77">
        <f t="shared" si="12"/>
        <v>44910.000000081018</v>
      </c>
      <c r="AE44" s="14" t="str">
        <f t="shared" si="13"/>
        <v>-</v>
      </c>
      <c r="AF44" s="14" t="str">
        <f t="shared" si="14"/>
        <v>WALLET</v>
      </c>
      <c r="AG44" s="14" t="s">
        <v>180</v>
      </c>
      <c r="AH44" s="14">
        <v>0.01</v>
      </c>
      <c r="AI44" s="14">
        <v>1.24276499999999E-2</v>
      </c>
      <c r="AJ44" s="14">
        <f t="shared" si="15"/>
        <v>1.2427649999999899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GBP</v>
      </c>
      <c r="AP44" s="46"/>
      <c r="AQ44" s="47"/>
      <c r="AR44" s="48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1.24276499999999E-2</v>
      </c>
      <c r="AX44" s="26">
        <f t="shared" si="25"/>
        <v>1.2427649999999899</v>
      </c>
      <c r="AY44" s="26">
        <f t="shared" si="7"/>
        <v>0</v>
      </c>
      <c r="AZ44" s="26">
        <f t="shared" si="26"/>
        <v>0</v>
      </c>
      <c r="BA44" s="23" t="s">
        <v>271</v>
      </c>
      <c r="BB44" t="str">
        <f t="shared" si="21"/>
        <v>GBP</v>
      </c>
    </row>
    <row r="45" spans="1:54" x14ac:dyDescent="0.25">
      <c r="A45">
        <v>95</v>
      </c>
      <c r="B45" s="77">
        <v>44910.000002928238</v>
      </c>
      <c r="C45" s="14" t="s">
        <v>11</v>
      </c>
      <c r="D45" s="23" t="s">
        <v>94</v>
      </c>
      <c r="E45" s="23" t="s">
        <v>15</v>
      </c>
      <c r="F45" s="23">
        <v>713.93965645000003</v>
      </c>
      <c r="G45" s="23">
        <v>12719298.936662899</v>
      </c>
      <c r="H45" s="23">
        <v>17815.649854650899</v>
      </c>
      <c r="I45" s="23">
        <v>0</v>
      </c>
      <c r="J45" s="23" t="s">
        <v>88</v>
      </c>
      <c r="K45" s="24">
        <v>44910.000002928238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BTC COIN LONG</v>
      </c>
      <c r="X45" s="94" t="s">
        <v>267</v>
      </c>
      <c r="Y45" s="3" t="s">
        <v>138</v>
      </c>
      <c r="Z45" s="31">
        <v>161.16685131995473</v>
      </c>
      <c r="AA45" s="31">
        <v>7.5230865019657358</v>
      </c>
      <c r="AD45" s="77">
        <f t="shared" si="12"/>
        <v>44910.000000081018</v>
      </c>
      <c r="AE45" s="14" t="str">
        <f t="shared" si="13"/>
        <v>-</v>
      </c>
      <c r="AF45" s="14" t="str">
        <f t="shared" si="14"/>
        <v>WALLET</v>
      </c>
      <c r="AG45" s="14" t="s">
        <v>138</v>
      </c>
      <c r="AH45" s="14">
        <v>161.16685131995473</v>
      </c>
      <c r="AI45" s="14">
        <v>7.5230865019657358</v>
      </c>
      <c r="AJ45" s="14">
        <f t="shared" si="15"/>
        <v>4.6678870005536131E-2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HBAR</v>
      </c>
      <c r="AP45" s="46"/>
      <c r="AQ45" s="47"/>
      <c r="AR45" s="48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7.5230865019657358</v>
      </c>
      <c r="AX45" s="26">
        <f t="shared" si="25"/>
        <v>4.6678870005536131E-2</v>
      </c>
      <c r="AY45" s="26">
        <f t="shared" si="7"/>
        <v>0</v>
      </c>
      <c r="AZ45" s="26">
        <f t="shared" si="26"/>
        <v>0</v>
      </c>
      <c r="BA45" s="23" t="s">
        <v>271</v>
      </c>
      <c r="BB45" t="str">
        <f t="shared" si="21"/>
        <v>HBAR</v>
      </c>
    </row>
    <row r="46" spans="1:54" x14ac:dyDescent="0.25">
      <c r="A46">
        <v>96</v>
      </c>
      <c r="B46" s="77">
        <v>44910.000002928238</v>
      </c>
      <c r="C46" s="14" t="s">
        <v>11</v>
      </c>
      <c r="D46" s="23" t="s">
        <v>94</v>
      </c>
      <c r="E46" s="23" t="s">
        <v>24</v>
      </c>
      <c r="F46" s="23">
        <v>27051.7</v>
      </c>
      <c r="G46" s="23">
        <v>26457.1397937642</v>
      </c>
      <c r="H46" s="23">
        <v>0.97802133669101299</v>
      </c>
      <c r="I46" s="23">
        <v>0</v>
      </c>
      <c r="J46" s="23" t="s">
        <v>88</v>
      </c>
      <c r="K46" s="24">
        <v>44910.000002928238</v>
      </c>
      <c r="L46" s="23">
        <v>1</v>
      </c>
      <c r="M46" s="23" t="s">
        <v>24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EOS COIN LONG</v>
      </c>
      <c r="X46" s="94" t="s">
        <v>267</v>
      </c>
      <c r="Y46" s="3" t="s">
        <v>139</v>
      </c>
      <c r="Z46" s="31">
        <v>5337.6979873099999</v>
      </c>
      <c r="AA46" s="31">
        <v>4.2889520671411701</v>
      </c>
      <c r="AD46" s="77">
        <f t="shared" si="12"/>
        <v>44910.000000081018</v>
      </c>
      <c r="AE46" s="14" t="str">
        <f t="shared" si="13"/>
        <v>-</v>
      </c>
      <c r="AF46" s="14" t="str">
        <f t="shared" si="14"/>
        <v>WALLET</v>
      </c>
      <c r="AG46" s="14" t="s">
        <v>139</v>
      </c>
      <c r="AH46" s="14">
        <v>5337.6979873099999</v>
      </c>
      <c r="AI46" s="14">
        <v>4.2889520671411701</v>
      </c>
      <c r="AJ46" s="14">
        <f t="shared" si="15"/>
        <v>8.035209330572563E-4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HPT</v>
      </c>
      <c r="AP46" s="46"/>
      <c r="AQ46" s="47"/>
      <c r="AR46" s="48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4.2889520671411701</v>
      </c>
      <c r="AX46" s="26">
        <f t="shared" si="25"/>
        <v>8.035209330572563E-4</v>
      </c>
      <c r="AY46" s="26">
        <f t="shared" si="7"/>
        <v>0</v>
      </c>
      <c r="AZ46" s="26">
        <f t="shared" si="26"/>
        <v>0</v>
      </c>
      <c r="BA46" s="23" t="s">
        <v>271</v>
      </c>
      <c r="BB46" t="str">
        <f t="shared" si="21"/>
        <v>HPT</v>
      </c>
    </row>
    <row r="47" spans="1:54" x14ac:dyDescent="0.25">
      <c r="A47">
        <v>97</v>
      </c>
      <c r="B47" s="77">
        <v>44910.000002928238</v>
      </c>
      <c r="C47" s="14" t="s">
        <v>11</v>
      </c>
      <c r="D47" s="23" t="s">
        <v>94</v>
      </c>
      <c r="E47" s="23" t="s">
        <v>30</v>
      </c>
      <c r="F47" s="23">
        <v>0.15721859999999999</v>
      </c>
      <c r="G47" s="23">
        <v>2.9537738832896201</v>
      </c>
      <c r="H47" s="23">
        <v>18.787687228417099</v>
      </c>
      <c r="I47" s="23">
        <v>0</v>
      </c>
      <c r="J47" s="23" t="s">
        <v>88</v>
      </c>
      <c r="K47" s="24">
        <v>44910.000002928238</v>
      </c>
      <c r="L47" s="23">
        <v>1</v>
      </c>
      <c r="M47" s="23" t="s">
        <v>30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ETC COIN LONG</v>
      </c>
      <c r="X47" s="94" t="s">
        <v>267</v>
      </c>
      <c r="Y47" s="3" t="s">
        <v>140</v>
      </c>
      <c r="Z47" s="31">
        <v>2231.62166088</v>
      </c>
      <c r="AA47" s="31">
        <v>14057.7194527379</v>
      </c>
      <c r="AD47" s="77">
        <f t="shared" si="12"/>
        <v>44910.000000081018</v>
      </c>
      <c r="AE47" s="14" t="str">
        <f t="shared" si="13"/>
        <v>-</v>
      </c>
      <c r="AF47" s="14" t="str">
        <f t="shared" si="14"/>
        <v>WALLET</v>
      </c>
      <c r="AG47" s="14" t="s">
        <v>140</v>
      </c>
      <c r="AH47" s="14">
        <v>2231.62166088</v>
      </c>
      <c r="AI47" s="14">
        <v>14057.7194527379</v>
      </c>
      <c r="AJ47" s="14">
        <f t="shared" si="15"/>
        <v>6.2993291825257201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HT</v>
      </c>
      <c r="AP47" s="46"/>
      <c r="AQ47" s="47"/>
      <c r="AR47" s="48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14057.7194527379</v>
      </c>
      <c r="AX47" s="26">
        <f t="shared" si="25"/>
        <v>6.2993291825257201</v>
      </c>
      <c r="AY47" s="26">
        <f t="shared" si="7"/>
        <v>0</v>
      </c>
      <c r="AZ47" s="26">
        <f t="shared" si="26"/>
        <v>0</v>
      </c>
      <c r="BA47" s="23" t="s">
        <v>271</v>
      </c>
      <c r="BB47" t="str">
        <f t="shared" si="21"/>
        <v>HT</v>
      </c>
    </row>
    <row r="48" spans="1:54" x14ac:dyDescent="0.25">
      <c r="A48">
        <v>98</v>
      </c>
      <c r="B48" s="77">
        <v>44910.000002928238</v>
      </c>
      <c r="C48" s="14" t="s">
        <v>11</v>
      </c>
      <c r="D48" s="23" t="s">
        <v>94</v>
      </c>
      <c r="E48" s="23" t="s">
        <v>16</v>
      </c>
      <c r="F48" s="23">
        <v>9580.5062999999991</v>
      </c>
      <c r="G48" s="23">
        <v>12544031.6381269</v>
      </c>
      <c r="H48" s="23">
        <v>1309.32867693296</v>
      </c>
      <c r="I48" s="23">
        <v>0</v>
      </c>
      <c r="J48" s="23" t="s">
        <v>88</v>
      </c>
      <c r="K48" s="24">
        <v>44910.000002928238</v>
      </c>
      <c r="L48" s="23">
        <v>1</v>
      </c>
      <c r="M48" s="23" t="s">
        <v>16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ETH COIN LONG</v>
      </c>
      <c r="X48" s="94" t="s">
        <v>267</v>
      </c>
      <c r="Y48" s="3" t="s">
        <v>142</v>
      </c>
      <c r="Z48" s="31">
        <v>14.785856219999999</v>
      </c>
      <c r="AA48" s="31">
        <v>0.12275501988460601</v>
      </c>
      <c r="AD48" s="77">
        <f t="shared" si="12"/>
        <v>44910.000000081018</v>
      </c>
      <c r="AE48" s="14" t="str">
        <f t="shared" si="13"/>
        <v>-</v>
      </c>
      <c r="AF48" s="14" t="str">
        <f t="shared" si="14"/>
        <v>WALLET</v>
      </c>
      <c r="AG48" s="14" t="s">
        <v>142</v>
      </c>
      <c r="AH48" s="14">
        <v>14.785856219999999</v>
      </c>
      <c r="AI48" s="14">
        <v>0.12275501988460601</v>
      </c>
      <c r="AJ48" s="14">
        <f t="shared" si="15"/>
        <v>8.3021921800214837E-3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IOST</v>
      </c>
      <c r="AP48" s="46"/>
      <c r="AQ48" s="47"/>
      <c r="AR48" s="48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0.12275501988460601</v>
      </c>
      <c r="AX48" s="26">
        <f t="shared" si="25"/>
        <v>8.3021921800214837E-3</v>
      </c>
      <c r="AY48" s="26">
        <f t="shared" si="7"/>
        <v>0</v>
      </c>
      <c r="AZ48" s="26">
        <f t="shared" si="26"/>
        <v>0</v>
      </c>
      <c r="BA48" s="23" t="s">
        <v>271</v>
      </c>
      <c r="BB48" t="str">
        <f t="shared" si="21"/>
        <v>IOST</v>
      </c>
    </row>
    <row r="49" spans="1:54" x14ac:dyDescent="0.25">
      <c r="A49">
        <v>99</v>
      </c>
      <c r="B49" s="77">
        <v>44910.000001307868</v>
      </c>
      <c r="C49" s="14" t="s">
        <v>11</v>
      </c>
      <c r="D49" s="23" t="s">
        <v>19</v>
      </c>
      <c r="E49" s="23" t="s">
        <v>90</v>
      </c>
      <c r="F49" s="23">
        <v>66.815459570000002</v>
      </c>
      <c r="G49" s="23">
        <v>17922.0136866055</v>
      </c>
      <c r="H49" s="23">
        <v>268.231541052701</v>
      </c>
      <c r="I49" s="23">
        <v>0</v>
      </c>
      <c r="J49" s="23" t="s">
        <v>88</v>
      </c>
      <c r="K49" s="24">
        <v>44910.000001307868</v>
      </c>
      <c r="L49" s="23">
        <v>1</v>
      </c>
      <c r="M49" s="23" t="s">
        <v>90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BNB COIN LONG</v>
      </c>
      <c r="X49" s="94" t="s">
        <v>267</v>
      </c>
      <c r="Y49" s="3" t="s">
        <v>143</v>
      </c>
      <c r="Z49" s="31">
        <v>0.81765067999999996</v>
      </c>
      <c r="AA49" s="31">
        <v>1.1601565558051599E-2</v>
      </c>
      <c r="AD49" s="77">
        <f t="shared" si="12"/>
        <v>44910.000000081018</v>
      </c>
      <c r="AE49" s="14" t="str">
        <f t="shared" si="13"/>
        <v>-</v>
      </c>
      <c r="AF49" s="14" t="str">
        <f t="shared" si="14"/>
        <v>WALLET</v>
      </c>
      <c r="AG49" s="14" t="s">
        <v>143</v>
      </c>
      <c r="AH49" s="14">
        <v>0.81765067999999996</v>
      </c>
      <c r="AI49" s="14">
        <v>1.1601565558051599E-2</v>
      </c>
      <c r="AJ49" s="14">
        <f t="shared" si="15"/>
        <v>1.4188902231514807E-2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IRIS</v>
      </c>
      <c r="AP49" s="46"/>
      <c r="AQ49" s="47"/>
      <c r="AR49" s="48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1.1601565558051599E-2</v>
      </c>
      <c r="AX49" s="26">
        <f t="shared" si="25"/>
        <v>1.4188902231514807E-2</v>
      </c>
      <c r="AY49" s="26">
        <f t="shared" si="7"/>
        <v>0</v>
      </c>
      <c r="AZ49" s="26">
        <f t="shared" si="26"/>
        <v>0</v>
      </c>
      <c r="BA49" s="23" t="s">
        <v>271</v>
      </c>
      <c r="BB49" t="str">
        <f t="shared" si="21"/>
        <v>IRIS</v>
      </c>
    </row>
    <row r="50" spans="1:54" x14ac:dyDescent="0.25">
      <c r="A50">
        <v>100</v>
      </c>
      <c r="B50" s="77">
        <v>44910.000001307868</v>
      </c>
      <c r="C50" s="14" t="s">
        <v>11</v>
      </c>
      <c r="D50" s="23" t="s">
        <v>19</v>
      </c>
      <c r="E50" s="23" t="s">
        <v>91</v>
      </c>
      <c r="F50" s="23">
        <v>24200000</v>
      </c>
      <c r="G50" s="23">
        <v>24206098.503885299</v>
      </c>
      <c r="H50" s="23">
        <v>1.0002520042927801</v>
      </c>
      <c r="I50" s="23">
        <v>0</v>
      </c>
      <c r="J50" s="23" t="s">
        <v>88</v>
      </c>
      <c r="K50" s="24">
        <v>44910.000001307868</v>
      </c>
      <c r="L50" s="23">
        <v>1</v>
      </c>
      <c r="M50" s="23" t="s">
        <v>91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BUSD COIN LONG</v>
      </c>
      <c r="X50" s="94" t="s">
        <v>267</v>
      </c>
      <c r="Y50" s="3" t="s">
        <v>144</v>
      </c>
      <c r="Z50" s="31">
        <v>9.1121815000000002</v>
      </c>
      <c r="AA50" s="31">
        <v>0.20402093989553599</v>
      </c>
      <c r="AD50" s="77">
        <f t="shared" si="12"/>
        <v>44910.000000081018</v>
      </c>
      <c r="AE50" s="14" t="str">
        <f t="shared" si="13"/>
        <v>-</v>
      </c>
      <c r="AF50" s="14" t="str">
        <f t="shared" si="14"/>
        <v>WALLET</v>
      </c>
      <c r="AG50" s="14" t="s">
        <v>144</v>
      </c>
      <c r="AH50" s="14">
        <v>9.1121815000000002</v>
      </c>
      <c r="AI50" s="14">
        <v>0.20402093989553599</v>
      </c>
      <c r="AJ50" s="14">
        <f t="shared" si="15"/>
        <v>2.2389911778593962E-2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JST</v>
      </c>
      <c r="AP50" s="46"/>
      <c r="AQ50" s="47"/>
      <c r="AR50" s="48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0.20402093989553599</v>
      </c>
      <c r="AX50" s="26">
        <f t="shared" si="25"/>
        <v>2.2389911778593962E-2</v>
      </c>
      <c r="AY50" s="26">
        <f t="shared" si="7"/>
        <v>0</v>
      </c>
      <c r="AZ50" s="26">
        <f t="shared" si="26"/>
        <v>0</v>
      </c>
      <c r="BA50" s="23" t="s">
        <v>271</v>
      </c>
      <c r="BB50" t="str">
        <f t="shared" si="21"/>
        <v>JST</v>
      </c>
    </row>
    <row r="51" spans="1:54" x14ac:dyDescent="0.25">
      <c r="A51">
        <v>101</v>
      </c>
      <c r="B51" s="77">
        <v>44910.000001307868</v>
      </c>
      <c r="C51" s="14" t="s">
        <v>11</v>
      </c>
      <c r="D51" s="23" t="s">
        <v>19</v>
      </c>
      <c r="E51" s="23" t="s">
        <v>39</v>
      </c>
      <c r="F51" s="23">
        <v>16280293.7164532</v>
      </c>
      <c r="G51" s="23">
        <v>16282009.8274974</v>
      </c>
      <c r="H51" s="23">
        <v>1.0001054103245299</v>
      </c>
      <c r="I51" s="23">
        <v>0</v>
      </c>
      <c r="J51" s="23" t="s">
        <v>88</v>
      </c>
      <c r="K51" s="24">
        <v>44910.000001307868</v>
      </c>
      <c r="L51" s="23">
        <v>1</v>
      </c>
      <c r="M51" s="23" t="s">
        <v>39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USDT COIN LONG</v>
      </c>
      <c r="X51" s="94" t="s">
        <v>267</v>
      </c>
      <c r="Y51" s="3" t="s">
        <v>44</v>
      </c>
      <c r="Z51" s="31">
        <v>9.3766399999999986E-3</v>
      </c>
      <c r="AA51" s="31">
        <v>0.2583013376984456</v>
      </c>
      <c r="AD51" s="77">
        <f t="shared" si="12"/>
        <v>44910.000000081018</v>
      </c>
      <c r="AE51" s="14" t="str">
        <f t="shared" si="13"/>
        <v>-</v>
      </c>
      <c r="AF51" s="14" t="str">
        <f t="shared" si="14"/>
        <v>WALLET</v>
      </c>
      <c r="AG51" s="14" t="s">
        <v>44</v>
      </c>
      <c r="AH51" s="14">
        <v>9.3766399999999986E-3</v>
      </c>
      <c r="AI51" s="14">
        <v>0.2583013376984456</v>
      </c>
      <c r="AJ51" s="14">
        <f t="shared" si="15"/>
        <v>27.547323742667484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KSM</v>
      </c>
      <c r="AP51" s="46"/>
      <c r="AQ51" s="47"/>
      <c r="AR51" s="48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0.2583013376984456</v>
      </c>
      <c r="AX51" s="26">
        <f t="shared" si="25"/>
        <v>27.547323742667484</v>
      </c>
      <c r="AY51" s="26">
        <f t="shared" si="7"/>
        <v>0</v>
      </c>
      <c r="AZ51" s="26">
        <f t="shared" si="26"/>
        <v>0</v>
      </c>
      <c r="BA51" s="23" t="s">
        <v>271</v>
      </c>
      <c r="BB51" t="str">
        <f t="shared" si="21"/>
        <v>KSM</v>
      </c>
    </row>
    <row r="52" spans="1:54" x14ac:dyDescent="0.25">
      <c r="A52">
        <v>102</v>
      </c>
      <c r="B52" s="77">
        <v>44910.000001307868</v>
      </c>
      <c r="C52" s="14" t="s">
        <v>11</v>
      </c>
      <c r="D52" s="23" t="s">
        <v>19</v>
      </c>
      <c r="E52" s="23" t="s">
        <v>39</v>
      </c>
      <c r="F52" s="23">
        <v>198854.41619873</v>
      </c>
      <c r="G52" s="23">
        <v>198875.37750727701</v>
      </c>
      <c r="H52" s="23">
        <v>1.0001054103245299</v>
      </c>
      <c r="I52" s="23">
        <v>0</v>
      </c>
      <c r="J52" s="23" t="s">
        <v>256</v>
      </c>
      <c r="K52" s="24">
        <v>44910.000001307868</v>
      </c>
      <c r="L52" s="23">
        <v>1</v>
      </c>
      <c r="M52" s="23" t="s">
        <v>39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USDT COIN LONG</v>
      </c>
      <c r="X52" s="94" t="s">
        <v>267</v>
      </c>
      <c r="Y52" s="3" t="s">
        <v>145</v>
      </c>
      <c r="Z52" s="31">
        <v>0.24234807999999999</v>
      </c>
      <c r="AA52" s="31">
        <v>3.0911104955718202E-4</v>
      </c>
      <c r="AD52" s="77">
        <f t="shared" si="12"/>
        <v>44910.000000081018</v>
      </c>
      <c r="AE52" s="14" t="str">
        <f t="shared" si="13"/>
        <v>-</v>
      </c>
      <c r="AF52" s="14" t="str">
        <f t="shared" si="14"/>
        <v>WALLET</v>
      </c>
      <c r="AG52" s="14" t="s">
        <v>145</v>
      </c>
      <c r="AH52" s="14">
        <v>0.24234807999999999</v>
      </c>
      <c r="AI52" s="14">
        <v>3.0911104955718202E-4</v>
      </c>
      <c r="AJ52" s="14">
        <f t="shared" si="15"/>
        <v>1.2754837981682463E-3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LAMB</v>
      </c>
      <c r="AP52" s="46"/>
      <c r="AQ52" s="47"/>
      <c r="AR52" s="48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3.0911104955718202E-4</v>
      </c>
      <c r="AX52" s="26">
        <f t="shared" si="25"/>
        <v>1.2754837981682463E-3</v>
      </c>
      <c r="AY52" s="26">
        <f t="shared" si="7"/>
        <v>0</v>
      </c>
      <c r="AZ52" s="26">
        <f t="shared" si="26"/>
        <v>0</v>
      </c>
      <c r="BA52" s="23" t="s">
        <v>271</v>
      </c>
      <c r="BB52" t="str">
        <f t="shared" si="21"/>
        <v>LAMB</v>
      </c>
    </row>
    <row r="53" spans="1:54" x14ac:dyDescent="0.25">
      <c r="A53">
        <v>103</v>
      </c>
      <c r="B53" s="77">
        <v>44910.000004664354</v>
      </c>
      <c r="C53" s="14" t="s">
        <v>11</v>
      </c>
      <c r="D53" s="23" t="s">
        <v>306</v>
      </c>
      <c r="E53" s="23" t="s">
        <v>39</v>
      </c>
      <c r="F53" s="23">
        <v>2083043.21306778</v>
      </c>
      <c r="G53" s="23">
        <v>2083262.7873288901</v>
      </c>
      <c r="H53" s="23">
        <v>1.0001054103245299</v>
      </c>
      <c r="I53" s="23">
        <v>0</v>
      </c>
      <c r="J53" s="23" t="s">
        <v>88</v>
      </c>
      <c r="K53" s="24">
        <v>44910.000004664354</v>
      </c>
      <c r="L53" s="23">
        <v>1</v>
      </c>
      <c r="M53" s="23" t="s">
        <v>39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USDT COIN LONG</v>
      </c>
      <c r="X53" s="94" t="s">
        <v>267</v>
      </c>
      <c r="Y53" s="3" t="s">
        <v>146</v>
      </c>
      <c r="Z53" s="31">
        <v>1E-8</v>
      </c>
      <c r="AA53" s="31">
        <v>0</v>
      </c>
      <c r="AD53" s="77">
        <f t="shared" si="12"/>
        <v>44910.000000081018</v>
      </c>
      <c r="AE53" s="14" t="str">
        <f t="shared" si="13"/>
        <v>-</v>
      </c>
      <c r="AF53" s="14" t="str">
        <f t="shared" si="14"/>
        <v>WALLET</v>
      </c>
      <c r="AG53" s="14" t="s">
        <v>146</v>
      </c>
      <c r="AH53" s="14">
        <v>1E-8</v>
      </c>
      <c r="AI53" s="14">
        <v>0</v>
      </c>
      <c r="AJ53" s="14">
        <f t="shared" si="15"/>
        <v>0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LEND</v>
      </c>
      <c r="AP53" s="46"/>
      <c r="AQ53" s="47"/>
      <c r="AR53" s="48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0</v>
      </c>
      <c r="AX53" s="26">
        <f t="shared" si="25"/>
        <v>0</v>
      </c>
      <c r="AY53" s="26">
        <f t="shared" si="7"/>
        <v>0</v>
      </c>
      <c r="AZ53" s="26">
        <f t="shared" si="26"/>
        <v>0</v>
      </c>
      <c r="BA53" s="23" t="s">
        <v>271</v>
      </c>
      <c r="BB53" t="str">
        <f t="shared" si="21"/>
        <v>LEND</v>
      </c>
    </row>
    <row r="54" spans="1:54" x14ac:dyDescent="0.25">
      <c r="A54">
        <v>104</v>
      </c>
      <c r="B54" s="77">
        <v>44910.000004664354</v>
      </c>
      <c r="C54" s="14" t="s">
        <v>11</v>
      </c>
      <c r="D54" s="23" t="s">
        <v>306</v>
      </c>
      <c r="E54" s="23" t="s">
        <v>39</v>
      </c>
      <c r="F54" s="23">
        <v>-2190.8285996300001</v>
      </c>
      <c r="G54" s="23">
        <v>-2191.0595355836899</v>
      </c>
      <c r="H54" s="23">
        <v>1.0001054103245299</v>
      </c>
      <c r="I54" s="23">
        <v>0</v>
      </c>
      <c r="J54" s="23" t="s">
        <v>256</v>
      </c>
      <c r="K54" s="24">
        <v>44910.000004664354</v>
      </c>
      <c r="L54" s="23">
        <v>1</v>
      </c>
      <c r="M54" s="23" t="s">
        <v>39</v>
      </c>
      <c r="N54" s="25">
        <v>0</v>
      </c>
      <c r="O54" s="26" t="str">
        <f t="shared" si="0"/>
        <v>COIN</v>
      </c>
      <c r="P54" s="26" t="str">
        <f t="shared" si="9"/>
        <v>SHORT</v>
      </c>
      <c r="Q54" s="26" t="str">
        <f t="shared" si="10"/>
        <v>COIN SHORT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SHORT</v>
      </c>
      <c r="X54" s="94" t="s">
        <v>267</v>
      </c>
      <c r="Y54" s="3" t="s">
        <v>28</v>
      </c>
      <c r="Z54" s="31">
        <v>62771.676444159995</v>
      </c>
      <c r="AA54" s="31">
        <v>422379.81767955935</v>
      </c>
      <c r="AD54" s="77">
        <f t="shared" si="12"/>
        <v>44910.000000081018</v>
      </c>
      <c r="AE54" s="14" t="str">
        <f t="shared" si="13"/>
        <v>-</v>
      </c>
      <c r="AF54" s="14" t="str">
        <f t="shared" si="14"/>
        <v>WALLET</v>
      </c>
      <c r="AG54" s="14" t="s">
        <v>28</v>
      </c>
      <c r="AH54" s="14">
        <v>62771.676444159995</v>
      </c>
      <c r="AI54" s="14">
        <v>422379.81767955935</v>
      </c>
      <c r="AJ54" s="14">
        <f t="shared" si="15"/>
        <v>6.7288280575921391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LINK</v>
      </c>
      <c r="AP54" s="46"/>
      <c r="AQ54" s="47"/>
      <c r="AR54" s="48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422379.81767955935</v>
      </c>
      <c r="AX54" s="26">
        <f t="shared" si="25"/>
        <v>6.7288280575921391</v>
      </c>
      <c r="AY54" s="26">
        <f t="shared" si="7"/>
        <v>0</v>
      </c>
      <c r="AZ54" s="26">
        <f t="shared" si="26"/>
        <v>0</v>
      </c>
      <c r="BA54" s="23" t="s">
        <v>271</v>
      </c>
      <c r="BB54" t="str">
        <f t="shared" si="21"/>
        <v>LINK</v>
      </c>
    </row>
    <row r="55" spans="1:54" x14ac:dyDescent="0.25">
      <c r="A55">
        <v>105</v>
      </c>
      <c r="B55" s="77">
        <v>44910.000000231485</v>
      </c>
      <c r="C55" s="14" t="s">
        <v>220</v>
      </c>
      <c r="D55" s="23" t="s">
        <v>96</v>
      </c>
      <c r="E55" s="23" t="s">
        <v>15</v>
      </c>
      <c r="F55" s="23">
        <v>7.9996000000000008E-3</v>
      </c>
      <c r="G55" s="23">
        <v>142.518072577265</v>
      </c>
      <c r="H55" s="23">
        <v>17815.649854650899</v>
      </c>
      <c r="I55" s="23">
        <v>0</v>
      </c>
      <c r="J55" s="23" t="s">
        <v>88</v>
      </c>
      <c r="K55" s="24">
        <v>44910.000000231485</v>
      </c>
      <c r="L55" s="23">
        <v>1</v>
      </c>
      <c r="M55" s="23" t="s">
        <v>15</v>
      </c>
      <c r="N55" s="25">
        <v>0</v>
      </c>
      <c r="O55" s="26" t="str">
        <f t="shared" si="0"/>
        <v>COIN</v>
      </c>
      <c r="P55" s="26" t="str">
        <f t="shared" si="9"/>
        <v>LONG</v>
      </c>
      <c r="Q55" s="26" t="str">
        <f t="shared" si="10"/>
        <v>COIN LONG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BTFX</v>
      </c>
      <c r="W55" t="str">
        <f t="shared" si="11"/>
        <v>BTC COIN LONG</v>
      </c>
      <c r="X55" s="94" t="s">
        <v>267</v>
      </c>
      <c r="Y55" s="3" t="s">
        <v>147</v>
      </c>
      <c r="Z55" s="31">
        <v>4.3289484800000002</v>
      </c>
      <c r="AA55" s="31">
        <v>1.23866429375467E-6</v>
      </c>
      <c r="AD55" s="77">
        <f t="shared" si="12"/>
        <v>44910.000000081018</v>
      </c>
      <c r="AE55" s="14" t="str">
        <f t="shared" si="13"/>
        <v>-</v>
      </c>
      <c r="AF55" s="14" t="str">
        <f t="shared" si="14"/>
        <v>WALLET</v>
      </c>
      <c r="AG55" s="14" t="s">
        <v>147</v>
      </c>
      <c r="AH55" s="14">
        <v>4.3289484800000002</v>
      </c>
      <c r="AI55" s="14">
        <v>1.23866429375467E-6</v>
      </c>
      <c r="AJ55" s="14">
        <f t="shared" si="15"/>
        <v>2.8613514332114895E-7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LOL</v>
      </c>
      <c r="AP55" s="46"/>
      <c r="AQ55" s="47"/>
      <c r="AR55" s="48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1.23866429375467E-6</v>
      </c>
      <c r="AX55" s="26">
        <f t="shared" si="25"/>
        <v>2.8613514332114895E-7</v>
      </c>
      <c r="AY55" s="26">
        <f t="shared" si="7"/>
        <v>0</v>
      </c>
      <c r="AZ55" s="26">
        <f t="shared" si="26"/>
        <v>0</v>
      </c>
      <c r="BA55" s="23" t="s">
        <v>271</v>
      </c>
      <c r="BB55" t="str">
        <f t="shared" si="21"/>
        <v>LOL</v>
      </c>
    </row>
    <row r="56" spans="1:54" x14ac:dyDescent="0.25">
      <c r="A56">
        <v>106</v>
      </c>
      <c r="B56" s="77">
        <v>44910.000000231485</v>
      </c>
      <c r="C56" s="14" t="s">
        <v>220</v>
      </c>
      <c r="D56" s="23" t="s">
        <v>96</v>
      </c>
      <c r="E56" s="23" t="s">
        <v>16</v>
      </c>
      <c r="F56" s="23">
        <v>0.02</v>
      </c>
      <c r="G56" s="23">
        <v>26.1865735386592</v>
      </c>
      <c r="H56" s="23">
        <v>1309.32867693296</v>
      </c>
      <c r="I56" s="23">
        <v>0</v>
      </c>
      <c r="J56" s="23" t="s">
        <v>88</v>
      </c>
      <c r="K56" s="24">
        <v>44910.000000231485</v>
      </c>
      <c r="L56" s="23">
        <v>1</v>
      </c>
      <c r="M56" s="23" t="s">
        <v>16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BTFX</v>
      </c>
      <c r="W56" t="str">
        <f t="shared" si="11"/>
        <v>ETH COIN LONG</v>
      </c>
      <c r="X56" s="94" t="s">
        <v>267</v>
      </c>
      <c r="Y56" s="3" t="s">
        <v>25</v>
      </c>
      <c r="Z56" s="31">
        <v>3013.2452131099999</v>
      </c>
      <c r="AA56" s="31">
        <v>227427.28483705811</v>
      </c>
      <c r="AD56" s="77">
        <f t="shared" si="12"/>
        <v>44910.000000081018</v>
      </c>
      <c r="AE56" s="14" t="str">
        <f t="shared" si="13"/>
        <v>-</v>
      </c>
      <c r="AF56" s="14" t="str">
        <f t="shared" si="14"/>
        <v>WALLET</v>
      </c>
      <c r="AG56" s="14" t="s">
        <v>25</v>
      </c>
      <c r="AH56" s="14">
        <v>3013.2452131099999</v>
      </c>
      <c r="AI56" s="14">
        <v>227427.28483705811</v>
      </c>
      <c r="AJ56" s="14">
        <f t="shared" si="15"/>
        <v>75.475863646134584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LTC</v>
      </c>
      <c r="AP56" s="46"/>
      <c r="AQ56" s="47"/>
      <c r="AR56" s="48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227427.28483705811</v>
      </c>
      <c r="AX56" s="26">
        <f t="shared" si="25"/>
        <v>75.475863646134584</v>
      </c>
      <c r="AY56" s="26">
        <f t="shared" si="7"/>
        <v>0</v>
      </c>
      <c r="AZ56" s="26">
        <f t="shared" si="26"/>
        <v>0</v>
      </c>
      <c r="BA56" s="23" t="s">
        <v>271</v>
      </c>
      <c r="BB56" t="str">
        <f t="shared" si="21"/>
        <v>LTC</v>
      </c>
    </row>
    <row r="57" spans="1:54" x14ac:dyDescent="0.25">
      <c r="A57">
        <v>107</v>
      </c>
      <c r="B57" s="77">
        <v>44910.000000231485</v>
      </c>
      <c r="C57" s="14" t="s">
        <v>220</v>
      </c>
      <c r="D57" s="23" t="s">
        <v>96</v>
      </c>
      <c r="E57" s="23" t="s">
        <v>275</v>
      </c>
      <c r="F57" s="23">
        <v>0.02</v>
      </c>
      <c r="G57" s="23">
        <v>7.0810243384961197E-2</v>
      </c>
      <c r="H57" s="23">
        <v>3.5405121692480601</v>
      </c>
      <c r="I57" s="23">
        <v>0</v>
      </c>
      <c r="J57" s="23" t="s">
        <v>88</v>
      </c>
      <c r="K57" s="24">
        <v>44910.000000231485</v>
      </c>
      <c r="L57" s="23">
        <v>1</v>
      </c>
      <c r="M57" s="23" t="s">
        <v>275</v>
      </c>
      <c r="N57" s="25">
        <v>0</v>
      </c>
      <c r="O57" s="26" t="str">
        <f t="shared" si="0"/>
        <v>COIN</v>
      </c>
      <c r="P57" s="26" t="str">
        <f t="shared" si="9"/>
        <v>LONG</v>
      </c>
      <c r="Q57" s="26" t="str">
        <f t="shared" si="10"/>
        <v>COIN LONG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BTFX</v>
      </c>
      <c r="W57" t="str">
        <f t="shared" si="11"/>
        <v>ETHW COIN LONG</v>
      </c>
      <c r="X57" s="94" t="s">
        <v>267</v>
      </c>
      <c r="Y57" s="3" t="s">
        <v>148</v>
      </c>
      <c r="Z57" s="31">
        <v>0.66495972999999997</v>
      </c>
      <c r="AA57" s="31">
        <v>1.4231638225488101E-4</v>
      </c>
      <c r="AD57" s="77">
        <f t="shared" si="12"/>
        <v>44910.000000081018</v>
      </c>
      <c r="AE57" s="14" t="str">
        <f t="shared" si="13"/>
        <v>-</v>
      </c>
      <c r="AF57" s="14" t="str">
        <f t="shared" si="14"/>
        <v>WALLET</v>
      </c>
      <c r="AG57" s="14" t="s">
        <v>148</v>
      </c>
      <c r="AH57" s="14">
        <v>0.66495972999999997</v>
      </c>
      <c r="AI57" s="14">
        <v>1.4231638225488101E-4</v>
      </c>
      <c r="AJ57" s="14">
        <f t="shared" si="15"/>
        <v>2.1402255780944964E-4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LXT</v>
      </c>
      <c r="AP57" s="46"/>
      <c r="AQ57" s="47"/>
      <c r="AR57" s="48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1.4231638225488101E-4</v>
      </c>
      <c r="AX57" s="26">
        <f t="shared" si="25"/>
        <v>2.1402255780944964E-4</v>
      </c>
      <c r="AY57" s="26">
        <f t="shared" si="7"/>
        <v>0</v>
      </c>
      <c r="AZ57" s="26">
        <f t="shared" si="26"/>
        <v>0</v>
      </c>
      <c r="BA57" s="23" t="s">
        <v>271</v>
      </c>
      <c r="BB57" t="str">
        <f t="shared" si="21"/>
        <v>LXT</v>
      </c>
    </row>
    <row r="58" spans="1:54" x14ac:dyDescent="0.25">
      <c r="A58">
        <v>108</v>
      </c>
      <c r="B58" s="77">
        <v>44910.000000231485</v>
      </c>
      <c r="C58" s="14" t="s">
        <v>220</v>
      </c>
      <c r="D58" s="23" t="s">
        <v>96</v>
      </c>
      <c r="E58" s="23" t="s">
        <v>98</v>
      </c>
      <c r="F58" s="23">
        <v>2.755467E-2</v>
      </c>
      <c r="G58" s="23">
        <v>2.755467E-2</v>
      </c>
      <c r="H58" s="23">
        <v>1</v>
      </c>
      <c r="I58" s="23">
        <v>0</v>
      </c>
      <c r="J58" s="23" t="s">
        <v>88</v>
      </c>
      <c r="K58" s="24">
        <v>44910.000000231485</v>
      </c>
      <c r="L58" s="23">
        <v>1</v>
      </c>
      <c r="M58" s="23" t="s">
        <v>98</v>
      </c>
      <c r="N58" s="25">
        <v>0</v>
      </c>
      <c r="O58" s="26" t="str">
        <f t="shared" si="0"/>
        <v>CASH</v>
      </c>
      <c r="P58" s="26" t="str">
        <f t="shared" si="9"/>
        <v>LONG</v>
      </c>
      <c r="Q58" s="26" t="str">
        <f t="shared" si="10"/>
        <v>CASH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BTFX</v>
      </c>
      <c r="W58" t="str">
        <f t="shared" si="11"/>
        <v>USD CASH LONG</v>
      </c>
      <c r="X58" s="94" t="s">
        <v>267</v>
      </c>
      <c r="Y58" s="3" t="s">
        <v>195</v>
      </c>
      <c r="Z58" s="31">
        <v>8872.190156259996</v>
      </c>
      <c r="AA58" s="31">
        <v>3387.9380429154844</v>
      </c>
      <c r="AD58" s="77">
        <f t="shared" si="12"/>
        <v>44910.000000081018</v>
      </c>
      <c r="AE58" s="14" t="str">
        <f t="shared" si="13"/>
        <v>-</v>
      </c>
      <c r="AF58" s="14" t="str">
        <f t="shared" si="14"/>
        <v>WALLET</v>
      </c>
      <c r="AG58" s="14" t="s">
        <v>195</v>
      </c>
      <c r="AH58" s="14">
        <v>8872.190156259996</v>
      </c>
      <c r="AI58" s="14">
        <v>3387.9380429154844</v>
      </c>
      <c r="AJ58" s="14">
        <f t="shared" si="15"/>
        <v>0.38186039560085849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MANA</v>
      </c>
      <c r="AP58" s="46"/>
      <c r="AQ58" s="47"/>
      <c r="AR58" s="48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3387.9380429154844</v>
      </c>
      <c r="AX58" s="26">
        <f t="shared" si="25"/>
        <v>0.38186039560085849</v>
      </c>
      <c r="AY58" s="26">
        <f t="shared" si="7"/>
        <v>0</v>
      </c>
      <c r="AZ58" s="26">
        <f t="shared" si="26"/>
        <v>0</v>
      </c>
      <c r="BA58" s="23" t="s">
        <v>271</v>
      </c>
      <c r="BB58" t="str">
        <f t="shared" si="21"/>
        <v>MANA</v>
      </c>
    </row>
    <row r="59" spans="1:54" x14ac:dyDescent="0.25">
      <c r="A59">
        <v>109</v>
      </c>
      <c r="B59" s="77">
        <v>44910.000000231485</v>
      </c>
      <c r="C59" s="14" t="s">
        <v>220</v>
      </c>
      <c r="D59" s="23" t="s">
        <v>96</v>
      </c>
      <c r="E59" s="23" t="s">
        <v>99</v>
      </c>
      <c r="F59" s="23">
        <v>29.9885932</v>
      </c>
      <c r="G59" s="23">
        <v>0</v>
      </c>
      <c r="H59" s="23">
        <v>0</v>
      </c>
      <c r="I59" s="23">
        <v>0</v>
      </c>
      <c r="J59" s="23" t="s">
        <v>88</v>
      </c>
      <c r="K59" s="24">
        <v>44910.000000231485</v>
      </c>
      <c r="L59" s="23">
        <v>1</v>
      </c>
      <c r="M59" s="23" t="s">
        <v>99</v>
      </c>
      <c r="N59" s="25">
        <v>0</v>
      </c>
      <c r="O59" s="26" t="str">
        <f t="shared" si="0"/>
        <v>COIN</v>
      </c>
      <c r="P59" s="26" t="str">
        <f t="shared" si="9"/>
        <v>SHORT</v>
      </c>
      <c r="Q59" s="26" t="str">
        <f t="shared" si="10"/>
        <v>COIN SHORT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UST COIN SHORT</v>
      </c>
      <c r="X59" s="94" t="s">
        <v>267</v>
      </c>
      <c r="Y59" s="3" t="s">
        <v>196</v>
      </c>
      <c r="Z59" s="31">
        <v>15781.008725189997</v>
      </c>
      <c r="AA59" s="31">
        <v>14255.732471444593</v>
      </c>
      <c r="AD59" s="77">
        <f t="shared" si="12"/>
        <v>44910.000000081018</v>
      </c>
      <c r="AE59" s="14" t="str">
        <f t="shared" si="13"/>
        <v>-</v>
      </c>
      <c r="AF59" s="14" t="str">
        <f t="shared" si="14"/>
        <v>WALLET</v>
      </c>
      <c r="AG59" s="14" t="s">
        <v>196</v>
      </c>
      <c r="AH59" s="14">
        <v>15781.008725189997</v>
      </c>
      <c r="AI59" s="14">
        <v>14255.732471444593</v>
      </c>
      <c r="AJ59" s="14">
        <f t="shared" si="15"/>
        <v>0.90334735375244268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MATIC</v>
      </c>
      <c r="AP59" s="46"/>
      <c r="AQ59" s="47"/>
      <c r="AR59" s="48"/>
      <c r="AS59" s="25">
        <f t="shared" si="2"/>
        <v>0</v>
      </c>
      <c r="AT59" s="26" t="str">
        <f t="shared" si="22"/>
        <v>COIN</v>
      </c>
      <c r="AU59" s="26" t="str">
        <f t="shared" si="20"/>
        <v>LONG</v>
      </c>
      <c r="AV59" s="26" t="str">
        <f t="shared" si="23"/>
        <v>COIN LONG</v>
      </c>
      <c r="AW59" s="26">
        <f t="shared" si="24"/>
        <v>14255.732471444593</v>
      </c>
      <c r="AX59" s="26">
        <f t="shared" si="25"/>
        <v>0.90334735375244268</v>
      </c>
      <c r="AY59" s="26">
        <f t="shared" si="7"/>
        <v>0</v>
      </c>
      <c r="AZ59" s="26">
        <f t="shared" si="26"/>
        <v>0</v>
      </c>
      <c r="BA59" s="23" t="s">
        <v>271</v>
      </c>
      <c r="BB59" t="str">
        <f t="shared" si="21"/>
        <v>MATIC</v>
      </c>
    </row>
    <row r="60" spans="1:54" x14ac:dyDescent="0.25">
      <c r="A60">
        <v>110</v>
      </c>
      <c r="B60" s="77">
        <v>44909.003277777774</v>
      </c>
      <c r="C60" s="14" t="s">
        <v>100</v>
      </c>
      <c r="D60" s="23" t="s">
        <v>100</v>
      </c>
      <c r="E60" s="23" t="s">
        <v>21</v>
      </c>
      <c r="F60" s="23">
        <v>0.21932823000000001</v>
      </c>
      <c r="G60" s="23">
        <v>23.9305732953496</v>
      </c>
      <c r="H60" s="23">
        <v>109.10849595307199</v>
      </c>
      <c r="I60" s="23">
        <v>0</v>
      </c>
      <c r="J60" s="23" t="s">
        <v>88</v>
      </c>
      <c r="K60" s="24">
        <v>44909.003277777774</v>
      </c>
      <c r="L60" s="23">
        <v>1</v>
      </c>
      <c r="M60" s="23" t="s">
        <v>21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BTSE</v>
      </c>
      <c r="W60" t="str">
        <f t="shared" si="11"/>
        <v>BCH COIN LONG</v>
      </c>
      <c r="X60" s="94" t="s">
        <v>267</v>
      </c>
      <c r="Y60" s="3" t="s">
        <v>1176</v>
      </c>
      <c r="Z60" s="31">
        <v>524889.41030044004</v>
      </c>
      <c r="AA60" s="31">
        <v>522674.40974300198</v>
      </c>
      <c r="AD60" s="77">
        <f t="shared" si="12"/>
        <v>44910.000000081018</v>
      </c>
      <c r="AE60" s="14" t="str">
        <f t="shared" si="13"/>
        <v>-</v>
      </c>
      <c r="AF60" s="14" t="str">
        <f t="shared" si="14"/>
        <v>WALLET</v>
      </c>
      <c r="AG60" s="14" t="s">
        <v>1176</v>
      </c>
      <c r="AH60" s="14">
        <v>524889.41030044004</v>
      </c>
      <c r="AI60" s="14">
        <v>522674.40974300198</v>
      </c>
      <c r="AJ60" s="14">
        <f t="shared" si="15"/>
        <v>0.99578006240177297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MIM</v>
      </c>
      <c r="AP60" s="46"/>
      <c r="AQ60" s="47"/>
      <c r="AR60" s="48"/>
      <c r="AS60" s="25">
        <f t="shared" si="2"/>
        <v>0</v>
      </c>
      <c r="AT60" s="26" t="str">
        <f t="shared" si="22"/>
        <v>COIN</v>
      </c>
      <c r="AU60" s="26" t="str">
        <f t="shared" si="20"/>
        <v>LONG</v>
      </c>
      <c r="AV60" s="26" t="str">
        <f t="shared" si="23"/>
        <v>COIN LONG</v>
      </c>
      <c r="AW60" s="26">
        <f t="shared" si="24"/>
        <v>522674.40974300198</v>
      </c>
      <c r="AX60" s="26">
        <f t="shared" si="25"/>
        <v>0.99578006240177297</v>
      </c>
      <c r="AY60" s="26">
        <f t="shared" si="7"/>
        <v>0</v>
      </c>
      <c r="AZ60" s="26">
        <f t="shared" si="26"/>
        <v>0</v>
      </c>
      <c r="BA60" s="23" t="s">
        <v>271</v>
      </c>
      <c r="BB60" t="str">
        <f t="shared" si="21"/>
        <v>MIM</v>
      </c>
    </row>
    <row r="61" spans="1:54" x14ac:dyDescent="0.25">
      <c r="A61">
        <v>111</v>
      </c>
      <c r="B61" s="77">
        <v>44909.003290474539</v>
      </c>
      <c r="C61" s="14" t="s">
        <v>100</v>
      </c>
      <c r="D61" s="23" t="s">
        <v>100</v>
      </c>
      <c r="E61" s="23" t="s">
        <v>15</v>
      </c>
      <c r="F61" s="23">
        <v>5.7861299999999997E-2</v>
      </c>
      <c r="G61" s="23">
        <v>1030.83666093491</v>
      </c>
      <c r="H61" s="23">
        <v>17815.649854650899</v>
      </c>
      <c r="I61" s="23">
        <v>0</v>
      </c>
      <c r="J61" s="23" t="s">
        <v>88</v>
      </c>
      <c r="K61" s="24">
        <v>44909.003290474539</v>
      </c>
      <c r="L61" s="23">
        <v>1</v>
      </c>
      <c r="M61" s="23" t="s">
        <v>15</v>
      </c>
      <c r="N61" s="25">
        <v>0</v>
      </c>
      <c r="O61" s="26" t="str">
        <f t="shared" si="0"/>
        <v>COIN</v>
      </c>
      <c r="P61" s="26" t="str">
        <f t="shared" si="9"/>
        <v>LONG</v>
      </c>
      <c r="Q61" s="26" t="str">
        <f t="shared" si="10"/>
        <v>COIN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BTSE</v>
      </c>
      <c r="W61" t="str">
        <f t="shared" si="11"/>
        <v>BTC COIN LONG</v>
      </c>
      <c r="X61" s="94" t="s">
        <v>267</v>
      </c>
      <c r="Y61" s="3" t="s">
        <v>567</v>
      </c>
      <c r="Z61" s="31">
        <v>0.92561750999999859</v>
      </c>
      <c r="AA61" s="31">
        <v>561.07015232674166</v>
      </c>
      <c r="AD61" s="77">
        <f t="shared" si="12"/>
        <v>44910.000000081018</v>
      </c>
      <c r="AE61" s="14" t="str">
        <f t="shared" si="13"/>
        <v>-</v>
      </c>
      <c r="AF61" s="14" t="str">
        <f t="shared" si="14"/>
        <v>WALLET</v>
      </c>
      <c r="AG61" s="14" t="s">
        <v>567</v>
      </c>
      <c r="AH61" s="14">
        <v>0.92561750999999859</v>
      </c>
      <c r="AI61" s="14">
        <v>561.07015232674166</v>
      </c>
      <c r="AJ61" s="14">
        <f t="shared" si="15"/>
        <v>606.15766908595162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MKR</v>
      </c>
      <c r="AP61" s="46"/>
      <c r="AQ61" s="47"/>
      <c r="AR61" s="48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561.07015232674166</v>
      </c>
      <c r="AX61" s="26">
        <f t="shared" si="25"/>
        <v>606.15766908595162</v>
      </c>
      <c r="AY61" s="26">
        <f t="shared" si="7"/>
        <v>0</v>
      </c>
      <c r="AZ61" s="26">
        <f t="shared" si="26"/>
        <v>0</v>
      </c>
      <c r="BA61" s="23" t="s">
        <v>271</v>
      </c>
      <c r="BB61" t="str">
        <f t="shared" si="21"/>
        <v>MKR</v>
      </c>
    </row>
    <row r="62" spans="1:54" x14ac:dyDescent="0.25">
      <c r="A62">
        <v>112</v>
      </c>
      <c r="B62" s="77">
        <v>44909.003303391204</v>
      </c>
      <c r="C62" s="14" t="s">
        <v>100</v>
      </c>
      <c r="D62" s="23" t="s">
        <v>100</v>
      </c>
      <c r="E62" s="23" t="s">
        <v>16</v>
      </c>
      <c r="F62" s="23">
        <v>0.73541904000000002</v>
      </c>
      <c r="G62" s="23">
        <v>962.90523863450903</v>
      </c>
      <c r="H62" s="23">
        <v>1309.32867693296</v>
      </c>
      <c r="I62" s="23">
        <v>0</v>
      </c>
      <c r="J62" s="23" t="s">
        <v>88</v>
      </c>
      <c r="K62" s="24">
        <v>44909.003303391204</v>
      </c>
      <c r="L62" s="23">
        <v>1</v>
      </c>
      <c r="M62" s="23" t="s">
        <v>16</v>
      </c>
      <c r="N62" s="25">
        <v>0</v>
      </c>
      <c r="O62" s="26" t="str">
        <f t="shared" si="0"/>
        <v>COIN</v>
      </c>
      <c r="P62" s="26" t="str">
        <f t="shared" si="9"/>
        <v>LONG</v>
      </c>
      <c r="Q62" s="26" t="str">
        <f t="shared" si="10"/>
        <v>COIN LONG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BTSE</v>
      </c>
      <c r="W62" t="str">
        <f t="shared" si="11"/>
        <v>ETH COIN LONG</v>
      </c>
      <c r="X62" s="94" t="s">
        <v>267</v>
      </c>
      <c r="Y62" s="3" t="s">
        <v>149</v>
      </c>
      <c r="Z62" s="31">
        <v>0.89105878000000005</v>
      </c>
      <c r="AA62" s="31">
        <v>6.3936605193977698</v>
      </c>
      <c r="AD62" s="77">
        <f t="shared" si="12"/>
        <v>44910.000000081018</v>
      </c>
      <c r="AE62" s="14" t="str">
        <f t="shared" si="13"/>
        <v>-</v>
      </c>
      <c r="AF62" s="14" t="str">
        <f t="shared" si="14"/>
        <v>WALLET</v>
      </c>
      <c r="AG62" s="14" t="s">
        <v>149</v>
      </c>
      <c r="AH62" s="14">
        <v>0.89105878000000005</v>
      </c>
      <c r="AI62" s="14">
        <v>6.3936605193977698</v>
      </c>
      <c r="AJ62" s="14">
        <f t="shared" si="15"/>
        <v>7.1753521349037932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NEO</v>
      </c>
      <c r="AP62" s="46"/>
      <c r="AQ62" s="47"/>
      <c r="AR62" s="48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6.3936605193977698</v>
      </c>
      <c r="AX62" s="26">
        <f t="shared" si="25"/>
        <v>7.1753521349037932</v>
      </c>
      <c r="AY62" s="26">
        <f t="shared" si="7"/>
        <v>0</v>
      </c>
      <c r="AZ62" s="26">
        <f t="shared" si="26"/>
        <v>0</v>
      </c>
      <c r="BA62" s="23" t="s">
        <v>271</v>
      </c>
      <c r="BB62" t="str">
        <f t="shared" si="21"/>
        <v>NEO</v>
      </c>
    </row>
    <row r="63" spans="1:54" x14ac:dyDescent="0.25">
      <c r="A63">
        <v>113</v>
      </c>
      <c r="B63" s="77">
        <v>44909.003316168979</v>
      </c>
      <c r="C63" s="14" t="s">
        <v>100</v>
      </c>
      <c r="D63" s="23" t="s">
        <v>100</v>
      </c>
      <c r="E63" s="23" t="s">
        <v>101</v>
      </c>
      <c r="F63" s="23">
        <v>22277.5319929</v>
      </c>
      <c r="G63" s="23">
        <v>265.095232665955</v>
      </c>
      <c r="H63" s="23">
        <v>1.1899667914311201E-2</v>
      </c>
      <c r="I63" s="23">
        <v>0</v>
      </c>
      <c r="J63" s="23" t="s">
        <v>88</v>
      </c>
      <c r="K63" s="24">
        <v>44909.003316168979</v>
      </c>
      <c r="L63" s="23">
        <v>1</v>
      </c>
      <c r="M63" s="23" t="s">
        <v>101</v>
      </c>
      <c r="N63" s="25">
        <v>0</v>
      </c>
      <c r="O63" s="26" t="str">
        <f t="shared" si="0"/>
        <v>COIN</v>
      </c>
      <c r="P63" s="26" t="str">
        <f t="shared" si="9"/>
        <v>LONG</v>
      </c>
      <c r="Q63" s="26" t="str">
        <f t="shared" si="10"/>
        <v>COIN LONG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BTSE</v>
      </c>
      <c r="W63" t="str">
        <f t="shared" si="11"/>
        <v>SGB COIN LONG</v>
      </c>
      <c r="X63" s="94" t="s">
        <v>267</v>
      </c>
      <c r="Y63" s="3" t="s">
        <v>150</v>
      </c>
      <c r="Z63" s="31">
        <v>40.704174029999997</v>
      </c>
      <c r="AA63" s="31">
        <v>6.95299664114117E-3</v>
      </c>
      <c r="AD63" s="77">
        <f t="shared" si="12"/>
        <v>44910.000000081018</v>
      </c>
      <c r="AE63" s="14" t="str">
        <f t="shared" si="13"/>
        <v>-</v>
      </c>
      <c r="AF63" s="14" t="str">
        <f t="shared" si="14"/>
        <v>WALLET</v>
      </c>
      <c r="AG63" s="14" t="s">
        <v>150</v>
      </c>
      <c r="AH63" s="14">
        <v>40.704174029999997</v>
      </c>
      <c r="AI63" s="14">
        <v>6.95299664114117E-3</v>
      </c>
      <c r="AJ63" s="14">
        <f t="shared" si="15"/>
        <v>1.7081777991654216E-4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NEW</v>
      </c>
      <c r="AP63" s="46"/>
      <c r="AQ63" s="47"/>
      <c r="AR63" s="48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6.95299664114117E-3</v>
      </c>
      <c r="AX63" s="26">
        <f t="shared" si="25"/>
        <v>1.7081777991654216E-4</v>
      </c>
      <c r="AY63" s="26">
        <f t="shared" si="7"/>
        <v>0</v>
      </c>
      <c r="AZ63" s="26">
        <f t="shared" si="26"/>
        <v>0</v>
      </c>
      <c r="BA63" s="23" t="s">
        <v>271</v>
      </c>
      <c r="BB63" t="str">
        <f t="shared" si="21"/>
        <v>NEW</v>
      </c>
    </row>
    <row r="64" spans="1:54" x14ac:dyDescent="0.25">
      <c r="A64">
        <v>114</v>
      </c>
      <c r="B64" s="77">
        <v>44909.003329016203</v>
      </c>
      <c r="C64" s="14" t="s">
        <v>100</v>
      </c>
      <c r="D64" s="23" t="s">
        <v>100</v>
      </c>
      <c r="E64" s="23" t="s">
        <v>98</v>
      </c>
      <c r="F64" s="23">
        <v>114736.84</v>
      </c>
      <c r="G64" s="23">
        <v>114736.84</v>
      </c>
      <c r="H64" s="23">
        <v>1</v>
      </c>
      <c r="I64" s="23">
        <v>0</v>
      </c>
      <c r="J64" s="23" t="s">
        <v>88</v>
      </c>
      <c r="K64" s="24">
        <v>44909.003329016203</v>
      </c>
      <c r="L64" s="23">
        <v>1</v>
      </c>
      <c r="M64" s="23" t="s">
        <v>98</v>
      </c>
      <c r="N64" s="25">
        <v>0</v>
      </c>
      <c r="O64" s="26" t="str">
        <f t="shared" si="0"/>
        <v>CASH</v>
      </c>
      <c r="P64" s="26" t="str">
        <f t="shared" si="9"/>
        <v>LONG</v>
      </c>
      <c r="Q64" s="26" t="str">
        <f t="shared" si="10"/>
        <v>CASH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USD CASH LONG</v>
      </c>
      <c r="X64" s="94" t="s">
        <v>267</v>
      </c>
      <c r="Y64" s="3" t="s">
        <v>151</v>
      </c>
      <c r="Z64" s="31">
        <v>3045130004.3544402</v>
      </c>
      <c r="AA64" s="31">
        <v>1441.74270216525</v>
      </c>
      <c r="AD64" s="77">
        <f t="shared" si="12"/>
        <v>44910.000000081018</v>
      </c>
      <c r="AE64" s="14" t="str">
        <f t="shared" si="13"/>
        <v>-</v>
      </c>
      <c r="AF64" s="14" t="str">
        <f t="shared" si="14"/>
        <v>WALLET</v>
      </c>
      <c r="AG64" s="14" t="s">
        <v>151</v>
      </c>
      <c r="AH64" s="14">
        <v>3045130004.3544402</v>
      </c>
      <c r="AI64" s="14">
        <v>1441.74270216525</v>
      </c>
      <c r="AJ64" s="14">
        <f t="shared" si="15"/>
        <v>4.73458505910619E-7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NFT</v>
      </c>
      <c r="AP64" s="46"/>
      <c r="AQ64" s="47"/>
      <c r="AR64" s="48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1441.74270216525</v>
      </c>
      <c r="AX64" s="26">
        <f t="shared" si="25"/>
        <v>4.73458505910619E-7</v>
      </c>
      <c r="AY64" s="26">
        <f t="shared" si="7"/>
        <v>0</v>
      </c>
      <c r="AZ64" s="26">
        <f t="shared" si="26"/>
        <v>0</v>
      </c>
      <c r="BA64" s="23" t="s">
        <v>271</v>
      </c>
      <c r="BB64" t="str">
        <f t="shared" si="21"/>
        <v>NFT</v>
      </c>
    </row>
    <row r="65" spans="1:54" x14ac:dyDescent="0.25">
      <c r="A65">
        <v>115</v>
      </c>
      <c r="B65" s="77">
        <v>44909.00334166667</v>
      </c>
      <c r="C65" s="14" t="s">
        <v>100</v>
      </c>
      <c r="D65" s="23" t="s">
        <v>100</v>
      </c>
      <c r="E65" s="23" t="s">
        <v>102</v>
      </c>
      <c r="F65" s="23">
        <v>116647.68407285</v>
      </c>
      <c r="G65" s="23">
        <v>45074.265272861601</v>
      </c>
      <c r="H65" s="23">
        <v>0.38641371777866901</v>
      </c>
      <c r="I65" s="23">
        <v>0</v>
      </c>
      <c r="J65" s="23" t="s">
        <v>88</v>
      </c>
      <c r="K65" s="24">
        <v>44909.00334166667</v>
      </c>
      <c r="L65" s="23">
        <v>1</v>
      </c>
      <c r="M65" s="23" t="s">
        <v>102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XRP COIN LONG</v>
      </c>
      <c r="X65" s="94" t="s">
        <v>267</v>
      </c>
      <c r="Y65" s="3" t="s">
        <v>152</v>
      </c>
      <c r="Z65" s="31">
        <v>4.3068300000000002E-3</v>
      </c>
      <c r="AA65" s="31">
        <v>9.1859295588851404E-4</v>
      </c>
      <c r="AD65" s="77">
        <f t="shared" si="12"/>
        <v>44910.000000081018</v>
      </c>
      <c r="AE65" s="14" t="str">
        <f t="shared" si="13"/>
        <v>-</v>
      </c>
      <c r="AF65" s="14" t="str">
        <f t="shared" si="14"/>
        <v>WALLET</v>
      </c>
      <c r="AG65" s="14" t="s">
        <v>152</v>
      </c>
      <c r="AH65" s="14">
        <v>4.3068300000000002E-3</v>
      </c>
      <c r="AI65" s="14">
        <v>9.1859295588851404E-4</v>
      </c>
      <c r="AJ65" s="14">
        <f t="shared" si="15"/>
        <v>0.213287488916097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NULS</v>
      </c>
      <c r="AP65" s="46"/>
      <c r="AQ65" s="47"/>
      <c r="AR65" s="48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9.1859295588851404E-4</v>
      </c>
      <c r="AX65" s="26">
        <f t="shared" si="25"/>
        <v>0.213287488916097</v>
      </c>
      <c r="AY65" s="26">
        <f t="shared" si="7"/>
        <v>0</v>
      </c>
      <c r="AZ65" s="26">
        <f t="shared" si="26"/>
        <v>0</v>
      </c>
      <c r="BA65" s="23" t="s">
        <v>271</v>
      </c>
      <c r="BB65" t="str">
        <f t="shared" si="21"/>
        <v>NULS</v>
      </c>
    </row>
    <row r="66" spans="1:54" x14ac:dyDescent="0.25">
      <c r="A66">
        <v>116</v>
      </c>
      <c r="B66" s="77">
        <v>44910.000005324073</v>
      </c>
      <c r="C66" s="14" t="s">
        <v>104</v>
      </c>
      <c r="D66" s="23" t="s">
        <v>103</v>
      </c>
      <c r="E66" s="23" t="s">
        <v>15</v>
      </c>
      <c r="F66" s="23">
        <v>1811.18993475</v>
      </c>
      <c r="G66" s="23">
        <v>32267525.697774</v>
      </c>
      <c r="H66" s="23">
        <v>17815.649854650899</v>
      </c>
      <c r="I66" s="23">
        <v>0</v>
      </c>
      <c r="J66" s="23" t="s">
        <v>88</v>
      </c>
      <c r="K66" s="24">
        <v>44910.000005324073</v>
      </c>
      <c r="L66" s="23">
        <v>1</v>
      </c>
      <c r="M66" s="23" t="s">
        <v>15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BULL</v>
      </c>
      <c r="W66" t="str">
        <f t="shared" si="11"/>
        <v>BTC COIN LONG</v>
      </c>
      <c r="X66" s="94" t="s">
        <v>267</v>
      </c>
      <c r="Y66" s="3" t="s">
        <v>153</v>
      </c>
      <c r="Z66" s="31">
        <v>24121.420819300001</v>
      </c>
      <c r="AA66" s="31">
        <v>28410.752841687077</v>
      </c>
      <c r="AD66" s="77">
        <f t="shared" si="12"/>
        <v>44910.000000081018</v>
      </c>
      <c r="AE66" s="14" t="str">
        <f t="shared" si="13"/>
        <v>-</v>
      </c>
      <c r="AF66" s="14" t="str">
        <f t="shared" si="14"/>
        <v>WALLET</v>
      </c>
      <c r="AG66" s="14" t="s">
        <v>153</v>
      </c>
      <c r="AH66" s="14">
        <v>24121.420819300001</v>
      </c>
      <c r="AI66" s="14">
        <v>28410.752841687077</v>
      </c>
      <c r="AJ66" s="14">
        <f t="shared" si="15"/>
        <v>1.1778225277242003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OMG</v>
      </c>
      <c r="AP66" s="46"/>
      <c r="AQ66" s="47"/>
      <c r="AR66" s="48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0" si="31">IF($AE66="","",$AT66&amp;" "&amp;$AU66)</f>
        <v>COIN LONG</v>
      </c>
      <c r="AW66" s="26">
        <f t="shared" ref="AW66:AW100" si="32">IF($AE66="","",$AI66*(1+$AY66))</f>
        <v>28410.752841687077</v>
      </c>
      <c r="AX66" s="26">
        <f t="shared" ref="AX66:AX99" si="33">IF($AE66="","",$AJ66*(1+$AY66))</f>
        <v>1.1778225277242003</v>
      </c>
      <c r="AY66" s="26">
        <f t="shared" ref="AY66:AY94" si="34">IF($AE66="","",0)</f>
        <v>0</v>
      </c>
      <c r="AZ66" s="26">
        <f t="shared" ref="AZ66:AZ99" si="35">IF($AE66="","",$AI66-$AW66)</f>
        <v>0</v>
      </c>
      <c r="BA66" s="23" t="s">
        <v>271</v>
      </c>
      <c r="BB66" t="str">
        <f t="shared" si="21"/>
        <v>OMG</v>
      </c>
    </row>
    <row r="67" spans="1:54" x14ac:dyDescent="0.25">
      <c r="A67">
        <v>117</v>
      </c>
      <c r="B67" s="77">
        <v>44910.000005324073</v>
      </c>
      <c r="C67" s="14" t="s">
        <v>104</v>
      </c>
      <c r="D67" s="23" t="s">
        <v>103</v>
      </c>
      <c r="E67" s="23" t="s">
        <v>98</v>
      </c>
      <c r="F67" s="23">
        <v>62054507.6281</v>
      </c>
      <c r="G67" s="23">
        <v>62054507.6281</v>
      </c>
      <c r="H67" s="23">
        <v>1</v>
      </c>
      <c r="I67" s="23">
        <v>0</v>
      </c>
      <c r="J67" s="23" t="s">
        <v>88</v>
      </c>
      <c r="K67" s="24">
        <v>44910.000005324073</v>
      </c>
      <c r="L67" s="23">
        <v>1</v>
      </c>
      <c r="M67" s="23" t="s">
        <v>98</v>
      </c>
      <c r="N67" s="25">
        <v>0</v>
      </c>
      <c r="O67" s="26" t="str">
        <f t="shared" si="27"/>
        <v>CASH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CASH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BULL</v>
      </c>
      <c r="W67" t="str">
        <f t="shared" ref="W67:W133" si="38">IF($C67="","",$M67&amp;" "&amp;$Q67)</f>
        <v>USD CASH LONG</v>
      </c>
      <c r="X67" s="94" t="s">
        <v>267</v>
      </c>
      <c r="Y67" s="3" t="s">
        <v>154</v>
      </c>
      <c r="Z67" s="31">
        <v>0.34782034000000001</v>
      </c>
      <c r="AA67" s="31">
        <v>9.2591922833754503E-2</v>
      </c>
      <c r="AD67" s="77">
        <f t="shared" ref="AD67:AD107" si="39">IF($AG67="","",$B$2)</f>
        <v>44910.000000081018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154</v>
      </c>
      <c r="AH67" s="14">
        <v>0.34782034000000001</v>
      </c>
      <c r="AI67" s="14">
        <v>9.2591922833754503E-2</v>
      </c>
      <c r="AJ67" s="14">
        <f t="shared" ref="AJ67:AJ107" si="42">IF(AH67&lt;&gt;0,AI67/AH67,"")</f>
        <v>0.26620617653859607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ONG</v>
      </c>
      <c r="AP67" s="46"/>
      <c r="AQ67" s="47"/>
      <c r="AR67" s="48"/>
      <c r="AS67" s="25">
        <f t="shared" si="29"/>
        <v>0</v>
      </c>
      <c r="AT67" s="26" t="str">
        <f t="shared" si="30"/>
        <v>COIN</v>
      </c>
      <c r="AU67" s="26" t="str">
        <f t="shared" ref="AU67:AU100" si="47">IF($AE67="","",IF($AH67&gt;0,"LONG","SHORT"))</f>
        <v>LONG</v>
      </c>
      <c r="AV67" s="26" t="str">
        <f t="shared" si="31"/>
        <v>COIN LONG</v>
      </c>
      <c r="AW67" s="26">
        <f t="shared" si="32"/>
        <v>9.2591922833754503E-2</v>
      </c>
      <c r="AX67" s="26">
        <f t="shared" si="33"/>
        <v>0.26620617653859607</v>
      </c>
      <c r="AY67" s="26">
        <f t="shared" si="34"/>
        <v>0</v>
      </c>
      <c r="AZ67" s="26">
        <f t="shared" si="35"/>
        <v>0</v>
      </c>
      <c r="BA67" s="23" t="s">
        <v>271</v>
      </c>
      <c r="BB67" t="str">
        <f t="shared" ref="BB67:BB107" si="48">IF($AE67="","",$AO67)</f>
        <v>ONG</v>
      </c>
    </row>
    <row r="68" spans="1:54" x14ac:dyDescent="0.25">
      <c r="A68">
        <v>118</v>
      </c>
      <c r="B68" s="77">
        <v>44910.000005324073</v>
      </c>
      <c r="C68" s="14" t="s">
        <v>104</v>
      </c>
      <c r="D68" s="23" t="s">
        <v>103</v>
      </c>
      <c r="E68" s="23" t="s">
        <v>95</v>
      </c>
      <c r="F68" s="23">
        <v>101</v>
      </c>
      <c r="G68" s="23">
        <v>100.997932055747</v>
      </c>
      <c r="H68" s="23">
        <v>0.99997952530443501</v>
      </c>
      <c r="I68" s="23">
        <v>0</v>
      </c>
      <c r="J68" s="23" t="s">
        <v>88</v>
      </c>
      <c r="K68" s="24">
        <v>44910.000005324073</v>
      </c>
      <c r="L68" s="23">
        <v>1</v>
      </c>
      <c r="M68" s="23" t="s">
        <v>95</v>
      </c>
      <c r="N68" s="25">
        <v>0</v>
      </c>
      <c r="O68" s="26" t="str">
        <f t="shared" si="27"/>
        <v>COIN</v>
      </c>
      <c r="P68" s="26" t="str">
        <f t="shared" si="36"/>
        <v>LONG</v>
      </c>
      <c r="Q68" s="26" t="str">
        <f t="shared" si="37"/>
        <v>COIN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BULL</v>
      </c>
      <c r="W68" t="str">
        <f t="shared" si="38"/>
        <v>USDC COIN LONG</v>
      </c>
      <c r="X68" s="94" t="s">
        <v>267</v>
      </c>
      <c r="Y68" s="3" t="s">
        <v>92</v>
      </c>
      <c r="Z68" s="31">
        <v>11197.701488120025</v>
      </c>
      <c r="AA68" s="31">
        <v>909.00557107512998</v>
      </c>
      <c r="AD68" s="77">
        <f t="shared" si="39"/>
        <v>44910.000000081018</v>
      </c>
      <c r="AE68" s="14" t="str">
        <f t="shared" si="40"/>
        <v>-</v>
      </c>
      <c r="AF68" s="14" t="str">
        <f t="shared" si="41"/>
        <v>WALLET</v>
      </c>
      <c r="AG68" s="14" t="s">
        <v>92</v>
      </c>
      <c r="AH68" s="14">
        <v>11197.701488120025</v>
      </c>
      <c r="AI68" s="14">
        <v>909.00557107512998</v>
      </c>
      <c r="AJ68" s="14">
        <f t="shared" si="42"/>
        <v>8.1177871372934973E-2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OXT</v>
      </c>
      <c r="AP68" s="46"/>
      <c r="AQ68" s="47"/>
      <c r="AR68" s="48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909.00557107512998</v>
      </c>
      <c r="AX68" s="26">
        <f t="shared" si="33"/>
        <v>8.1177871372934973E-2</v>
      </c>
      <c r="AY68" s="26">
        <f t="shared" si="34"/>
        <v>0</v>
      </c>
      <c r="AZ68" s="26">
        <f t="shared" si="35"/>
        <v>0</v>
      </c>
      <c r="BA68" s="23" t="s">
        <v>271</v>
      </c>
      <c r="BB68" t="str">
        <f t="shared" si="48"/>
        <v>OXT</v>
      </c>
    </row>
    <row r="69" spans="1:54" x14ac:dyDescent="0.25">
      <c r="A69">
        <v>119</v>
      </c>
      <c r="B69" s="77">
        <v>44910.000004085647</v>
      </c>
      <c r="C69" s="14" t="s">
        <v>104</v>
      </c>
      <c r="D69" s="23" t="s">
        <v>105</v>
      </c>
      <c r="E69" s="23" t="s">
        <v>24</v>
      </c>
      <c r="F69" s="23">
        <v>3305322.7056</v>
      </c>
      <c r="G69" s="23">
        <v>3232676.1307260599</v>
      </c>
      <c r="H69" s="23">
        <v>0.97802133669101299</v>
      </c>
      <c r="I69" s="23">
        <v>0</v>
      </c>
      <c r="J69" s="23" t="s">
        <v>88</v>
      </c>
      <c r="K69" s="24">
        <v>44910.000004085647</v>
      </c>
      <c r="L69" s="23">
        <v>1</v>
      </c>
      <c r="M69" s="23" t="s">
        <v>24</v>
      </c>
      <c r="N69" s="25">
        <v>0</v>
      </c>
      <c r="O69" s="26" t="str">
        <f t="shared" si="27"/>
        <v>COIN</v>
      </c>
      <c r="P69" s="26" t="str">
        <f t="shared" si="36"/>
        <v>LONG</v>
      </c>
      <c r="Q69" s="26" t="str">
        <f t="shared" si="37"/>
        <v>COIN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BULL</v>
      </c>
      <c r="W69" t="str">
        <f t="shared" si="38"/>
        <v>EOS COIN LONG</v>
      </c>
      <c r="X69" s="94" t="s">
        <v>267</v>
      </c>
      <c r="Y69" s="3" t="s">
        <v>155</v>
      </c>
      <c r="Z69" s="31">
        <v>3.0962099999999998E-3</v>
      </c>
      <c r="AA69" s="31">
        <v>7.3057120862182502E-3</v>
      </c>
      <c r="AD69" s="77">
        <f t="shared" si="39"/>
        <v>44910.000000081018</v>
      </c>
      <c r="AE69" s="14" t="str">
        <f t="shared" si="40"/>
        <v>-</v>
      </c>
      <c r="AF69" s="14" t="str">
        <f t="shared" si="41"/>
        <v>WALLET</v>
      </c>
      <c r="AG69" s="14" t="s">
        <v>155</v>
      </c>
      <c r="AH69" s="14">
        <v>3.0962099999999998E-3</v>
      </c>
      <c r="AI69" s="14">
        <v>7.3057120862182502E-3</v>
      </c>
      <c r="AJ69" s="14">
        <f t="shared" si="42"/>
        <v>2.3595660779528038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QTUM</v>
      </c>
      <c r="AP69" s="46"/>
      <c r="AQ69" s="47"/>
      <c r="AR69" s="48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7.3057120862182502E-3</v>
      </c>
      <c r="AX69" s="26">
        <f t="shared" si="33"/>
        <v>2.3595660779528038</v>
      </c>
      <c r="AY69" s="26">
        <f t="shared" si="34"/>
        <v>0</v>
      </c>
      <c r="AZ69" s="26">
        <f t="shared" si="35"/>
        <v>0</v>
      </c>
      <c r="BA69" s="23" t="s">
        <v>271</v>
      </c>
      <c r="BB69" t="str">
        <f t="shared" si="48"/>
        <v>QTUM</v>
      </c>
    </row>
    <row r="70" spans="1:54" x14ac:dyDescent="0.25">
      <c r="A70">
        <v>120</v>
      </c>
      <c r="B70" s="77">
        <v>44910.000004085647</v>
      </c>
      <c r="C70" s="14" t="s">
        <v>104</v>
      </c>
      <c r="D70" s="23" t="s">
        <v>105</v>
      </c>
      <c r="E70" s="23" t="s">
        <v>28</v>
      </c>
      <c r="F70" s="23">
        <v>60029.229923910003</v>
      </c>
      <c r="G70" s="23">
        <v>403926.36658765498</v>
      </c>
      <c r="H70" s="23">
        <v>6.72882805759214</v>
      </c>
      <c r="I70" s="23">
        <v>0</v>
      </c>
      <c r="J70" s="23" t="s">
        <v>88</v>
      </c>
      <c r="K70" s="24">
        <v>44910.000004085647</v>
      </c>
      <c r="L70" s="23">
        <v>1</v>
      </c>
      <c r="M70" s="23" t="s">
        <v>28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BULL</v>
      </c>
      <c r="W70" t="str">
        <f t="shared" si="38"/>
        <v>LINK COIN LONG</v>
      </c>
      <c r="X70" s="94" t="s">
        <v>267</v>
      </c>
      <c r="Y70" s="3" t="s">
        <v>156</v>
      </c>
      <c r="Z70" s="31">
        <v>2.6598900000000002E-2</v>
      </c>
      <c r="AA70" s="31">
        <v>6.6126062963526102E-4</v>
      </c>
      <c r="AD70" s="77">
        <f t="shared" si="39"/>
        <v>44910.000000081018</v>
      </c>
      <c r="AE70" s="14" t="str">
        <f t="shared" si="40"/>
        <v>-</v>
      </c>
      <c r="AF70" s="14" t="str">
        <f t="shared" si="41"/>
        <v>WALLET</v>
      </c>
      <c r="AG70" s="14" t="s">
        <v>156</v>
      </c>
      <c r="AH70" s="14">
        <v>2.6598900000000002E-2</v>
      </c>
      <c r="AI70" s="14">
        <v>6.6126062963526102E-4</v>
      </c>
      <c r="AJ70" s="14">
        <f t="shared" si="42"/>
        <v>2.4860450230470468E-2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REI</v>
      </c>
      <c r="AP70" s="46"/>
      <c r="AQ70" s="47"/>
      <c r="AR70" s="48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6.6126062963526102E-4</v>
      </c>
      <c r="AX70" s="26">
        <f t="shared" si="33"/>
        <v>2.4860450230470468E-2</v>
      </c>
      <c r="AY70" s="26">
        <f t="shared" si="34"/>
        <v>0</v>
      </c>
      <c r="AZ70" s="26">
        <f t="shared" si="35"/>
        <v>0</v>
      </c>
      <c r="BA70" s="23" t="s">
        <v>271</v>
      </c>
      <c r="BB70" t="str">
        <f t="shared" si="48"/>
        <v>REI</v>
      </c>
    </row>
    <row r="71" spans="1:54" x14ac:dyDescent="0.25">
      <c r="A71">
        <v>121</v>
      </c>
      <c r="B71" s="77">
        <v>44910.000004085647</v>
      </c>
      <c r="C71" s="14" t="s">
        <v>104</v>
      </c>
      <c r="D71" s="23" t="s">
        <v>105</v>
      </c>
      <c r="E71" s="23" t="s">
        <v>25</v>
      </c>
      <c r="F71" s="23">
        <v>6062.1725529100004</v>
      </c>
      <c r="G71" s="23">
        <v>457547.709002777</v>
      </c>
      <c r="H71" s="23">
        <v>75.475863646134997</v>
      </c>
      <c r="I71" s="23">
        <v>0</v>
      </c>
      <c r="J71" s="23" t="s">
        <v>88</v>
      </c>
      <c r="K71" s="24">
        <v>44910.000004085647</v>
      </c>
      <c r="L71" s="23">
        <v>1</v>
      </c>
      <c r="M71" s="23" t="s">
        <v>25</v>
      </c>
      <c r="N71" s="25">
        <v>0</v>
      </c>
      <c r="O71" s="26" t="str">
        <f t="shared" si="27"/>
        <v>COIN</v>
      </c>
      <c r="P71" s="26" t="str">
        <f t="shared" si="36"/>
        <v>LONG</v>
      </c>
      <c r="Q71" s="26" t="str">
        <f t="shared" si="37"/>
        <v>COIN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LTC COIN LONG</v>
      </c>
      <c r="X71" s="94" t="s">
        <v>267</v>
      </c>
      <c r="Y71" s="3" t="s">
        <v>298</v>
      </c>
      <c r="Z71" s="31">
        <v>9.5929999999999998E-5</v>
      </c>
      <c r="AA71" s="31">
        <v>4.2092775676247699E-6</v>
      </c>
      <c r="AD71" s="77">
        <f t="shared" si="39"/>
        <v>44910.000000081018</v>
      </c>
      <c r="AE71" s="14" t="str">
        <f t="shared" si="40"/>
        <v>-</v>
      </c>
      <c r="AF71" s="14" t="str">
        <f t="shared" si="41"/>
        <v>WALLET</v>
      </c>
      <c r="AG71" s="14" t="s">
        <v>298</v>
      </c>
      <c r="AH71" s="14">
        <v>9.5929999999999998E-5</v>
      </c>
      <c r="AI71" s="14">
        <v>4.2092775676247699E-6</v>
      </c>
      <c r="AJ71" s="14">
        <f t="shared" si="42"/>
        <v>4.3878636168297402E-2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ROSE</v>
      </c>
      <c r="AP71" s="46"/>
      <c r="AQ71" s="47"/>
      <c r="AR71" s="48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4.2092775676247699E-6</v>
      </c>
      <c r="AX71" s="26">
        <f t="shared" si="33"/>
        <v>4.3878636168297402E-2</v>
      </c>
      <c r="AY71" s="26">
        <f t="shared" si="34"/>
        <v>0</v>
      </c>
      <c r="AZ71" s="26">
        <f t="shared" si="35"/>
        <v>0</v>
      </c>
      <c r="BA71" s="23" t="s">
        <v>271</v>
      </c>
      <c r="BB71" t="str">
        <f t="shared" si="48"/>
        <v>ROSE</v>
      </c>
    </row>
    <row r="72" spans="1:54" x14ac:dyDescent="0.25">
      <c r="A72">
        <v>122</v>
      </c>
      <c r="B72" s="77">
        <v>44910.000004085647</v>
      </c>
      <c r="C72" s="14" t="s">
        <v>104</v>
      </c>
      <c r="D72" s="23" t="s">
        <v>105</v>
      </c>
      <c r="E72" s="23" t="s">
        <v>98</v>
      </c>
      <c r="F72" s="23">
        <v>5014251.5754000004</v>
      </c>
      <c r="G72" s="23">
        <v>5014251.5754000004</v>
      </c>
      <c r="H72" s="23">
        <v>1</v>
      </c>
      <c r="I72" s="23">
        <v>0</v>
      </c>
      <c r="J72" s="23" t="s">
        <v>88</v>
      </c>
      <c r="K72" s="24">
        <v>44910.000004085647</v>
      </c>
      <c r="L72" s="23">
        <v>1</v>
      </c>
      <c r="M72" s="23" t="s">
        <v>98</v>
      </c>
      <c r="N72" s="25">
        <v>0</v>
      </c>
      <c r="O72" s="26" t="str">
        <f t="shared" si="27"/>
        <v>CASH</v>
      </c>
      <c r="P72" s="26" t="str">
        <f t="shared" si="36"/>
        <v>LONG</v>
      </c>
      <c r="Q72" s="26" t="str">
        <f t="shared" si="37"/>
        <v>CASH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USD CASH LONG</v>
      </c>
      <c r="X72" s="94" t="s">
        <v>267</v>
      </c>
      <c r="Y72" s="3" t="s">
        <v>101</v>
      </c>
      <c r="Z72" s="31">
        <v>1236499.8774543798</v>
      </c>
      <c r="AA72" s="31">
        <v>14713.937917793688</v>
      </c>
      <c r="AD72" s="77">
        <f t="shared" si="39"/>
        <v>44910.000000081018</v>
      </c>
      <c r="AE72" s="14" t="str">
        <f t="shared" si="40"/>
        <v>-</v>
      </c>
      <c r="AF72" s="14" t="str">
        <f t="shared" si="41"/>
        <v>WALLET</v>
      </c>
      <c r="AG72" s="14" t="s">
        <v>101</v>
      </c>
      <c r="AH72" s="14">
        <v>1236499.8774543798</v>
      </c>
      <c r="AI72" s="14">
        <v>14713.937917793688</v>
      </c>
      <c r="AJ72" s="14">
        <f t="shared" si="42"/>
        <v>1.189966791431126E-2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SGB</v>
      </c>
      <c r="AP72" s="46"/>
      <c r="AQ72" s="47"/>
      <c r="AR72" s="48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14713.937917793688</v>
      </c>
      <c r="AX72" s="26">
        <f t="shared" si="33"/>
        <v>1.189966791431126E-2</v>
      </c>
      <c r="AY72" s="26">
        <f t="shared" si="34"/>
        <v>0</v>
      </c>
      <c r="AZ72" s="26">
        <f t="shared" si="35"/>
        <v>0</v>
      </c>
      <c r="BA72" s="23" t="s">
        <v>271</v>
      </c>
      <c r="BB72" t="str">
        <f t="shared" si="48"/>
        <v>SGB</v>
      </c>
    </row>
    <row r="73" spans="1:54" x14ac:dyDescent="0.25">
      <c r="A73">
        <v>123</v>
      </c>
      <c r="B73" s="77">
        <v>44910.000002511573</v>
      </c>
      <c r="C73" s="14" t="s">
        <v>104</v>
      </c>
      <c r="D73" s="23" t="s">
        <v>107</v>
      </c>
      <c r="E73" s="23" t="s">
        <v>16</v>
      </c>
      <c r="F73" s="23">
        <v>15355.680843669999</v>
      </c>
      <c r="G73" s="23">
        <v>20105633.2824472</v>
      </c>
      <c r="H73" s="23">
        <v>1309.32867693296</v>
      </c>
      <c r="I73" s="23">
        <v>0</v>
      </c>
      <c r="J73" s="23" t="s">
        <v>88</v>
      </c>
      <c r="K73" s="24">
        <v>44910.000002511573</v>
      </c>
      <c r="L73" s="23">
        <v>1</v>
      </c>
      <c r="M73" s="23" t="s">
        <v>16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ETH COIN LONG</v>
      </c>
      <c r="X73" s="94" t="s">
        <v>267</v>
      </c>
      <c r="Y73" s="3" t="s">
        <v>184</v>
      </c>
      <c r="Z73" s="31">
        <v>3393052.5294192201</v>
      </c>
      <c r="AA73" s="31">
        <v>31408.321681189798</v>
      </c>
      <c r="AD73" s="77">
        <f t="shared" si="39"/>
        <v>44910.000000081018</v>
      </c>
      <c r="AE73" s="14" t="str">
        <f t="shared" si="40"/>
        <v>-</v>
      </c>
      <c r="AF73" s="14" t="str">
        <f t="shared" si="41"/>
        <v>WALLET</v>
      </c>
      <c r="AG73" s="14" t="s">
        <v>184</v>
      </c>
      <c r="AH73" s="14">
        <v>3393052.5294192201</v>
      </c>
      <c r="AI73" s="14">
        <v>31408.321681189798</v>
      </c>
      <c r="AJ73" s="14">
        <f t="shared" si="42"/>
        <v>9.2566564793401182E-3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SHFT</v>
      </c>
      <c r="AP73" s="46"/>
      <c r="AQ73" s="47"/>
      <c r="AR73" s="48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31408.321681189798</v>
      </c>
      <c r="AX73" s="26">
        <f t="shared" si="33"/>
        <v>9.2566564793401182E-3</v>
      </c>
      <c r="AY73" s="26">
        <f t="shared" si="34"/>
        <v>0</v>
      </c>
      <c r="AZ73" s="26">
        <f t="shared" si="35"/>
        <v>0</v>
      </c>
      <c r="BA73" s="23" t="s">
        <v>271</v>
      </c>
      <c r="BB73" t="str">
        <f t="shared" si="48"/>
        <v>SHFT</v>
      </c>
    </row>
    <row r="74" spans="1:54" x14ac:dyDescent="0.25">
      <c r="A74">
        <v>124</v>
      </c>
      <c r="B74" s="77">
        <v>44910.000002511573</v>
      </c>
      <c r="C74" s="14" t="s">
        <v>104</v>
      </c>
      <c r="D74" s="23" t="s">
        <v>107</v>
      </c>
      <c r="E74" s="23" t="s">
        <v>98</v>
      </c>
      <c r="F74" s="23">
        <v>10179492.812899999</v>
      </c>
      <c r="G74" s="23">
        <v>10179492.812899999</v>
      </c>
      <c r="H74" s="23">
        <v>1</v>
      </c>
      <c r="I74" s="23">
        <v>0</v>
      </c>
      <c r="J74" s="23" t="s">
        <v>88</v>
      </c>
      <c r="K74" s="24">
        <v>44910.000002511573</v>
      </c>
      <c r="L74" s="23">
        <v>1</v>
      </c>
      <c r="M74" s="23" t="s">
        <v>98</v>
      </c>
      <c r="N74" s="25">
        <v>0</v>
      </c>
      <c r="O74" s="26" t="str">
        <f t="shared" si="27"/>
        <v>CASH</v>
      </c>
      <c r="P74" s="26" t="str">
        <f t="shared" si="36"/>
        <v>LONG</v>
      </c>
      <c r="Q74" s="26" t="str">
        <f t="shared" si="37"/>
        <v>CASH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USD CASH LONG</v>
      </c>
      <c r="X74" s="94" t="s">
        <v>267</v>
      </c>
      <c r="Y74" s="3" t="s">
        <v>38</v>
      </c>
      <c r="Z74" s="31">
        <v>175518418144.34607</v>
      </c>
      <c r="AA74" s="31">
        <v>1574883.9694513008</v>
      </c>
      <c r="AD74" s="77">
        <f t="shared" si="39"/>
        <v>44910.000000081018</v>
      </c>
      <c r="AE74" s="14" t="str">
        <f t="shared" si="40"/>
        <v>-</v>
      </c>
      <c r="AF74" s="14" t="str">
        <f t="shared" si="41"/>
        <v>WALLET</v>
      </c>
      <c r="AG74" s="14" t="s">
        <v>38</v>
      </c>
      <c r="AH74" s="14">
        <v>175518418144.34607</v>
      </c>
      <c r="AI74" s="14">
        <v>1574883.9694513008</v>
      </c>
      <c r="AJ74" s="14">
        <f t="shared" si="42"/>
        <v>8.9727561705582302E-6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SHIB</v>
      </c>
      <c r="AP74" s="46"/>
      <c r="AQ74" s="47"/>
      <c r="AR74" s="48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1574883.9694513008</v>
      </c>
      <c r="AX74" s="26">
        <f t="shared" si="33"/>
        <v>8.9727561705582302E-6</v>
      </c>
      <c r="AY74" s="26">
        <f t="shared" si="34"/>
        <v>0</v>
      </c>
      <c r="AZ74" s="26">
        <f t="shared" si="35"/>
        <v>0</v>
      </c>
      <c r="BA74" s="23" t="s">
        <v>271</v>
      </c>
      <c r="BB74" t="str">
        <f t="shared" si="48"/>
        <v>SHIB</v>
      </c>
    </row>
    <row r="75" spans="1:54" x14ac:dyDescent="0.25">
      <c r="A75">
        <v>125</v>
      </c>
      <c r="B75" s="77">
        <v>44910.000005208334</v>
      </c>
      <c r="C75" s="14" t="s">
        <v>104</v>
      </c>
      <c r="D75" s="23" t="s">
        <v>108</v>
      </c>
      <c r="E75" s="23" t="s">
        <v>15</v>
      </c>
      <c r="F75" s="23">
        <v>65.807786899999996</v>
      </c>
      <c r="G75" s="23">
        <v>1172408.4891198799</v>
      </c>
      <c r="H75" s="23">
        <v>17815.649854650899</v>
      </c>
      <c r="I75" s="23">
        <v>0</v>
      </c>
      <c r="J75" s="23" t="s">
        <v>88</v>
      </c>
      <c r="K75" s="24">
        <v>44910.000005208334</v>
      </c>
      <c r="L75" s="23">
        <v>1</v>
      </c>
      <c r="M75" s="23" t="s">
        <v>15</v>
      </c>
      <c r="N75" s="25">
        <v>0</v>
      </c>
      <c r="O75" s="26" t="str">
        <f t="shared" si="27"/>
        <v>COIN</v>
      </c>
      <c r="P75" s="26" t="str">
        <f t="shared" si="36"/>
        <v>LONG</v>
      </c>
      <c r="Q75" s="26" t="str">
        <f t="shared" si="37"/>
        <v>COIN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BTC COIN LONG</v>
      </c>
      <c r="X75" s="94" t="s">
        <v>267</v>
      </c>
      <c r="Y75" s="3" t="s">
        <v>157</v>
      </c>
      <c r="Z75" s="31">
        <v>376.01167062000059</v>
      </c>
      <c r="AA75" s="31">
        <v>5317.0028794359969</v>
      </c>
      <c r="AD75" s="77">
        <f t="shared" si="39"/>
        <v>44910.000000081018</v>
      </c>
      <c r="AE75" s="14" t="str">
        <f t="shared" si="40"/>
        <v>-</v>
      </c>
      <c r="AF75" s="14" t="str">
        <f t="shared" si="41"/>
        <v>WALLET</v>
      </c>
      <c r="AG75" s="14" t="s">
        <v>157</v>
      </c>
      <c r="AH75" s="14">
        <v>376.01167062000059</v>
      </c>
      <c r="AI75" s="14">
        <v>5317.0028794359969</v>
      </c>
      <c r="AJ75" s="14">
        <f t="shared" si="42"/>
        <v>14.140526198745007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SOL</v>
      </c>
      <c r="AP75" s="46"/>
      <c r="AQ75" s="47"/>
      <c r="AR75" s="48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5317.0028794359969</v>
      </c>
      <c r="AX75" s="26">
        <f t="shared" si="33"/>
        <v>14.140526198745007</v>
      </c>
      <c r="AY75" s="26">
        <f t="shared" si="34"/>
        <v>0</v>
      </c>
      <c r="AZ75" s="26">
        <f t="shared" si="35"/>
        <v>0</v>
      </c>
      <c r="BA75" s="23" t="s">
        <v>271</v>
      </c>
      <c r="BB75" t="str">
        <f t="shared" si="48"/>
        <v>SOL</v>
      </c>
    </row>
    <row r="76" spans="1:54" x14ac:dyDescent="0.25">
      <c r="A76">
        <v>126</v>
      </c>
      <c r="B76" s="77">
        <v>44910.000005208334</v>
      </c>
      <c r="C76" s="14" t="s">
        <v>104</v>
      </c>
      <c r="D76" s="23" t="s">
        <v>108</v>
      </c>
      <c r="E76" s="23" t="s">
        <v>16</v>
      </c>
      <c r="F76" s="23">
        <v>1094.7835571000001</v>
      </c>
      <c r="G76" s="23">
        <v>1433431.5063457</v>
      </c>
      <c r="H76" s="23">
        <v>1309.32867693296</v>
      </c>
      <c r="I76" s="23">
        <v>0</v>
      </c>
      <c r="J76" s="23" t="s">
        <v>88</v>
      </c>
      <c r="K76" s="24">
        <v>44910.000005208334</v>
      </c>
      <c r="L76" s="23">
        <v>1</v>
      </c>
      <c r="M76" s="23" t="s">
        <v>16</v>
      </c>
      <c r="N76" s="25">
        <v>0</v>
      </c>
      <c r="O76" s="26" t="str">
        <f t="shared" si="27"/>
        <v>COIN</v>
      </c>
      <c r="P76" s="26" t="str">
        <f t="shared" si="36"/>
        <v>LONG</v>
      </c>
      <c r="Q76" s="26" t="str">
        <f t="shared" si="37"/>
        <v>COIN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ETH COIN LONG</v>
      </c>
      <c r="X76" s="94" t="s">
        <v>267</v>
      </c>
      <c r="Y76" s="3" t="s">
        <v>158</v>
      </c>
      <c r="Z76" s="31">
        <v>38753.774400000002</v>
      </c>
      <c r="AA76" s="31">
        <v>5874.2456954794798</v>
      </c>
      <c r="AD76" s="77">
        <f t="shared" si="39"/>
        <v>44910.000000081018</v>
      </c>
      <c r="AE76" s="14" t="str">
        <f t="shared" si="40"/>
        <v>-</v>
      </c>
      <c r="AF76" s="14" t="str">
        <f t="shared" si="41"/>
        <v>WALLET</v>
      </c>
      <c r="AG76" s="14" t="s">
        <v>158</v>
      </c>
      <c r="AH76" s="14">
        <v>38753.774400000002</v>
      </c>
      <c r="AI76" s="14">
        <v>5874.2456954794798</v>
      </c>
      <c r="AJ76" s="14">
        <f t="shared" si="42"/>
        <v>0.15157867295319444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SOLO</v>
      </c>
      <c r="AP76" s="46"/>
      <c r="AQ76" s="47"/>
      <c r="AR76" s="48"/>
      <c r="AS76" s="25">
        <f t="shared" si="29"/>
        <v>0</v>
      </c>
      <c r="AT76" s="26" t="str">
        <f t="shared" si="30"/>
        <v>COIN</v>
      </c>
      <c r="AU76" s="26" t="str">
        <f t="shared" si="47"/>
        <v>LONG</v>
      </c>
      <c r="AV76" s="26" t="str">
        <f t="shared" si="31"/>
        <v>COIN LONG</v>
      </c>
      <c r="AW76" s="26">
        <f t="shared" si="32"/>
        <v>5874.2456954794798</v>
      </c>
      <c r="AX76" s="26">
        <f t="shared" si="33"/>
        <v>0.15157867295319444</v>
      </c>
      <c r="AY76" s="26">
        <f t="shared" si="34"/>
        <v>0</v>
      </c>
      <c r="AZ76" s="26">
        <f t="shared" si="35"/>
        <v>0</v>
      </c>
      <c r="BA76" s="23" t="s">
        <v>271</v>
      </c>
      <c r="BB76" t="str">
        <f t="shared" si="48"/>
        <v>SOLO</v>
      </c>
    </row>
    <row r="77" spans="1:54" x14ac:dyDescent="0.25">
      <c r="A77">
        <v>127</v>
      </c>
      <c r="B77" s="77">
        <v>44910.000004594905</v>
      </c>
      <c r="C77" s="14" t="s">
        <v>301</v>
      </c>
      <c r="D77" s="23" t="s">
        <v>292</v>
      </c>
      <c r="E77" s="23" t="s">
        <v>191</v>
      </c>
      <c r="F77" s="23">
        <v>0.26739257999999999</v>
      </c>
      <c r="G77" s="23">
        <v>0.17286556285693799</v>
      </c>
      <c r="H77" s="23">
        <v>0.64648601265202699</v>
      </c>
      <c r="I77" s="23">
        <v>0</v>
      </c>
      <c r="J77" s="23" t="s">
        <v>88</v>
      </c>
      <c r="K77" s="24">
        <v>44910.000004594905</v>
      </c>
      <c r="L77" s="23">
        <v>1</v>
      </c>
      <c r="M77" s="23" t="s">
        <v>191</v>
      </c>
      <c r="N77" s="25">
        <v>0</v>
      </c>
      <c r="O77" s="26" t="str">
        <f t="shared" si="27"/>
        <v>COIN</v>
      </c>
      <c r="P77" s="26" t="str">
        <f t="shared" si="36"/>
        <v>LONG</v>
      </c>
      <c r="Q77" s="26" t="str">
        <f t="shared" si="37"/>
        <v>COIN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DEFI</v>
      </c>
      <c r="W77" t="str">
        <f t="shared" si="38"/>
        <v>CRV COIN LONG</v>
      </c>
      <c r="X77" s="94" t="s">
        <v>267</v>
      </c>
      <c r="Y77" s="3" t="s">
        <v>315</v>
      </c>
      <c r="Z77" s="31">
        <v>623.41986664000001</v>
      </c>
      <c r="AA77" s="31">
        <v>799906.53314526705</v>
      </c>
      <c r="AD77" s="77">
        <f t="shared" si="39"/>
        <v>44910.000000081018</v>
      </c>
      <c r="AE77" s="14" t="str">
        <f t="shared" si="40"/>
        <v>-</v>
      </c>
      <c r="AF77" s="14" t="str">
        <f t="shared" si="41"/>
        <v>WALLET</v>
      </c>
      <c r="AG77" s="14" t="s">
        <v>315</v>
      </c>
      <c r="AH77" s="14">
        <v>623.41986664000001</v>
      </c>
      <c r="AI77" s="14">
        <v>799906.53314526705</v>
      </c>
      <c r="AJ77" s="14">
        <f t="shared" si="42"/>
        <v>1283.094389430456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STETH</v>
      </c>
      <c r="AP77" s="46"/>
      <c r="AQ77" s="47"/>
      <c r="AR77" s="48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799906.53314526705</v>
      </c>
      <c r="AX77" s="26">
        <f t="shared" si="33"/>
        <v>1283.094389430456</v>
      </c>
      <c r="AY77" s="26">
        <f t="shared" si="34"/>
        <v>0</v>
      </c>
      <c r="AZ77" s="26">
        <f t="shared" si="35"/>
        <v>0</v>
      </c>
      <c r="BA77" s="23" t="s">
        <v>271</v>
      </c>
      <c r="BB77" t="str">
        <f t="shared" si="48"/>
        <v>STETH</v>
      </c>
    </row>
    <row r="78" spans="1:54" x14ac:dyDescent="0.25">
      <c r="A78">
        <v>128</v>
      </c>
      <c r="B78" s="77">
        <v>44910.000004594905</v>
      </c>
      <c r="C78" s="14" t="s">
        <v>301</v>
      </c>
      <c r="D78" s="23" t="s">
        <v>292</v>
      </c>
      <c r="E78" s="23" t="s">
        <v>191</v>
      </c>
      <c r="F78" s="23">
        <v>9.7777784299999997</v>
      </c>
      <c r="G78" s="23">
        <v>6.3211969898057001</v>
      </c>
      <c r="H78" s="23">
        <v>0.64648601265202699</v>
      </c>
      <c r="I78" s="23">
        <v>0</v>
      </c>
      <c r="J78" s="23" t="s">
        <v>88</v>
      </c>
      <c r="K78" s="24">
        <v>44910.000004594905</v>
      </c>
      <c r="L78" s="23">
        <v>1</v>
      </c>
      <c r="M78" s="23" t="s">
        <v>191</v>
      </c>
      <c r="N78" s="25">
        <v>0</v>
      </c>
      <c r="O78" s="26" t="str">
        <f t="shared" si="27"/>
        <v>COIN</v>
      </c>
      <c r="P78" s="26" t="str">
        <f t="shared" si="36"/>
        <v>LONG</v>
      </c>
      <c r="Q78" s="26" t="str">
        <f t="shared" si="37"/>
        <v>COIN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DEFI</v>
      </c>
      <c r="W78" t="str">
        <f t="shared" si="38"/>
        <v>CRV COIN LONG</v>
      </c>
      <c r="X78" s="94" t="s">
        <v>267</v>
      </c>
      <c r="Y78" s="3" t="s">
        <v>159</v>
      </c>
      <c r="Z78" s="31">
        <v>29.76350429</v>
      </c>
      <c r="AA78" s="31">
        <v>9.9667326333820299</v>
      </c>
      <c r="AD78" s="77">
        <f t="shared" si="39"/>
        <v>44910.000000081018</v>
      </c>
      <c r="AE78" s="14" t="str">
        <f t="shared" si="40"/>
        <v>-</v>
      </c>
      <c r="AF78" s="14" t="str">
        <f t="shared" si="41"/>
        <v>WALLET</v>
      </c>
      <c r="AG78" s="14" t="s">
        <v>159</v>
      </c>
      <c r="AH78" s="14">
        <v>29.76350429</v>
      </c>
      <c r="AI78" s="14">
        <v>9.9667326333820299</v>
      </c>
      <c r="AJ78" s="14">
        <f t="shared" si="42"/>
        <v>0.33486421949080342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STORJ</v>
      </c>
      <c r="AP78" s="46"/>
      <c r="AQ78" s="47"/>
      <c r="AR78" s="48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9.9667326333820299</v>
      </c>
      <c r="AX78" s="26">
        <f t="shared" si="33"/>
        <v>0.33486421949080342</v>
      </c>
      <c r="AY78" s="26">
        <f t="shared" si="34"/>
        <v>0</v>
      </c>
      <c r="AZ78" s="26">
        <f t="shared" si="35"/>
        <v>0</v>
      </c>
      <c r="BA78" s="23" t="s">
        <v>271</v>
      </c>
      <c r="BB78" t="str">
        <f t="shared" si="48"/>
        <v>STORJ</v>
      </c>
    </row>
    <row r="79" spans="1:54" x14ac:dyDescent="0.25">
      <c r="A79">
        <v>129</v>
      </c>
      <c r="B79" s="77">
        <v>44910.000004594905</v>
      </c>
      <c r="C79" s="14" t="s">
        <v>301</v>
      </c>
      <c r="D79" s="23" t="s">
        <v>292</v>
      </c>
      <c r="E79" s="23" t="s">
        <v>192</v>
      </c>
      <c r="F79" s="23">
        <v>2.9103980000000002E-2</v>
      </c>
      <c r="G79" s="23">
        <v>0.113727425027493</v>
      </c>
      <c r="H79" s="23">
        <v>3.90762449079106</v>
      </c>
      <c r="I79" s="23">
        <v>0</v>
      </c>
      <c r="J79" s="23" t="s">
        <v>88</v>
      </c>
      <c r="K79" s="24">
        <v>44910.000004594905</v>
      </c>
      <c r="L79" s="23">
        <v>1</v>
      </c>
      <c r="M79" s="23" t="s">
        <v>192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DEFI</v>
      </c>
      <c r="W79" t="str">
        <f t="shared" si="38"/>
        <v>CVX COIN LONG</v>
      </c>
      <c r="X79" s="94" t="s">
        <v>267</v>
      </c>
      <c r="Y79" s="3" t="s">
        <v>615</v>
      </c>
      <c r="Z79" s="31">
        <v>71.99221647000013</v>
      </c>
      <c r="AA79" s="31">
        <v>80.60642302758788</v>
      </c>
      <c r="AD79" s="77">
        <f t="shared" si="39"/>
        <v>44910.000000081018</v>
      </c>
      <c r="AE79" s="14" t="str">
        <f t="shared" si="40"/>
        <v>-</v>
      </c>
      <c r="AF79" s="14" t="str">
        <f t="shared" si="41"/>
        <v>WALLET</v>
      </c>
      <c r="AG79" s="14" t="s">
        <v>615</v>
      </c>
      <c r="AH79" s="14">
        <v>71.99221647000013</v>
      </c>
      <c r="AI79" s="14">
        <v>80.60642302758788</v>
      </c>
      <c r="AJ79" s="14">
        <f t="shared" si="42"/>
        <v>1.1196546929650009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SUSHI</v>
      </c>
      <c r="AP79" s="46"/>
      <c r="AQ79" s="47"/>
      <c r="AR79" s="48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80.60642302758788</v>
      </c>
      <c r="AX79" s="26">
        <f t="shared" si="33"/>
        <v>1.1196546929650009</v>
      </c>
      <c r="AY79" s="26">
        <f t="shared" si="34"/>
        <v>0</v>
      </c>
      <c r="AZ79" s="26">
        <f t="shared" si="35"/>
        <v>0</v>
      </c>
      <c r="BA79" s="23" t="s">
        <v>271</v>
      </c>
      <c r="BB79" t="str">
        <f t="shared" si="48"/>
        <v>SUSHI</v>
      </c>
    </row>
    <row r="80" spans="1:54" x14ac:dyDescent="0.25">
      <c r="A80">
        <v>130</v>
      </c>
      <c r="B80" s="77">
        <v>44910.000004594905</v>
      </c>
      <c r="C80" s="14" t="s">
        <v>301</v>
      </c>
      <c r="D80" s="23" t="s">
        <v>292</v>
      </c>
      <c r="E80" s="23" t="s">
        <v>16</v>
      </c>
      <c r="F80" s="23">
        <v>3.67060545</v>
      </c>
      <c r="G80" s="23">
        <v>4806.0289773914201</v>
      </c>
      <c r="H80" s="23">
        <v>1309.32867693296</v>
      </c>
      <c r="I80" s="23">
        <v>0</v>
      </c>
      <c r="J80" s="23" t="s">
        <v>88</v>
      </c>
      <c r="K80" s="24">
        <v>44910.000004594905</v>
      </c>
      <c r="L80" s="23">
        <v>1</v>
      </c>
      <c r="M80" s="23" t="s">
        <v>16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DEFI</v>
      </c>
      <c r="W80" t="str">
        <f t="shared" si="38"/>
        <v>ETH COIN LONG</v>
      </c>
      <c r="X80" s="94" t="s">
        <v>267</v>
      </c>
      <c r="Y80" s="3" t="s">
        <v>26</v>
      </c>
      <c r="Z80" s="31">
        <v>45.224419630000007</v>
      </c>
      <c r="AA80" s="31">
        <v>2.5174786941756908</v>
      </c>
      <c r="AD80" s="77">
        <f t="shared" si="39"/>
        <v>44910.000000081018</v>
      </c>
      <c r="AE80" s="14" t="str">
        <f t="shared" si="40"/>
        <v>-</v>
      </c>
      <c r="AF80" s="14" t="str">
        <f t="shared" si="41"/>
        <v>WALLET</v>
      </c>
      <c r="AG80" s="14" t="s">
        <v>26</v>
      </c>
      <c r="AH80" s="14">
        <v>45.224419630000007</v>
      </c>
      <c r="AI80" s="14">
        <v>2.5174786941756908</v>
      </c>
      <c r="AJ80" s="14">
        <f t="shared" si="42"/>
        <v>5.5666357131218987E-2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TRX</v>
      </c>
      <c r="AP80" s="46"/>
      <c r="AQ80" s="47"/>
      <c r="AR80" s="48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2.5174786941756908</v>
      </c>
      <c r="AX80" s="26">
        <f t="shared" si="33"/>
        <v>5.5666357131218987E-2</v>
      </c>
      <c r="AY80" s="26">
        <f t="shared" si="34"/>
        <v>0</v>
      </c>
      <c r="AZ80" s="26">
        <f t="shared" si="35"/>
        <v>0</v>
      </c>
      <c r="BA80" s="23" t="s">
        <v>271</v>
      </c>
      <c r="BB80" t="str">
        <f t="shared" si="48"/>
        <v>TRX</v>
      </c>
    </row>
    <row r="81" spans="1:54" x14ac:dyDescent="0.25">
      <c r="A81">
        <v>131</v>
      </c>
      <c r="B81" s="77">
        <v>44910.000004594905</v>
      </c>
      <c r="C81" s="14" t="s">
        <v>301</v>
      </c>
      <c r="D81" s="23" t="s">
        <v>292</v>
      </c>
      <c r="E81" s="23" t="s">
        <v>95</v>
      </c>
      <c r="F81" s="23">
        <v>13972.219738</v>
      </c>
      <c r="G81" s="23">
        <v>13971.9336610544</v>
      </c>
      <c r="H81" s="23">
        <v>0.99997952530443501</v>
      </c>
      <c r="I81" s="23">
        <v>0</v>
      </c>
      <c r="J81" s="23" t="s">
        <v>88</v>
      </c>
      <c r="K81" s="24">
        <v>44910.000004594905</v>
      </c>
      <c r="L81" s="23">
        <v>1</v>
      </c>
      <c r="M81" s="23" t="s">
        <v>95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DEFI</v>
      </c>
      <c r="W81" t="str">
        <f t="shared" si="38"/>
        <v>USDC COIN LONG</v>
      </c>
      <c r="X81" s="94" t="s">
        <v>267</v>
      </c>
      <c r="Y81" s="3" t="s">
        <v>182</v>
      </c>
      <c r="Z81" s="31">
        <v>0.10983253</v>
      </c>
      <c r="AA81" s="31">
        <v>5.8358694645149999E-3</v>
      </c>
      <c r="AD81" s="77">
        <f t="shared" si="39"/>
        <v>44910.000000081018</v>
      </c>
      <c r="AE81" s="14" t="str">
        <f t="shared" si="40"/>
        <v>-</v>
      </c>
      <c r="AF81" s="14" t="str">
        <f t="shared" si="41"/>
        <v>WALLET</v>
      </c>
      <c r="AG81" s="14" t="s">
        <v>182</v>
      </c>
      <c r="AH81" s="14">
        <v>0.10983253</v>
      </c>
      <c r="AI81" s="14">
        <v>5.8358694645149999E-3</v>
      </c>
      <c r="AJ81" s="14">
        <f t="shared" si="42"/>
        <v>5.3134253253703613E-2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TRY</v>
      </c>
      <c r="AP81" s="46"/>
      <c r="AQ81" s="47"/>
      <c r="AR81" s="48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5.8358694645149999E-3</v>
      </c>
      <c r="AX81" s="26">
        <f t="shared" si="33"/>
        <v>5.3134253253703613E-2</v>
      </c>
      <c r="AY81" s="26">
        <f t="shared" si="34"/>
        <v>0</v>
      </c>
      <c r="AZ81" s="26">
        <f t="shared" si="35"/>
        <v>0</v>
      </c>
      <c r="BA81" s="23" t="s">
        <v>271</v>
      </c>
      <c r="BB81" t="str">
        <f t="shared" si="48"/>
        <v>TRY</v>
      </c>
    </row>
    <row r="82" spans="1:54" x14ac:dyDescent="0.25">
      <c r="A82">
        <v>132</v>
      </c>
      <c r="B82" s="77">
        <v>44910.000004594905</v>
      </c>
      <c r="C82" s="14" t="s">
        <v>301</v>
      </c>
      <c r="D82" s="23" t="s">
        <v>307</v>
      </c>
      <c r="E82" s="23" t="s">
        <v>308</v>
      </c>
      <c r="F82" s="23">
        <v>7000</v>
      </c>
      <c r="G82" s="23">
        <v>0</v>
      </c>
      <c r="H82" s="23">
        <v>0</v>
      </c>
      <c r="I82" s="23">
        <v>0</v>
      </c>
      <c r="J82" s="23" t="s">
        <v>88</v>
      </c>
      <c r="K82" s="24">
        <v>44910.000004594905</v>
      </c>
      <c r="L82" s="23">
        <v>1</v>
      </c>
      <c r="M82" s="23" t="s">
        <v>308</v>
      </c>
      <c r="N82" s="25">
        <v>0</v>
      </c>
      <c r="O82" s="26" t="str">
        <f t="shared" si="27"/>
        <v>COIN</v>
      </c>
      <c r="P82" s="26" t="str">
        <f t="shared" si="36"/>
        <v>SHORT</v>
      </c>
      <c r="Q82" s="26" t="str">
        <f t="shared" si="37"/>
        <v>COIN SHORT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$ USDCBONUS.COM &lt;- VISIT TO CLAIM BONUS COIN SHORT</v>
      </c>
      <c r="X82" s="94" t="s">
        <v>267</v>
      </c>
      <c r="Y82" s="3" t="s">
        <v>160</v>
      </c>
      <c r="Z82" s="31">
        <v>6.3152970000000003E-2</v>
      </c>
      <c r="AA82" s="31">
        <v>2.4075889084370101E-4</v>
      </c>
      <c r="AD82" s="77">
        <f t="shared" si="39"/>
        <v>44910.000000081018</v>
      </c>
      <c r="AE82" s="14" t="str">
        <f t="shared" si="40"/>
        <v>-</v>
      </c>
      <c r="AF82" s="14" t="str">
        <f t="shared" si="41"/>
        <v>WALLET</v>
      </c>
      <c r="AG82" s="14" t="s">
        <v>160</v>
      </c>
      <c r="AH82" s="14">
        <v>6.3152970000000003E-2</v>
      </c>
      <c r="AI82" s="14">
        <v>2.4075889084370101E-4</v>
      </c>
      <c r="AJ82" s="14">
        <f t="shared" si="42"/>
        <v>3.8123130368009771E-3</v>
      </c>
      <c r="AK82" s="14">
        <f t="shared" si="43"/>
        <v>0</v>
      </c>
      <c r="AL82" s="14" t="str">
        <f t="shared" si="44"/>
        <v>COIN</v>
      </c>
      <c r="AM82" s="24"/>
      <c r="AN82" s="14">
        <f t="shared" si="45"/>
        <v>1</v>
      </c>
      <c r="AO82" s="14" t="str">
        <f t="shared" si="46"/>
        <v>TT</v>
      </c>
      <c r="AP82" s="46"/>
      <c r="AQ82" s="47"/>
      <c r="AR82" s="48"/>
      <c r="AS82" s="25">
        <f t="shared" si="29"/>
        <v>0</v>
      </c>
      <c r="AT82" s="26" t="str">
        <f t="shared" si="49"/>
        <v>COIN</v>
      </c>
      <c r="AU82" s="26" t="str">
        <f t="shared" si="47"/>
        <v>LONG</v>
      </c>
      <c r="AV82" s="26" t="str">
        <f t="shared" si="31"/>
        <v>COIN LONG</v>
      </c>
      <c r="AW82" s="26">
        <f t="shared" si="32"/>
        <v>2.4075889084370101E-4</v>
      </c>
      <c r="AX82" s="26">
        <f t="shared" si="33"/>
        <v>3.8123130368009771E-3</v>
      </c>
      <c r="AY82" s="26">
        <f t="shared" si="34"/>
        <v>0</v>
      </c>
      <c r="AZ82" s="26">
        <f t="shared" si="35"/>
        <v>0</v>
      </c>
      <c r="BA82" s="23" t="s">
        <v>271</v>
      </c>
      <c r="BB82" t="str">
        <f t="shared" si="48"/>
        <v>TT</v>
      </c>
    </row>
    <row r="83" spans="1:54" x14ac:dyDescent="0.25">
      <c r="A83">
        <v>133</v>
      </c>
      <c r="B83" s="77">
        <v>44910.000004594905</v>
      </c>
      <c r="C83" s="14" t="s">
        <v>301</v>
      </c>
      <c r="D83" s="23" t="s">
        <v>307</v>
      </c>
      <c r="E83" s="23" t="s">
        <v>324</v>
      </c>
      <c r="F83" s="23">
        <v>7000</v>
      </c>
      <c r="G83" s="23">
        <v>0</v>
      </c>
      <c r="H83" s="23">
        <v>0</v>
      </c>
      <c r="I83" s="23">
        <v>0</v>
      </c>
      <c r="J83" s="23" t="s">
        <v>88</v>
      </c>
      <c r="K83" s="24">
        <v>44910.000004594905</v>
      </c>
      <c r="L83" s="23">
        <v>1</v>
      </c>
      <c r="M83" s="23" t="s">
        <v>324</v>
      </c>
      <c r="N83" s="25">
        <v>0</v>
      </c>
      <c r="O83" s="26" t="str">
        <f t="shared" si="27"/>
        <v>COIN</v>
      </c>
      <c r="P83" s="26" t="str">
        <f t="shared" si="36"/>
        <v>SHORT</v>
      </c>
      <c r="Q83" s="26" t="str">
        <f t="shared" si="37"/>
        <v>COIN SHORT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$ USDCGIFT.COM &lt;- VISIT TO CLAIM BONUS COIN SHORT</v>
      </c>
      <c r="X83" s="94" t="s">
        <v>267</v>
      </c>
      <c r="Y83" s="3" t="s">
        <v>161</v>
      </c>
      <c r="Z83" s="31">
        <v>20</v>
      </c>
      <c r="AA83" s="31">
        <v>19.9996805291984</v>
      </c>
      <c r="AD83" s="77">
        <f t="shared" si="39"/>
        <v>44910.000000081018</v>
      </c>
      <c r="AE83" s="14" t="str">
        <f t="shared" si="40"/>
        <v>-</v>
      </c>
      <c r="AF83" s="14" t="str">
        <f t="shared" si="41"/>
        <v>WALLET</v>
      </c>
      <c r="AG83" s="14" t="s">
        <v>161</v>
      </c>
      <c r="AH83" s="14">
        <v>20</v>
      </c>
      <c r="AI83" s="14">
        <v>19.9996805291984</v>
      </c>
      <c r="AJ83" s="14">
        <f t="shared" si="42"/>
        <v>0.99998402645992002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TUSD</v>
      </c>
      <c r="AP83" s="46"/>
      <c r="AQ83" s="47"/>
      <c r="AR83" s="48"/>
      <c r="AS83" s="25">
        <f t="shared" si="29"/>
        <v>0</v>
      </c>
      <c r="AT83" s="26" t="str">
        <f t="shared" si="49"/>
        <v>COIN</v>
      </c>
      <c r="AU83" s="26" t="str">
        <f t="shared" si="47"/>
        <v>LONG</v>
      </c>
      <c r="AV83" s="26" t="str">
        <f t="shared" si="31"/>
        <v>COIN LONG</v>
      </c>
      <c r="AW83" s="26">
        <f t="shared" si="32"/>
        <v>19.9996805291984</v>
      </c>
      <c r="AX83" s="26">
        <f t="shared" si="33"/>
        <v>0.99998402645992002</v>
      </c>
      <c r="AY83" s="26">
        <f t="shared" si="34"/>
        <v>0</v>
      </c>
      <c r="AZ83" s="26">
        <f t="shared" si="35"/>
        <v>0</v>
      </c>
      <c r="BA83" s="23" t="s">
        <v>271</v>
      </c>
      <c r="BB83" t="str">
        <f t="shared" si="48"/>
        <v>TUSD</v>
      </c>
    </row>
    <row r="84" spans="1:54" x14ac:dyDescent="0.25">
      <c r="A84">
        <v>134</v>
      </c>
      <c r="B84" s="77">
        <v>44910.000004594905</v>
      </c>
      <c r="C84" s="14" t="s">
        <v>301</v>
      </c>
      <c r="D84" s="23" t="s">
        <v>307</v>
      </c>
      <c r="E84" s="23" t="s">
        <v>714</v>
      </c>
      <c r="F84" s="23">
        <v>8</v>
      </c>
      <c r="G84" s="23">
        <v>0</v>
      </c>
      <c r="H84" s="23">
        <v>0</v>
      </c>
      <c r="I84" s="23">
        <v>0</v>
      </c>
      <c r="J84" s="23" t="s">
        <v>88</v>
      </c>
      <c r="K84" s="24">
        <v>44910.000004594905</v>
      </c>
      <c r="L84" s="23">
        <v>1</v>
      </c>
      <c r="M84" s="23" t="s">
        <v>714</v>
      </c>
      <c r="N84" s="25">
        <v>0</v>
      </c>
      <c r="O84" s="26" t="str">
        <f t="shared" si="27"/>
        <v>COIN</v>
      </c>
      <c r="P84" s="26" t="str">
        <f t="shared" si="36"/>
        <v>SHORT</v>
      </c>
      <c r="Q84" s="26" t="str">
        <f t="shared" si="37"/>
        <v>COIN SHORT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927$ VISIT AUSDBONUS.COM TO CLAIM COIN SHORT</v>
      </c>
      <c r="X84" s="94" t="s">
        <v>267</v>
      </c>
      <c r="Y84" s="3" t="s">
        <v>162</v>
      </c>
      <c r="Z84" s="31">
        <v>253.19983698000033</v>
      </c>
      <c r="AA84" s="31">
        <v>1498.8512345638228</v>
      </c>
      <c r="AD84" s="77">
        <f t="shared" si="39"/>
        <v>44910.000000081018</v>
      </c>
      <c r="AE84" s="14" t="str">
        <f t="shared" si="40"/>
        <v>-</v>
      </c>
      <c r="AF84" s="14" t="str">
        <f t="shared" si="41"/>
        <v>WALLET</v>
      </c>
      <c r="AG84" s="14" t="s">
        <v>162</v>
      </c>
      <c r="AH84" s="14">
        <v>253.19983698000033</v>
      </c>
      <c r="AI84" s="14">
        <v>1498.8512345638228</v>
      </c>
      <c r="AJ84" s="14">
        <f t="shared" si="42"/>
        <v>5.9196374391118329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UNI</v>
      </c>
      <c r="AP84" s="46"/>
      <c r="AQ84" s="47"/>
      <c r="AR84" s="48"/>
      <c r="AS84" s="25">
        <f t="shared" si="29"/>
        <v>0</v>
      </c>
      <c r="AT84" s="26" t="str">
        <f t="shared" si="49"/>
        <v>COIN</v>
      </c>
      <c r="AU84" s="26" t="str">
        <f t="shared" si="47"/>
        <v>LONG</v>
      </c>
      <c r="AV84" s="26" t="str">
        <f t="shared" si="31"/>
        <v>COIN LONG</v>
      </c>
      <c r="AW84" s="26">
        <f t="shared" si="32"/>
        <v>1498.8512345638228</v>
      </c>
      <c r="AX84" s="26">
        <f t="shared" si="33"/>
        <v>5.9196374391118329</v>
      </c>
      <c r="AY84" s="26">
        <f t="shared" si="34"/>
        <v>0</v>
      </c>
      <c r="AZ84" s="26">
        <f t="shared" si="35"/>
        <v>0</v>
      </c>
      <c r="BA84" s="23" t="s">
        <v>271</v>
      </c>
      <c r="BB84" t="str">
        <f t="shared" si="48"/>
        <v>UNI</v>
      </c>
    </row>
    <row r="85" spans="1:54" x14ac:dyDescent="0.25">
      <c r="A85">
        <v>135</v>
      </c>
      <c r="B85" s="77">
        <v>44910.000004594905</v>
      </c>
      <c r="C85" s="14" t="s">
        <v>301</v>
      </c>
      <c r="D85" s="23" t="s">
        <v>307</v>
      </c>
      <c r="E85" s="23" t="s">
        <v>119</v>
      </c>
      <c r="F85" s="23">
        <v>180.62351240000001</v>
      </c>
      <c r="G85" s="23">
        <v>11300.329050841099</v>
      </c>
      <c r="H85" s="23">
        <v>62.562890626420497</v>
      </c>
      <c r="I85" s="23">
        <v>0</v>
      </c>
      <c r="J85" s="23" t="s">
        <v>88</v>
      </c>
      <c r="K85" s="24">
        <v>44910.000004594905</v>
      </c>
      <c r="L85" s="23">
        <v>1</v>
      </c>
      <c r="M85" s="23" t="s">
        <v>119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AAVE COIN LONG</v>
      </c>
      <c r="X85" s="94" t="s">
        <v>267</v>
      </c>
      <c r="Y85" s="3" t="s">
        <v>98</v>
      </c>
      <c r="Z85" s="31">
        <v>74234766.365592495</v>
      </c>
      <c r="AA85" s="31">
        <v>74234766.365592495</v>
      </c>
      <c r="AD85" s="77">
        <f t="shared" si="39"/>
        <v>44910.000000081018</v>
      </c>
      <c r="AE85" s="14" t="str">
        <f t="shared" si="40"/>
        <v>-</v>
      </c>
      <c r="AF85" s="14" t="str">
        <f t="shared" si="41"/>
        <v>WALLET</v>
      </c>
      <c r="AG85" s="14" t="s">
        <v>98</v>
      </c>
      <c r="AH85" s="14">
        <v>74234766.365592495</v>
      </c>
      <c r="AI85" s="14">
        <v>74234766.365592495</v>
      </c>
      <c r="AJ85" s="14">
        <f t="shared" si="42"/>
        <v>1</v>
      </c>
      <c r="AK85" s="14">
        <f t="shared" si="43"/>
        <v>0</v>
      </c>
      <c r="AL85" s="14" t="str">
        <f t="shared" si="44"/>
        <v>CASH</v>
      </c>
      <c r="AM85" s="24"/>
      <c r="AN85" s="14">
        <f t="shared" si="45"/>
        <v>1</v>
      </c>
      <c r="AO85" s="14" t="str">
        <f t="shared" si="46"/>
        <v>USD</v>
      </c>
      <c r="AP85" s="46"/>
      <c r="AQ85" s="47"/>
      <c r="AR85" s="48"/>
      <c r="AS85" s="25">
        <f t="shared" si="29"/>
        <v>0</v>
      </c>
      <c r="AT85" s="26" t="str">
        <f t="shared" si="49"/>
        <v>CASH</v>
      </c>
      <c r="AU85" s="26" t="str">
        <f t="shared" si="47"/>
        <v>LONG</v>
      </c>
      <c r="AV85" s="26" t="str">
        <f t="shared" si="31"/>
        <v>CASH LONG</v>
      </c>
      <c r="AW85" s="26">
        <f t="shared" si="32"/>
        <v>74234766.365592495</v>
      </c>
      <c r="AX85" s="26">
        <f t="shared" si="33"/>
        <v>1</v>
      </c>
      <c r="AY85" s="26">
        <f t="shared" si="34"/>
        <v>0</v>
      </c>
      <c r="AZ85" s="26">
        <f t="shared" si="35"/>
        <v>0</v>
      </c>
      <c r="BA85" s="23" t="s">
        <v>271</v>
      </c>
      <c r="BB85" t="str">
        <f t="shared" si="48"/>
        <v>USD</v>
      </c>
    </row>
    <row r="86" spans="1:54" x14ac:dyDescent="0.25">
      <c r="A86">
        <v>136</v>
      </c>
      <c r="B86" s="77">
        <v>44910.000004594905</v>
      </c>
      <c r="C86" s="14" t="s">
        <v>301</v>
      </c>
      <c r="D86" s="23" t="s">
        <v>307</v>
      </c>
      <c r="E86" s="23" t="s">
        <v>190</v>
      </c>
      <c r="F86" s="23">
        <v>69.006194350000001</v>
      </c>
      <c r="G86" s="23">
        <v>947.28664425413604</v>
      </c>
      <c r="H86" s="23">
        <v>13.7275595789196</v>
      </c>
      <c r="I86" s="23">
        <v>0</v>
      </c>
      <c r="J86" s="23" t="s">
        <v>88</v>
      </c>
      <c r="K86" s="24">
        <v>44910.000004594905</v>
      </c>
      <c r="L86" s="23">
        <v>1</v>
      </c>
      <c r="M86" s="23" t="s">
        <v>190</v>
      </c>
      <c r="N86" s="25">
        <v>0</v>
      </c>
      <c r="O86" s="26" t="str">
        <f t="shared" si="27"/>
        <v>COIN</v>
      </c>
      <c r="P86" s="26" t="str">
        <f t="shared" si="36"/>
        <v>LONG</v>
      </c>
      <c r="Q86" s="26" t="str">
        <f t="shared" si="37"/>
        <v>COIN LONG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AVAX COIN LONG</v>
      </c>
      <c r="X86" s="94" t="s">
        <v>267</v>
      </c>
      <c r="Y86" s="3" t="s">
        <v>95</v>
      </c>
      <c r="Z86" s="31">
        <v>-56124018.341877401</v>
      </c>
      <c r="AA86" s="31">
        <v>-56122869.219687894</v>
      </c>
      <c r="AD86" s="77">
        <f t="shared" si="39"/>
        <v>44910.000000081018</v>
      </c>
      <c r="AE86" s="14" t="str">
        <f t="shared" si="40"/>
        <v>-</v>
      </c>
      <c r="AF86" s="14" t="str">
        <f t="shared" si="41"/>
        <v>WALLET</v>
      </c>
      <c r="AG86" s="14" t="s">
        <v>95</v>
      </c>
      <c r="AH86" s="14">
        <v>-56124018.341877401</v>
      </c>
      <c r="AI86" s="14">
        <v>-56122869.219687894</v>
      </c>
      <c r="AJ86" s="14">
        <f t="shared" si="42"/>
        <v>0.99997952530443368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USDC</v>
      </c>
      <c r="AP86" s="46"/>
      <c r="AQ86" s="47"/>
      <c r="AR86" s="48"/>
      <c r="AS86" s="25">
        <f t="shared" si="29"/>
        <v>0</v>
      </c>
      <c r="AT86" s="26" t="str">
        <f t="shared" si="49"/>
        <v>COIN</v>
      </c>
      <c r="AU86" s="26" t="str">
        <f t="shared" si="47"/>
        <v>SHORT</v>
      </c>
      <c r="AV86" s="26" t="str">
        <f t="shared" si="31"/>
        <v>COIN SHORT</v>
      </c>
      <c r="AW86" s="26">
        <f t="shared" si="32"/>
        <v>-56122869.219687894</v>
      </c>
      <c r="AX86" s="26">
        <f t="shared" si="33"/>
        <v>0.99997952530443368</v>
      </c>
      <c r="AY86" s="26">
        <f t="shared" si="34"/>
        <v>0</v>
      </c>
      <c r="AZ86" s="26">
        <f t="shared" si="35"/>
        <v>0</v>
      </c>
      <c r="BA86" s="23" t="s">
        <v>271</v>
      </c>
      <c r="BB86" t="str">
        <f t="shared" si="48"/>
        <v>USDC</v>
      </c>
    </row>
    <row r="87" spans="1:54" x14ac:dyDescent="0.25">
      <c r="A87">
        <v>137</v>
      </c>
      <c r="B87" s="77">
        <v>44910.000004594905</v>
      </c>
      <c r="C87" s="14" t="s">
        <v>301</v>
      </c>
      <c r="D87" s="23" t="s">
        <v>307</v>
      </c>
      <c r="E87" s="23" t="s">
        <v>747</v>
      </c>
      <c r="F87" s="23">
        <v>25</v>
      </c>
      <c r="G87" s="23">
        <v>0</v>
      </c>
      <c r="H87" s="23">
        <v>0</v>
      </c>
      <c r="I87" s="23">
        <v>0</v>
      </c>
      <c r="J87" s="23" t="s">
        <v>88</v>
      </c>
      <c r="K87" s="24">
        <v>44910.000004594905</v>
      </c>
      <c r="L87" s="23">
        <v>1</v>
      </c>
      <c r="M87" s="23" t="s">
        <v>747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BONUS. VISIT HTTPS://BITBONUS.TECH TO CLAIM REWARD. COIN SHORT</v>
      </c>
      <c r="X87" s="94" t="s">
        <v>267</v>
      </c>
      <c r="Y87" s="3" t="s">
        <v>163</v>
      </c>
      <c r="Z87" s="31">
        <v>0.34680431</v>
      </c>
      <c r="AA87" s="31">
        <v>0.34804517992871897</v>
      </c>
      <c r="AD87" s="77">
        <f t="shared" si="39"/>
        <v>44910.000000081018</v>
      </c>
      <c r="AE87" s="14" t="str">
        <f t="shared" si="40"/>
        <v>-</v>
      </c>
      <c r="AF87" s="14" t="str">
        <f t="shared" si="41"/>
        <v>WALLET</v>
      </c>
      <c r="AG87" s="14" t="s">
        <v>163</v>
      </c>
      <c r="AH87" s="14">
        <v>0.34680431</v>
      </c>
      <c r="AI87" s="14">
        <v>0.34804517992871897</v>
      </c>
      <c r="AJ87" s="14">
        <f t="shared" si="42"/>
        <v>1.0035780118439674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USDP</v>
      </c>
      <c r="AP87" s="46"/>
      <c r="AQ87" s="47"/>
      <c r="AR87" s="48"/>
      <c r="AS87" s="25">
        <f t="shared" si="29"/>
        <v>0</v>
      </c>
      <c r="AT87" s="26" t="str">
        <f t="shared" si="49"/>
        <v>COIN</v>
      </c>
      <c r="AU87" s="26" t="str">
        <f t="shared" si="47"/>
        <v>LONG</v>
      </c>
      <c r="AV87" s="26" t="str">
        <f t="shared" si="31"/>
        <v>COIN LONG</v>
      </c>
      <c r="AW87" s="26">
        <f t="shared" si="32"/>
        <v>0.34804517992871897</v>
      </c>
      <c r="AX87" s="26">
        <f t="shared" si="33"/>
        <v>1.0035780118439674</v>
      </c>
      <c r="AY87" s="26">
        <f t="shared" si="34"/>
        <v>0</v>
      </c>
      <c r="AZ87" s="26">
        <f t="shared" si="35"/>
        <v>0</v>
      </c>
      <c r="BA87" s="23" t="s">
        <v>271</v>
      </c>
      <c r="BB87" t="str">
        <f t="shared" si="48"/>
        <v>USDP</v>
      </c>
    </row>
    <row r="88" spans="1:54" x14ac:dyDescent="0.25">
      <c r="A88">
        <v>138</v>
      </c>
      <c r="B88" s="77">
        <v>44910.000004594905</v>
      </c>
      <c r="C88" s="14" t="s">
        <v>301</v>
      </c>
      <c r="D88" s="23" t="s">
        <v>307</v>
      </c>
      <c r="E88" s="23" t="s">
        <v>16</v>
      </c>
      <c r="F88" s="23">
        <v>16.894087620000001</v>
      </c>
      <c r="G88" s="23">
        <v>22119.9133914841</v>
      </c>
      <c r="H88" s="23">
        <v>1309.32867693296</v>
      </c>
      <c r="I88" s="23">
        <v>0</v>
      </c>
      <c r="J88" s="23" t="s">
        <v>88</v>
      </c>
      <c r="K88" s="24">
        <v>44910.000004594905</v>
      </c>
      <c r="L88" s="23">
        <v>1</v>
      </c>
      <c r="M88" s="23" t="s">
        <v>16</v>
      </c>
      <c r="N88" s="25">
        <v>0</v>
      </c>
      <c r="O88" s="26" t="str">
        <f t="shared" si="27"/>
        <v>COIN</v>
      </c>
      <c r="P88" s="26" t="str">
        <f t="shared" si="36"/>
        <v>LONG</v>
      </c>
      <c r="Q88" s="26" t="str">
        <f t="shared" si="37"/>
        <v>COIN LONG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ETH COIN LONG</v>
      </c>
      <c r="X88" s="94" t="s">
        <v>267</v>
      </c>
      <c r="Y88" s="3" t="s">
        <v>39</v>
      </c>
      <c r="Z88" s="31">
        <v>13177475.8031369</v>
      </c>
      <c r="AA88" s="31">
        <v>13178864.845137877</v>
      </c>
      <c r="AD88" s="77">
        <f t="shared" si="39"/>
        <v>44910.000000081018</v>
      </c>
      <c r="AE88" s="14" t="str">
        <f t="shared" si="40"/>
        <v>-</v>
      </c>
      <c r="AF88" s="14" t="str">
        <f t="shared" si="41"/>
        <v>WALLET</v>
      </c>
      <c r="AG88" s="14" t="s">
        <v>39</v>
      </c>
      <c r="AH88" s="14">
        <v>13177475.8031369</v>
      </c>
      <c r="AI88" s="14">
        <v>13178864.845137877</v>
      </c>
      <c r="AJ88" s="14">
        <f t="shared" si="42"/>
        <v>1.0001054103245361</v>
      </c>
      <c r="AK88" s="14">
        <f t="shared" si="43"/>
        <v>0</v>
      </c>
      <c r="AL88" s="14" t="str">
        <f t="shared" si="44"/>
        <v>COIN</v>
      </c>
      <c r="AM88" s="24"/>
      <c r="AN88" s="14">
        <f t="shared" si="45"/>
        <v>1</v>
      </c>
      <c r="AO88" s="14" t="str">
        <f t="shared" si="46"/>
        <v>USDT</v>
      </c>
      <c r="AP88" s="46"/>
      <c r="AQ88" s="47"/>
      <c r="AR88" s="48"/>
      <c r="AS88" s="25">
        <f t="shared" si="29"/>
        <v>0</v>
      </c>
      <c r="AT88" s="26" t="str">
        <f t="shared" si="49"/>
        <v>COIN</v>
      </c>
      <c r="AU88" s="26" t="str">
        <f t="shared" si="47"/>
        <v>LONG</v>
      </c>
      <c r="AV88" s="26" t="str">
        <f t="shared" si="31"/>
        <v>COIN LONG</v>
      </c>
      <c r="AW88" s="26">
        <f t="shared" si="32"/>
        <v>13178864.845137877</v>
      </c>
      <c r="AX88" s="26">
        <f t="shared" si="33"/>
        <v>1.0001054103245361</v>
      </c>
      <c r="AY88" s="26">
        <f t="shared" si="34"/>
        <v>0</v>
      </c>
      <c r="AZ88" s="26">
        <f t="shared" si="35"/>
        <v>0</v>
      </c>
      <c r="BA88" s="23" t="s">
        <v>271</v>
      </c>
      <c r="BB88" t="str">
        <f t="shared" si="48"/>
        <v>USDT</v>
      </c>
    </row>
    <row r="89" spans="1:54" x14ac:dyDescent="0.25">
      <c r="A89">
        <v>139</v>
      </c>
      <c r="B89" s="77">
        <v>44910.000004594905</v>
      </c>
      <c r="C89" s="14" t="s">
        <v>301</v>
      </c>
      <c r="D89" s="23" t="s">
        <v>307</v>
      </c>
      <c r="E89" s="23" t="s">
        <v>715</v>
      </c>
      <c r="F89" s="23">
        <v>480000</v>
      </c>
      <c r="G89" s="23">
        <v>0</v>
      </c>
      <c r="H89" s="23">
        <v>0</v>
      </c>
      <c r="I89" s="23">
        <v>0</v>
      </c>
      <c r="J89" s="23" t="s">
        <v>88</v>
      </c>
      <c r="K89" s="24">
        <v>44910.000004594905</v>
      </c>
      <c r="L89" s="23">
        <v>1</v>
      </c>
      <c r="M89" s="23" t="s">
        <v>715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INVITATION TOKEN. PLEASE VISIT HTTPS://AAKER.SITE AND CLAIM REWARDS. COIN SHORT</v>
      </c>
      <c r="X89" s="94" t="s">
        <v>267</v>
      </c>
      <c r="Y89" s="3" t="s">
        <v>99</v>
      </c>
      <c r="Z89" s="31">
        <v>29.9885932</v>
      </c>
      <c r="AA89" s="31">
        <v>0</v>
      </c>
      <c r="AD89" s="77">
        <f t="shared" si="39"/>
        <v>44910.000000081018</v>
      </c>
      <c r="AE89" s="14" t="str">
        <f t="shared" si="40"/>
        <v>-</v>
      </c>
      <c r="AF89" s="14" t="str">
        <f t="shared" si="41"/>
        <v>WALLET</v>
      </c>
      <c r="AG89" s="14" t="s">
        <v>99</v>
      </c>
      <c r="AH89" s="14">
        <v>29.9885932</v>
      </c>
      <c r="AI89" s="14">
        <v>0</v>
      </c>
      <c r="AJ89" s="14">
        <f t="shared" si="42"/>
        <v>0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UST</v>
      </c>
      <c r="AP89" s="46"/>
      <c r="AQ89" s="47"/>
      <c r="AR89" s="48"/>
      <c r="AS89" s="25">
        <f t="shared" si="29"/>
        <v>0</v>
      </c>
      <c r="AT89" s="26" t="str">
        <f t="shared" si="49"/>
        <v>COIN</v>
      </c>
      <c r="AU89" s="26" t="str">
        <f t="shared" si="47"/>
        <v>LONG</v>
      </c>
      <c r="AV89" s="26" t="str">
        <f t="shared" si="31"/>
        <v>COIN LONG</v>
      </c>
      <c r="AW89" s="26">
        <f t="shared" si="32"/>
        <v>0</v>
      </c>
      <c r="AX89" s="26">
        <f t="shared" si="33"/>
        <v>0</v>
      </c>
      <c r="AY89" s="26">
        <f t="shared" si="34"/>
        <v>0</v>
      </c>
      <c r="AZ89" s="26">
        <f t="shared" si="35"/>
        <v>0</v>
      </c>
      <c r="BA89" s="23" t="s">
        <v>271</v>
      </c>
      <c r="BB89" t="str">
        <f t="shared" si="48"/>
        <v>UST</v>
      </c>
    </row>
    <row r="90" spans="1:54" x14ac:dyDescent="0.25">
      <c r="A90">
        <v>140</v>
      </c>
      <c r="B90" s="77">
        <v>44910.000004594905</v>
      </c>
      <c r="C90" s="14" t="s">
        <v>301</v>
      </c>
      <c r="D90" s="23" t="s">
        <v>307</v>
      </c>
      <c r="E90" s="23" t="s">
        <v>716</v>
      </c>
      <c r="F90" s="23">
        <v>34311.93215886</v>
      </c>
      <c r="G90" s="23">
        <v>0</v>
      </c>
      <c r="H90" s="23">
        <v>0</v>
      </c>
      <c r="I90" s="23">
        <v>0</v>
      </c>
      <c r="J90" s="23" t="s">
        <v>88</v>
      </c>
      <c r="K90" s="24">
        <v>44910.000004594905</v>
      </c>
      <c r="L90" s="23">
        <v>1</v>
      </c>
      <c r="M90" s="23" t="s">
        <v>716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OAAVEUSDC/AAVE-02DEC22-67.5C COIN SHORT</v>
      </c>
      <c r="X90" s="94" t="s">
        <v>267</v>
      </c>
      <c r="Y90" s="3" t="s">
        <v>199</v>
      </c>
      <c r="Z90" s="31">
        <v>-74.040518480000003</v>
      </c>
      <c r="AA90" s="31">
        <v>-1.3878582842920431</v>
      </c>
      <c r="AD90" s="77">
        <f t="shared" si="39"/>
        <v>44910.000000081018</v>
      </c>
      <c r="AE90" s="14" t="str">
        <f t="shared" si="40"/>
        <v>-</v>
      </c>
      <c r="AF90" s="14" t="str">
        <f t="shared" si="41"/>
        <v>WALLET</v>
      </c>
      <c r="AG90" s="14" t="s">
        <v>199</v>
      </c>
      <c r="AH90" s="14">
        <v>-74.040518480000003</v>
      </c>
      <c r="AI90" s="14">
        <v>-1.3878582842920431</v>
      </c>
      <c r="AJ90" s="14">
        <f t="shared" si="42"/>
        <v>1.8744578141587899E-2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VET</v>
      </c>
      <c r="AP90" s="46"/>
      <c r="AQ90" s="47"/>
      <c r="AR90" s="48"/>
      <c r="AS90" s="25">
        <f t="shared" si="29"/>
        <v>0</v>
      </c>
      <c r="AT90" s="26" t="str">
        <f t="shared" si="49"/>
        <v>COIN</v>
      </c>
      <c r="AU90" s="26" t="str">
        <f t="shared" si="47"/>
        <v>SHORT</v>
      </c>
      <c r="AV90" s="26" t="str">
        <f t="shared" si="31"/>
        <v>COIN SHORT</v>
      </c>
      <c r="AW90" s="26">
        <f t="shared" si="32"/>
        <v>-1.3878582842920431</v>
      </c>
      <c r="AX90" s="26">
        <f t="shared" si="33"/>
        <v>1.8744578141587899E-2</v>
      </c>
      <c r="AY90" s="26">
        <f t="shared" si="34"/>
        <v>0</v>
      </c>
      <c r="AZ90" s="26">
        <f t="shared" si="35"/>
        <v>0</v>
      </c>
      <c r="BA90" s="23" t="s">
        <v>271</v>
      </c>
      <c r="BB90" t="str">
        <f t="shared" si="48"/>
        <v>VET</v>
      </c>
    </row>
    <row r="91" spans="1:54" x14ac:dyDescent="0.25">
      <c r="A91">
        <v>141</v>
      </c>
      <c r="B91" s="77">
        <v>44910.000004594905</v>
      </c>
      <c r="C91" s="14" t="s">
        <v>301</v>
      </c>
      <c r="D91" s="23" t="s">
        <v>307</v>
      </c>
      <c r="E91" s="23" t="s">
        <v>748</v>
      </c>
      <c r="F91" s="23">
        <v>33793.379334129997</v>
      </c>
      <c r="G91" s="23">
        <v>0</v>
      </c>
      <c r="H91" s="23">
        <v>0</v>
      </c>
      <c r="I91" s="23">
        <v>0</v>
      </c>
      <c r="J91" s="23" t="s">
        <v>88</v>
      </c>
      <c r="K91" s="24">
        <v>44910.000004594905</v>
      </c>
      <c r="L91" s="23">
        <v>1</v>
      </c>
      <c r="M91" s="23" t="s">
        <v>748</v>
      </c>
      <c r="N91" s="25">
        <v>0</v>
      </c>
      <c r="O91" s="26" t="str">
        <f t="shared" si="27"/>
        <v>COIN</v>
      </c>
      <c r="P91" s="26" t="str">
        <f t="shared" si="36"/>
        <v>SHORT</v>
      </c>
      <c r="Q91" s="26" t="str">
        <f t="shared" si="37"/>
        <v>COIN SHORT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OAAVEUSDC/AAVE-16DEC22-72.5C COIN SHORT</v>
      </c>
      <c r="X91" s="94" t="s">
        <v>267</v>
      </c>
      <c r="Y91" s="3" t="s">
        <v>164</v>
      </c>
      <c r="Z91" s="31">
        <v>0.20872535</v>
      </c>
      <c r="AA91" s="31">
        <v>2.1650087385953701E-4</v>
      </c>
      <c r="AD91" s="77">
        <f t="shared" si="39"/>
        <v>44910.000000081018</v>
      </c>
      <c r="AE91" s="14" t="str">
        <f t="shared" si="40"/>
        <v>-</v>
      </c>
      <c r="AF91" s="14" t="str">
        <f t="shared" si="41"/>
        <v>WALLET</v>
      </c>
      <c r="AG91" s="14" t="s">
        <v>164</v>
      </c>
      <c r="AH91" s="14">
        <v>0.20872535</v>
      </c>
      <c r="AI91" s="14">
        <v>2.1650087385953701E-4</v>
      </c>
      <c r="AJ91" s="14">
        <f t="shared" si="42"/>
        <v>1.03725241739701E-3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VSYS</v>
      </c>
      <c r="AP91" s="46"/>
      <c r="AQ91" s="47"/>
      <c r="AR91" s="48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2.1650087385953701E-4</v>
      </c>
      <c r="AX91" s="26">
        <f t="shared" si="33"/>
        <v>1.03725241739701E-3</v>
      </c>
      <c r="AY91" s="26">
        <f t="shared" si="34"/>
        <v>0</v>
      </c>
      <c r="AZ91" s="26">
        <f t="shared" si="35"/>
        <v>0</v>
      </c>
      <c r="BA91" s="23" t="s">
        <v>271</v>
      </c>
      <c r="BB91" t="str">
        <f t="shared" si="48"/>
        <v>VSYS</v>
      </c>
    </row>
    <row r="92" spans="1:54" x14ac:dyDescent="0.25">
      <c r="A92">
        <v>142</v>
      </c>
      <c r="B92" s="77">
        <v>44910.000004594905</v>
      </c>
      <c r="C92" s="14" t="s">
        <v>301</v>
      </c>
      <c r="D92" s="23" t="s">
        <v>307</v>
      </c>
      <c r="E92" s="23" t="s">
        <v>704</v>
      </c>
      <c r="F92" s="23">
        <v>33991.374100820001</v>
      </c>
      <c r="G92" s="23">
        <v>0</v>
      </c>
      <c r="H92" s="23">
        <v>0</v>
      </c>
      <c r="I92" s="23">
        <v>0</v>
      </c>
      <c r="J92" s="23" t="s">
        <v>88</v>
      </c>
      <c r="K92" s="24">
        <v>44910.000004594905</v>
      </c>
      <c r="L92" s="23">
        <v>1</v>
      </c>
      <c r="M92" s="23" t="s">
        <v>704</v>
      </c>
      <c r="N92" s="25">
        <v>0</v>
      </c>
      <c r="O92" s="26" t="str">
        <f t="shared" si="27"/>
        <v>COIN</v>
      </c>
      <c r="P92" s="26" t="str">
        <f t="shared" si="36"/>
        <v>SHORT</v>
      </c>
      <c r="Q92" s="26" t="str">
        <f t="shared" si="37"/>
        <v>COIN SHORT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OAAVEUSDC/AAVE-25NOV22-72.5C COIN SHORT</v>
      </c>
      <c r="X92" s="94" t="s">
        <v>267</v>
      </c>
      <c r="Y92" s="3" t="s">
        <v>260</v>
      </c>
      <c r="Z92" s="31">
        <v>154.70349367</v>
      </c>
      <c r="AA92" s="31">
        <v>202282.976567092</v>
      </c>
      <c r="AD92" s="77">
        <f t="shared" si="39"/>
        <v>44910.000000081018</v>
      </c>
      <c r="AE92" s="14" t="str">
        <f t="shared" si="40"/>
        <v>-</v>
      </c>
      <c r="AF92" s="14" t="str">
        <f t="shared" si="41"/>
        <v>WALLET</v>
      </c>
      <c r="AG92" s="14" t="s">
        <v>260</v>
      </c>
      <c r="AH92" s="14">
        <v>154.70349367</v>
      </c>
      <c r="AI92" s="14">
        <v>202282.976567092</v>
      </c>
      <c r="AJ92" s="14">
        <f t="shared" si="42"/>
        <v>1307.5527369704037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WETH</v>
      </c>
      <c r="AP92" s="46"/>
      <c r="AQ92" s="47"/>
      <c r="AR92" s="48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LONG</v>
      </c>
      <c r="AV92" s="26" t="str">
        <f t="shared" si="31"/>
        <v>COIN LONG</v>
      </c>
      <c r="AW92" s="26">
        <f t="shared" si="32"/>
        <v>202282.976567092</v>
      </c>
      <c r="AX92" s="26">
        <f t="shared" si="33"/>
        <v>1307.5527369704037</v>
      </c>
      <c r="AY92" s="26">
        <f t="shared" si="34"/>
        <v>0</v>
      </c>
      <c r="AZ92" s="26">
        <f t="shared" si="35"/>
        <v>0</v>
      </c>
      <c r="BA92" s="23" t="s">
        <v>271</v>
      </c>
      <c r="BB92" t="str">
        <f t="shared" si="48"/>
        <v>WETH</v>
      </c>
    </row>
    <row r="93" spans="1:54" x14ac:dyDescent="0.25">
      <c r="A93">
        <v>143</v>
      </c>
      <c r="B93" s="77">
        <v>44910.000004594905</v>
      </c>
      <c r="C93" s="14" t="s">
        <v>301</v>
      </c>
      <c r="D93" s="23" t="s">
        <v>307</v>
      </c>
      <c r="E93" s="23" t="s">
        <v>730</v>
      </c>
      <c r="F93" s="23">
        <v>29214.150499390002</v>
      </c>
      <c r="G93" s="23">
        <v>0</v>
      </c>
      <c r="H93" s="23">
        <v>0</v>
      </c>
      <c r="I93" s="23">
        <v>0</v>
      </c>
      <c r="J93" s="23" t="s">
        <v>88</v>
      </c>
      <c r="K93" s="24">
        <v>44910.000004594905</v>
      </c>
      <c r="L93" s="23">
        <v>1</v>
      </c>
      <c r="M93" s="23" t="s">
        <v>730</v>
      </c>
      <c r="N93" s="25">
        <v>0</v>
      </c>
      <c r="O93" s="26" t="str">
        <f t="shared" si="27"/>
        <v>COIN</v>
      </c>
      <c r="P93" s="26" t="str">
        <f t="shared" si="36"/>
        <v>SHORT</v>
      </c>
      <c r="Q93" s="26" t="str">
        <f t="shared" si="37"/>
        <v>COIN SHORT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OWAVAXUSDC.E/WAVAX-09DEC22-15.5C COIN SHORT</v>
      </c>
      <c r="X93" s="94" t="s">
        <v>267</v>
      </c>
      <c r="Y93" s="3" t="s">
        <v>188</v>
      </c>
      <c r="Z93" s="31">
        <v>1644286.05309931</v>
      </c>
      <c r="AA93" s="31">
        <v>222148.28450126699</v>
      </c>
      <c r="AD93" s="77">
        <f t="shared" si="39"/>
        <v>44910.000000081018</v>
      </c>
      <c r="AE93" s="14" t="str">
        <f t="shared" si="40"/>
        <v>-</v>
      </c>
      <c r="AF93" s="14" t="str">
        <f t="shared" si="41"/>
        <v>WALLET</v>
      </c>
      <c r="AG93" s="14" t="s">
        <v>188</v>
      </c>
      <c r="AH93" s="14">
        <v>1644286.05309931</v>
      </c>
      <c r="AI93" s="14">
        <v>222148.28450126699</v>
      </c>
      <c r="AJ93" s="14">
        <f t="shared" si="42"/>
        <v>0.13510318601957386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WOO</v>
      </c>
      <c r="AP93" s="46"/>
      <c r="AQ93" s="47"/>
      <c r="AR93" s="48"/>
      <c r="AS93" s="25">
        <f t="shared" si="50"/>
        <v>0</v>
      </c>
      <c r="AT93" s="26" t="str">
        <f t="shared" ref="AT93:AT100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222148.28450126699</v>
      </c>
      <c r="AX93" s="26">
        <f t="shared" si="33"/>
        <v>0.13510318601957386</v>
      </c>
      <c r="AY93" s="26">
        <f t="shared" si="34"/>
        <v>0</v>
      </c>
      <c r="AZ93" s="26">
        <f t="shared" si="35"/>
        <v>0</v>
      </c>
      <c r="BA93" s="23" t="s">
        <v>271</v>
      </c>
      <c r="BB93" t="str">
        <f t="shared" si="48"/>
        <v>WOO</v>
      </c>
    </row>
    <row r="94" spans="1:54" x14ac:dyDescent="0.25">
      <c r="A94">
        <v>144</v>
      </c>
      <c r="B94" s="77">
        <v>44910.000004594905</v>
      </c>
      <c r="C94" s="14" t="s">
        <v>301</v>
      </c>
      <c r="D94" s="23" t="s">
        <v>307</v>
      </c>
      <c r="E94" s="23" t="s">
        <v>749</v>
      </c>
      <c r="F94" s="23">
        <v>20213.414599259999</v>
      </c>
      <c r="G94" s="23">
        <v>0</v>
      </c>
      <c r="H94" s="23">
        <v>0</v>
      </c>
      <c r="I94" s="23">
        <v>0</v>
      </c>
      <c r="J94" s="23" t="s">
        <v>88</v>
      </c>
      <c r="K94" s="24">
        <v>44910.000004594905</v>
      </c>
      <c r="L94" s="23">
        <v>1</v>
      </c>
      <c r="M94" s="23" t="s">
        <v>749</v>
      </c>
      <c r="N94" s="25">
        <v>0</v>
      </c>
      <c r="O94" s="26" t="str">
        <f t="shared" si="27"/>
        <v>COIN</v>
      </c>
      <c r="P94" s="26" t="str">
        <f t="shared" si="36"/>
        <v>SHORT</v>
      </c>
      <c r="Q94" s="26" t="str">
        <f t="shared" si="37"/>
        <v>COIN SHORT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OWAVAXUSDC.E/WAVAX-16DEC22-15.25C COIN SHORT</v>
      </c>
      <c r="X94" s="94" t="s">
        <v>267</v>
      </c>
      <c r="Y94" s="3" t="s">
        <v>165</v>
      </c>
      <c r="Z94" s="31">
        <v>97856395.370000005</v>
      </c>
      <c r="AA94" s="31">
        <v>2824.1969782590322</v>
      </c>
      <c r="AD94" s="77">
        <f t="shared" si="39"/>
        <v>44910.000000081018</v>
      </c>
      <c r="AE94" s="14" t="str">
        <f t="shared" si="40"/>
        <v>-</v>
      </c>
      <c r="AF94" s="14" t="str">
        <f t="shared" si="41"/>
        <v>WALLET</v>
      </c>
      <c r="AG94" s="14" t="s">
        <v>165</v>
      </c>
      <c r="AH94" s="14">
        <v>97856395.370000005</v>
      </c>
      <c r="AI94" s="14">
        <v>2824.1969782590322</v>
      </c>
      <c r="AJ94" s="14">
        <f t="shared" si="42"/>
        <v>2.8860627530582953E-5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XEC</v>
      </c>
      <c r="AP94" s="46"/>
      <c r="AQ94" s="47"/>
      <c r="AR94" s="48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2824.1969782590322</v>
      </c>
      <c r="AX94" s="26">
        <f t="shared" si="33"/>
        <v>2.8860627530582953E-5</v>
      </c>
      <c r="AY94" s="26">
        <f t="shared" si="34"/>
        <v>0</v>
      </c>
      <c r="AZ94" s="26">
        <f t="shared" si="35"/>
        <v>0</v>
      </c>
      <c r="BA94" s="23" t="s">
        <v>271</v>
      </c>
      <c r="BB94" t="str">
        <f t="shared" si="48"/>
        <v>XEC</v>
      </c>
    </row>
    <row r="95" spans="1:54" x14ac:dyDescent="0.25">
      <c r="A95">
        <v>145</v>
      </c>
      <c r="B95" s="77">
        <v>44910.000004594905</v>
      </c>
      <c r="C95" s="14" t="s">
        <v>301</v>
      </c>
      <c r="D95" s="23" t="s">
        <v>307</v>
      </c>
      <c r="E95" s="23" t="s">
        <v>731</v>
      </c>
      <c r="F95" s="23">
        <v>31925.004081070001</v>
      </c>
      <c r="G95" s="23">
        <v>0</v>
      </c>
      <c r="H95" s="23">
        <v>0</v>
      </c>
      <c r="I95" s="23">
        <v>0</v>
      </c>
      <c r="J95" s="23" t="s">
        <v>88</v>
      </c>
      <c r="K95" s="24">
        <v>44910.000004594905</v>
      </c>
      <c r="L95" s="23">
        <v>1</v>
      </c>
      <c r="M95" s="23" t="s">
        <v>731</v>
      </c>
      <c r="N95" s="25">
        <v>0</v>
      </c>
      <c r="O95" s="26" t="str">
        <f t="shared" si="27"/>
        <v>COIN</v>
      </c>
      <c r="P95" s="26" t="str">
        <f t="shared" si="36"/>
        <v>SHORT</v>
      </c>
      <c r="Q95" s="26" t="str">
        <f t="shared" si="37"/>
        <v>COIN SHORT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OWAVAXUSDC.E/WAVAX-25NOV22-15.5C COIN SHORT</v>
      </c>
      <c r="X95" s="94" t="s">
        <v>267</v>
      </c>
      <c r="Y95" s="3" t="s">
        <v>166</v>
      </c>
      <c r="Z95" s="31">
        <v>2572.7947470700601</v>
      </c>
      <c r="AA95" s="31">
        <v>213.57744089412154</v>
      </c>
      <c r="AD95" s="77">
        <f t="shared" si="39"/>
        <v>44910.000000081018</v>
      </c>
      <c r="AE95" s="14" t="str">
        <f t="shared" si="40"/>
        <v>-</v>
      </c>
      <c r="AF95" s="14" t="str">
        <f t="shared" si="41"/>
        <v>WALLET</v>
      </c>
      <c r="AG95" s="14" t="s">
        <v>166</v>
      </c>
      <c r="AH95" s="14">
        <v>2572.7947470700601</v>
      </c>
      <c r="AI95" s="14">
        <v>213.57744089412154</v>
      </c>
      <c r="AJ95" s="14">
        <f t="shared" si="42"/>
        <v>8.3013789241192654E-2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XLM</v>
      </c>
      <c r="AP95" s="46"/>
      <c r="AQ95" s="47"/>
      <c r="AR95" s="48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213.57744089412154</v>
      </c>
      <c r="AX95" s="26">
        <f t="shared" si="33"/>
        <v>8.3013789241192654E-2</v>
      </c>
      <c r="AY95" s="26">
        <f>IF($AE95="","",0)</f>
        <v>0</v>
      </c>
      <c r="AZ95" s="26">
        <f t="shared" si="35"/>
        <v>0</v>
      </c>
      <c r="BA95" s="23" t="s">
        <v>271</v>
      </c>
      <c r="BB95" t="str">
        <f t="shared" si="48"/>
        <v>XLM</v>
      </c>
    </row>
    <row r="96" spans="1:54" x14ac:dyDescent="0.25">
      <c r="A96">
        <v>146</v>
      </c>
      <c r="B96" s="77">
        <v>44910.000004594905</v>
      </c>
      <c r="C96" s="14" t="s">
        <v>301</v>
      </c>
      <c r="D96" s="23" t="s">
        <v>307</v>
      </c>
      <c r="E96" s="23" t="s">
        <v>720</v>
      </c>
      <c r="F96" s="23">
        <v>2698</v>
      </c>
      <c r="G96" s="23">
        <v>0</v>
      </c>
      <c r="H96" s="23">
        <v>0</v>
      </c>
      <c r="I96" s="23">
        <v>0</v>
      </c>
      <c r="J96" s="23" t="s">
        <v>88</v>
      </c>
      <c r="K96" s="24">
        <v>44910.000004594905</v>
      </c>
      <c r="L96" s="23">
        <v>1</v>
      </c>
      <c r="M96" s="23" t="s">
        <v>720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OWETHUSDC/WETH-09DEC22-1450C COIN SHORT</v>
      </c>
      <c r="X96" s="94" t="s">
        <v>267</v>
      </c>
      <c r="Y96" s="3" t="s">
        <v>102</v>
      </c>
      <c r="Z96" s="31">
        <v>131194.38476391998</v>
      </c>
      <c r="AA96" s="31">
        <v>50695.309968311492</v>
      </c>
      <c r="AD96" s="77">
        <f t="shared" si="39"/>
        <v>44910.000000081018</v>
      </c>
      <c r="AE96" s="14" t="str">
        <f t="shared" si="40"/>
        <v>-</v>
      </c>
      <c r="AF96" s="14" t="str">
        <f t="shared" si="41"/>
        <v>WALLET</v>
      </c>
      <c r="AG96" s="14" t="s">
        <v>102</v>
      </c>
      <c r="AH96" s="14">
        <v>131194.38476391998</v>
      </c>
      <c r="AI96" s="14">
        <v>50695.309968311492</v>
      </c>
      <c r="AJ96" s="14">
        <f t="shared" si="42"/>
        <v>0.38641371777866901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XRP</v>
      </c>
      <c r="AP96" s="46"/>
      <c r="AQ96" s="47"/>
      <c r="AR96" s="48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50695.309968311492</v>
      </c>
      <c r="AX96" s="26">
        <f t="shared" si="33"/>
        <v>0.38641371777866901</v>
      </c>
      <c r="AY96" s="26">
        <f t="shared" ref="AY96:AY107" si="52">IF($AE96="","",0)</f>
        <v>0</v>
      </c>
      <c r="AZ96" s="26">
        <f t="shared" si="35"/>
        <v>0</v>
      </c>
      <c r="BA96" s="23" t="s">
        <v>271</v>
      </c>
      <c r="BB96" t="str">
        <f t="shared" si="48"/>
        <v>XRP</v>
      </c>
    </row>
    <row r="97" spans="1:54" x14ac:dyDescent="0.25">
      <c r="A97">
        <v>147</v>
      </c>
      <c r="B97" s="77">
        <v>44910.000004594905</v>
      </c>
      <c r="C97" s="14" t="s">
        <v>301</v>
      </c>
      <c r="D97" s="23" t="s">
        <v>307</v>
      </c>
      <c r="E97" s="23" t="s">
        <v>750</v>
      </c>
      <c r="F97" s="23">
        <v>2891</v>
      </c>
      <c r="G97" s="23">
        <v>0</v>
      </c>
      <c r="H97" s="23">
        <v>0</v>
      </c>
      <c r="I97" s="23">
        <v>0</v>
      </c>
      <c r="J97" s="23" t="s">
        <v>88</v>
      </c>
      <c r="K97" s="24">
        <v>44910.000004594905</v>
      </c>
      <c r="L97" s="23">
        <v>1</v>
      </c>
      <c r="M97" s="23" t="s">
        <v>750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OWETHUSDC/WETH-16DEC22-1450C COIN SHORT</v>
      </c>
      <c r="X97" s="94" t="s">
        <v>267</v>
      </c>
      <c r="Y97" s="3" t="s">
        <v>167</v>
      </c>
      <c r="Z97" s="31">
        <v>-1.1786939099984011</v>
      </c>
      <c r="AA97" s="31">
        <v>-1.1214699041302083</v>
      </c>
      <c r="AD97" s="77">
        <f t="shared" si="39"/>
        <v>44910.000000081018</v>
      </c>
      <c r="AE97" s="14" t="str">
        <f t="shared" si="40"/>
        <v>-</v>
      </c>
      <c r="AF97" s="14" t="str">
        <f t="shared" si="41"/>
        <v>WALLET</v>
      </c>
      <c r="AG97" s="14" t="s">
        <v>167</v>
      </c>
      <c r="AH97" s="14">
        <v>-1.1786939099984011</v>
      </c>
      <c r="AI97" s="14">
        <v>-1.1214699041302083</v>
      </c>
      <c r="AJ97" s="14">
        <f t="shared" si="42"/>
        <v>0.95145134340409854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XTZ</v>
      </c>
      <c r="AP97" s="46"/>
      <c r="AQ97" s="47"/>
      <c r="AR97" s="48"/>
      <c r="AS97" s="25">
        <f t="shared" si="50"/>
        <v>0</v>
      </c>
      <c r="AT97" s="26" t="str">
        <f t="shared" si="51"/>
        <v>COIN</v>
      </c>
      <c r="AU97" s="26" t="str">
        <f t="shared" si="47"/>
        <v>SHORT</v>
      </c>
      <c r="AV97" s="26" t="str">
        <f t="shared" si="31"/>
        <v>COIN SHORT</v>
      </c>
      <c r="AW97" s="26">
        <f t="shared" si="32"/>
        <v>-1.1214699041302083</v>
      </c>
      <c r="AX97" s="26">
        <f t="shared" si="33"/>
        <v>0.95145134340409854</v>
      </c>
      <c r="AY97" s="26">
        <f t="shared" si="52"/>
        <v>0</v>
      </c>
      <c r="AZ97" s="26">
        <f t="shared" si="35"/>
        <v>0</v>
      </c>
      <c r="BA97" s="23" t="s">
        <v>271</v>
      </c>
      <c r="BB97" t="str">
        <f t="shared" si="48"/>
        <v>XTZ</v>
      </c>
    </row>
    <row r="98" spans="1:54" x14ac:dyDescent="0.25">
      <c r="A98">
        <v>148</v>
      </c>
      <c r="B98" s="77">
        <v>44910.000004594905</v>
      </c>
      <c r="C98" s="14" t="s">
        <v>301</v>
      </c>
      <c r="D98" s="23" t="s">
        <v>307</v>
      </c>
      <c r="E98" s="23" t="s">
        <v>705</v>
      </c>
      <c r="F98" s="23">
        <v>2904</v>
      </c>
      <c r="G98" s="23">
        <v>0</v>
      </c>
      <c r="H98" s="23">
        <v>0</v>
      </c>
      <c r="I98" s="23">
        <v>0</v>
      </c>
      <c r="J98" s="23" t="s">
        <v>88</v>
      </c>
      <c r="K98" s="24">
        <v>44910.000004594905</v>
      </c>
      <c r="L98" s="23">
        <v>1</v>
      </c>
      <c r="M98" s="23" t="s">
        <v>705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OWETHUSDC/WETH-25NOV22-1400C COIN SHORT</v>
      </c>
      <c r="X98" s="94" t="s">
        <v>267</v>
      </c>
      <c r="Y98" s="3" t="s">
        <v>174</v>
      </c>
      <c r="Z98" s="31">
        <v>4.0610258299999993</v>
      </c>
      <c r="AA98" s="31">
        <v>26204.910938232431</v>
      </c>
      <c r="AD98" s="77">
        <f t="shared" si="39"/>
        <v>44910.000000081018</v>
      </c>
      <c r="AE98" s="14" t="str">
        <f t="shared" si="40"/>
        <v>-</v>
      </c>
      <c r="AF98" s="14" t="str">
        <f t="shared" si="41"/>
        <v>WALLET</v>
      </c>
      <c r="AG98" s="14" t="s">
        <v>174</v>
      </c>
      <c r="AH98" s="14">
        <v>4.0610258299999993</v>
      </c>
      <c r="AI98" s="14">
        <v>26204.910938232431</v>
      </c>
      <c r="AJ98" s="14">
        <f t="shared" si="42"/>
        <v>6452.7811531384514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YFI</v>
      </c>
      <c r="AP98" s="46"/>
      <c r="AQ98" s="47"/>
      <c r="AR98" s="48"/>
      <c r="AS98" s="25">
        <f t="shared" si="50"/>
        <v>0</v>
      </c>
      <c r="AT98" s="26" t="str">
        <f t="shared" si="51"/>
        <v>COIN</v>
      </c>
      <c r="AU98" s="26" t="str">
        <f t="shared" si="47"/>
        <v>LONG</v>
      </c>
      <c r="AV98" s="26" t="str">
        <f t="shared" si="31"/>
        <v>COIN LONG</v>
      </c>
      <c r="AW98" s="26">
        <f t="shared" si="32"/>
        <v>26204.910938232431</v>
      </c>
      <c r="AX98" s="26">
        <f t="shared" si="33"/>
        <v>6452.7811531384514</v>
      </c>
      <c r="AY98" s="26">
        <f t="shared" si="52"/>
        <v>0</v>
      </c>
      <c r="AZ98" s="26">
        <f t="shared" si="35"/>
        <v>0</v>
      </c>
      <c r="BA98" s="23" t="s">
        <v>271</v>
      </c>
      <c r="BB98" t="str">
        <f t="shared" si="48"/>
        <v>YFI</v>
      </c>
    </row>
    <row r="99" spans="1:54" x14ac:dyDescent="0.25">
      <c r="A99">
        <v>149</v>
      </c>
      <c r="B99" s="77">
        <v>44910.000004594905</v>
      </c>
      <c r="C99" s="14" t="s">
        <v>301</v>
      </c>
      <c r="D99" s="23" t="s">
        <v>307</v>
      </c>
      <c r="E99" s="23" t="s">
        <v>717</v>
      </c>
      <c r="F99" s="23">
        <v>9472.1338239899997</v>
      </c>
      <c r="G99" s="23">
        <v>0</v>
      </c>
      <c r="H99" s="23">
        <v>0</v>
      </c>
      <c r="I99" s="23">
        <v>0</v>
      </c>
      <c r="J99" s="23" t="s">
        <v>88</v>
      </c>
      <c r="K99" s="24">
        <v>44910.000004594905</v>
      </c>
      <c r="L99" s="23">
        <v>1</v>
      </c>
      <c r="M99" s="23" t="s">
        <v>717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OWETHUSDC/WSTETH-02DEC22-1350C COIN SHORT</v>
      </c>
      <c r="X99" s="94" t="s">
        <v>267</v>
      </c>
      <c r="Y99" s="3" t="s">
        <v>120</v>
      </c>
      <c r="Z99" s="31">
        <v>1.572583E-2</v>
      </c>
      <c r="AA99" s="31">
        <v>21.126042696669181</v>
      </c>
      <c r="AD99" s="77">
        <f t="shared" si="39"/>
        <v>44910.000000081018</v>
      </c>
      <c r="AE99" s="14" t="str">
        <f t="shared" si="40"/>
        <v>-</v>
      </c>
      <c r="AF99" s="14" t="str">
        <f t="shared" si="41"/>
        <v>WALLET</v>
      </c>
      <c r="AG99" s="14" t="s">
        <v>120</v>
      </c>
      <c r="AH99" s="14">
        <v>1.572583E-2</v>
      </c>
      <c r="AI99" s="14">
        <v>21.126042696669181</v>
      </c>
      <c r="AJ99" s="14">
        <f t="shared" si="42"/>
        <v>1343.397626495338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YFII</v>
      </c>
      <c r="AP99" s="46"/>
      <c r="AQ99" s="47"/>
      <c r="AR99" s="48"/>
      <c r="AS99" s="25">
        <f t="shared" si="50"/>
        <v>0</v>
      </c>
      <c r="AT99" s="26" t="str">
        <f t="shared" si="51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21.126042696669181</v>
      </c>
      <c r="AX99" s="26">
        <f t="shared" si="33"/>
        <v>1343.397626495338</v>
      </c>
      <c r="AY99" s="26">
        <f t="shared" si="52"/>
        <v>0</v>
      </c>
      <c r="AZ99" s="26">
        <f t="shared" si="35"/>
        <v>0</v>
      </c>
      <c r="BA99" s="23" t="s">
        <v>271</v>
      </c>
      <c r="BB99" t="str">
        <f t="shared" si="48"/>
        <v>YFII</v>
      </c>
    </row>
    <row r="100" spans="1:54" x14ac:dyDescent="0.25">
      <c r="A100">
        <v>150</v>
      </c>
      <c r="B100" s="77">
        <v>44910.000004594905</v>
      </c>
      <c r="C100" s="14" t="s">
        <v>301</v>
      </c>
      <c r="D100" s="23" t="s">
        <v>307</v>
      </c>
      <c r="E100" s="23" t="s">
        <v>309</v>
      </c>
      <c r="F100" s="23">
        <v>5625.02729593</v>
      </c>
      <c r="G100" s="23">
        <v>0</v>
      </c>
      <c r="H100" s="23">
        <v>0</v>
      </c>
      <c r="I100" s="23">
        <v>0</v>
      </c>
      <c r="J100" s="23" t="s">
        <v>88</v>
      </c>
      <c r="K100" s="24">
        <v>44910.000004594905</v>
      </c>
      <c r="L100" s="23">
        <v>1</v>
      </c>
      <c r="M100" s="23" t="s">
        <v>309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OWETHUSDC/WSTETH-04NOV22-1700C COIN SHORT</v>
      </c>
      <c r="X100" s="94" t="s">
        <v>267</v>
      </c>
      <c r="Y100" s="3" t="s">
        <v>168</v>
      </c>
      <c r="Z100" s="31">
        <v>2.173E-4</v>
      </c>
      <c r="AA100" s="31">
        <v>1.0078858162692401E-2</v>
      </c>
      <c r="AD100" s="77">
        <f t="shared" si="39"/>
        <v>44910.000000081018</v>
      </c>
      <c r="AE100" s="14" t="str">
        <f t="shared" si="40"/>
        <v>-</v>
      </c>
      <c r="AF100" s="14" t="str">
        <f t="shared" si="41"/>
        <v>WALLET</v>
      </c>
      <c r="AG100" s="14" t="s">
        <v>168</v>
      </c>
      <c r="AH100" s="14">
        <v>2.173E-4</v>
      </c>
      <c r="AI100" s="14">
        <v>1.0078858162692401E-2</v>
      </c>
      <c r="AJ100" s="14">
        <f t="shared" si="42"/>
        <v>46.382228084180397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ZEC</v>
      </c>
      <c r="AP100" s="46"/>
      <c r="AQ100" s="47"/>
      <c r="AR100" s="48"/>
      <c r="AS100" s="25">
        <f t="shared" si="50"/>
        <v>0</v>
      </c>
      <c r="AT100" s="26" t="str">
        <f t="shared" si="51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1.0078858162692401E-2</v>
      </c>
      <c r="AX100" s="26"/>
      <c r="AY100" s="26">
        <f t="shared" si="52"/>
        <v>0</v>
      </c>
      <c r="AZ100" s="26"/>
      <c r="BA100" s="23"/>
    </row>
    <row r="101" spans="1:54" x14ac:dyDescent="0.25">
      <c r="A101">
        <v>151</v>
      </c>
      <c r="B101" s="77">
        <v>44910.000004594905</v>
      </c>
      <c r="C101" s="14" t="s">
        <v>301</v>
      </c>
      <c r="D101" s="23" t="s">
        <v>307</v>
      </c>
      <c r="E101" s="23" t="s">
        <v>310</v>
      </c>
      <c r="F101" s="23">
        <v>5968</v>
      </c>
      <c r="G101" s="23">
        <v>0</v>
      </c>
      <c r="H101" s="23">
        <v>0</v>
      </c>
      <c r="I101" s="23">
        <v>0</v>
      </c>
      <c r="J101" s="23" t="s">
        <v>88</v>
      </c>
      <c r="K101" s="24">
        <v>44910.000004594905</v>
      </c>
      <c r="L101" s="23">
        <v>1</v>
      </c>
      <c r="M101" s="23" t="s">
        <v>310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OWETHUSDC/WSTETH-09SEP22-1900C COIN SHORT</v>
      </c>
      <c r="X101" s="94" t="s">
        <v>267</v>
      </c>
      <c r="Y101" s="3" t="s">
        <v>27</v>
      </c>
      <c r="Z101" s="31">
        <v>899629.67356981128</v>
      </c>
      <c r="AA101" s="31">
        <v>19603.266072312414</v>
      </c>
      <c r="AD101" s="77">
        <f t="shared" si="39"/>
        <v>44910.000000081018</v>
      </c>
      <c r="AE101" s="14" t="str">
        <f t="shared" si="40"/>
        <v>-</v>
      </c>
      <c r="AF101" s="14" t="str">
        <f t="shared" si="41"/>
        <v>WALLET</v>
      </c>
      <c r="AG101" s="14" t="s">
        <v>27</v>
      </c>
      <c r="AH101" s="14">
        <v>899629.67356981128</v>
      </c>
      <c r="AI101" s="14">
        <v>19603.266072312414</v>
      </c>
      <c r="AJ101" s="14">
        <f t="shared" si="42"/>
        <v>2.1790372914807149E-2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ZIL</v>
      </c>
      <c r="AP101" s="46"/>
      <c r="AQ101" s="47"/>
      <c r="AR101" s="48"/>
      <c r="AS101" s="25">
        <f t="shared" si="50"/>
        <v>0</v>
      </c>
      <c r="AT101" s="26"/>
      <c r="AU101" s="26"/>
      <c r="AV101" s="26"/>
      <c r="AW101" s="26"/>
      <c r="AX101" s="26"/>
      <c r="AY101" s="26">
        <f t="shared" si="52"/>
        <v>0</v>
      </c>
      <c r="AZ101" s="26"/>
      <c r="BA101" s="23"/>
      <c r="BB101" t="str">
        <f t="shared" si="48"/>
        <v>ZIL</v>
      </c>
    </row>
    <row r="102" spans="1:54" x14ac:dyDescent="0.25">
      <c r="A102">
        <v>152</v>
      </c>
      <c r="B102" s="77">
        <v>44910.000004594905</v>
      </c>
      <c r="C102" s="14" t="s">
        <v>301</v>
      </c>
      <c r="D102" s="23" t="s">
        <v>307</v>
      </c>
      <c r="E102" s="23" t="s">
        <v>95</v>
      </c>
      <c r="F102" s="23">
        <v>60000</v>
      </c>
      <c r="G102" s="23">
        <v>59998.771518266098</v>
      </c>
      <c r="H102" s="23">
        <v>0.99997952530443501</v>
      </c>
      <c r="I102" s="23">
        <v>0</v>
      </c>
      <c r="J102" s="23" t="s">
        <v>88</v>
      </c>
      <c r="K102" s="24">
        <v>44910.000004594905</v>
      </c>
      <c r="L102" s="23">
        <v>1</v>
      </c>
      <c r="M102" s="23" t="s">
        <v>95</v>
      </c>
      <c r="N102" s="25">
        <v>0</v>
      </c>
      <c r="O102" s="26" t="str">
        <f t="shared" si="27"/>
        <v>COIN</v>
      </c>
      <c r="P102" s="26" t="str">
        <f t="shared" si="36"/>
        <v>LONG</v>
      </c>
      <c r="Q102" s="26" t="str">
        <f t="shared" si="37"/>
        <v>COIN LONG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USDC COIN LONG</v>
      </c>
      <c r="X102" s="94" t="s">
        <v>267</v>
      </c>
      <c r="Y102" s="3" t="s">
        <v>59</v>
      </c>
      <c r="Z102" s="31">
        <v>180044607746.6655</v>
      </c>
      <c r="AA102" s="31">
        <v>39785338.862990215</v>
      </c>
      <c r="AD102" s="77" t="str">
        <f t="shared" si="39"/>
        <v/>
      </c>
      <c r="AE102" s="14" t="str">
        <f t="shared" si="40"/>
        <v/>
      </c>
      <c r="AF102" s="14" t="str">
        <f t="shared" si="41"/>
        <v/>
      </c>
      <c r="AG102" s="14"/>
      <c r="AH102" s="14"/>
      <c r="AI102" s="14"/>
      <c r="AJ102" s="14" t="str">
        <f t="shared" si="42"/>
        <v/>
      </c>
      <c r="AK102" s="14" t="str">
        <f t="shared" si="43"/>
        <v/>
      </c>
      <c r="AL102" s="14" t="str">
        <f t="shared" si="44"/>
        <v/>
      </c>
      <c r="AM102" s="24"/>
      <c r="AN102" s="14" t="str">
        <f t="shared" si="45"/>
        <v/>
      </c>
      <c r="AO102" s="14" t="str">
        <f t="shared" si="46"/>
        <v/>
      </c>
      <c r="AP102" s="46"/>
      <c r="AQ102" s="47"/>
      <c r="AR102" s="48"/>
      <c r="AS102" s="25" t="str">
        <f t="shared" si="50"/>
        <v/>
      </c>
      <c r="AT102" s="26"/>
      <c r="AU102" s="26"/>
      <c r="AV102" s="26"/>
      <c r="AW102" s="26"/>
      <c r="AX102" s="26"/>
      <c r="AY102" s="26" t="str">
        <f t="shared" si="52"/>
        <v/>
      </c>
      <c r="AZ102" s="26"/>
      <c r="BA102" s="23"/>
      <c r="BB102" t="str">
        <f t="shared" si="48"/>
        <v/>
      </c>
    </row>
    <row r="103" spans="1:54" x14ac:dyDescent="0.25">
      <c r="A103">
        <v>153</v>
      </c>
      <c r="B103" s="77">
        <v>44910.000004594905</v>
      </c>
      <c r="C103" s="14" t="s">
        <v>301</v>
      </c>
      <c r="D103" s="23" t="s">
        <v>307</v>
      </c>
      <c r="E103" s="23" t="s">
        <v>732</v>
      </c>
      <c r="F103" s="23">
        <v>188.04277877999999</v>
      </c>
      <c r="G103" s="23">
        <v>2579.1970989751999</v>
      </c>
      <c r="H103" s="23">
        <v>13.7160124717829</v>
      </c>
      <c r="I103" s="23">
        <v>0</v>
      </c>
      <c r="J103" s="23" t="s">
        <v>88</v>
      </c>
      <c r="K103" s="24">
        <v>44910.000004594905</v>
      </c>
      <c r="L103" s="23">
        <v>1</v>
      </c>
      <c r="M103" s="23" t="s">
        <v>732</v>
      </c>
      <c r="N103" s="25">
        <v>0</v>
      </c>
      <c r="O103" s="26" t="str">
        <f t="shared" si="27"/>
        <v>COIN</v>
      </c>
      <c r="P103" s="26" t="str">
        <f t="shared" si="36"/>
        <v>LONG</v>
      </c>
      <c r="Q103" s="26" t="str">
        <f t="shared" si="37"/>
        <v>COIN LONG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WAVAX COIN LONG</v>
      </c>
      <c r="X103" s="94" t="s">
        <v>267</v>
      </c>
      <c r="AD103" s="77" t="str">
        <f t="shared" si="39"/>
        <v/>
      </c>
      <c r="AE103" s="14" t="str">
        <f t="shared" si="40"/>
        <v/>
      </c>
      <c r="AF103" s="14" t="str">
        <f t="shared" si="41"/>
        <v/>
      </c>
      <c r="AG103" s="14"/>
      <c r="AH103" s="14"/>
      <c r="AI103" s="14"/>
      <c r="AJ103" s="14" t="str">
        <f t="shared" si="42"/>
        <v/>
      </c>
      <c r="AK103" s="14" t="str">
        <f t="shared" si="43"/>
        <v/>
      </c>
      <c r="AL103" s="14" t="str">
        <f t="shared" si="44"/>
        <v/>
      </c>
      <c r="AM103" s="24"/>
      <c r="AN103" s="14" t="str">
        <f t="shared" si="45"/>
        <v/>
      </c>
      <c r="AO103" s="14" t="str">
        <f t="shared" si="46"/>
        <v/>
      </c>
      <c r="AP103" s="46"/>
      <c r="AQ103" s="47"/>
      <c r="AR103" s="48"/>
      <c r="AS103" s="25" t="str">
        <f t="shared" si="50"/>
        <v/>
      </c>
      <c r="AT103" s="26"/>
      <c r="AU103" s="26"/>
      <c r="AV103" s="26"/>
      <c r="AW103" s="26"/>
      <c r="AX103" s="26"/>
      <c r="AY103" s="26" t="str">
        <f t="shared" si="52"/>
        <v/>
      </c>
      <c r="AZ103" s="26"/>
      <c r="BA103" s="23"/>
      <c r="BB103" t="str">
        <f t="shared" si="48"/>
        <v/>
      </c>
    </row>
    <row r="104" spans="1:54" x14ac:dyDescent="0.25">
      <c r="A104">
        <v>154</v>
      </c>
      <c r="B104" s="77">
        <v>44910.000004594905</v>
      </c>
      <c r="C104" s="14" t="s">
        <v>301</v>
      </c>
      <c r="D104" s="23" t="s">
        <v>307</v>
      </c>
      <c r="E104" s="23" t="s">
        <v>260</v>
      </c>
      <c r="F104" s="23">
        <v>154.70349367</v>
      </c>
      <c r="G104" s="23">
        <v>202282.976567092</v>
      </c>
      <c r="H104" s="23">
        <v>1307.5527369704</v>
      </c>
      <c r="I104" s="23">
        <v>0</v>
      </c>
      <c r="J104" s="23" t="s">
        <v>88</v>
      </c>
      <c r="K104" s="24">
        <v>44910.000004594905</v>
      </c>
      <c r="L104" s="23">
        <v>1</v>
      </c>
      <c r="M104" s="23" t="s">
        <v>260</v>
      </c>
      <c r="N104" s="25">
        <v>0</v>
      </c>
      <c r="O104" s="26" t="str">
        <f t="shared" si="27"/>
        <v>COIN</v>
      </c>
      <c r="P104" s="26" t="str">
        <f t="shared" si="36"/>
        <v>LONG</v>
      </c>
      <c r="Q104" s="26" t="str">
        <f t="shared" si="37"/>
        <v>COIN LONG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WETH COIN LONG</v>
      </c>
      <c r="X104" s="94" t="s">
        <v>267</v>
      </c>
      <c r="AD104" s="77" t="str">
        <f t="shared" si="39"/>
        <v/>
      </c>
      <c r="AE104" s="14" t="str">
        <f t="shared" si="40"/>
        <v/>
      </c>
      <c r="AF104" s="14" t="str">
        <f t="shared" si="41"/>
        <v/>
      </c>
      <c r="AG104" s="14"/>
      <c r="AH104" s="14"/>
      <c r="AI104" s="14"/>
      <c r="AJ104" s="14" t="str">
        <f t="shared" si="42"/>
        <v/>
      </c>
      <c r="AK104" s="14" t="str">
        <f t="shared" si="43"/>
        <v/>
      </c>
      <c r="AL104" s="14" t="str">
        <f t="shared" si="44"/>
        <v/>
      </c>
      <c r="AM104" s="24"/>
      <c r="AN104" s="14" t="str">
        <f t="shared" si="45"/>
        <v/>
      </c>
      <c r="AO104" s="14" t="str">
        <f t="shared" si="46"/>
        <v/>
      </c>
      <c r="AP104" s="46"/>
      <c r="AQ104" s="47"/>
      <c r="AR104" s="48"/>
      <c r="AS104" s="25" t="str">
        <f t="shared" si="50"/>
        <v/>
      </c>
      <c r="AT104" s="26"/>
      <c r="AU104" s="26"/>
      <c r="AV104" s="26"/>
      <c r="AW104" s="26"/>
      <c r="AX104" s="26"/>
      <c r="AY104" s="26" t="str">
        <f t="shared" si="52"/>
        <v/>
      </c>
      <c r="AZ104" s="26"/>
      <c r="BA104" s="23"/>
      <c r="BB104" t="str">
        <f t="shared" si="48"/>
        <v/>
      </c>
    </row>
    <row r="105" spans="1:54" x14ac:dyDescent="0.25">
      <c r="A105">
        <v>155</v>
      </c>
      <c r="B105" s="77">
        <v>44910.000004594905</v>
      </c>
      <c r="C105" s="14" t="s">
        <v>301</v>
      </c>
      <c r="D105" s="23" t="s">
        <v>311</v>
      </c>
      <c r="E105" s="23" t="s">
        <v>191</v>
      </c>
      <c r="F105" s="23">
        <v>95.239435409999999</v>
      </c>
      <c r="G105" s="23">
        <v>61.570962845441201</v>
      </c>
      <c r="H105" s="23">
        <v>0.64648601265202699</v>
      </c>
      <c r="I105" s="23">
        <v>0</v>
      </c>
      <c r="J105" s="23" t="s">
        <v>88</v>
      </c>
      <c r="K105" s="24">
        <v>44910.000004594905</v>
      </c>
      <c r="L105" s="23">
        <v>1</v>
      </c>
      <c r="M105" s="23" t="s">
        <v>191</v>
      </c>
      <c r="N105" s="25">
        <v>0</v>
      </c>
      <c r="O105" s="26" t="str">
        <f t="shared" si="27"/>
        <v>COIN</v>
      </c>
      <c r="P105" s="26" t="str">
        <f t="shared" si="36"/>
        <v>LONG</v>
      </c>
      <c r="Q105" s="26" t="str">
        <f t="shared" si="37"/>
        <v>COIN LONG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CRV COIN LONG</v>
      </c>
      <c r="X105" s="94" t="s">
        <v>267</v>
      </c>
      <c r="AD105" s="77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14"/>
      <c r="AI105" s="14"/>
      <c r="AJ105" s="14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6"/>
      <c r="AQ105" s="47"/>
      <c r="AR105" s="48"/>
      <c r="AS105" s="25" t="str">
        <f t="shared" si="50"/>
        <v/>
      </c>
      <c r="AT105" s="26"/>
      <c r="AU105" s="26"/>
      <c r="AV105" s="26"/>
      <c r="AW105" s="26"/>
      <c r="AX105" s="26"/>
      <c r="AY105" s="26" t="str">
        <f t="shared" si="52"/>
        <v/>
      </c>
      <c r="AZ105" s="26"/>
      <c r="BA105" s="23"/>
      <c r="BB105" t="str">
        <f t="shared" si="48"/>
        <v/>
      </c>
    </row>
    <row r="106" spans="1:54" x14ac:dyDescent="0.25">
      <c r="A106">
        <v>156</v>
      </c>
      <c r="B106" s="77">
        <v>44910.000004594905</v>
      </c>
      <c r="C106" s="14" t="s">
        <v>301</v>
      </c>
      <c r="D106" s="23" t="s">
        <v>311</v>
      </c>
      <c r="E106" s="23" t="s">
        <v>192</v>
      </c>
      <c r="F106" s="23">
        <v>3.4335947500000001</v>
      </c>
      <c r="G106" s="23">
        <v>13.4171989365516</v>
      </c>
      <c r="H106" s="23">
        <v>3.90762449079106</v>
      </c>
      <c r="I106" s="23">
        <v>0</v>
      </c>
      <c r="J106" s="23" t="s">
        <v>88</v>
      </c>
      <c r="K106" s="24">
        <v>44910.000004594905</v>
      </c>
      <c r="L106" s="23">
        <v>1</v>
      </c>
      <c r="M106" s="23" t="s">
        <v>192</v>
      </c>
      <c r="N106" s="25">
        <v>0</v>
      </c>
      <c r="O106" s="26" t="str">
        <f t="shared" si="27"/>
        <v>COIN</v>
      </c>
      <c r="P106" s="26" t="str">
        <f t="shared" si="36"/>
        <v>LONG</v>
      </c>
      <c r="Q106" s="26" t="str">
        <f t="shared" si="37"/>
        <v>COIN LONG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CVX COIN LONG</v>
      </c>
      <c r="X106" s="94" t="s">
        <v>267</v>
      </c>
      <c r="AD106" s="77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14"/>
      <c r="AI106" s="14"/>
      <c r="AJ106" s="14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6"/>
      <c r="AQ106" s="47"/>
      <c r="AR106" s="48"/>
      <c r="AS106" s="25" t="str">
        <f t="shared" si="50"/>
        <v/>
      </c>
      <c r="AT106" s="26"/>
      <c r="AU106" s="26"/>
      <c r="AV106" s="26"/>
      <c r="AW106" s="26"/>
      <c r="AX106" s="26"/>
      <c r="AY106" s="26" t="str">
        <f t="shared" si="52"/>
        <v/>
      </c>
      <c r="AZ106" s="26"/>
      <c r="BA106" s="23"/>
      <c r="BB106" t="str">
        <f t="shared" si="48"/>
        <v/>
      </c>
    </row>
    <row r="107" spans="1:54" x14ac:dyDescent="0.25">
      <c r="A107">
        <v>157</v>
      </c>
      <c r="B107" s="77">
        <v>44910.000004594905</v>
      </c>
      <c r="C107" s="14" t="s">
        <v>301</v>
      </c>
      <c r="D107" s="23" t="s">
        <v>311</v>
      </c>
      <c r="E107" s="23" t="s">
        <v>670</v>
      </c>
      <c r="F107" s="23">
        <v>168347.15939687999</v>
      </c>
      <c r="G107" s="23">
        <v>168275.44119131</v>
      </c>
      <c r="H107" s="23">
        <v>0.99957398624469695</v>
      </c>
      <c r="I107" s="23">
        <v>0</v>
      </c>
      <c r="J107" s="23" t="s">
        <v>88</v>
      </c>
      <c r="K107" s="24">
        <v>44910.000004594905</v>
      </c>
      <c r="L107" s="23">
        <v>1</v>
      </c>
      <c r="M107" s="23" t="s">
        <v>670</v>
      </c>
      <c r="N107" s="25">
        <v>0</v>
      </c>
      <c r="O107" s="26" t="str">
        <f t="shared" si="27"/>
        <v>COIN</v>
      </c>
      <c r="P107" s="26" t="str">
        <f t="shared" si="36"/>
        <v>LONG</v>
      </c>
      <c r="Q107" s="26" t="str">
        <f t="shared" si="37"/>
        <v>COIN LONG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DAI COIN LONG</v>
      </c>
      <c r="X107" s="94" t="s">
        <v>267</v>
      </c>
      <c r="AD107" s="77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14"/>
      <c r="AI107" s="14"/>
      <c r="AJ107" s="14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6"/>
      <c r="AQ107" s="47"/>
      <c r="AR107" s="48"/>
      <c r="AS107" s="25" t="str">
        <f t="shared" si="50"/>
        <v/>
      </c>
      <c r="AT107" s="26"/>
      <c r="AU107" s="26"/>
      <c r="AV107" s="26"/>
      <c r="AW107" s="26"/>
      <c r="AX107" s="26"/>
      <c r="AY107" s="26" t="str">
        <f t="shared" si="52"/>
        <v/>
      </c>
      <c r="AZ107" s="26"/>
      <c r="BA107" s="23"/>
      <c r="BB107" t="str">
        <f t="shared" si="48"/>
        <v/>
      </c>
    </row>
    <row r="108" spans="1:54" x14ac:dyDescent="0.25">
      <c r="A108">
        <v>158</v>
      </c>
      <c r="B108" s="77">
        <v>44910.000004594905</v>
      </c>
      <c r="C108" s="14" t="s">
        <v>301</v>
      </c>
      <c r="D108" s="23" t="s">
        <v>311</v>
      </c>
      <c r="E108" s="23" t="s">
        <v>16</v>
      </c>
      <c r="F108" s="23">
        <v>0.56165878999999996</v>
      </c>
      <c r="G108" s="23">
        <v>735.39596039846799</v>
      </c>
      <c r="H108" s="23">
        <v>1309.32867693296</v>
      </c>
      <c r="I108" s="23">
        <v>0</v>
      </c>
      <c r="J108" s="23" t="s">
        <v>88</v>
      </c>
      <c r="K108" s="24">
        <v>44910.000004594905</v>
      </c>
      <c r="L108" s="23">
        <v>1</v>
      </c>
      <c r="M108" s="23" t="s">
        <v>16</v>
      </c>
      <c r="N108" s="25">
        <v>0</v>
      </c>
      <c r="O108" s="26" t="str">
        <f t="shared" si="27"/>
        <v>COIN</v>
      </c>
      <c r="P108" s="26" t="str">
        <f t="shared" si="36"/>
        <v>LONG</v>
      </c>
      <c r="Q108" s="26" t="str">
        <f t="shared" si="37"/>
        <v>COIN LONG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ETH COIN LONG</v>
      </c>
      <c r="X108" s="94" t="s">
        <v>267</v>
      </c>
    </row>
    <row r="109" spans="1:54" x14ac:dyDescent="0.25">
      <c r="A109">
        <v>159</v>
      </c>
      <c r="B109" s="77">
        <v>44910.000004594905</v>
      </c>
      <c r="C109" s="14" t="s">
        <v>301</v>
      </c>
      <c r="D109" s="23" t="s">
        <v>311</v>
      </c>
      <c r="E109" s="23" t="s">
        <v>1176</v>
      </c>
      <c r="F109" s="23">
        <v>524889.41030044004</v>
      </c>
      <c r="G109" s="23">
        <v>522674.40974300198</v>
      </c>
      <c r="H109" s="23">
        <v>0.99578006240177297</v>
      </c>
      <c r="I109" s="23">
        <v>0</v>
      </c>
      <c r="J109" s="23" t="s">
        <v>88</v>
      </c>
      <c r="K109" s="24">
        <v>44910.000004594905</v>
      </c>
      <c r="L109" s="23">
        <v>1</v>
      </c>
      <c r="M109" s="23" t="s">
        <v>1176</v>
      </c>
      <c r="N109" s="25">
        <v>0</v>
      </c>
      <c r="O109" s="26" t="str">
        <f t="shared" si="27"/>
        <v>COIN</v>
      </c>
      <c r="P109" s="26" t="str">
        <f t="shared" si="36"/>
        <v>LONG</v>
      </c>
      <c r="Q109" s="26" t="str">
        <f t="shared" si="37"/>
        <v>COIN LONG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MIM COIN LONG</v>
      </c>
      <c r="X109" s="94" t="s">
        <v>267</v>
      </c>
    </row>
    <row r="110" spans="1:54" x14ac:dyDescent="0.25">
      <c r="A110">
        <v>160</v>
      </c>
      <c r="B110" s="77">
        <v>44910.000004594905</v>
      </c>
      <c r="C110" s="14" t="s">
        <v>301</v>
      </c>
      <c r="D110" s="23" t="s">
        <v>311</v>
      </c>
      <c r="E110" s="23" t="s">
        <v>95</v>
      </c>
      <c r="F110" s="23">
        <v>160870.93304174001</v>
      </c>
      <c r="G110" s="23">
        <v>160867.63925836</v>
      </c>
      <c r="H110" s="23">
        <v>0.99997952530443501</v>
      </c>
      <c r="I110" s="23">
        <v>0</v>
      </c>
      <c r="J110" s="23" t="s">
        <v>88</v>
      </c>
      <c r="K110" s="24">
        <v>44910.000004594905</v>
      </c>
      <c r="L110" s="23">
        <v>1</v>
      </c>
      <c r="M110" s="23" t="s">
        <v>95</v>
      </c>
      <c r="N110" s="25">
        <v>0</v>
      </c>
      <c r="O110" s="26" t="str">
        <f t="shared" si="27"/>
        <v>COIN</v>
      </c>
      <c r="P110" s="26" t="str">
        <f t="shared" si="36"/>
        <v>LONG</v>
      </c>
      <c r="Q110" s="26" t="str">
        <f t="shared" si="37"/>
        <v>COIN LONG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USDC COIN LONG</v>
      </c>
      <c r="X110" s="94" t="s">
        <v>267</v>
      </c>
    </row>
    <row r="111" spans="1:54" x14ac:dyDescent="0.25">
      <c r="A111">
        <v>161</v>
      </c>
      <c r="B111" s="77">
        <v>44909.666671840278</v>
      </c>
      <c r="C111" s="14" t="s">
        <v>301</v>
      </c>
      <c r="D111" s="23" t="s">
        <v>311</v>
      </c>
      <c r="E111" s="23" t="s">
        <v>95</v>
      </c>
      <c r="F111" s="23">
        <v>1006533.600838</v>
      </c>
      <c r="G111" s="23">
        <v>1006512.99236894</v>
      </c>
      <c r="H111" s="23">
        <v>0.99997952530443501</v>
      </c>
      <c r="I111" s="23">
        <v>0</v>
      </c>
      <c r="J111" s="23" t="s">
        <v>88</v>
      </c>
      <c r="K111" s="24">
        <v>44909.666671840278</v>
      </c>
      <c r="L111" s="23">
        <v>1</v>
      </c>
      <c r="M111" s="23" t="s">
        <v>95</v>
      </c>
      <c r="N111" s="25">
        <v>0</v>
      </c>
      <c r="O111" s="26" t="str">
        <f t="shared" si="27"/>
        <v>COIN</v>
      </c>
      <c r="P111" s="26" t="str">
        <f t="shared" si="36"/>
        <v>LONG</v>
      </c>
      <c r="Q111" s="26" t="str">
        <f t="shared" si="37"/>
        <v>COIN LONG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USDC COIN LONG</v>
      </c>
      <c r="X111" s="94" t="s">
        <v>267</v>
      </c>
    </row>
    <row r="112" spans="1:54" x14ac:dyDescent="0.25">
      <c r="A112">
        <v>162</v>
      </c>
      <c r="B112" s="77">
        <v>44910.000004594905</v>
      </c>
      <c r="C112" s="14" t="s">
        <v>301</v>
      </c>
      <c r="D112" s="23" t="s">
        <v>311</v>
      </c>
      <c r="E112" s="23" t="s">
        <v>39</v>
      </c>
      <c r="F112" s="23">
        <v>152185.53478941999</v>
      </c>
      <c r="G112" s="23">
        <v>152201.576716032</v>
      </c>
      <c r="H112" s="23">
        <v>1.0001054103245299</v>
      </c>
      <c r="I112" s="23">
        <v>0</v>
      </c>
      <c r="J112" s="23" t="s">
        <v>88</v>
      </c>
      <c r="K112" s="24">
        <v>44910.000004594905</v>
      </c>
      <c r="L112" s="23">
        <v>1</v>
      </c>
      <c r="M112" s="23" t="s">
        <v>39</v>
      </c>
      <c r="N112" s="25">
        <v>0</v>
      </c>
      <c r="O112" s="26" t="str">
        <f t="shared" si="27"/>
        <v>COIN</v>
      </c>
      <c r="P112" s="26" t="str">
        <f t="shared" si="36"/>
        <v>LONG</v>
      </c>
      <c r="Q112" s="26" t="str">
        <f t="shared" si="37"/>
        <v>COIN LONG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USDT COIN LONG</v>
      </c>
      <c r="X112" s="94" t="s">
        <v>267</v>
      </c>
    </row>
    <row r="113" spans="1:27" x14ac:dyDescent="0.25">
      <c r="A113">
        <v>163</v>
      </c>
      <c r="B113" s="77">
        <v>44910.000004594905</v>
      </c>
      <c r="C113" s="14" t="s">
        <v>301</v>
      </c>
      <c r="D113" s="23" t="s">
        <v>312</v>
      </c>
      <c r="E113" s="23" t="s">
        <v>313</v>
      </c>
      <c r="F113" s="23">
        <v>463.45655553</v>
      </c>
      <c r="G113" s="23">
        <v>26.842364961398999</v>
      </c>
      <c r="H113" s="23">
        <v>5.7917758722179802E-2</v>
      </c>
      <c r="I113" s="23">
        <v>0</v>
      </c>
      <c r="J113" s="23" t="s">
        <v>88</v>
      </c>
      <c r="K113" s="24">
        <v>44910.000004594905</v>
      </c>
      <c r="L113" s="23">
        <v>1</v>
      </c>
      <c r="M113" s="23" t="s">
        <v>313</v>
      </c>
      <c r="N113" s="25">
        <v>0</v>
      </c>
      <c r="O113" s="26" t="str">
        <f t="shared" si="27"/>
        <v>COIN</v>
      </c>
      <c r="P113" s="26" t="str">
        <f t="shared" si="36"/>
        <v>LONG</v>
      </c>
      <c r="Q113" s="26" t="str">
        <f t="shared" si="37"/>
        <v>COIN LONG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AURA COIN LONG</v>
      </c>
      <c r="X113" s="94" t="s">
        <v>267</v>
      </c>
    </row>
    <row r="114" spans="1:27" x14ac:dyDescent="0.25">
      <c r="A114">
        <v>164</v>
      </c>
      <c r="B114" s="77">
        <v>44910.000004594905</v>
      </c>
      <c r="C114" s="14" t="s">
        <v>301</v>
      </c>
      <c r="D114" s="23" t="s">
        <v>312</v>
      </c>
      <c r="E114" s="23" t="s">
        <v>314</v>
      </c>
      <c r="F114" s="23">
        <v>128.13018736000001</v>
      </c>
      <c r="G114" s="23">
        <v>787.63144938300502</v>
      </c>
      <c r="H114" s="23">
        <v>6.1471185331996896</v>
      </c>
      <c r="I114" s="23">
        <v>0</v>
      </c>
      <c r="J114" s="23" t="s">
        <v>88</v>
      </c>
      <c r="K114" s="24">
        <v>44910.000004594905</v>
      </c>
      <c r="L114" s="23">
        <v>1</v>
      </c>
      <c r="M114" s="23" t="s">
        <v>314</v>
      </c>
      <c r="N114" s="25">
        <v>0</v>
      </c>
      <c r="O114" s="26" t="str">
        <f t="shared" si="27"/>
        <v>COIN</v>
      </c>
      <c r="P114" s="26" t="str">
        <f t="shared" si="36"/>
        <v>LONG</v>
      </c>
      <c r="Q114" s="26" t="str">
        <f t="shared" si="37"/>
        <v>COIN LONG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BAL COIN LONG</v>
      </c>
      <c r="X114" s="94" t="s">
        <v>267</v>
      </c>
      <c r="Y114" t="s">
        <v>128</v>
      </c>
      <c r="Z114">
        <v>2.5033500000000001E-3</v>
      </c>
      <c r="AA114">
        <v>2.9340654067522509E-4</v>
      </c>
    </row>
    <row r="115" spans="1:27" x14ac:dyDescent="0.25">
      <c r="A115">
        <v>165</v>
      </c>
      <c r="B115" s="77">
        <v>44910.000004594905</v>
      </c>
      <c r="C115" s="14" t="s">
        <v>301</v>
      </c>
      <c r="D115" s="23" t="s">
        <v>312</v>
      </c>
      <c r="E115" s="23" t="s">
        <v>16</v>
      </c>
      <c r="F115" s="23">
        <v>385.80857076000001</v>
      </c>
      <c r="G115" s="23">
        <v>505150.22550258797</v>
      </c>
      <c r="H115" s="23">
        <v>1309.32867693296</v>
      </c>
      <c r="I115" s="23">
        <v>0</v>
      </c>
      <c r="J115" s="23" t="s">
        <v>88</v>
      </c>
      <c r="K115" s="24">
        <v>44910.000004594905</v>
      </c>
      <c r="L115" s="23">
        <v>1</v>
      </c>
      <c r="M115" s="23" t="s">
        <v>16</v>
      </c>
      <c r="N115" s="25">
        <v>0</v>
      </c>
      <c r="O115" s="26" t="str">
        <f t="shared" si="27"/>
        <v>COIN</v>
      </c>
      <c r="P115" s="26" t="str">
        <f t="shared" si="36"/>
        <v>LONG</v>
      </c>
      <c r="Q115" s="26" t="str">
        <f t="shared" si="37"/>
        <v>COIN LONG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ETH COIN LONG</v>
      </c>
      <c r="X115" s="94" t="s">
        <v>267</v>
      </c>
      <c r="Y115" t="s">
        <v>129</v>
      </c>
      <c r="Z115">
        <v>115.29838952</v>
      </c>
      <c r="AA115">
        <v>9.6300509408332307</v>
      </c>
    </row>
    <row r="116" spans="1:27" x14ac:dyDescent="0.25">
      <c r="A116">
        <v>166</v>
      </c>
      <c r="B116" s="77">
        <v>44910.000004594905</v>
      </c>
      <c r="C116" s="14" t="s">
        <v>301</v>
      </c>
      <c r="D116" s="23" t="s">
        <v>312</v>
      </c>
      <c r="E116" s="23" t="s">
        <v>16</v>
      </c>
      <c r="F116" s="23">
        <v>2.5209147500000002</v>
      </c>
      <c r="G116" s="23">
        <v>3300.7059742782899</v>
      </c>
      <c r="H116" s="23">
        <v>1309.32867693296</v>
      </c>
      <c r="I116" s="23">
        <v>0</v>
      </c>
      <c r="J116" s="23" t="s">
        <v>88</v>
      </c>
      <c r="K116" s="24">
        <v>44910.000004594905</v>
      </c>
      <c r="L116" s="23">
        <v>1</v>
      </c>
      <c r="M116" s="23" t="s">
        <v>16</v>
      </c>
      <c r="N116" s="25">
        <v>0</v>
      </c>
      <c r="O116" s="26" t="str">
        <f t="shared" si="27"/>
        <v>COIN</v>
      </c>
      <c r="P116" s="26" t="str">
        <f t="shared" si="36"/>
        <v>LONG</v>
      </c>
      <c r="Q116" s="26" t="str">
        <f t="shared" si="37"/>
        <v>COIN LONG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ETH COIN LONG</v>
      </c>
      <c r="X116" s="94" t="s">
        <v>267</v>
      </c>
      <c r="Y116" t="s">
        <v>90</v>
      </c>
      <c r="Z116">
        <v>3098.2724268799998</v>
      </c>
      <c r="AA116">
        <v>857063.45407052641</v>
      </c>
    </row>
    <row r="117" spans="1:27" x14ac:dyDescent="0.25">
      <c r="A117">
        <v>167</v>
      </c>
      <c r="B117" s="77">
        <v>44910.000004594905</v>
      </c>
      <c r="C117" s="14" t="s">
        <v>301</v>
      </c>
      <c r="D117" s="23" t="s">
        <v>312</v>
      </c>
      <c r="E117" s="23" t="s">
        <v>315</v>
      </c>
      <c r="F117" s="23">
        <v>623.41986664000001</v>
      </c>
      <c r="G117" s="23">
        <v>799906.53314526705</v>
      </c>
      <c r="H117" s="23">
        <v>1283.0943894304501</v>
      </c>
      <c r="I117" s="23">
        <v>0</v>
      </c>
      <c r="J117" s="23" t="s">
        <v>88</v>
      </c>
      <c r="K117" s="24">
        <v>44910.000004594905</v>
      </c>
      <c r="L117" s="23">
        <v>1</v>
      </c>
      <c r="M117" s="23" t="s">
        <v>315</v>
      </c>
      <c r="N117" s="25">
        <v>0</v>
      </c>
      <c r="O117" s="26" t="str">
        <f t="shared" si="27"/>
        <v>COIN</v>
      </c>
      <c r="P117" s="26" t="str">
        <f t="shared" si="36"/>
        <v>LONG</v>
      </c>
      <c r="Q117" s="26" t="str">
        <f t="shared" si="37"/>
        <v>COIN LONG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STETH COIN LONG</v>
      </c>
      <c r="X117" s="94" t="s">
        <v>267</v>
      </c>
      <c r="Y117" t="s">
        <v>130</v>
      </c>
      <c r="Z117">
        <v>14.7502</v>
      </c>
      <c r="AA117">
        <v>4.4758884165507196</v>
      </c>
    </row>
    <row r="118" spans="1:27" x14ac:dyDescent="0.25">
      <c r="A118">
        <v>168</v>
      </c>
      <c r="B118" s="77">
        <v>44910.000004594905</v>
      </c>
      <c r="C118" s="14" t="s">
        <v>301</v>
      </c>
      <c r="D118" s="23" t="s">
        <v>726</v>
      </c>
      <c r="E118" s="23" t="s">
        <v>16</v>
      </c>
      <c r="F118" s="23">
        <v>9.8779060000000002E-2</v>
      </c>
      <c r="G118" s="23">
        <v>129.33425593848099</v>
      </c>
      <c r="H118" s="23">
        <v>1309.32867693296</v>
      </c>
      <c r="I118" s="23">
        <v>0</v>
      </c>
      <c r="J118" s="23" t="s">
        <v>88</v>
      </c>
      <c r="K118" s="24">
        <v>44910.000004594905</v>
      </c>
      <c r="L118" s="23">
        <v>1</v>
      </c>
      <c r="M118" s="23" t="s">
        <v>16</v>
      </c>
      <c r="N118" s="25">
        <v>0</v>
      </c>
      <c r="O118" s="26" t="str">
        <f t="shared" si="27"/>
        <v>COIN</v>
      </c>
      <c r="P118" s="26" t="str">
        <f t="shared" si="36"/>
        <v>LONG</v>
      </c>
      <c r="Q118" s="26" t="str">
        <f t="shared" si="37"/>
        <v>COIN LONG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ETH COIN LONG</v>
      </c>
      <c r="X118" s="94" t="s">
        <v>267</v>
      </c>
      <c r="Y118" t="s">
        <v>116</v>
      </c>
      <c r="Z118">
        <v>89.597535949999838</v>
      </c>
      <c r="AA118">
        <v>4463.27700580479</v>
      </c>
    </row>
    <row r="119" spans="1:27" x14ac:dyDescent="0.25">
      <c r="A119">
        <v>169</v>
      </c>
      <c r="B119" s="77">
        <v>44910.000004594905</v>
      </c>
      <c r="C119" s="14" t="s">
        <v>301</v>
      </c>
      <c r="D119" s="23" t="s">
        <v>726</v>
      </c>
      <c r="E119" s="23" t="s">
        <v>733</v>
      </c>
      <c r="F119" s="23">
        <v>196525.25441796001</v>
      </c>
      <c r="G119" s="23">
        <v>0</v>
      </c>
      <c r="H119" s="23">
        <v>0</v>
      </c>
      <c r="I119" s="23">
        <v>0</v>
      </c>
      <c r="J119" s="23" t="s">
        <v>88</v>
      </c>
      <c r="K119" s="24">
        <v>44910.000004594905</v>
      </c>
      <c r="L119" s="23">
        <v>1</v>
      </c>
      <c r="M119" s="23" t="s">
        <v>733</v>
      </c>
      <c r="N119" s="25">
        <v>0</v>
      </c>
      <c r="O119" s="26" t="str">
        <f t="shared" si="27"/>
        <v>COIN</v>
      </c>
      <c r="P119" s="26" t="str">
        <f t="shared" si="36"/>
        <v>SHORT</v>
      </c>
      <c r="Q119" s="26" t="str">
        <f t="shared" si="37"/>
        <v>COIN SHORT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OBALUSDC/BAL-30DEC22-7.6C COIN SHORT</v>
      </c>
      <c r="X119" s="94" t="s">
        <v>267</v>
      </c>
      <c r="Y119" t="s">
        <v>15</v>
      </c>
      <c r="Z119">
        <v>450.52982272000008</v>
      </c>
      <c r="AA119">
        <v>8694161.3549739085</v>
      </c>
    </row>
    <row r="120" spans="1:27" x14ac:dyDescent="0.25">
      <c r="A120">
        <v>170</v>
      </c>
      <c r="B120" s="77">
        <v>44910.000004594905</v>
      </c>
      <c r="C120" s="14" t="s">
        <v>301</v>
      </c>
      <c r="D120" s="23" t="s">
        <v>726</v>
      </c>
      <c r="E120" s="23" t="s">
        <v>734</v>
      </c>
      <c r="F120" s="23">
        <v>201000.92417708001</v>
      </c>
      <c r="G120" s="23">
        <v>0</v>
      </c>
      <c r="H120" s="23">
        <v>0</v>
      </c>
      <c r="I120" s="23">
        <v>0</v>
      </c>
      <c r="J120" s="23" t="s">
        <v>88</v>
      </c>
      <c r="K120" s="24">
        <v>44910.000004594905</v>
      </c>
      <c r="L120" s="23">
        <v>1</v>
      </c>
      <c r="M120" s="23" t="s">
        <v>734</v>
      </c>
      <c r="N120" s="25">
        <v>0</v>
      </c>
      <c r="O120" s="26" t="str">
        <f t="shared" si="27"/>
        <v>COIN</v>
      </c>
      <c r="P120" s="26" t="str">
        <f t="shared" si="36"/>
        <v>SHORT</v>
      </c>
      <c r="Q120" s="26" t="str">
        <f t="shared" si="37"/>
        <v>COIN SHORT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OPERPUSDC/PERP-30DEC22-0.54C COIN SHORT</v>
      </c>
      <c r="X120" s="94" t="s">
        <v>267</v>
      </c>
      <c r="Y120" t="s">
        <v>131</v>
      </c>
      <c r="Z120">
        <v>0.33565571999999999</v>
      </c>
      <c r="AA120">
        <v>3.1708334929089581E-3</v>
      </c>
    </row>
    <row r="121" spans="1:27" x14ac:dyDescent="0.25">
      <c r="A121">
        <v>171</v>
      </c>
      <c r="B121" s="77">
        <v>44910.000004594905</v>
      </c>
      <c r="C121" s="14" t="s">
        <v>301</v>
      </c>
      <c r="D121" s="23" t="s">
        <v>726</v>
      </c>
      <c r="E121" s="23" t="s">
        <v>735</v>
      </c>
      <c r="F121" s="23">
        <v>100050250.667</v>
      </c>
      <c r="G121" s="23">
        <v>0</v>
      </c>
      <c r="H121" s="23">
        <v>0</v>
      </c>
      <c r="I121" s="23">
        <v>0</v>
      </c>
      <c r="J121" s="23" t="s">
        <v>88</v>
      </c>
      <c r="K121" s="24">
        <v>44910.000004594905</v>
      </c>
      <c r="L121" s="23">
        <v>1</v>
      </c>
      <c r="M121" s="23" t="s">
        <v>735</v>
      </c>
      <c r="N121" s="25">
        <v>0</v>
      </c>
      <c r="O121" s="26" t="str">
        <f t="shared" si="27"/>
        <v>COIN</v>
      </c>
      <c r="P121" s="26" t="str">
        <f t="shared" si="36"/>
        <v>SHORT</v>
      </c>
      <c r="Q121" s="26" t="str">
        <f t="shared" si="37"/>
        <v>COIN SHORT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OSPELLUSDC/SPELL-30DEC22-0.00079C COIN SHORT</v>
      </c>
      <c r="X121" s="94" t="s">
        <v>267</v>
      </c>
      <c r="Y121" t="s">
        <v>132</v>
      </c>
      <c r="Z121">
        <v>1367501156.8785999</v>
      </c>
      <c r="AA121">
        <v>1085.2429465905029</v>
      </c>
    </row>
    <row r="122" spans="1:27" x14ac:dyDescent="0.25">
      <c r="A122">
        <v>172</v>
      </c>
      <c r="B122" s="77">
        <v>44907.958337997683</v>
      </c>
      <c r="C122" s="14" t="s">
        <v>301</v>
      </c>
      <c r="D122" s="23" t="s">
        <v>727</v>
      </c>
      <c r="E122" s="23" t="s">
        <v>16</v>
      </c>
      <c r="F122" s="23">
        <v>498.76775994000002</v>
      </c>
      <c r="G122" s="23">
        <v>653050.93121905695</v>
      </c>
      <c r="H122" s="23">
        <v>1309.32867693296</v>
      </c>
      <c r="I122" s="23">
        <v>0</v>
      </c>
      <c r="J122" s="23" t="s">
        <v>88</v>
      </c>
      <c r="K122" s="24">
        <v>44907.958337997683</v>
      </c>
      <c r="L122" s="23">
        <v>1</v>
      </c>
      <c r="M122" s="23" t="s">
        <v>16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ETH COIN LONG</v>
      </c>
      <c r="X122" s="94" t="s">
        <v>267</v>
      </c>
      <c r="Y122" t="s">
        <v>91</v>
      </c>
      <c r="Z122">
        <v>4921549.8762803096</v>
      </c>
      <c r="AA122">
        <v>4922450.1093141474</v>
      </c>
    </row>
    <row r="123" spans="1:27" x14ac:dyDescent="0.25">
      <c r="A123">
        <v>173</v>
      </c>
      <c r="B123" s="77">
        <v>44910.000004594905</v>
      </c>
      <c r="C123" s="14" t="s">
        <v>301</v>
      </c>
      <c r="D123" s="23" t="s">
        <v>727</v>
      </c>
      <c r="E123" s="23" t="s">
        <v>16</v>
      </c>
      <c r="F123" s="23">
        <v>2.96051419</v>
      </c>
      <c r="G123" s="23">
        <v>3876.2861274339598</v>
      </c>
      <c r="H123" s="23">
        <v>1309.32867693296</v>
      </c>
      <c r="I123" s="23">
        <v>0</v>
      </c>
      <c r="J123" s="23" t="s">
        <v>88</v>
      </c>
      <c r="K123" s="24">
        <v>44910.000004594905</v>
      </c>
      <c r="L123" s="23">
        <v>1</v>
      </c>
      <c r="M123" s="23" t="s">
        <v>16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ETH COIN LONG</v>
      </c>
      <c r="X123" s="94" t="s">
        <v>267</v>
      </c>
      <c r="Y123" t="s">
        <v>133</v>
      </c>
      <c r="Z123">
        <v>1.7855998900000001</v>
      </c>
      <c r="AA123">
        <v>5.513257600700699E-3</v>
      </c>
    </row>
    <row r="124" spans="1:27" x14ac:dyDescent="0.25">
      <c r="A124">
        <v>174</v>
      </c>
      <c r="B124" s="77">
        <v>44907.958337997683</v>
      </c>
      <c r="C124" s="14" t="s">
        <v>301</v>
      </c>
      <c r="D124" s="23" t="s">
        <v>727</v>
      </c>
      <c r="E124" s="23" t="s">
        <v>736</v>
      </c>
      <c r="F124" s="23">
        <v>498.37304568000002</v>
      </c>
      <c r="G124" s="23">
        <v>0</v>
      </c>
      <c r="H124" s="23">
        <v>0</v>
      </c>
      <c r="I124" s="23">
        <v>0</v>
      </c>
      <c r="J124" s="23" t="s">
        <v>88</v>
      </c>
      <c r="K124" s="24">
        <v>44907.958337997683</v>
      </c>
      <c r="L124" s="23">
        <v>1</v>
      </c>
      <c r="M124" s="23" t="s">
        <v>736</v>
      </c>
      <c r="N124" s="25">
        <v>0</v>
      </c>
      <c r="O124" s="26" t="str">
        <f t="shared" si="27"/>
        <v>COIN</v>
      </c>
      <c r="P124" s="26" t="str">
        <f t="shared" si="36"/>
        <v>SHORT</v>
      </c>
      <c r="Q124" s="26" t="str">
        <f t="shared" si="37"/>
        <v>COIN SHORT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FRXETH COIN SHORT</v>
      </c>
      <c r="X124" s="94" t="s">
        <v>267</v>
      </c>
      <c r="Y124" t="s">
        <v>32</v>
      </c>
      <c r="Z124">
        <v>243.20237294000071</v>
      </c>
      <c r="AA124">
        <v>15464.845072301803</v>
      </c>
    </row>
    <row r="125" spans="1:27" x14ac:dyDescent="0.25">
      <c r="A125">
        <v>175</v>
      </c>
      <c r="B125" s="77">
        <v>44910.000004780093</v>
      </c>
      <c r="C125" s="14" t="s">
        <v>33</v>
      </c>
      <c r="D125" s="23" t="s">
        <v>34</v>
      </c>
      <c r="E125" s="23" t="s">
        <v>95</v>
      </c>
      <c r="F125" s="23">
        <v>172499.35324299999</v>
      </c>
      <c r="G125" s="23">
        <v>172495.82137125701</v>
      </c>
      <c r="H125" s="23">
        <v>0.99997952530443501</v>
      </c>
      <c r="I125" s="23">
        <v>0</v>
      </c>
      <c r="J125" s="23" t="s">
        <v>88</v>
      </c>
      <c r="K125" s="24">
        <v>44910.000004780093</v>
      </c>
      <c r="L125" s="23">
        <v>1</v>
      </c>
      <c r="M125" s="23" t="s">
        <v>95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DYDX</v>
      </c>
      <c r="W125" t="str">
        <f t="shared" si="38"/>
        <v>USDC COIN LONG</v>
      </c>
      <c r="X125" s="94" t="s">
        <v>267</v>
      </c>
      <c r="Y125" t="s">
        <v>134</v>
      </c>
      <c r="Z125">
        <v>0.30791584</v>
      </c>
      <c r="AA125">
        <v>3.7565817271794387E-2</v>
      </c>
    </row>
    <row r="126" spans="1:27" x14ac:dyDescent="0.25">
      <c r="A126">
        <v>176</v>
      </c>
      <c r="B126" s="77">
        <v>44910.000000231485</v>
      </c>
      <c r="C126" s="14" t="s">
        <v>40</v>
      </c>
      <c r="D126" s="23" t="s">
        <v>114</v>
      </c>
      <c r="E126" s="23" t="s">
        <v>87</v>
      </c>
      <c r="F126" s="23">
        <v>1E-8</v>
      </c>
      <c r="G126" s="23">
        <v>3.0813425194694101E-9</v>
      </c>
      <c r="H126" s="23">
        <v>0.308134251946941</v>
      </c>
      <c r="I126" s="23">
        <v>0</v>
      </c>
      <c r="J126" s="23" t="s">
        <v>88</v>
      </c>
      <c r="K126" s="24">
        <v>44910.000000231485</v>
      </c>
      <c r="L126" s="23">
        <v>1</v>
      </c>
      <c r="M126" s="23" t="s">
        <v>87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FUB2</v>
      </c>
      <c r="W126" t="str">
        <f t="shared" si="38"/>
        <v>ADA COIN LONG</v>
      </c>
      <c r="X126" s="94" t="s">
        <v>267</v>
      </c>
      <c r="Y126" t="s">
        <v>191</v>
      </c>
      <c r="Z126">
        <v>547142.23605442001</v>
      </c>
      <c r="AA126">
        <v>516281.09435298911</v>
      </c>
    </row>
    <row r="127" spans="1:27" x14ac:dyDescent="0.25">
      <c r="A127">
        <v>177</v>
      </c>
      <c r="B127" s="77">
        <v>44910.000000231485</v>
      </c>
      <c r="C127" s="14" t="s">
        <v>40</v>
      </c>
      <c r="D127" s="23" t="s">
        <v>114</v>
      </c>
      <c r="E127" s="23" t="s">
        <v>21</v>
      </c>
      <c r="F127" s="23">
        <v>4.9999999999999998E-8</v>
      </c>
      <c r="G127" s="23">
        <v>5.4554247976536396E-6</v>
      </c>
      <c r="H127" s="23">
        <v>109.10849595307199</v>
      </c>
      <c r="I127" s="23">
        <v>0</v>
      </c>
      <c r="J127" s="23" t="s">
        <v>88</v>
      </c>
      <c r="K127" s="24">
        <v>44910.000000231485</v>
      </c>
      <c r="L127" s="23">
        <v>1</v>
      </c>
      <c r="M127" s="23" t="s">
        <v>21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FUB2</v>
      </c>
      <c r="W127" t="str">
        <f t="shared" si="38"/>
        <v>BCH COIN LONG</v>
      </c>
      <c r="X127" s="94" t="s">
        <v>267</v>
      </c>
      <c r="Y127" t="s">
        <v>192</v>
      </c>
      <c r="Z127">
        <v>1.182E-5</v>
      </c>
      <c r="AA127">
        <v>5.6867768645624312E-5</v>
      </c>
    </row>
    <row r="128" spans="1:27" x14ac:dyDescent="0.25">
      <c r="A128">
        <v>178</v>
      </c>
      <c r="B128" s="77">
        <v>44910.000000231485</v>
      </c>
      <c r="C128" s="14" t="s">
        <v>40</v>
      </c>
      <c r="D128" s="23" t="s">
        <v>114</v>
      </c>
      <c r="E128" s="23" t="s">
        <v>116</v>
      </c>
      <c r="F128" s="23">
        <v>0.47315189000000002</v>
      </c>
      <c r="G128" s="23">
        <v>21.439278037545701</v>
      </c>
      <c r="H128" s="23">
        <v>45.311618722574998</v>
      </c>
      <c r="I128" s="23">
        <v>0</v>
      </c>
      <c r="J128" s="23" t="s">
        <v>88</v>
      </c>
      <c r="K128" s="24">
        <v>44910.000000231485</v>
      </c>
      <c r="L128" s="23">
        <v>1</v>
      </c>
      <c r="M128" s="23" t="s">
        <v>116</v>
      </c>
      <c r="N128" s="25">
        <v>0</v>
      </c>
      <c r="O128" s="26" t="str">
        <f t="shared" si="27"/>
        <v>COIN</v>
      </c>
      <c r="P128" s="26" t="str">
        <f t="shared" si="36"/>
        <v>LONG</v>
      </c>
      <c r="Q128" s="26" t="str">
        <f t="shared" si="37"/>
        <v>COIN LONG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FUB2</v>
      </c>
      <c r="W128" t="str">
        <f t="shared" si="38"/>
        <v>BSV COIN LONG</v>
      </c>
      <c r="X128" s="94" t="s">
        <v>267</v>
      </c>
      <c r="Y128" t="s">
        <v>135</v>
      </c>
      <c r="Z128">
        <v>5.6119999999999998E-5</v>
      </c>
      <c r="AA128">
        <v>2.3636258706667928E-3</v>
      </c>
    </row>
    <row r="129" spans="1:27" x14ac:dyDescent="0.25">
      <c r="A129">
        <v>179</v>
      </c>
      <c r="B129" s="77">
        <v>44910.000000231485</v>
      </c>
      <c r="C129" s="14" t="s">
        <v>40</v>
      </c>
      <c r="D129" s="23" t="s">
        <v>114</v>
      </c>
      <c r="E129" s="23" t="s">
        <v>15</v>
      </c>
      <c r="F129" s="23">
        <v>4.0000000000000001E-8</v>
      </c>
      <c r="G129" s="23">
        <v>7.1262599418603595E-4</v>
      </c>
      <c r="H129" s="23">
        <v>17815.649854650899</v>
      </c>
      <c r="I129" s="23">
        <v>0</v>
      </c>
      <c r="J129" s="23" t="s">
        <v>88</v>
      </c>
      <c r="K129" s="24">
        <v>44910.000000231485</v>
      </c>
      <c r="L129" s="23">
        <v>1</v>
      </c>
      <c r="M129" s="23" t="s">
        <v>15</v>
      </c>
      <c r="N129" s="25">
        <v>0</v>
      </c>
      <c r="O129" s="26" t="str">
        <f t="shared" si="27"/>
        <v>COIN</v>
      </c>
      <c r="P129" s="26" t="str">
        <f t="shared" si="36"/>
        <v>LONG</v>
      </c>
      <c r="Q129" s="26" t="str">
        <f t="shared" si="37"/>
        <v>COIN LONG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FUB2</v>
      </c>
      <c r="W129" t="str">
        <f t="shared" si="38"/>
        <v>BTC COIN LONG</v>
      </c>
      <c r="X129" s="94" t="s">
        <v>267</v>
      </c>
      <c r="Y129" t="s">
        <v>193</v>
      </c>
      <c r="Z129">
        <v>69071.428798409994</v>
      </c>
      <c r="AA129">
        <v>4374.7010747606064</v>
      </c>
    </row>
    <row r="130" spans="1:27" x14ac:dyDescent="0.25">
      <c r="A130">
        <v>180</v>
      </c>
      <c r="B130" s="77">
        <v>44910.000000231485</v>
      </c>
      <c r="C130" s="14" t="s">
        <v>40</v>
      </c>
      <c r="D130" s="23" t="s">
        <v>114</v>
      </c>
      <c r="E130" s="23" t="s">
        <v>24</v>
      </c>
      <c r="F130" s="23">
        <v>2.9999999999999997E-8</v>
      </c>
      <c r="G130" s="23">
        <v>2.9340640100730401E-8</v>
      </c>
      <c r="H130" s="23">
        <v>0.97802133669101299</v>
      </c>
      <c r="I130" s="23">
        <v>0</v>
      </c>
      <c r="J130" s="23" t="s">
        <v>88</v>
      </c>
      <c r="K130" s="24">
        <v>44910.000000231485</v>
      </c>
      <c r="L130" s="23">
        <v>1</v>
      </c>
      <c r="M130" s="23" t="s">
        <v>24</v>
      </c>
      <c r="N130" s="25">
        <v>0</v>
      </c>
      <c r="O130" s="26" t="str">
        <f t="shared" ref="O130:O193" si="53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4">IF($C130="","",IF(ISERROR(SEARCH("-",$D130)),$D130,LEFT($D130,SEARCH("-",$D130)-1)))</f>
        <v>FUB2</v>
      </c>
      <c r="W130" t="str">
        <f t="shared" si="38"/>
        <v>EOS COIN LONG</v>
      </c>
      <c r="X130" s="94" t="s">
        <v>267</v>
      </c>
      <c r="Y130" t="s">
        <v>136</v>
      </c>
      <c r="Z130">
        <v>5.9800000000000001E-4</v>
      </c>
      <c r="AA130">
        <v>1.1092694563510389E-5</v>
      </c>
    </row>
    <row r="131" spans="1:27" x14ac:dyDescent="0.25">
      <c r="A131">
        <v>181</v>
      </c>
      <c r="B131" s="77">
        <v>44910.000000231485</v>
      </c>
      <c r="C131" s="14" t="s">
        <v>40</v>
      </c>
      <c r="D131" s="23" t="s">
        <v>114</v>
      </c>
      <c r="E131" s="23" t="s">
        <v>30</v>
      </c>
      <c r="F131" s="23">
        <v>1E-8</v>
      </c>
      <c r="G131" s="23">
        <v>1.87876872284171E-7</v>
      </c>
      <c r="H131" s="23">
        <v>18.787687228417099</v>
      </c>
      <c r="I131" s="23">
        <v>0</v>
      </c>
      <c r="J131" s="23" t="s">
        <v>88</v>
      </c>
      <c r="K131" s="24">
        <v>44910.000000231485</v>
      </c>
      <c r="L131" s="23">
        <v>1</v>
      </c>
      <c r="M131" s="23" t="s">
        <v>30</v>
      </c>
      <c r="N131" s="25">
        <v>0</v>
      </c>
      <c r="O131" s="26" t="str">
        <f t="shared" si="53"/>
        <v>COIN</v>
      </c>
      <c r="P131" s="26" t="str">
        <f t="shared" ref="P131:P194" si="55">IF($C131="","",IF($J131="CME FUTURE","HEDGE",IF($G131&gt;0,"LONG","SHORT")))</f>
        <v>LONG</v>
      </c>
      <c r="Q131" s="26" t="str">
        <f t="shared" ref="Q131:Q194" si="56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4"/>
        <v>FUB2</v>
      </c>
      <c r="W131" t="str">
        <f t="shared" si="38"/>
        <v>ETC COIN LONG</v>
      </c>
      <c r="X131" s="94" t="s">
        <v>267</v>
      </c>
      <c r="Y131" t="s">
        <v>23</v>
      </c>
      <c r="Z131">
        <v>-4117.8752091800052</v>
      </c>
      <c r="AA131">
        <v>-26511.165216504625</v>
      </c>
    </row>
    <row r="132" spans="1:27" x14ac:dyDescent="0.25">
      <c r="A132">
        <v>182</v>
      </c>
      <c r="B132" s="77">
        <v>44910.000000231485</v>
      </c>
      <c r="C132" s="14" t="s">
        <v>40</v>
      </c>
      <c r="D132" s="23" t="s">
        <v>114</v>
      </c>
      <c r="E132" s="23" t="s">
        <v>16</v>
      </c>
      <c r="F132" s="23">
        <v>2.9999999999999997E-8</v>
      </c>
      <c r="G132" s="23">
        <v>3.9279860307988803E-5</v>
      </c>
      <c r="H132" s="23">
        <v>1309.32867693296</v>
      </c>
      <c r="I132" s="23">
        <v>0</v>
      </c>
      <c r="J132" s="23" t="s">
        <v>88</v>
      </c>
      <c r="K132" s="24">
        <v>44910.000000231485</v>
      </c>
      <c r="L132" s="23">
        <v>1</v>
      </c>
      <c r="M132" s="23" t="s">
        <v>16</v>
      </c>
      <c r="N132" s="25">
        <v>0</v>
      </c>
      <c r="O132" s="26" t="str">
        <f t="shared" si="53"/>
        <v>COIN</v>
      </c>
      <c r="P132" s="26" t="str">
        <f t="shared" si="55"/>
        <v>LONG</v>
      </c>
      <c r="Q132" s="26" t="str">
        <f t="shared" si="56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4"/>
        <v>FUB2</v>
      </c>
      <c r="W132" t="str">
        <f t="shared" si="38"/>
        <v>ETH COIN LONG</v>
      </c>
      <c r="X132" s="94" t="s">
        <v>267</v>
      </c>
      <c r="Y132" t="s">
        <v>29</v>
      </c>
      <c r="Z132">
        <v>242543.54453432001</v>
      </c>
      <c r="AA132">
        <v>116971.24580081156</v>
      </c>
    </row>
    <row r="133" spans="1:27" x14ac:dyDescent="0.25">
      <c r="A133">
        <v>183</v>
      </c>
      <c r="B133" s="77">
        <v>44910.000000231485</v>
      </c>
      <c r="C133" s="14" t="s">
        <v>40</v>
      </c>
      <c r="D133" s="23" t="s">
        <v>114</v>
      </c>
      <c r="E133" s="23" t="s">
        <v>25</v>
      </c>
      <c r="F133" s="23">
        <v>1E-8</v>
      </c>
      <c r="G133" s="23">
        <v>7.5475863646134999E-7</v>
      </c>
      <c r="H133" s="23">
        <v>75.475863646134997</v>
      </c>
      <c r="I133" s="23">
        <v>0</v>
      </c>
      <c r="J133" s="23" t="s">
        <v>88</v>
      </c>
      <c r="K133" s="24">
        <v>44910.000000231485</v>
      </c>
      <c r="L133" s="23">
        <v>1</v>
      </c>
      <c r="M133" s="23" t="s">
        <v>25</v>
      </c>
      <c r="N133" s="25">
        <v>0</v>
      </c>
      <c r="O133" s="26" t="str">
        <f t="shared" si="53"/>
        <v>COIN</v>
      </c>
      <c r="P133" s="26" t="str">
        <f t="shared" si="55"/>
        <v>LONG</v>
      </c>
      <c r="Q133" s="26" t="str">
        <f t="shared" si="56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4"/>
        <v>FUB2</v>
      </c>
      <c r="W133" t="str">
        <f t="shared" si="38"/>
        <v>LTC COIN LONG</v>
      </c>
      <c r="X133" s="94" t="s">
        <v>267</v>
      </c>
      <c r="Y133" t="s">
        <v>24</v>
      </c>
      <c r="Z133">
        <v>-776332.23758414993</v>
      </c>
      <c r="AA133">
        <v>-952727.15930886916</v>
      </c>
    </row>
    <row r="134" spans="1:27" x14ac:dyDescent="0.25">
      <c r="A134">
        <v>184</v>
      </c>
      <c r="B134" s="77">
        <v>44910.000000231485</v>
      </c>
      <c r="C134" s="14" t="s">
        <v>40</v>
      </c>
      <c r="D134" s="23" t="s">
        <v>114</v>
      </c>
      <c r="E134" s="23" t="s">
        <v>26</v>
      </c>
      <c r="F134" s="23">
        <v>1E-8</v>
      </c>
      <c r="G134" s="23">
        <v>5.5666357131219E-10</v>
      </c>
      <c r="H134" s="23">
        <v>5.5666357131219001E-2</v>
      </c>
      <c r="I134" s="23">
        <v>0</v>
      </c>
      <c r="J134" s="23" t="s">
        <v>88</v>
      </c>
      <c r="K134" s="24">
        <v>44910.000000231485</v>
      </c>
      <c r="L134" s="23">
        <v>1</v>
      </c>
      <c r="M134" s="23" t="s">
        <v>26</v>
      </c>
      <c r="N134" s="25">
        <v>0</v>
      </c>
      <c r="O134" s="26" t="str">
        <f t="shared" si="53"/>
        <v>COIN</v>
      </c>
      <c r="P134" s="26" t="str">
        <f t="shared" si="55"/>
        <v>LONG</v>
      </c>
      <c r="Q134" s="26" t="str">
        <f t="shared" si="56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4"/>
        <v>FUB2</v>
      </c>
      <c r="W134" t="str">
        <f t="shared" ref="W134:W197" si="57">IF($C134="","",$M134&amp;" "&amp;$Q134)</f>
        <v>TRX COIN LONG</v>
      </c>
      <c r="X134" s="94" t="s">
        <v>267</v>
      </c>
      <c r="Y134" t="s">
        <v>30</v>
      </c>
      <c r="Z134">
        <v>-655.34454438000034</v>
      </c>
      <c r="AA134">
        <v>-18953.215070860155</v>
      </c>
    </row>
    <row r="135" spans="1:27" x14ac:dyDescent="0.25">
      <c r="A135">
        <v>185</v>
      </c>
      <c r="B135" s="77">
        <v>44910.000000231485</v>
      </c>
      <c r="C135" s="14" t="s">
        <v>40</v>
      </c>
      <c r="D135" s="23" t="s">
        <v>114</v>
      </c>
      <c r="E135" s="23" t="s">
        <v>102</v>
      </c>
      <c r="F135" s="23">
        <v>9.9999999999999995E-8</v>
      </c>
      <c r="G135" s="23">
        <v>3.8641371777866901E-8</v>
      </c>
      <c r="H135" s="23">
        <v>0.38641371777866901</v>
      </c>
      <c r="I135" s="23">
        <v>0</v>
      </c>
      <c r="J135" s="23" t="s">
        <v>88</v>
      </c>
      <c r="K135" s="24">
        <v>44910.000000231485</v>
      </c>
      <c r="L135" s="23">
        <v>1</v>
      </c>
      <c r="M135" s="23" t="s">
        <v>102</v>
      </c>
      <c r="N135" s="25">
        <v>0</v>
      </c>
      <c r="O135" s="26" t="str">
        <f t="shared" si="53"/>
        <v>COIN</v>
      </c>
      <c r="P135" s="26" t="str">
        <f t="shared" si="55"/>
        <v>LONG</v>
      </c>
      <c r="Q135" s="26" t="str">
        <f t="shared" si="56"/>
        <v>COIN LONG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4"/>
        <v>FUB2</v>
      </c>
      <c r="W135" t="str">
        <f t="shared" si="57"/>
        <v>XRP COIN LONG</v>
      </c>
      <c r="X135" s="94" t="s">
        <v>267</v>
      </c>
      <c r="Y135" t="s">
        <v>16</v>
      </c>
      <c r="Z135">
        <v>-20026.043820309995</v>
      </c>
      <c r="AA135">
        <v>-26599784.047923643</v>
      </c>
    </row>
    <row r="136" spans="1:27" x14ac:dyDescent="0.25">
      <c r="A136">
        <v>186</v>
      </c>
      <c r="B136" s="77">
        <v>44910.000000891203</v>
      </c>
      <c r="C136" s="14" t="s">
        <v>40</v>
      </c>
      <c r="D136" s="23" t="s">
        <v>41</v>
      </c>
      <c r="E136" s="23" t="s">
        <v>87</v>
      </c>
      <c r="F136" s="23">
        <v>5.7406599999999999E-3</v>
      </c>
      <c r="G136" s="23">
        <v>1.7688939747817301E-3</v>
      </c>
      <c r="H136" s="23">
        <v>0.308134251946941</v>
      </c>
      <c r="I136" s="23">
        <v>0</v>
      </c>
      <c r="J136" s="23" t="s">
        <v>88</v>
      </c>
      <c r="K136" s="24">
        <v>44910.000000891203</v>
      </c>
      <c r="L136" s="23">
        <v>1</v>
      </c>
      <c r="M136" s="23" t="s">
        <v>87</v>
      </c>
      <c r="N136" s="25">
        <v>0</v>
      </c>
      <c r="O136" s="26" t="str">
        <f t="shared" si="53"/>
        <v>COIN</v>
      </c>
      <c r="P136" s="26" t="str">
        <f t="shared" si="55"/>
        <v>LONG</v>
      </c>
      <c r="Q136" s="26" t="str">
        <f t="shared" si="56"/>
        <v>COIN LONG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4"/>
        <v>FUBI</v>
      </c>
      <c r="W136" t="str">
        <f t="shared" si="57"/>
        <v>ADA COIN LONG</v>
      </c>
      <c r="X136" s="94" t="s">
        <v>267</v>
      </c>
      <c r="Y136" t="s">
        <v>110</v>
      </c>
      <c r="Z136">
        <v>15106844.744691186</v>
      </c>
      <c r="AA136">
        <v>14641402.858107254</v>
      </c>
    </row>
    <row r="137" spans="1:27" x14ac:dyDescent="0.25">
      <c r="A137">
        <v>187</v>
      </c>
      <c r="B137" s="77">
        <v>44910.000000891203</v>
      </c>
      <c r="C137" s="14" t="s">
        <v>40</v>
      </c>
      <c r="D137" s="23" t="s">
        <v>41</v>
      </c>
      <c r="E137" s="23" t="s">
        <v>21</v>
      </c>
      <c r="F137" s="23">
        <v>0.72885027999999996</v>
      </c>
      <c r="G137" s="23">
        <v>79.523757825776002</v>
      </c>
      <c r="H137" s="23">
        <v>109.10849595307199</v>
      </c>
      <c r="I137" s="23">
        <v>0</v>
      </c>
      <c r="J137" s="23" t="s">
        <v>88</v>
      </c>
      <c r="K137" s="24">
        <v>44910.000000891203</v>
      </c>
      <c r="L137" s="23">
        <v>1</v>
      </c>
      <c r="M137" s="23" t="s">
        <v>21</v>
      </c>
      <c r="N137" s="25">
        <v>0</v>
      </c>
      <c r="O137" s="26" t="str">
        <f t="shared" si="53"/>
        <v>COIN</v>
      </c>
      <c r="P137" s="26" t="str">
        <f t="shared" si="55"/>
        <v>LONG</v>
      </c>
      <c r="Q137" s="26" t="str">
        <f t="shared" si="56"/>
        <v>COIN LONG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4"/>
        <v>FUBI</v>
      </c>
      <c r="W137" t="str">
        <f t="shared" si="57"/>
        <v>BCH COIN LONG</v>
      </c>
      <c r="X137" s="94" t="s">
        <v>267</v>
      </c>
      <c r="Y137" t="s">
        <v>261</v>
      </c>
      <c r="Z137">
        <v>-13995003.5</v>
      </c>
      <c r="AA137">
        <v>-13573279.070823357</v>
      </c>
    </row>
    <row r="138" spans="1:27" x14ac:dyDescent="0.25">
      <c r="A138">
        <v>188</v>
      </c>
      <c r="B138" s="77">
        <v>44910.000000891203</v>
      </c>
      <c r="C138" s="14" t="s">
        <v>40</v>
      </c>
      <c r="D138" s="23" t="s">
        <v>41</v>
      </c>
      <c r="E138" s="23" t="s">
        <v>116</v>
      </c>
      <c r="F138" s="23">
        <v>0.11285791000000001</v>
      </c>
      <c r="G138" s="23">
        <v>5.11377458774668</v>
      </c>
      <c r="H138" s="23">
        <v>45.311618722574998</v>
      </c>
      <c r="I138" s="23">
        <v>0</v>
      </c>
      <c r="J138" s="23" t="s">
        <v>88</v>
      </c>
      <c r="K138" s="24">
        <v>44910.000000891203</v>
      </c>
      <c r="L138" s="23">
        <v>1</v>
      </c>
      <c r="M138" s="23" t="s">
        <v>116</v>
      </c>
      <c r="N138" s="25">
        <v>0</v>
      </c>
      <c r="O138" s="26" t="str">
        <f t="shared" si="53"/>
        <v>COIN</v>
      </c>
      <c r="P138" s="26" t="str">
        <f t="shared" si="55"/>
        <v>LONG</v>
      </c>
      <c r="Q138" s="26" t="str">
        <f t="shared" si="56"/>
        <v>COIN LONG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4"/>
        <v>FUBI</v>
      </c>
      <c r="W138" t="str">
        <f t="shared" si="57"/>
        <v>BSV COIN LONG</v>
      </c>
      <c r="X138" s="94" t="s">
        <v>267</v>
      </c>
      <c r="Y138" t="s">
        <v>31</v>
      </c>
      <c r="Z138">
        <v>2256.9611515299998</v>
      </c>
      <c r="AA138">
        <v>12870.472391916019</v>
      </c>
    </row>
    <row r="139" spans="1:27" x14ac:dyDescent="0.25">
      <c r="A139">
        <v>189</v>
      </c>
      <c r="B139" s="77">
        <v>44910.000000891203</v>
      </c>
      <c r="C139" s="14" t="s">
        <v>40</v>
      </c>
      <c r="D139" s="23" t="s">
        <v>41</v>
      </c>
      <c r="E139" s="23" t="s">
        <v>15</v>
      </c>
      <c r="F139" s="23">
        <v>32.481357639999999</v>
      </c>
      <c r="G139" s="23">
        <v>578676.49451792997</v>
      </c>
      <c r="H139" s="23">
        <v>17815.649854650899</v>
      </c>
      <c r="I139" s="23">
        <v>0</v>
      </c>
      <c r="J139" s="23" t="s">
        <v>88</v>
      </c>
      <c r="K139" s="24">
        <v>44910.000000891203</v>
      </c>
      <c r="L139" s="23">
        <v>1</v>
      </c>
      <c r="M139" s="23" t="s">
        <v>15</v>
      </c>
      <c r="N139" s="25">
        <v>0</v>
      </c>
      <c r="O139" s="26" t="str">
        <f t="shared" si="53"/>
        <v>COIN</v>
      </c>
      <c r="P139" s="26" t="str">
        <f t="shared" si="55"/>
        <v>LONG</v>
      </c>
      <c r="Q139" s="26" t="str">
        <f t="shared" si="56"/>
        <v>COIN LONG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4"/>
        <v>FUBI</v>
      </c>
      <c r="W139" t="str">
        <f t="shared" si="57"/>
        <v>BTC COIN LONG</v>
      </c>
      <c r="X139" s="94" t="s">
        <v>267</v>
      </c>
      <c r="Y139" t="s">
        <v>194</v>
      </c>
      <c r="Z139">
        <v>8.9826517900000002</v>
      </c>
      <c r="AA139">
        <v>2.0980545597538529</v>
      </c>
    </row>
    <row r="140" spans="1:27" x14ac:dyDescent="0.25">
      <c r="A140">
        <v>190</v>
      </c>
      <c r="B140" s="77">
        <v>44910.000000891203</v>
      </c>
      <c r="C140" s="14" t="s">
        <v>40</v>
      </c>
      <c r="D140" s="23" t="s">
        <v>41</v>
      </c>
      <c r="E140" s="23" t="s">
        <v>15</v>
      </c>
      <c r="F140" s="23">
        <v>2.2719860000000001E-2</v>
      </c>
      <c r="G140" s="23">
        <v>404.76907050668899</v>
      </c>
      <c r="H140" s="23">
        <v>17815.649854650899</v>
      </c>
      <c r="I140" s="23">
        <v>0</v>
      </c>
      <c r="J140" s="23" t="s">
        <v>256</v>
      </c>
      <c r="K140" s="24">
        <v>44910.000000891203</v>
      </c>
      <c r="L140" s="23">
        <v>1</v>
      </c>
      <c r="M140" s="23" t="s">
        <v>15</v>
      </c>
      <c r="N140" s="25">
        <v>0</v>
      </c>
      <c r="O140" s="26" t="str">
        <f t="shared" si="53"/>
        <v>COIN</v>
      </c>
      <c r="P140" s="26" t="str">
        <f t="shared" si="55"/>
        <v>LONG</v>
      </c>
      <c r="Q140" s="26" t="str">
        <f t="shared" si="56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4"/>
        <v>FUBI</v>
      </c>
      <c r="W140" t="str">
        <f t="shared" si="57"/>
        <v>BTC COIN LONG</v>
      </c>
      <c r="X140" s="94" t="s">
        <v>267</v>
      </c>
      <c r="Y140" t="s">
        <v>112</v>
      </c>
      <c r="Z140">
        <v>373.36560302000004</v>
      </c>
      <c r="AA140">
        <v>8918.2142614570021</v>
      </c>
    </row>
    <row r="141" spans="1:27" x14ac:dyDescent="0.25">
      <c r="A141">
        <v>191</v>
      </c>
      <c r="B141" s="77">
        <v>44910.000000891203</v>
      </c>
      <c r="C141" s="14" t="s">
        <v>40</v>
      </c>
      <c r="D141" s="23" t="s">
        <v>41</v>
      </c>
      <c r="E141" s="23" t="s">
        <v>23</v>
      </c>
      <c r="F141" s="23">
        <v>0.97764076</v>
      </c>
      <c r="G141" s="23">
        <v>5.0986016244932602</v>
      </c>
      <c r="H141" s="23">
        <v>5.21520975096543</v>
      </c>
      <c r="I141" s="23">
        <v>0</v>
      </c>
      <c r="J141" s="23" t="s">
        <v>88</v>
      </c>
      <c r="K141" s="24">
        <v>44910.000000891203</v>
      </c>
      <c r="L141" s="23">
        <v>1</v>
      </c>
      <c r="M141" s="23" t="s">
        <v>23</v>
      </c>
      <c r="N141" s="25">
        <v>0</v>
      </c>
      <c r="O141" s="26" t="str">
        <f t="shared" si="53"/>
        <v>COIN</v>
      </c>
      <c r="P141" s="26" t="str">
        <f t="shared" si="55"/>
        <v>LONG</v>
      </c>
      <c r="Q141" s="26" t="str">
        <f t="shared" si="56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4"/>
        <v>FUBI</v>
      </c>
      <c r="W141" t="str">
        <f t="shared" si="57"/>
        <v>DOT COIN LONG</v>
      </c>
      <c r="X141" s="94" t="s">
        <v>267</v>
      </c>
      <c r="Y141" t="s">
        <v>137</v>
      </c>
      <c r="Z141">
        <v>54.776400000000002</v>
      </c>
      <c r="AA141">
        <v>127.29426634981481</v>
      </c>
    </row>
    <row r="142" spans="1:27" x14ac:dyDescent="0.25">
      <c r="A142">
        <v>192</v>
      </c>
      <c r="B142" s="77">
        <v>44910.000000891203</v>
      </c>
      <c r="C142" s="14" t="s">
        <v>40</v>
      </c>
      <c r="D142" s="23" t="s">
        <v>41</v>
      </c>
      <c r="E142" s="23" t="s">
        <v>24</v>
      </c>
      <c r="F142" s="23">
        <v>3.7085149999999997E-2</v>
      </c>
      <c r="G142" s="23">
        <v>3.6270067974386699E-2</v>
      </c>
      <c r="H142" s="23">
        <v>0.97802133669101299</v>
      </c>
      <c r="I142" s="23">
        <v>0</v>
      </c>
      <c r="J142" s="23" t="s">
        <v>88</v>
      </c>
      <c r="K142" s="24">
        <v>44910.000000891203</v>
      </c>
      <c r="L142" s="23">
        <v>1</v>
      </c>
      <c r="M142" s="23" t="s">
        <v>24</v>
      </c>
      <c r="N142" s="25">
        <v>0</v>
      </c>
      <c r="O142" s="26" t="str">
        <f t="shared" si="53"/>
        <v>COIN</v>
      </c>
      <c r="P142" s="26" t="str">
        <f t="shared" si="55"/>
        <v>LONG</v>
      </c>
      <c r="Q142" s="26" t="str">
        <f t="shared" si="56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4"/>
        <v>FUBI</v>
      </c>
      <c r="W142" t="str">
        <f t="shared" si="57"/>
        <v>EOS COIN LONG</v>
      </c>
      <c r="X142" s="94" t="s">
        <v>267</v>
      </c>
      <c r="Y142" t="s">
        <v>180</v>
      </c>
      <c r="Z142">
        <v>0.01</v>
      </c>
      <c r="AA142">
        <v>1.08497E-2</v>
      </c>
    </row>
    <row r="143" spans="1:27" x14ac:dyDescent="0.25">
      <c r="A143">
        <v>193</v>
      </c>
      <c r="B143" s="77">
        <v>44910.000000891203</v>
      </c>
      <c r="C143" s="14" t="s">
        <v>40</v>
      </c>
      <c r="D143" s="23" t="s">
        <v>41</v>
      </c>
      <c r="E143" s="23" t="s">
        <v>30</v>
      </c>
      <c r="F143" s="23">
        <v>0.70701212999999996</v>
      </c>
      <c r="G143" s="23">
        <v>13.283122765137</v>
      </c>
      <c r="H143" s="23">
        <v>18.787687228417099</v>
      </c>
      <c r="I143" s="23">
        <v>0</v>
      </c>
      <c r="J143" s="23" t="s">
        <v>88</v>
      </c>
      <c r="K143" s="24">
        <v>44910.000000891203</v>
      </c>
      <c r="L143" s="23">
        <v>1</v>
      </c>
      <c r="M143" s="23" t="s">
        <v>30</v>
      </c>
      <c r="N143" s="25">
        <v>0</v>
      </c>
      <c r="O143" s="26" t="str">
        <f t="shared" si="53"/>
        <v>COIN</v>
      </c>
      <c r="P143" s="26" t="str">
        <f t="shared" si="55"/>
        <v>LONG</v>
      </c>
      <c r="Q143" s="26" t="str">
        <f t="shared" si="56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4"/>
        <v>FUBI</v>
      </c>
      <c r="W143" t="str">
        <f t="shared" si="57"/>
        <v>ETC COIN LONG</v>
      </c>
      <c r="X143" s="94" t="s">
        <v>267</v>
      </c>
      <c r="Y143" t="s">
        <v>138</v>
      </c>
      <c r="Z143">
        <v>179.99391381000001</v>
      </c>
      <c r="AA143">
        <v>11.009141611496903</v>
      </c>
    </row>
    <row r="144" spans="1:27" x14ac:dyDescent="0.25">
      <c r="A144">
        <v>194</v>
      </c>
      <c r="B144" s="77">
        <v>44910.000000891203</v>
      </c>
      <c r="C144" s="14" t="s">
        <v>40</v>
      </c>
      <c r="D144" s="23" t="s">
        <v>41</v>
      </c>
      <c r="E144" s="23" t="s">
        <v>16</v>
      </c>
      <c r="F144" s="23">
        <v>535.83104949000005</v>
      </c>
      <c r="G144" s="23">
        <v>701578.95908834203</v>
      </c>
      <c r="H144" s="23">
        <v>1309.32867693296</v>
      </c>
      <c r="I144" s="23">
        <v>0</v>
      </c>
      <c r="J144" s="23" t="s">
        <v>88</v>
      </c>
      <c r="K144" s="24">
        <v>44910.000000891203</v>
      </c>
      <c r="L144" s="23">
        <v>1</v>
      </c>
      <c r="M144" s="23" t="s">
        <v>16</v>
      </c>
      <c r="N144" s="25">
        <v>0</v>
      </c>
      <c r="O144" s="26" t="str">
        <f t="shared" si="53"/>
        <v>COIN</v>
      </c>
      <c r="P144" s="26" t="str">
        <f t="shared" si="55"/>
        <v>LONG</v>
      </c>
      <c r="Q144" s="26" t="str">
        <f t="shared" si="56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4"/>
        <v>FUBI</v>
      </c>
      <c r="W144" t="str">
        <f t="shared" si="57"/>
        <v>ETH COIN LONG</v>
      </c>
      <c r="X144" s="94" t="s">
        <v>267</v>
      </c>
      <c r="Y144" t="s">
        <v>139</v>
      </c>
      <c r="Z144">
        <v>5337.6979873099999</v>
      </c>
      <c r="AA144">
        <v>8.4531247054946803</v>
      </c>
    </row>
    <row r="145" spans="1:27" x14ac:dyDescent="0.25">
      <c r="A145">
        <v>195</v>
      </c>
      <c r="B145" s="77">
        <v>44910.000000891203</v>
      </c>
      <c r="C145" s="14" t="s">
        <v>40</v>
      </c>
      <c r="D145" s="23" t="s">
        <v>41</v>
      </c>
      <c r="E145" s="23" t="s">
        <v>16</v>
      </c>
      <c r="F145" s="23">
        <v>-3.7039113700000001</v>
      </c>
      <c r="G145" s="23">
        <v>-4849.6373735590496</v>
      </c>
      <c r="H145" s="23">
        <v>1309.32867693296</v>
      </c>
      <c r="I145" s="23">
        <v>0</v>
      </c>
      <c r="J145" s="23" t="s">
        <v>256</v>
      </c>
      <c r="K145" s="24">
        <v>44910.000000891203</v>
      </c>
      <c r="L145" s="23">
        <v>1</v>
      </c>
      <c r="M145" s="23" t="s">
        <v>16</v>
      </c>
      <c r="N145" s="25">
        <v>0</v>
      </c>
      <c r="O145" s="26" t="str">
        <f t="shared" si="53"/>
        <v>COIN</v>
      </c>
      <c r="P145" s="26" t="str">
        <f t="shared" si="55"/>
        <v>SHORT</v>
      </c>
      <c r="Q145" s="26" t="str">
        <f t="shared" si="56"/>
        <v>COIN SHORT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4"/>
        <v>FUBI</v>
      </c>
      <c r="W145" t="str">
        <f t="shared" si="57"/>
        <v>ETH COIN SHORT</v>
      </c>
      <c r="X145" s="94" t="s">
        <v>267</v>
      </c>
      <c r="Y145" t="s">
        <v>140</v>
      </c>
      <c r="Z145">
        <v>3088.7295768600002</v>
      </c>
      <c r="AA145">
        <v>14134.37101617967</v>
      </c>
    </row>
    <row r="146" spans="1:27" x14ac:dyDescent="0.25">
      <c r="A146">
        <v>196</v>
      </c>
      <c r="B146" s="77">
        <v>44910.000000891203</v>
      </c>
      <c r="C146" s="14" t="s">
        <v>40</v>
      </c>
      <c r="D146" s="23" t="s">
        <v>41</v>
      </c>
      <c r="E146" s="23" t="s">
        <v>28</v>
      </c>
      <c r="F146" s="23">
        <v>6.244243E-2</v>
      </c>
      <c r="G146" s="23">
        <v>0.420164374968233</v>
      </c>
      <c r="H146" s="23">
        <v>6.72882805759214</v>
      </c>
      <c r="I146" s="23">
        <v>0</v>
      </c>
      <c r="J146" s="23" t="s">
        <v>88</v>
      </c>
      <c r="K146" s="24">
        <v>44910.000000891203</v>
      </c>
      <c r="L146" s="23">
        <v>1</v>
      </c>
      <c r="M146" s="23" t="s">
        <v>28</v>
      </c>
      <c r="N146" s="25">
        <v>0</v>
      </c>
      <c r="O146" s="26" t="str">
        <f t="shared" si="53"/>
        <v>COIN</v>
      </c>
      <c r="P146" s="26" t="str">
        <f t="shared" si="55"/>
        <v>LONG</v>
      </c>
      <c r="Q146" s="26" t="str">
        <f t="shared" si="56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4"/>
        <v>FUBI</v>
      </c>
      <c r="W146" t="str">
        <f t="shared" si="57"/>
        <v>LINK COIN LONG</v>
      </c>
      <c r="X146" s="94" t="s">
        <v>267</v>
      </c>
      <c r="Y146" t="s">
        <v>141</v>
      </c>
      <c r="Z146">
        <v>1359.5942366199999</v>
      </c>
      <c r="AA146">
        <v>1352.2148489706301</v>
      </c>
    </row>
    <row r="147" spans="1:27" x14ac:dyDescent="0.25">
      <c r="A147">
        <v>197</v>
      </c>
      <c r="B147" s="77">
        <v>44910.000000891203</v>
      </c>
      <c r="C147" s="14" t="s">
        <v>40</v>
      </c>
      <c r="D147" s="23" t="s">
        <v>41</v>
      </c>
      <c r="E147" s="23" t="s">
        <v>25</v>
      </c>
      <c r="F147" s="23">
        <v>7.1564416099999999</v>
      </c>
      <c r="G147" s="23">
        <v>540.13861114788597</v>
      </c>
      <c r="H147" s="23">
        <v>75.475863646134997</v>
      </c>
      <c r="I147" s="23">
        <v>0</v>
      </c>
      <c r="J147" s="23" t="s">
        <v>88</v>
      </c>
      <c r="K147" s="24">
        <v>44910.000000891203</v>
      </c>
      <c r="L147" s="23">
        <v>1</v>
      </c>
      <c r="M147" s="23" t="s">
        <v>25</v>
      </c>
      <c r="N147" s="25">
        <v>0</v>
      </c>
      <c r="O147" s="26" t="str">
        <f t="shared" si="53"/>
        <v>COIN</v>
      </c>
      <c r="P147" s="26" t="str">
        <f t="shared" si="55"/>
        <v>LONG</v>
      </c>
      <c r="Q147" s="26" t="str">
        <f t="shared" si="56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4"/>
        <v>FUBI</v>
      </c>
      <c r="W147" t="str">
        <f t="shared" si="57"/>
        <v>LTC COIN LONG</v>
      </c>
      <c r="X147" s="94" t="s">
        <v>267</v>
      </c>
      <c r="Y147" t="s">
        <v>142</v>
      </c>
      <c r="Z147">
        <v>14.785856219999999</v>
      </c>
      <c r="AA147">
        <v>0.18117663602085951</v>
      </c>
    </row>
    <row r="148" spans="1:27" x14ac:dyDescent="0.25">
      <c r="A148">
        <v>198</v>
      </c>
      <c r="B148" s="77">
        <v>44910.000000891203</v>
      </c>
      <c r="C148" s="14" t="s">
        <v>40</v>
      </c>
      <c r="D148" s="23" t="s">
        <v>41</v>
      </c>
      <c r="E148" s="23" t="s">
        <v>26</v>
      </c>
      <c r="F148" s="23">
        <v>0.95766242000000001</v>
      </c>
      <c r="G148" s="23">
        <v>5.3309578282867497E-2</v>
      </c>
      <c r="H148" s="23">
        <v>5.5666357131219001E-2</v>
      </c>
      <c r="I148" s="23">
        <v>0</v>
      </c>
      <c r="J148" s="23" t="s">
        <v>88</v>
      </c>
      <c r="K148" s="24">
        <v>44910.000000891203</v>
      </c>
      <c r="L148" s="23">
        <v>1</v>
      </c>
      <c r="M148" s="23" t="s">
        <v>26</v>
      </c>
      <c r="N148" s="25">
        <v>0</v>
      </c>
      <c r="O148" s="26" t="str">
        <f t="shared" si="53"/>
        <v>COIN</v>
      </c>
      <c r="P148" s="26" t="str">
        <f t="shared" si="55"/>
        <v>LONG</v>
      </c>
      <c r="Q148" s="26" t="str">
        <f t="shared" si="56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4"/>
        <v>FUBI</v>
      </c>
      <c r="W148" t="str">
        <f t="shared" si="57"/>
        <v>TRX COIN LONG</v>
      </c>
      <c r="X148" s="94" t="s">
        <v>267</v>
      </c>
      <c r="Y148" t="s">
        <v>143</v>
      </c>
      <c r="Z148">
        <v>0.81765067999999996</v>
      </c>
      <c r="AA148">
        <v>1.5716179580964159E-2</v>
      </c>
    </row>
    <row r="149" spans="1:27" x14ac:dyDescent="0.25">
      <c r="A149">
        <v>199</v>
      </c>
      <c r="B149" s="77">
        <v>44910.000000891203</v>
      </c>
      <c r="C149" s="14" t="s">
        <v>40</v>
      </c>
      <c r="D149" s="23" t="s">
        <v>41</v>
      </c>
      <c r="E149" s="23" t="s">
        <v>102</v>
      </c>
      <c r="F149" s="23">
        <v>0.54364484000000002</v>
      </c>
      <c r="G149" s="23">
        <v>0.210071823775589</v>
      </c>
      <c r="H149" s="23">
        <v>0.38641371777866901</v>
      </c>
      <c r="I149" s="23">
        <v>0</v>
      </c>
      <c r="J149" s="23" t="s">
        <v>88</v>
      </c>
      <c r="K149" s="24">
        <v>44910.000000891203</v>
      </c>
      <c r="L149" s="23">
        <v>1</v>
      </c>
      <c r="M149" s="23" t="s">
        <v>102</v>
      </c>
      <c r="N149" s="25">
        <v>0</v>
      </c>
      <c r="O149" s="26" t="str">
        <f t="shared" si="53"/>
        <v>COIN</v>
      </c>
      <c r="P149" s="26" t="str">
        <f t="shared" si="55"/>
        <v>LONG</v>
      </c>
      <c r="Q149" s="26" t="str">
        <f t="shared" si="56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4"/>
        <v>FUBI</v>
      </c>
      <c r="W149" t="str">
        <f t="shared" si="57"/>
        <v>XRP COIN LONG</v>
      </c>
      <c r="X149" s="94" t="s">
        <v>267</v>
      </c>
      <c r="Y149" t="s">
        <v>144</v>
      </c>
      <c r="Z149">
        <v>9.1121815000000002</v>
      </c>
      <c r="AA149">
        <v>0.2292315276634474</v>
      </c>
    </row>
    <row r="150" spans="1:27" x14ac:dyDescent="0.25">
      <c r="A150">
        <v>200</v>
      </c>
      <c r="B150" s="77">
        <v>44910.000002743058</v>
      </c>
      <c r="C150" s="14" t="s">
        <v>302</v>
      </c>
      <c r="D150" s="23" t="s">
        <v>728</v>
      </c>
      <c r="E150" s="23" t="s">
        <v>15</v>
      </c>
      <c r="F150" s="23">
        <v>9.9829999999999998E-5</v>
      </c>
      <c r="G150" s="23">
        <v>1.7785363249898001</v>
      </c>
      <c r="H150" s="23">
        <v>17815.649854650899</v>
      </c>
      <c r="I150" s="23">
        <v>0</v>
      </c>
      <c r="J150" s="23" t="s">
        <v>88</v>
      </c>
      <c r="K150" s="24">
        <v>44910.000002743058</v>
      </c>
      <c r="L150" s="23">
        <v>1</v>
      </c>
      <c r="M150" s="23" t="s">
        <v>15</v>
      </c>
      <c r="N150" s="25">
        <v>0</v>
      </c>
      <c r="O150" s="26" t="str">
        <f t="shared" si="53"/>
        <v>COIN</v>
      </c>
      <c r="P150" s="26" t="str">
        <f t="shared" si="55"/>
        <v>LONG</v>
      </c>
      <c r="Q150" s="26" t="str">
        <f t="shared" si="56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4"/>
        <v>GATE</v>
      </c>
      <c r="W150" t="str">
        <f t="shared" si="57"/>
        <v>BTC COIN LONG</v>
      </c>
      <c r="X150" s="94" t="s">
        <v>267</v>
      </c>
      <c r="Y150" t="s">
        <v>44</v>
      </c>
      <c r="Z150">
        <v>6291.1329799499999</v>
      </c>
      <c r="AA150">
        <v>265583.54355209204</v>
      </c>
    </row>
    <row r="151" spans="1:27" x14ac:dyDescent="0.25">
      <c r="A151">
        <v>201</v>
      </c>
      <c r="B151" s="77">
        <v>44910.000002743058</v>
      </c>
      <c r="C151" s="14" t="s">
        <v>302</v>
      </c>
      <c r="D151" s="23" t="s">
        <v>728</v>
      </c>
      <c r="E151" s="23" t="s">
        <v>39</v>
      </c>
      <c r="F151" s="23">
        <v>10195.084654329999</v>
      </c>
      <c r="G151" s="23">
        <v>10196.159321512099</v>
      </c>
      <c r="H151" s="23">
        <v>1.0001054103245299</v>
      </c>
      <c r="I151" s="23">
        <v>0</v>
      </c>
      <c r="J151" s="23" t="s">
        <v>88</v>
      </c>
      <c r="K151" s="24">
        <v>44910.000002743058</v>
      </c>
      <c r="L151" s="23">
        <v>1</v>
      </c>
      <c r="M151" s="23" t="s">
        <v>39</v>
      </c>
      <c r="N151" s="25">
        <v>0</v>
      </c>
      <c r="O151" s="26" t="str">
        <f t="shared" si="53"/>
        <v>COIN</v>
      </c>
      <c r="P151" s="26" t="str">
        <f t="shared" si="55"/>
        <v>LONG</v>
      </c>
      <c r="Q151" s="26" t="str">
        <f t="shared" si="56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4"/>
        <v>GATE</v>
      </c>
      <c r="W151" t="str">
        <f t="shared" si="57"/>
        <v>USDT COIN LONG</v>
      </c>
      <c r="X151" s="94" t="s">
        <v>267</v>
      </c>
      <c r="Y151" t="s">
        <v>145</v>
      </c>
      <c r="Z151">
        <v>0.24234807999999999</v>
      </c>
      <c r="AA151">
        <v>3.7006964899306642E-4</v>
      </c>
    </row>
    <row r="152" spans="1:27" x14ac:dyDescent="0.25">
      <c r="A152">
        <v>202</v>
      </c>
      <c r="B152" s="77">
        <v>44910.000004710651</v>
      </c>
      <c r="C152" s="14" t="s">
        <v>302</v>
      </c>
      <c r="D152" s="23" t="s">
        <v>296</v>
      </c>
      <c r="E152" s="23" t="s">
        <v>15</v>
      </c>
      <c r="F152" s="23">
        <v>1.899957E-2</v>
      </c>
      <c r="G152" s="23">
        <v>338.48968650892903</v>
      </c>
      <c r="H152" s="23">
        <v>17815.649854650899</v>
      </c>
      <c r="I152" s="23">
        <v>0</v>
      </c>
      <c r="J152" s="23" t="s">
        <v>88</v>
      </c>
      <c r="K152" s="24">
        <v>44910.000004710651</v>
      </c>
      <c r="L152" s="23">
        <v>1</v>
      </c>
      <c r="M152" s="23" t="s">
        <v>15</v>
      </c>
      <c r="N152" s="25">
        <v>0</v>
      </c>
      <c r="O152" s="26" t="str">
        <f t="shared" si="53"/>
        <v>COIN</v>
      </c>
      <c r="P152" s="26" t="str">
        <f t="shared" si="55"/>
        <v>LONG</v>
      </c>
      <c r="Q152" s="26" t="str">
        <f t="shared" si="56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4"/>
        <v>GATE</v>
      </c>
      <c r="W152" t="str">
        <f t="shared" si="57"/>
        <v>BTC COIN LONG</v>
      </c>
      <c r="X152" s="94" t="s">
        <v>267</v>
      </c>
      <c r="Y152" t="s">
        <v>146</v>
      </c>
      <c r="Z152">
        <v>1E-8</v>
      </c>
      <c r="AA152">
        <v>0</v>
      </c>
    </row>
    <row r="153" spans="1:27" x14ac:dyDescent="0.25">
      <c r="A153">
        <v>203</v>
      </c>
      <c r="B153" s="77">
        <v>44910.000004710651</v>
      </c>
      <c r="C153" s="14" t="s">
        <v>302</v>
      </c>
      <c r="D153" s="23" t="s">
        <v>296</v>
      </c>
      <c r="E153" s="23" t="s">
        <v>297</v>
      </c>
      <c r="F153" s="23">
        <v>9.9825000000000001E-4</v>
      </c>
      <c r="G153" s="23">
        <v>2.29614119617888E-4</v>
      </c>
      <c r="H153" s="23">
        <v>0.23001664875320599</v>
      </c>
      <c r="I153" s="23">
        <v>0</v>
      </c>
      <c r="J153" s="23" t="s">
        <v>88</v>
      </c>
      <c r="K153" s="24">
        <v>44910.000004710651</v>
      </c>
      <c r="L153" s="23">
        <v>1</v>
      </c>
      <c r="M153" s="23" t="s">
        <v>297</v>
      </c>
      <c r="N153" s="25">
        <v>0</v>
      </c>
      <c r="O153" s="26" t="str">
        <f t="shared" si="53"/>
        <v>COIN</v>
      </c>
      <c r="P153" s="26" t="str">
        <f t="shared" si="55"/>
        <v>LONG</v>
      </c>
      <c r="Q153" s="26" t="str">
        <f t="shared" si="56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4"/>
        <v>GATE</v>
      </c>
      <c r="W153" t="str">
        <f t="shared" si="57"/>
        <v>ETHF COIN LONG</v>
      </c>
      <c r="X153" s="94" t="s">
        <v>267</v>
      </c>
      <c r="Y153" t="s">
        <v>28</v>
      </c>
      <c r="Z153">
        <v>7692.5276523000066</v>
      </c>
      <c r="AA153">
        <v>57291.013688313673</v>
      </c>
    </row>
    <row r="154" spans="1:27" x14ac:dyDescent="0.25">
      <c r="A154">
        <v>204</v>
      </c>
      <c r="B154" s="77">
        <v>44910.000004710651</v>
      </c>
      <c r="C154" s="14" t="s">
        <v>302</v>
      </c>
      <c r="D154" s="23" t="s">
        <v>296</v>
      </c>
      <c r="E154" s="23" t="s">
        <v>275</v>
      </c>
      <c r="F154" s="23">
        <v>9.9825000000000001E-4</v>
      </c>
      <c r="G154" s="23">
        <v>3.5343162729518799E-3</v>
      </c>
      <c r="H154" s="23">
        <v>3.5405121692480601</v>
      </c>
      <c r="I154" s="23">
        <v>0</v>
      </c>
      <c r="J154" s="23" t="s">
        <v>88</v>
      </c>
      <c r="K154" s="24">
        <v>44910.000004710651</v>
      </c>
      <c r="L154" s="23">
        <v>1</v>
      </c>
      <c r="M154" s="23" t="s">
        <v>275</v>
      </c>
      <c r="N154" s="25">
        <v>0</v>
      </c>
      <c r="O154" s="26" t="str">
        <f t="shared" si="53"/>
        <v>COIN</v>
      </c>
      <c r="P154" s="26" t="str">
        <f t="shared" si="55"/>
        <v>LONG</v>
      </c>
      <c r="Q154" s="26" t="str">
        <f t="shared" si="56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4"/>
        <v>GATE</v>
      </c>
      <c r="W154" t="str">
        <f t="shared" si="57"/>
        <v>ETHW COIN LONG</v>
      </c>
      <c r="X154" s="94" t="s">
        <v>267</v>
      </c>
      <c r="Y154" t="s">
        <v>147</v>
      </c>
      <c r="Z154">
        <v>4.3289484800000002</v>
      </c>
      <c r="AA154">
        <v>8.0789332993994015E-7</v>
      </c>
    </row>
    <row r="155" spans="1:27" x14ac:dyDescent="0.25">
      <c r="A155">
        <v>205</v>
      </c>
      <c r="B155" s="77">
        <v>44910.000004710651</v>
      </c>
      <c r="C155" s="14" t="s">
        <v>302</v>
      </c>
      <c r="D155" s="23" t="s">
        <v>296</v>
      </c>
      <c r="E155" s="23" t="s">
        <v>298</v>
      </c>
      <c r="F155" s="23">
        <v>9.5929999999999998E-5</v>
      </c>
      <c r="G155" s="23">
        <v>4.2092775676247699E-6</v>
      </c>
      <c r="H155" s="23">
        <v>4.3878636168297402E-2</v>
      </c>
      <c r="I155" s="23">
        <v>0</v>
      </c>
      <c r="J155" s="23" t="s">
        <v>88</v>
      </c>
      <c r="K155" s="24">
        <v>44910.000004710651</v>
      </c>
      <c r="L155" s="23">
        <v>1</v>
      </c>
      <c r="M155" s="23" t="s">
        <v>298</v>
      </c>
      <c r="N155" s="25">
        <v>0</v>
      </c>
      <c r="O155" s="26" t="str">
        <f t="shared" si="53"/>
        <v>COIN</v>
      </c>
      <c r="P155" s="26" t="str">
        <f t="shared" si="55"/>
        <v>LONG</v>
      </c>
      <c r="Q155" s="26" t="str">
        <f t="shared" si="56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4"/>
        <v>GATE</v>
      </c>
      <c r="W155" t="str">
        <f t="shared" si="57"/>
        <v>ROSE COIN LONG</v>
      </c>
      <c r="X155" s="94" t="s">
        <v>267</v>
      </c>
      <c r="Y155" t="s">
        <v>25</v>
      </c>
      <c r="Z155">
        <v>-345.69371338999917</v>
      </c>
      <c r="AA155">
        <v>-19044.167512762433</v>
      </c>
    </row>
    <row r="156" spans="1:27" x14ac:dyDescent="0.25">
      <c r="A156">
        <v>206</v>
      </c>
      <c r="B156" s="77">
        <v>44910.000004710651</v>
      </c>
      <c r="C156" s="14" t="s">
        <v>302</v>
      </c>
      <c r="D156" s="23" t="s">
        <v>296</v>
      </c>
      <c r="E156" s="23" t="s">
        <v>39</v>
      </c>
      <c r="F156" s="23">
        <v>27.162898349999999</v>
      </c>
      <c r="G156" s="23">
        <v>27.165761599930399</v>
      </c>
      <c r="H156" s="23">
        <v>1.0001054103245299</v>
      </c>
      <c r="I156" s="23">
        <v>0</v>
      </c>
      <c r="J156" s="23" t="s">
        <v>88</v>
      </c>
      <c r="K156" s="24">
        <v>44910.000004710651</v>
      </c>
      <c r="L156" s="23">
        <v>1</v>
      </c>
      <c r="M156" s="23" t="s">
        <v>39</v>
      </c>
      <c r="N156" s="25">
        <v>0</v>
      </c>
      <c r="O156" s="26" t="str">
        <f t="shared" si="53"/>
        <v>COIN</v>
      </c>
      <c r="P156" s="26" t="str">
        <f t="shared" si="55"/>
        <v>LONG</v>
      </c>
      <c r="Q156" s="26" t="str">
        <f t="shared" si="56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4"/>
        <v>GATE</v>
      </c>
      <c r="W156" t="str">
        <f t="shared" si="57"/>
        <v>USDT COIN LONG</v>
      </c>
      <c r="X156" s="94" t="s">
        <v>267</v>
      </c>
      <c r="Y156" t="s">
        <v>148</v>
      </c>
      <c r="Z156">
        <v>0.66495972999999997</v>
      </c>
      <c r="AA156">
        <v>1.8219559176115059E-4</v>
      </c>
    </row>
    <row r="157" spans="1:27" x14ac:dyDescent="0.25">
      <c r="A157">
        <v>207</v>
      </c>
      <c r="B157" s="77">
        <v>44910.000003009256</v>
      </c>
      <c r="C157" s="14" t="s">
        <v>302</v>
      </c>
      <c r="D157" s="23" t="s">
        <v>299</v>
      </c>
      <c r="E157" s="23" t="s">
        <v>15</v>
      </c>
      <c r="F157" s="23">
        <v>1.995E-4</v>
      </c>
      <c r="G157" s="23">
        <v>3.55422214600285</v>
      </c>
      <c r="H157" s="23">
        <v>17815.649854650899</v>
      </c>
      <c r="I157" s="23">
        <v>0</v>
      </c>
      <c r="J157" s="23" t="s">
        <v>88</v>
      </c>
      <c r="K157" s="24">
        <v>44910.000003009256</v>
      </c>
      <c r="L157" s="23">
        <v>1</v>
      </c>
      <c r="M157" s="23" t="s">
        <v>15</v>
      </c>
      <c r="N157" s="25">
        <v>0</v>
      </c>
      <c r="O157" s="26" t="str">
        <f t="shared" si="53"/>
        <v>COIN</v>
      </c>
      <c r="P157" s="26" t="str">
        <f t="shared" si="55"/>
        <v>LONG</v>
      </c>
      <c r="Q157" s="26" t="str">
        <f t="shared" si="56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4"/>
        <v>GATE</v>
      </c>
      <c r="W157" t="str">
        <f t="shared" si="57"/>
        <v>BTC COIN LONG</v>
      </c>
      <c r="X157" s="94" t="s">
        <v>267</v>
      </c>
      <c r="Y157" t="s">
        <v>195</v>
      </c>
      <c r="Z157">
        <v>18.366205790000002</v>
      </c>
      <c r="AA157">
        <v>13.251173642597225</v>
      </c>
    </row>
    <row r="158" spans="1:27" x14ac:dyDescent="0.25">
      <c r="A158">
        <v>208</v>
      </c>
      <c r="B158" s="77">
        <v>44910.000003009256</v>
      </c>
      <c r="C158" s="14" t="s">
        <v>302</v>
      </c>
      <c r="D158" s="23" t="s">
        <v>299</v>
      </c>
      <c r="E158" s="23" t="s">
        <v>16</v>
      </c>
      <c r="F158" s="23">
        <v>9.9825000000000001E-4</v>
      </c>
      <c r="G158" s="23">
        <v>1.30703735174832</v>
      </c>
      <c r="H158" s="23">
        <v>1309.32867693296</v>
      </c>
      <c r="I158" s="23">
        <v>0</v>
      </c>
      <c r="J158" s="23" t="s">
        <v>88</v>
      </c>
      <c r="K158" s="24">
        <v>44910.000003009256</v>
      </c>
      <c r="L158" s="23">
        <v>1</v>
      </c>
      <c r="M158" s="23" t="s">
        <v>16</v>
      </c>
      <c r="N158" s="25">
        <v>0</v>
      </c>
      <c r="O158" s="26" t="str">
        <f t="shared" si="53"/>
        <v>COIN</v>
      </c>
      <c r="P158" s="26" t="str">
        <f t="shared" si="55"/>
        <v>LONG</v>
      </c>
      <c r="Q158" s="26" t="str">
        <f t="shared" si="56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4"/>
        <v>GATE</v>
      </c>
      <c r="W158" t="str">
        <f t="shared" si="57"/>
        <v>ETH COIN LONG</v>
      </c>
      <c r="X158" s="94" t="s">
        <v>267</v>
      </c>
      <c r="Y158" t="s">
        <v>196</v>
      </c>
      <c r="Z158">
        <v>5.6554146699999999</v>
      </c>
      <c r="AA158">
        <v>4.4039272498622477</v>
      </c>
    </row>
    <row r="159" spans="1:27" x14ac:dyDescent="0.25">
      <c r="A159">
        <v>209</v>
      </c>
      <c r="B159" s="77">
        <v>44910.000003009256</v>
      </c>
      <c r="C159" s="14" t="s">
        <v>302</v>
      </c>
      <c r="D159" s="23" t="s">
        <v>299</v>
      </c>
      <c r="E159" s="23" t="s">
        <v>39</v>
      </c>
      <c r="F159" s="23">
        <v>59.393906000000001</v>
      </c>
      <c r="G159" s="23">
        <v>59.400166730907003</v>
      </c>
      <c r="H159" s="23">
        <v>1.0001054103245299</v>
      </c>
      <c r="I159" s="23">
        <v>0</v>
      </c>
      <c r="J159" s="23" t="s">
        <v>88</v>
      </c>
      <c r="K159" s="24">
        <v>44910.000003009256</v>
      </c>
      <c r="L159" s="23">
        <v>1</v>
      </c>
      <c r="M159" s="23" t="s">
        <v>39</v>
      </c>
      <c r="N159" s="25">
        <v>0</v>
      </c>
      <c r="O159" s="26" t="str">
        <f t="shared" si="53"/>
        <v>COIN</v>
      </c>
      <c r="P159" s="26" t="str">
        <f t="shared" si="55"/>
        <v>LONG</v>
      </c>
      <c r="Q159" s="26" t="str">
        <f t="shared" si="56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4"/>
        <v>GATE</v>
      </c>
      <c r="W159" t="str">
        <f t="shared" si="57"/>
        <v>USDT COIN LONG</v>
      </c>
      <c r="X159" s="94" t="s">
        <v>267</v>
      </c>
      <c r="Y159" t="s">
        <v>149</v>
      </c>
      <c r="Z159">
        <v>0.89105878000000005</v>
      </c>
      <c r="AA159">
        <v>7.627908252550017</v>
      </c>
    </row>
    <row r="160" spans="1:27" x14ac:dyDescent="0.25">
      <c r="A160">
        <v>210</v>
      </c>
      <c r="B160" s="77">
        <v>44910.000004895832</v>
      </c>
      <c r="C160" s="14" t="s">
        <v>302</v>
      </c>
      <c r="D160" s="23" t="s">
        <v>729</v>
      </c>
      <c r="E160" s="23" t="s">
        <v>39</v>
      </c>
      <c r="F160" s="23">
        <v>10045.593615</v>
      </c>
      <c r="G160" s="23">
        <v>10046.652524283099</v>
      </c>
      <c r="H160" s="23">
        <v>1.0001054103245299</v>
      </c>
      <c r="I160" s="23">
        <v>0</v>
      </c>
      <c r="J160" s="23" t="s">
        <v>88</v>
      </c>
      <c r="K160" s="24">
        <v>44910.000004895832</v>
      </c>
      <c r="L160" s="23">
        <v>1</v>
      </c>
      <c r="M160" s="23" t="s">
        <v>39</v>
      </c>
      <c r="N160" s="25">
        <v>0</v>
      </c>
      <c r="O160" s="26" t="str">
        <f t="shared" si="53"/>
        <v>COIN</v>
      </c>
      <c r="P160" s="26" t="str">
        <f t="shared" si="55"/>
        <v>LONG</v>
      </c>
      <c r="Q160" s="26" t="str">
        <f t="shared" si="56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4"/>
        <v>GATE</v>
      </c>
      <c r="W160" t="str">
        <f t="shared" si="57"/>
        <v>USDT COIN LONG</v>
      </c>
      <c r="X160" s="94" t="s">
        <v>267</v>
      </c>
      <c r="Y160" t="s">
        <v>150</v>
      </c>
      <c r="Z160">
        <v>40.704174029999997</v>
      </c>
      <c r="AA160">
        <v>9.115324720024574E-3</v>
      </c>
    </row>
    <row r="161" spans="1:27" x14ac:dyDescent="0.25">
      <c r="A161">
        <v>211</v>
      </c>
      <c r="B161" s="77">
        <v>44909.000003009256</v>
      </c>
      <c r="C161" s="14" t="s">
        <v>40</v>
      </c>
      <c r="D161" s="23" t="s">
        <v>117</v>
      </c>
      <c r="E161" s="23" t="s">
        <v>39</v>
      </c>
      <c r="F161" s="23">
        <v>1E-8</v>
      </c>
      <c r="G161" s="23">
        <v>1.00010541032453E-8</v>
      </c>
      <c r="H161" s="23">
        <v>1.0001054103245299</v>
      </c>
      <c r="I161" s="23">
        <v>0</v>
      </c>
      <c r="J161" s="23" t="s">
        <v>88</v>
      </c>
      <c r="K161" s="24">
        <v>44909.000003009256</v>
      </c>
      <c r="L161" s="23">
        <v>1</v>
      </c>
      <c r="M161" s="23" t="s">
        <v>39</v>
      </c>
      <c r="N161" s="25">
        <v>0</v>
      </c>
      <c r="O161" s="26" t="str">
        <f t="shared" si="53"/>
        <v>COIN</v>
      </c>
      <c r="P161" s="26" t="str">
        <f t="shared" si="55"/>
        <v>LONG</v>
      </c>
      <c r="Q161" s="26" t="str">
        <f t="shared" si="56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4"/>
        <v>HUB2</v>
      </c>
      <c r="W161" t="str">
        <f t="shared" si="57"/>
        <v>USDT COIN LONG</v>
      </c>
      <c r="X161" s="94" t="s">
        <v>267</v>
      </c>
      <c r="Y161" t="s">
        <v>151</v>
      </c>
      <c r="Z161">
        <v>2865623466.2941451</v>
      </c>
      <c r="AA161">
        <v>1538.5266405831569</v>
      </c>
    </row>
    <row r="162" spans="1:27" x14ac:dyDescent="0.25">
      <c r="A162">
        <v>212</v>
      </c>
      <c r="B162" s="77">
        <v>44909.000003009256</v>
      </c>
      <c r="C162" s="14" t="s">
        <v>40</v>
      </c>
      <c r="D162" s="23" t="s">
        <v>117</v>
      </c>
      <c r="E162" s="23" t="s">
        <v>102</v>
      </c>
      <c r="F162" s="23">
        <v>7.4209999999999996E-5</v>
      </c>
      <c r="G162" s="23">
        <v>2.8675761996355001E-5</v>
      </c>
      <c r="H162" s="23">
        <v>0.38641371777866901</v>
      </c>
      <c r="I162" s="23">
        <v>0</v>
      </c>
      <c r="J162" s="23" t="s">
        <v>88</v>
      </c>
      <c r="K162" s="24">
        <v>44909.000003009256</v>
      </c>
      <c r="L162" s="23">
        <v>1</v>
      </c>
      <c r="M162" s="23" t="s">
        <v>102</v>
      </c>
      <c r="N162" s="25">
        <v>0</v>
      </c>
      <c r="O162" s="26" t="str">
        <f t="shared" si="53"/>
        <v>COIN</v>
      </c>
      <c r="P162" s="26" t="str">
        <f t="shared" si="55"/>
        <v>LONG</v>
      </c>
      <c r="Q162" s="26" t="str">
        <f t="shared" si="56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4"/>
        <v>HUB2</v>
      </c>
      <c r="W162" t="str">
        <f t="shared" si="57"/>
        <v>XRP COIN LONG</v>
      </c>
      <c r="X162" s="94" t="s">
        <v>267</v>
      </c>
      <c r="Y162" t="s">
        <v>152</v>
      </c>
      <c r="Z162">
        <v>4.3068300000000002E-3</v>
      </c>
      <c r="AA162">
        <v>8.5018229357746702E-4</v>
      </c>
    </row>
    <row r="163" spans="1:27" x14ac:dyDescent="0.25">
      <c r="A163">
        <v>213</v>
      </c>
      <c r="B163" s="77">
        <v>44910.000001273147</v>
      </c>
      <c r="C163" s="14" t="s">
        <v>40</v>
      </c>
      <c r="D163" s="23" t="s">
        <v>118</v>
      </c>
      <c r="E163" s="23" t="s">
        <v>87</v>
      </c>
      <c r="F163" s="23">
        <v>1E-8</v>
      </c>
      <c r="G163" s="23">
        <v>3.0813425194694101E-9</v>
      </c>
      <c r="H163" s="23">
        <v>0.308134251946941</v>
      </c>
      <c r="I163" s="23">
        <v>0</v>
      </c>
      <c r="J163" s="23" t="s">
        <v>88</v>
      </c>
      <c r="K163" s="24">
        <v>44910.000001273147</v>
      </c>
      <c r="L163" s="23">
        <v>1</v>
      </c>
      <c r="M163" s="23" t="s">
        <v>87</v>
      </c>
      <c r="N163" s="25">
        <v>0</v>
      </c>
      <c r="O163" s="26" t="str">
        <f t="shared" si="53"/>
        <v>COIN</v>
      </c>
      <c r="P163" s="26" t="str">
        <f t="shared" si="55"/>
        <v>LONG</v>
      </c>
      <c r="Q163" s="26" t="str">
        <f t="shared" si="56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4"/>
        <v>HUB2</v>
      </c>
      <c r="W163" t="str">
        <f t="shared" si="57"/>
        <v>ADA COIN LONG</v>
      </c>
      <c r="X163" s="94" t="s">
        <v>267</v>
      </c>
      <c r="Y163" t="s">
        <v>153</v>
      </c>
      <c r="Z163">
        <v>-70.708739119989332</v>
      </c>
      <c r="AA163">
        <v>-125.10992897331016</v>
      </c>
    </row>
    <row r="164" spans="1:27" x14ac:dyDescent="0.25">
      <c r="A164">
        <v>214</v>
      </c>
      <c r="B164" s="77">
        <v>44910.000001273147</v>
      </c>
      <c r="C164" s="14" t="s">
        <v>40</v>
      </c>
      <c r="D164" s="23" t="s">
        <v>118</v>
      </c>
      <c r="E164" s="23" t="s">
        <v>21</v>
      </c>
      <c r="F164" s="23">
        <v>1E-8</v>
      </c>
      <c r="G164" s="23">
        <v>1.0910849595307199E-6</v>
      </c>
      <c r="H164" s="23">
        <v>109.10849595307199</v>
      </c>
      <c r="I164" s="23">
        <v>0</v>
      </c>
      <c r="J164" s="23" t="s">
        <v>88</v>
      </c>
      <c r="K164" s="24">
        <v>44910.000001273147</v>
      </c>
      <c r="L164" s="23">
        <v>1</v>
      </c>
      <c r="M164" s="23" t="s">
        <v>21</v>
      </c>
      <c r="N164" s="25">
        <v>0</v>
      </c>
      <c r="O164" s="26" t="str">
        <f t="shared" si="53"/>
        <v>COIN</v>
      </c>
      <c r="P164" s="26" t="str">
        <f t="shared" si="55"/>
        <v>LONG</v>
      </c>
      <c r="Q164" s="26" t="str">
        <f t="shared" si="56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4"/>
        <v>HUB2</v>
      </c>
      <c r="W164" t="str">
        <f t="shared" si="57"/>
        <v>BCH COIN LONG</v>
      </c>
      <c r="X164" s="94" t="s">
        <v>267</v>
      </c>
      <c r="Y164" t="s">
        <v>154</v>
      </c>
      <c r="Z164">
        <v>0.34782034000000001</v>
      </c>
      <c r="AA164">
        <v>0.1173813626846756</v>
      </c>
    </row>
    <row r="165" spans="1:27" x14ac:dyDescent="0.25">
      <c r="A165">
        <v>215</v>
      </c>
      <c r="B165" s="77">
        <v>44910.000001273147</v>
      </c>
      <c r="C165" s="14" t="s">
        <v>40</v>
      </c>
      <c r="D165" s="23" t="s">
        <v>118</v>
      </c>
      <c r="E165" s="23" t="s">
        <v>116</v>
      </c>
      <c r="F165" s="23">
        <v>1E-8</v>
      </c>
      <c r="G165" s="23">
        <v>4.5311618722575001E-7</v>
      </c>
      <c r="H165" s="23">
        <v>45.311618722574998</v>
      </c>
      <c r="I165" s="23">
        <v>0</v>
      </c>
      <c r="J165" s="23" t="s">
        <v>88</v>
      </c>
      <c r="K165" s="24">
        <v>44910.000001273147</v>
      </c>
      <c r="L165" s="23">
        <v>1</v>
      </c>
      <c r="M165" s="23" t="s">
        <v>116</v>
      </c>
      <c r="N165" s="25">
        <v>0</v>
      </c>
      <c r="O165" s="26" t="str">
        <f t="shared" si="53"/>
        <v>COIN</v>
      </c>
      <c r="P165" s="26" t="str">
        <f t="shared" si="55"/>
        <v>LONG</v>
      </c>
      <c r="Q165" s="26" t="str">
        <f t="shared" si="56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4"/>
        <v>HUB2</v>
      </c>
      <c r="W165" t="str">
        <f t="shared" si="57"/>
        <v>BSV COIN LONG</v>
      </c>
      <c r="X165" s="94" t="s">
        <v>267</v>
      </c>
      <c r="Y165" t="s">
        <v>259</v>
      </c>
      <c r="Z165">
        <v>5968</v>
      </c>
      <c r="AA165">
        <v>0</v>
      </c>
    </row>
    <row r="166" spans="1:27" x14ac:dyDescent="0.25">
      <c r="A166">
        <v>216</v>
      </c>
      <c r="B166" s="77">
        <v>44910.000001273147</v>
      </c>
      <c r="C166" s="14" t="s">
        <v>40</v>
      </c>
      <c r="D166" s="23" t="s">
        <v>118</v>
      </c>
      <c r="E166" s="23" t="s">
        <v>24</v>
      </c>
      <c r="F166" s="23">
        <v>1E-8</v>
      </c>
      <c r="G166" s="23">
        <v>9.7802133669101293E-9</v>
      </c>
      <c r="H166" s="23">
        <v>0.97802133669101299</v>
      </c>
      <c r="I166" s="23">
        <v>0</v>
      </c>
      <c r="J166" s="23" t="s">
        <v>88</v>
      </c>
      <c r="K166" s="24">
        <v>44910.000001273147</v>
      </c>
      <c r="L166" s="23">
        <v>1</v>
      </c>
      <c r="M166" s="23" t="s">
        <v>24</v>
      </c>
      <c r="N166" s="25">
        <v>0</v>
      </c>
      <c r="O166" s="26" t="str">
        <f t="shared" si="53"/>
        <v>COIN</v>
      </c>
      <c r="P166" s="26" t="str">
        <f t="shared" si="55"/>
        <v>LONG</v>
      </c>
      <c r="Q166" s="26" t="str">
        <f t="shared" si="56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4"/>
        <v>HUB2</v>
      </c>
      <c r="W166" t="str">
        <f t="shared" si="57"/>
        <v>EOS COIN LONG</v>
      </c>
      <c r="X166" s="94" t="s">
        <v>267</v>
      </c>
      <c r="Y166" t="s">
        <v>92</v>
      </c>
      <c r="Z166">
        <v>2310.6945631802082</v>
      </c>
      <c r="AA166">
        <v>232.67169383645523</v>
      </c>
    </row>
    <row r="167" spans="1:27" x14ac:dyDescent="0.25">
      <c r="A167">
        <v>217</v>
      </c>
      <c r="B167" s="77">
        <v>44910.000001273147</v>
      </c>
      <c r="C167" s="14" t="s">
        <v>40</v>
      </c>
      <c r="D167" s="23" t="s">
        <v>118</v>
      </c>
      <c r="E167" s="23" t="s">
        <v>30</v>
      </c>
      <c r="F167" s="23">
        <v>1E-8</v>
      </c>
      <c r="G167" s="23">
        <v>1.87876872284171E-7</v>
      </c>
      <c r="H167" s="23">
        <v>18.787687228417099</v>
      </c>
      <c r="I167" s="23">
        <v>0</v>
      </c>
      <c r="J167" s="23" t="s">
        <v>88</v>
      </c>
      <c r="K167" s="24">
        <v>44910.000001273147</v>
      </c>
      <c r="L167" s="23">
        <v>1</v>
      </c>
      <c r="M167" s="23" t="s">
        <v>30</v>
      </c>
      <c r="N167" s="25">
        <v>0</v>
      </c>
      <c r="O167" s="26" t="str">
        <f t="shared" si="53"/>
        <v>COIN</v>
      </c>
      <c r="P167" s="26" t="str">
        <f t="shared" si="55"/>
        <v>LONG</v>
      </c>
      <c r="Q167" s="26" t="str">
        <f t="shared" si="56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4"/>
        <v>HUB2</v>
      </c>
      <c r="W167" t="str">
        <f t="shared" si="57"/>
        <v>ETC COIN LONG</v>
      </c>
      <c r="X167" s="94" t="s">
        <v>267</v>
      </c>
      <c r="Y167" t="s">
        <v>181</v>
      </c>
      <c r="Z167">
        <v>1.0507699999999999E-3</v>
      </c>
      <c r="AA167">
        <v>1.0507699999999999E-3</v>
      </c>
    </row>
    <row r="168" spans="1:27" x14ac:dyDescent="0.25">
      <c r="A168">
        <v>218</v>
      </c>
      <c r="B168" s="77">
        <v>44910.000001273147</v>
      </c>
      <c r="C168" s="14" t="s">
        <v>40</v>
      </c>
      <c r="D168" s="23" t="s">
        <v>118</v>
      </c>
      <c r="E168" s="23" t="s">
        <v>16</v>
      </c>
      <c r="F168" s="23">
        <v>1E-8</v>
      </c>
      <c r="G168" s="23">
        <v>1.3093286769329599E-5</v>
      </c>
      <c r="H168" s="23">
        <v>1309.32867693296</v>
      </c>
      <c r="I168" s="23">
        <v>0</v>
      </c>
      <c r="J168" s="23" t="s">
        <v>88</v>
      </c>
      <c r="K168" s="24">
        <v>44910.000001273147</v>
      </c>
      <c r="L168" s="23">
        <v>1</v>
      </c>
      <c r="M168" s="23" t="s">
        <v>16</v>
      </c>
      <c r="N168" s="25">
        <v>0</v>
      </c>
      <c r="O168" s="26" t="str">
        <f t="shared" si="53"/>
        <v>COIN</v>
      </c>
      <c r="P168" s="26" t="str">
        <f t="shared" si="55"/>
        <v>LONG</v>
      </c>
      <c r="Q168" s="26" t="str">
        <f t="shared" si="56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4"/>
        <v>HUB2</v>
      </c>
      <c r="W168" t="str">
        <f t="shared" si="57"/>
        <v>ETH COIN LONG</v>
      </c>
      <c r="X168" s="94" t="s">
        <v>267</v>
      </c>
      <c r="Y168" t="s">
        <v>155</v>
      </c>
      <c r="Z168">
        <v>3.0962099999999998E-3</v>
      </c>
      <c r="AA168">
        <v>9.0184342237229452E-3</v>
      </c>
    </row>
    <row r="169" spans="1:27" x14ac:dyDescent="0.25">
      <c r="A169">
        <v>219</v>
      </c>
      <c r="B169" s="77">
        <v>44910.000001273147</v>
      </c>
      <c r="C169" s="14" t="s">
        <v>40</v>
      </c>
      <c r="D169" s="23" t="s">
        <v>118</v>
      </c>
      <c r="E169" s="23" t="s">
        <v>28</v>
      </c>
      <c r="F169" s="23">
        <v>1E-8</v>
      </c>
      <c r="G169" s="23">
        <v>6.7288280575921401E-8</v>
      </c>
      <c r="H169" s="23">
        <v>6.72882805759214</v>
      </c>
      <c r="I169" s="23">
        <v>0</v>
      </c>
      <c r="J169" s="23" t="s">
        <v>88</v>
      </c>
      <c r="K169" s="24">
        <v>44910.000001273147</v>
      </c>
      <c r="L169" s="23">
        <v>1</v>
      </c>
      <c r="M169" s="23" t="s">
        <v>28</v>
      </c>
      <c r="N169" s="25">
        <v>0</v>
      </c>
      <c r="O169" s="26" t="str">
        <f t="shared" si="53"/>
        <v>COIN</v>
      </c>
      <c r="P169" s="26" t="str">
        <f t="shared" si="55"/>
        <v>LONG</v>
      </c>
      <c r="Q169" s="26" t="str">
        <f t="shared" si="56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4"/>
        <v>HUB2</v>
      </c>
      <c r="W169" t="str">
        <f t="shared" si="57"/>
        <v>LINK COIN LONG</v>
      </c>
      <c r="X169" s="94" t="s">
        <v>267</v>
      </c>
      <c r="Y169" t="s">
        <v>156</v>
      </c>
      <c r="Z169">
        <v>2.6598900000000002E-2</v>
      </c>
      <c r="AA169">
        <v>1.577683211398723E-3</v>
      </c>
    </row>
    <row r="170" spans="1:27" x14ac:dyDescent="0.25">
      <c r="A170">
        <v>220</v>
      </c>
      <c r="B170" s="77">
        <v>44910.000001273147</v>
      </c>
      <c r="C170" s="14" t="s">
        <v>40</v>
      </c>
      <c r="D170" s="23" t="s">
        <v>118</v>
      </c>
      <c r="E170" s="23" t="s">
        <v>25</v>
      </c>
      <c r="F170" s="23">
        <v>1E-8</v>
      </c>
      <c r="G170" s="23">
        <v>7.5475863646134999E-7</v>
      </c>
      <c r="H170" s="23">
        <v>75.475863646134997</v>
      </c>
      <c r="I170" s="23">
        <v>0</v>
      </c>
      <c r="J170" s="23" t="s">
        <v>88</v>
      </c>
      <c r="K170" s="24">
        <v>44910.000001273147</v>
      </c>
      <c r="L170" s="23">
        <v>1</v>
      </c>
      <c r="M170" s="23" t="s">
        <v>25</v>
      </c>
      <c r="N170" s="25">
        <v>0</v>
      </c>
      <c r="O170" s="26" t="str">
        <f t="shared" si="53"/>
        <v>COIN</v>
      </c>
      <c r="P170" s="26" t="str">
        <f t="shared" si="55"/>
        <v>LONG</v>
      </c>
      <c r="Q170" s="26" t="str">
        <f t="shared" si="56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4"/>
        <v>HUB2</v>
      </c>
      <c r="W170" t="str">
        <f t="shared" si="57"/>
        <v>LTC COIN LONG</v>
      </c>
      <c r="X170" s="94" t="s">
        <v>267</v>
      </c>
      <c r="Y170" t="s">
        <v>101</v>
      </c>
      <c r="Z170">
        <v>1236499.8774543798</v>
      </c>
      <c r="AA170">
        <v>24697.988320627206</v>
      </c>
    </row>
    <row r="171" spans="1:27" x14ac:dyDescent="0.25">
      <c r="A171">
        <v>221</v>
      </c>
      <c r="B171" s="77">
        <v>44910.000001273147</v>
      </c>
      <c r="C171" s="14" t="s">
        <v>40</v>
      </c>
      <c r="D171" s="23" t="s">
        <v>118</v>
      </c>
      <c r="E171" s="23" t="s">
        <v>39</v>
      </c>
      <c r="F171" s="23">
        <v>3.2621029500000001</v>
      </c>
      <c r="G171" s="23">
        <v>3.2624468093306298</v>
      </c>
      <c r="H171" s="23">
        <v>1.0001054103245299</v>
      </c>
      <c r="I171" s="23">
        <v>0</v>
      </c>
      <c r="J171" s="23" t="s">
        <v>88</v>
      </c>
      <c r="K171" s="24">
        <v>44910.000001273147</v>
      </c>
      <c r="L171" s="23">
        <v>1</v>
      </c>
      <c r="M171" s="23" t="s">
        <v>39</v>
      </c>
      <c r="N171" s="25">
        <v>0</v>
      </c>
      <c r="O171" s="26" t="str">
        <f t="shared" si="53"/>
        <v>COIN</v>
      </c>
      <c r="P171" s="26" t="str">
        <f t="shared" si="55"/>
        <v>LONG</v>
      </c>
      <c r="Q171" s="26" t="str">
        <f t="shared" si="56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4"/>
        <v>HUB2</v>
      </c>
      <c r="W171" t="str">
        <f t="shared" si="57"/>
        <v>USDT COIN LONG</v>
      </c>
      <c r="X171" s="94" t="s">
        <v>267</v>
      </c>
      <c r="Y171" t="s">
        <v>184</v>
      </c>
      <c r="Z171">
        <v>2846064.85852235</v>
      </c>
      <c r="AA171">
        <v>44637.20722136418</v>
      </c>
    </row>
    <row r="172" spans="1:27" x14ac:dyDescent="0.25">
      <c r="A172">
        <v>222</v>
      </c>
      <c r="B172" s="77">
        <v>44910.000001273147</v>
      </c>
      <c r="C172" s="14" t="s">
        <v>40</v>
      </c>
      <c r="D172" s="23" t="s">
        <v>118</v>
      </c>
      <c r="E172" s="23" t="s">
        <v>102</v>
      </c>
      <c r="F172" s="23">
        <v>6.4869999999999994E-5</v>
      </c>
      <c r="G172" s="23">
        <v>2.5066657872302201E-5</v>
      </c>
      <c r="H172" s="23">
        <v>0.38641371777866901</v>
      </c>
      <c r="I172" s="23">
        <v>0</v>
      </c>
      <c r="J172" s="23" t="s">
        <v>88</v>
      </c>
      <c r="K172" s="24">
        <v>44910.000001273147</v>
      </c>
      <c r="L172" s="23">
        <v>1</v>
      </c>
      <c r="M172" s="23" t="s">
        <v>102</v>
      </c>
      <c r="N172" s="25">
        <v>0</v>
      </c>
      <c r="O172" s="26" t="str">
        <f t="shared" si="53"/>
        <v>COIN</v>
      </c>
      <c r="P172" s="26" t="str">
        <f t="shared" si="55"/>
        <v>LONG</v>
      </c>
      <c r="Q172" s="26" t="str">
        <f t="shared" si="56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4"/>
        <v>HUB2</v>
      </c>
      <c r="W172" t="str">
        <f t="shared" si="57"/>
        <v>XRP COIN LONG</v>
      </c>
      <c r="X172" s="94" t="s">
        <v>267</v>
      </c>
      <c r="Y172" t="s">
        <v>38</v>
      </c>
      <c r="Z172">
        <v>175052459876.67941</v>
      </c>
      <c r="AA172">
        <v>1938887.2482490069</v>
      </c>
    </row>
    <row r="173" spans="1:27" x14ac:dyDescent="0.25">
      <c r="A173">
        <v>223</v>
      </c>
      <c r="B173" s="77">
        <v>44910.000003043984</v>
      </c>
      <c r="C173" s="14" t="s">
        <v>40</v>
      </c>
      <c r="D173" s="23" t="s">
        <v>42</v>
      </c>
      <c r="E173" s="23" t="s">
        <v>119</v>
      </c>
      <c r="F173" s="23">
        <v>0.10014646000000001</v>
      </c>
      <c r="G173" s="23">
        <v>6.2654520236031903</v>
      </c>
      <c r="H173" s="23">
        <v>62.562890626420497</v>
      </c>
      <c r="I173" s="23">
        <v>0</v>
      </c>
      <c r="J173" s="23" t="s">
        <v>88</v>
      </c>
      <c r="K173" s="24">
        <v>44910.000003043984</v>
      </c>
      <c r="L173" s="23">
        <v>1</v>
      </c>
      <c r="M173" s="23" t="s">
        <v>119</v>
      </c>
      <c r="N173" s="25">
        <v>0</v>
      </c>
      <c r="O173" s="26" t="str">
        <f t="shared" si="53"/>
        <v>COIN</v>
      </c>
      <c r="P173" s="26" t="str">
        <f t="shared" si="55"/>
        <v>LONG</v>
      </c>
      <c r="Q173" s="26" t="str">
        <f t="shared" si="56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4"/>
        <v>HUBI</v>
      </c>
      <c r="W173" t="str">
        <f t="shared" si="57"/>
        <v>AAVE COIN LONG</v>
      </c>
      <c r="X173" s="94" t="s">
        <v>267</v>
      </c>
      <c r="Y173" t="s">
        <v>157</v>
      </c>
      <c r="Z173">
        <v>9.9667316599999989</v>
      </c>
      <c r="AA173">
        <v>335.64599027695499</v>
      </c>
    </row>
    <row r="174" spans="1:27" x14ac:dyDescent="0.25">
      <c r="A174">
        <v>224</v>
      </c>
      <c r="B174" s="77">
        <v>44910.000003043984</v>
      </c>
      <c r="C174" s="14" t="s">
        <v>40</v>
      </c>
      <c r="D174" s="23" t="s">
        <v>42</v>
      </c>
      <c r="E174" s="23" t="s">
        <v>87</v>
      </c>
      <c r="F174" s="23">
        <v>3.2091999999999998E-4</v>
      </c>
      <c r="G174" s="23">
        <v>9.8886444134812601E-5</v>
      </c>
      <c r="H174" s="23">
        <v>0.308134251946941</v>
      </c>
      <c r="I174" s="23">
        <v>0</v>
      </c>
      <c r="J174" s="23" t="s">
        <v>88</v>
      </c>
      <c r="K174" s="24">
        <v>44910.000003043984</v>
      </c>
      <c r="L174" s="23">
        <v>1</v>
      </c>
      <c r="M174" s="23" t="s">
        <v>87</v>
      </c>
      <c r="N174" s="25">
        <v>0</v>
      </c>
      <c r="O174" s="26" t="str">
        <f t="shared" si="53"/>
        <v>COIN</v>
      </c>
      <c r="P174" s="26" t="str">
        <f t="shared" si="55"/>
        <v>LONG</v>
      </c>
      <c r="Q174" s="26" t="str">
        <f t="shared" si="56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4"/>
        <v>HUBI</v>
      </c>
      <c r="W174" t="str">
        <f t="shared" si="57"/>
        <v>ADA COIN LONG</v>
      </c>
      <c r="X174" s="94" t="s">
        <v>267</v>
      </c>
      <c r="Y174" t="s">
        <v>158</v>
      </c>
      <c r="Z174">
        <v>38753.774400000002</v>
      </c>
      <c r="AA174">
        <v>5119.9444057232586</v>
      </c>
    </row>
    <row r="175" spans="1:27" x14ac:dyDescent="0.25">
      <c r="A175">
        <v>225</v>
      </c>
      <c r="B175" s="77">
        <v>44910.000003043984</v>
      </c>
      <c r="C175" s="14" t="s">
        <v>40</v>
      </c>
      <c r="D175" s="23" t="s">
        <v>42</v>
      </c>
      <c r="E175" s="23" t="s">
        <v>21</v>
      </c>
      <c r="F175" s="23">
        <v>5.3552000000000005E-4</v>
      </c>
      <c r="G175" s="23">
        <v>5.8429781752789602E-2</v>
      </c>
      <c r="H175" s="23">
        <v>109.10849595307199</v>
      </c>
      <c r="I175" s="23">
        <v>0</v>
      </c>
      <c r="J175" s="23" t="s">
        <v>88</v>
      </c>
      <c r="K175" s="24">
        <v>44910.000003043984</v>
      </c>
      <c r="L175" s="23">
        <v>1</v>
      </c>
      <c r="M175" s="23" t="s">
        <v>21</v>
      </c>
      <c r="N175" s="25">
        <v>0</v>
      </c>
      <c r="O175" s="26" t="str">
        <f t="shared" si="53"/>
        <v>COIN</v>
      </c>
      <c r="P175" s="26" t="str">
        <f t="shared" si="55"/>
        <v>LONG</v>
      </c>
      <c r="Q175" s="26" t="str">
        <f t="shared" si="56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4"/>
        <v>HUBI</v>
      </c>
      <c r="W175" t="str">
        <f t="shared" si="57"/>
        <v>BCH COIN LONG</v>
      </c>
      <c r="X175" s="94" t="s">
        <v>267</v>
      </c>
      <c r="Y175" t="s">
        <v>113</v>
      </c>
      <c r="Z175">
        <v>14214.6</v>
      </c>
      <c r="AA175">
        <v>11132.752633501404</v>
      </c>
    </row>
    <row r="176" spans="1:27" x14ac:dyDescent="0.25">
      <c r="A176">
        <v>226</v>
      </c>
      <c r="B176" s="77">
        <v>44910.000003043984</v>
      </c>
      <c r="C176" s="14" t="s">
        <v>40</v>
      </c>
      <c r="D176" s="23" t="s">
        <v>42</v>
      </c>
      <c r="E176" s="23" t="s">
        <v>116</v>
      </c>
      <c r="F176" s="23">
        <v>2.9999999999999997E-8</v>
      </c>
      <c r="G176" s="23">
        <v>1.35934856167725E-6</v>
      </c>
      <c r="H176" s="23">
        <v>45.311618722574998</v>
      </c>
      <c r="I176" s="23">
        <v>0</v>
      </c>
      <c r="J176" s="23" t="s">
        <v>88</v>
      </c>
      <c r="K176" s="24">
        <v>44910.000003043984</v>
      </c>
      <c r="L176" s="23">
        <v>1</v>
      </c>
      <c r="M176" s="23" t="s">
        <v>116</v>
      </c>
      <c r="N176" s="25">
        <v>0</v>
      </c>
      <c r="O176" s="26" t="str">
        <f t="shared" si="53"/>
        <v>COIN</v>
      </c>
      <c r="P176" s="26" t="str">
        <f t="shared" si="55"/>
        <v>LONG</v>
      </c>
      <c r="Q176" s="26" t="str">
        <f t="shared" si="56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4"/>
        <v>HUBI</v>
      </c>
      <c r="W176" t="str">
        <f t="shared" si="57"/>
        <v>BSV COIN LONG</v>
      </c>
      <c r="X176" s="94" t="s">
        <v>267</v>
      </c>
      <c r="Y176" t="s">
        <v>159</v>
      </c>
      <c r="Z176">
        <v>29.76350429</v>
      </c>
      <c r="AA176">
        <v>13.92434211265499</v>
      </c>
    </row>
    <row r="177" spans="1:27" x14ac:dyDescent="0.25">
      <c r="A177">
        <v>227</v>
      </c>
      <c r="B177" s="77">
        <v>44910.000003043984</v>
      </c>
      <c r="C177" s="14" t="s">
        <v>40</v>
      </c>
      <c r="D177" s="23" t="s">
        <v>42</v>
      </c>
      <c r="E177" s="23" t="s">
        <v>15</v>
      </c>
      <c r="F177" s="23">
        <v>144.50993141000001</v>
      </c>
      <c r="G177" s="23">
        <v>2574538.3385201702</v>
      </c>
      <c r="H177" s="23">
        <v>17815.649854650899</v>
      </c>
      <c r="I177" s="23">
        <v>0</v>
      </c>
      <c r="J177" s="23" t="s">
        <v>88</v>
      </c>
      <c r="K177" s="24">
        <v>44910.000003043984</v>
      </c>
      <c r="L177" s="23">
        <v>1</v>
      </c>
      <c r="M177" s="23" t="s">
        <v>15</v>
      </c>
      <c r="N177" s="25">
        <v>0</v>
      </c>
      <c r="O177" s="26" t="str">
        <f t="shared" si="53"/>
        <v>COIN</v>
      </c>
      <c r="P177" s="26" t="str">
        <f t="shared" si="55"/>
        <v>LONG</v>
      </c>
      <c r="Q177" s="26" t="str">
        <f t="shared" si="56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4"/>
        <v>HUBI</v>
      </c>
      <c r="W177" t="str">
        <f t="shared" si="57"/>
        <v>BTC COIN LONG</v>
      </c>
      <c r="X177" s="94" t="s">
        <v>267</v>
      </c>
      <c r="Y177" t="s">
        <v>26</v>
      </c>
      <c r="Z177">
        <v>-12730827.65829186</v>
      </c>
      <c r="AA177">
        <v>-769544.69769564283</v>
      </c>
    </row>
    <row r="178" spans="1:27" x14ac:dyDescent="0.25">
      <c r="A178">
        <v>228</v>
      </c>
      <c r="B178" s="77">
        <v>44910.000003043984</v>
      </c>
      <c r="C178" s="14" t="s">
        <v>40</v>
      </c>
      <c r="D178" s="23" t="s">
        <v>42</v>
      </c>
      <c r="E178" s="23" t="s">
        <v>15</v>
      </c>
      <c r="F178" s="23">
        <v>-1.6966316299999999</v>
      </c>
      <c r="G178" s="23">
        <v>-30226.595052405599</v>
      </c>
      <c r="H178" s="23">
        <v>17815.649854650899</v>
      </c>
      <c r="I178" s="23">
        <v>0</v>
      </c>
      <c r="J178" s="23" t="s">
        <v>256</v>
      </c>
      <c r="K178" s="24">
        <v>44910.000003043984</v>
      </c>
      <c r="L178" s="23">
        <v>1</v>
      </c>
      <c r="M178" s="23" t="s">
        <v>15</v>
      </c>
      <c r="N178" s="25">
        <v>0</v>
      </c>
      <c r="O178" s="26" t="str">
        <f t="shared" si="53"/>
        <v>COIN</v>
      </c>
      <c r="P178" s="26" t="str">
        <f t="shared" si="55"/>
        <v>SHORT</v>
      </c>
      <c r="Q178" s="26" t="str">
        <f t="shared" si="56"/>
        <v>COIN SHORT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4"/>
        <v>HUBI</v>
      </c>
      <c r="W178" t="str">
        <f t="shared" si="57"/>
        <v>BTC COIN SHORT</v>
      </c>
      <c r="X178" s="94" t="s">
        <v>267</v>
      </c>
      <c r="Y178" t="s">
        <v>182</v>
      </c>
      <c r="Z178">
        <v>0.10983253</v>
      </c>
      <c r="AA178">
        <v>5.950162330622173E-3</v>
      </c>
    </row>
    <row r="179" spans="1:27" x14ac:dyDescent="0.25">
      <c r="A179">
        <v>229</v>
      </c>
      <c r="B179" s="77">
        <v>44910.000003043984</v>
      </c>
      <c r="C179" s="14" t="s">
        <v>40</v>
      </c>
      <c r="D179" s="23" t="s">
        <v>42</v>
      </c>
      <c r="E179" s="23" t="s">
        <v>23</v>
      </c>
      <c r="F179" s="23">
        <v>3.8972899999999999E-3</v>
      </c>
      <c r="G179" s="23">
        <v>2.032518481034E-2</v>
      </c>
      <c r="H179" s="23">
        <v>5.21520975096543</v>
      </c>
      <c r="I179" s="23">
        <v>0</v>
      </c>
      <c r="J179" s="23" t="s">
        <v>88</v>
      </c>
      <c r="K179" s="24">
        <v>44910.000003043984</v>
      </c>
      <c r="L179" s="23">
        <v>1</v>
      </c>
      <c r="M179" s="23" t="s">
        <v>23</v>
      </c>
      <c r="N179" s="25">
        <v>0</v>
      </c>
      <c r="O179" s="26" t="str">
        <f t="shared" si="53"/>
        <v>COIN</v>
      </c>
      <c r="P179" s="26" t="str">
        <f t="shared" si="55"/>
        <v>LONG</v>
      </c>
      <c r="Q179" s="26" t="str">
        <f t="shared" si="56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4"/>
        <v>HUBI</v>
      </c>
      <c r="W179" t="str">
        <f t="shared" si="57"/>
        <v>DOT COIN LONG</v>
      </c>
      <c r="X179" s="94" t="s">
        <v>267</v>
      </c>
      <c r="Y179" t="s">
        <v>160</v>
      </c>
      <c r="Z179">
        <v>6.3152970000000003E-2</v>
      </c>
      <c r="AA179">
        <v>3.2415111581036071E-4</v>
      </c>
    </row>
    <row r="180" spans="1:27" x14ac:dyDescent="0.25">
      <c r="A180">
        <v>230</v>
      </c>
      <c r="B180" s="77">
        <v>44910.000003043984</v>
      </c>
      <c r="C180" s="14" t="s">
        <v>40</v>
      </c>
      <c r="D180" s="23" t="s">
        <v>42</v>
      </c>
      <c r="E180" s="23" t="s">
        <v>30</v>
      </c>
      <c r="F180" s="23">
        <v>0.1010306</v>
      </c>
      <c r="G180" s="23">
        <v>1.8981313132993201</v>
      </c>
      <c r="H180" s="23">
        <v>18.787687228417099</v>
      </c>
      <c r="I180" s="23">
        <v>0</v>
      </c>
      <c r="J180" s="23" t="s">
        <v>88</v>
      </c>
      <c r="K180" s="24">
        <v>44910.000003043984</v>
      </c>
      <c r="L180" s="23">
        <v>1</v>
      </c>
      <c r="M180" s="23" t="s">
        <v>30</v>
      </c>
      <c r="N180" s="25">
        <v>0</v>
      </c>
      <c r="O180" s="26" t="str">
        <f t="shared" si="53"/>
        <v>COIN</v>
      </c>
      <c r="P180" s="26" t="str">
        <f t="shared" si="55"/>
        <v>LONG</v>
      </c>
      <c r="Q180" s="26" t="str">
        <f t="shared" si="56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4"/>
        <v>HUBI</v>
      </c>
      <c r="W180" t="str">
        <f t="shared" si="57"/>
        <v>ETC COIN LONG</v>
      </c>
      <c r="X180" s="94" t="s">
        <v>267</v>
      </c>
      <c r="Y180" t="s">
        <v>161</v>
      </c>
      <c r="Z180">
        <v>20</v>
      </c>
      <c r="AA180">
        <v>20.005950132359722</v>
      </c>
    </row>
    <row r="181" spans="1:27" x14ac:dyDescent="0.25">
      <c r="A181">
        <v>231</v>
      </c>
      <c r="B181" s="77">
        <v>44910.000003043984</v>
      </c>
      <c r="C181" s="14" t="s">
        <v>40</v>
      </c>
      <c r="D181" s="23" t="s">
        <v>42</v>
      </c>
      <c r="E181" s="23" t="s">
        <v>16</v>
      </c>
      <c r="F181" s="23">
        <v>1440.6756141000001</v>
      </c>
      <c r="G181" s="23">
        <v>1886317.8956991299</v>
      </c>
      <c r="H181" s="23">
        <v>1309.32867693296</v>
      </c>
      <c r="I181" s="23">
        <v>0</v>
      </c>
      <c r="J181" s="23" t="s">
        <v>88</v>
      </c>
      <c r="K181" s="24">
        <v>44910.000003043984</v>
      </c>
      <c r="L181" s="23">
        <v>1</v>
      </c>
      <c r="M181" s="23" t="s">
        <v>16</v>
      </c>
      <c r="N181" s="25">
        <v>0</v>
      </c>
      <c r="O181" s="26" t="str">
        <f t="shared" si="53"/>
        <v>COIN</v>
      </c>
      <c r="P181" s="26" t="str">
        <f t="shared" si="55"/>
        <v>LONG</v>
      </c>
      <c r="Q181" s="26" t="str">
        <f t="shared" si="56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4"/>
        <v>HUBI</v>
      </c>
      <c r="W181" t="str">
        <f t="shared" si="57"/>
        <v>ETH COIN LONG</v>
      </c>
      <c r="X181" s="94" t="s">
        <v>267</v>
      </c>
      <c r="Y181" t="s">
        <v>162</v>
      </c>
      <c r="Z181">
        <v>5.6169297299999998</v>
      </c>
      <c r="AA181">
        <v>33.209544575384996</v>
      </c>
    </row>
    <row r="182" spans="1:27" x14ac:dyDescent="0.25">
      <c r="A182">
        <v>232</v>
      </c>
      <c r="B182" s="77">
        <v>44910.000003043984</v>
      </c>
      <c r="C182" s="14" t="s">
        <v>40</v>
      </c>
      <c r="D182" s="23" t="s">
        <v>42</v>
      </c>
      <c r="E182" s="23" t="s">
        <v>16</v>
      </c>
      <c r="F182" s="23">
        <v>0.47374295999999999</v>
      </c>
      <c r="G182" s="23">
        <v>620.28524302310495</v>
      </c>
      <c r="H182" s="23">
        <v>1309.32867693296</v>
      </c>
      <c r="I182" s="23">
        <v>0</v>
      </c>
      <c r="J182" s="23" t="s">
        <v>256</v>
      </c>
      <c r="K182" s="24">
        <v>44910.000003043984</v>
      </c>
      <c r="L182" s="23">
        <v>1</v>
      </c>
      <c r="M182" s="23" t="s">
        <v>16</v>
      </c>
      <c r="N182" s="25">
        <v>0</v>
      </c>
      <c r="O182" s="26" t="str">
        <f t="shared" si="53"/>
        <v>COIN</v>
      </c>
      <c r="P182" s="26" t="str">
        <f t="shared" si="55"/>
        <v>LONG</v>
      </c>
      <c r="Q182" s="26" t="str">
        <f t="shared" si="56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4"/>
        <v>HUBI</v>
      </c>
      <c r="W182" t="str">
        <f t="shared" si="57"/>
        <v>ETH COIN LONG</v>
      </c>
      <c r="X182" s="94" t="s">
        <v>267</v>
      </c>
      <c r="Y182" t="s">
        <v>98</v>
      </c>
      <c r="Z182">
        <v>107950114.36243227</v>
      </c>
      <c r="AA182">
        <v>107950114.36243227</v>
      </c>
    </row>
    <row r="183" spans="1:27" x14ac:dyDescent="0.25">
      <c r="A183">
        <v>233</v>
      </c>
      <c r="B183" s="77">
        <v>44910.000003043984</v>
      </c>
      <c r="C183" s="14" t="s">
        <v>40</v>
      </c>
      <c r="D183" s="23" t="s">
        <v>42</v>
      </c>
      <c r="E183" s="23" t="s">
        <v>28</v>
      </c>
      <c r="F183" s="23">
        <v>9.5620999999999998E-4</v>
      </c>
      <c r="G183" s="23">
        <v>6.4341726769501801E-3</v>
      </c>
      <c r="H183" s="23">
        <v>6.72882805759214</v>
      </c>
      <c r="I183" s="23">
        <v>0</v>
      </c>
      <c r="J183" s="23" t="s">
        <v>88</v>
      </c>
      <c r="K183" s="24">
        <v>44910.000003043984</v>
      </c>
      <c r="L183" s="23">
        <v>1</v>
      </c>
      <c r="M183" s="23" t="s">
        <v>28</v>
      </c>
      <c r="N183" s="25">
        <v>0</v>
      </c>
      <c r="O183" s="26" t="str">
        <f t="shared" si="53"/>
        <v>COIN</v>
      </c>
      <c r="P183" s="26" t="str">
        <f t="shared" si="55"/>
        <v>LONG</v>
      </c>
      <c r="Q183" s="26" t="str">
        <f t="shared" si="56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4"/>
        <v>HUBI</v>
      </c>
      <c r="W183" t="str">
        <f t="shared" si="57"/>
        <v>LINK COIN LONG</v>
      </c>
      <c r="X183" s="94" t="s">
        <v>267</v>
      </c>
      <c r="Y183" t="s">
        <v>95</v>
      </c>
      <c r="Z183">
        <v>-104287599.83127788</v>
      </c>
      <c r="AA183">
        <v>-104286862.05540092</v>
      </c>
    </row>
    <row r="184" spans="1:27" x14ac:dyDescent="0.25">
      <c r="A184">
        <v>234</v>
      </c>
      <c r="B184" s="77">
        <v>44910.000003043984</v>
      </c>
      <c r="C184" s="14" t="s">
        <v>40</v>
      </c>
      <c r="D184" s="23" t="s">
        <v>42</v>
      </c>
      <c r="E184" s="23" t="s">
        <v>25</v>
      </c>
      <c r="F184" s="23">
        <v>2.4771099999999998E-3</v>
      </c>
      <c r="G184" s="23">
        <v>0.18696201659647699</v>
      </c>
      <c r="H184" s="23">
        <v>75.475863646134997</v>
      </c>
      <c r="I184" s="23">
        <v>0</v>
      </c>
      <c r="J184" s="23" t="s">
        <v>88</v>
      </c>
      <c r="K184" s="24">
        <v>44910.000003043984</v>
      </c>
      <c r="L184" s="23">
        <v>1</v>
      </c>
      <c r="M184" s="23" t="s">
        <v>25</v>
      </c>
      <c r="N184" s="25">
        <v>0</v>
      </c>
      <c r="O184" s="26" t="str">
        <f t="shared" si="53"/>
        <v>COIN</v>
      </c>
      <c r="P184" s="26" t="str">
        <f t="shared" si="55"/>
        <v>LONG</v>
      </c>
      <c r="Q184" s="26" t="str">
        <f t="shared" si="56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4"/>
        <v>HUBI</v>
      </c>
      <c r="W184" t="str">
        <f t="shared" si="57"/>
        <v>LTC COIN LONG</v>
      </c>
      <c r="X184" s="94" t="s">
        <v>267</v>
      </c>
      <c r="Y184" t="s">
        <v>163</v>
      </c>
      <c r="Z184">
        <v>0.34680431</v>
      </c>
      <c r="AA184">
        <v>0.34687652143626468</v>
      </c>
    </row>
    <row r="185" spans="1:27" x14ac:dyDescent="0.25">
      <c r="A185">
        <v>235</v>
      </c>
      <c r="B185" s="77">
        <v>44910.000003043984</v>
      </c>
      <c r="C185" s="14" t="s">
        <v>40</v>
      </c>
      <c r="D185" s="23" t="s">
        <v>42</v>
      </c>
      <c r="E185" s="23" t="s">
        <v>38</v>
      </c>
      <c r="F185" s="23">
        <v>71073.205401560001</v>
      </c>
      <c r="G185" s="23">
        <v>0.63772254232820103</v>
      </c>
      <c r="H185" s="23">
        <v>8.9727561705582505E-6</v>
      </c>
      <c r="I185" s="23">
        <v>0</v>
      </c>
      <c r="J185" s="23" t="s">
        <v>88</v>
      </c>
      <c r="K185" s="24">
        <v>44910.000003043984</v>
      </c>
      <c r="L185" s="23">
        <v>1</v>
      </c>
      <c r="M185" s="23" t="s">
        <v>38</v>
      </c>
      <c r="N185" s="25">
        <v>0</v>
      </c>
      <c r="O185" s="26" t="str">
        <f t="shared" si="53"/>
        <v>COIN</v>
      </c>
      <c r="P185" s="26" t="str">
        <f t="shared" si="55"/>
        <v>LONG</v>
      </c>
      <c r="Q185" s="26" t="str">
        <f t="shared" si="56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4"/>
        <v>HUBI</v>
      </c>
      <c r="W185" t="str">
        <f t="shared" si="57"/>
        <v>SHIB COIN LONG</v>
      </c>
      <c r="X185" s="94" t="s">
        <v>267</v>
      </c>
      <c r="Y185" t="s">
        <v>39</v>
      </c>
      <c r="Z185">
        <v>69803352.304304138</v>
      </c>
      <c r="AA185">
        <v>69802059.571505591</v>
      </c>
    </row>
    <row r="186" spans="1:27" x14ac:dyDescent="0.25">
      <c r="A186">
        <v>236</v>
      </c>
      <c r="B186" s="77">
        <v>44910.000003043984</v>
      </c>
      <c r="C186" s="14" t="s">
        <v>40</v>
      </c>
      <c r="D186" s="23" t="s">
        <v>42</v>
      </c>
      <c r="E186" s="23" t="s">
        <v>26</v>
      </c>
      <c r="F186" s="23">
        <v>4.8644999999999998E-4</v>
      </c>
      <c r="G186" s="23">
        <v>2.7078899426481499E-5</v>
      </c>
      <c r="H186" s="23">
        <v>5.5666357131219001E-2</v>
      </c>
      <c r="I186" s="23">
        <v>0</v>
      </c>
      <c r="J186" s="23" t="s">
        <v>88</v>
      </c>
      <c r="K186" s="24">
        <v>44910.000003043984</v>
      </c>
      <c r="L186" s="23">
        <v>1</v>
      </c>
      <c r="M186" s="23" t="s">
        <v>26</v>
      </c>
      <c r="N186" s="25">
        <v>0</v>
      </c>
      <c r="O186" s="26" t="str">
        <f t="shared" si="53"/>
        <v>COIN</v>
      </c>
      <c r="P186" s="26" t="str">
        <f t="shared" si="55"/>
        <v>LONG</v>
      </c>
      <c r="Q186" s="26" t="str">
        <f t="shared" si="56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4"/>
        <v>HUBI</v>
      </c>
      <c r="W186" t="str">
        <f t="shared" si="57"/>
        <v>TRX COIN LONG</v>
      </c>
      <c r="X186" s="94" t="s">
        <v>267</v>
      </c>
      <c r="Y186" t="s">
        <v>99</v>
      </c>
      <c r="Z186">
        <v>29.9885932</v>
      </c>
      <c r="AA186">
        <v>0</v>
      </c>
    </row>
    <row r="187" spans="1:27" x14ac:dyDescent="0.25">
      <c r="A187">
        <v>237</v>
      </c>
      <c r="B187" s="77">
        <v>44910.000003043984</v>
      </c>
      <c r="C187" s="14" t="s">
        <v>40</v>
      </c>
      <c r="D187" s="23" t="s">
        <v>42</v>
      </c>
      <c r="E187" s="23" t="s">
        <v>102</v>
      </c>
      <c r="F187" s="23">
        <v>1.9184000000000001E-4</v>
      </c>
      <c r="G187" s="23">
        <v>7.4129607618659903E-5</v>
      </c>
      <c r="H187" s="23">
        <v>0.38641371777866901</v>
      </c>
      <c r="I187" s="23">
        <v>0</v>
      </c>
      <c r="J187" s="23" t="s">
        <v>88</v>
      </c>
      <c r="K187" s="24">
        <v>44910.000003043984</v>
      </c>
      <c r="L187" s="23">
        <v>1</v>
      </c>
      <c r="M187" s="23" t="s">
        <v>102</v>
      </c>
      <c r="N187" s="25">
        <v>0</v>
      </c>
      <c r="O187" s="26" t="str">
        <f t="shared" si="53"/>
        <v>COIN</v>
      </c>
      <c r="P187" s="26" t="str">
        <f t="shared" si="55"/>
        <v>LONG</v>
      </c>
      <c r="Q187" s="26" t="str">
        <f t="shared" si="56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4"/>
        <v>HUBI</v>
      </c>
      <c r="W187" t="str">
        <f t="shared" si="57"/>
        <v>XRP COIN LONG</v>
      </c>
      <c r="X187" s="94" t="s">
        <v>267</v>
      </c>
      <c r="Y187" t="s">
        <v>199</v>
      </c>
      <c r="Z187">
        <v>-100</v>
      </c>
      <c r="AA187">
        <v>-2.32710376273717</v>
      </c>
    </row>
    <row r="188" spans="1:27" x14ac:dyDescent="0.25">
      <c r="A188">
        <v>238</v>
      </c>
      <c r="B188" s="77">
        <v>44910.000003043984</v>
      </c>
      <c r="C188" s="14" t="s">
        <v>40</v>
      </c>
      <c r="D188" s="23" t="s">
        <v>42</v>
      </c>
      <c r="E188" s="23" t="s">
        <v>120</v>
      </c>
      <c r="F188" s="23">
        <v>2.4299999999999999E-3</v>
      </c>
      <c r="G188" s="23">
        <v>3.2644562323836799</v>
      </c>
      <c r="H188" s="23">
        <v>1343.3976264953401</v>
      </c>
      <c r="I188" s="23">
        <v>0</v>
      </c>
      <c r="J188" s="23" t="s">
        <v>88</v>
      </c>
      <c r="K188" s="24">
        <v>44910.000003043984</v>
      </c>
      <c r="L188" s="23">
        <v>1</v>
      </c>
      <c r="M188" s="23" t="s">
        <v>120</v>
      </c>
      <c r="N188" s="25">
        <v>0</v>
      </c>
      <c r="O188" s="26" t="str">
        <f t="shared" si="53"/>
        <v>COIN</v>
      </c>
      <c r="P188" s="26" t="str">
        <f t="shared" si="55"/>
        <v>LONG</v>
      </c>
      <c r="Q188" s="26" t="str">
        <f t="shared" si="56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4"/>
        <v>HUBI</v>
      </c>
      <c r="W188" t="str">
        <f t="shared" si="57"/>
        <v>YFII COIN LONG</v>
      </c>
      <c r="X188" s="94" t="s">
        <v>267</v>
      </c>
      <c r="Y188" t="s">
        <v>164</v>
      </c>
      <c r="Z188">
        <v>0.20872535</v>
      </c>
      <c r="AA188">
        <v>3.1224282910865349E-4</v>
      </c>
    </row>
    <row r="189" spans="1:27" x14ac:dyDescent="0.25">
      <c r="A189">
        <v>239</v>
      </c>
      <c r="B189" s="77">
        <v>44910.00000216435</v>
      </c>
      <c r="C189" s="14" t="s">
        <v>40</v>
      </c>
      <c r="D189" s="23" t="s">
        <v>43</v>
      </c>
      <c r="E189" s="23" t="s">
        <v>39</v>
      </c>
      <c r="F189" s="23">
        <v>644486.57262072002</v>
      </c>
      <c r="G189" s="23">
        <v>644554.50815949996</v>
      </c>
      <c r="H189" s="23">
        <v>1.0001054103245299</v>
      </c>
      <c r="I189" s="23">
        <v>0</v>
      </c>
      <c r="J189" s="23" t="s">
        <v>88</v>
      </c>
      <c r="K189" s="24">
        <v>44910.00000216435</v>
      </c>
      <c r="L189" s="23">
        <v>1</v>
      </c>
      <c r="M189" s="23" t="s">
        <v>39</v>
      </c>
      <c r="N189" s="25">
        <v>0</v>
      </c>
      <c r="O189" s="26" t="str">
        <f t="shared" si="53"/>
        <v>COIN</v>
      </c>
      <c r="P189" s="26" t="str">
        <f t="shared" si="55"/>
        <v>LONG</v>
      </c>
      <c r="Q189" s="26" t="str">
        <f t="shared" si="56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4"/>
        <v>HUBI</v>
      </c>
      <c r="W189" t="str">
        <f t="shared" si="57"/>
        <v>USDT COIN LONG</v>
      </c>
      <c r="X189" s="94" t="s">
        <v>267</v>
      </c>
      <c r="Y189" t="s">
        <v>188</v>
      </c>
      <c r="Z189">
        <v>1596639.81071745</v>
      </c>
      <c r="AA189">
        <v>223037.2410007584</v>
      </c>
    </row>
    <row r="190" spans="1:27" x14ac:dyDescent="0.25">
      <c r="A190">
        <v>240</v>
      </c>
      <c r="B190" s="77">
        <v>44910.00000216435</v>
      </c>
      <c r="C190" s="14" t="s">
        <v>40</v>
      </c>
      <c r="D190" s="23" t="s">
        <v>43</v>
      </c>
      <c r="E190" s="23" t="s">
        <v>39</v>
      </c>
      <c r="F190" s="23">
        <v>44.808952169999998</v>
      </c>
      <c r="G190" s="23">
        <v>44.813675496190399</v>
      </c>
      <c r="H190" s="23">
        <v>1.0001054103245299</v>
      </c>
      <c r="I190" s="23">
        <v>0</v>
      </c>
      <c r="J190" s="23" t="s">
        <v>256</v>
      </c>
      <c r="K190" s="24">
        <v>44910.00000216435</v>
      </c>
      <c r="L190" s="23">
        <v>1</v>
      </c>
      <c r="M190" s="23" t="s">
        <v>39</v>
      </c>
      <c r="N190" s="25">
        <v>0</v>
      </c>
      <c r="O190" s="26" t="str">
        <f t="shared" si="53"/>
        <v>COIN</v>
      </c>
      <c r="P190" s="26" t="str">
        <f t="shared" si="55"/>
        <v>LONG</v>
      </c>
      <c r="Q190" s="26" t="str">
        <f t="shared" si="56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4"/>
        <v>HUBI</v>
      </c>
      <c r="W190" t="str">
        <f t="shared" si="57"/>
        <v>USDT COIN LONG</v>
      </c>
      <c r="X190" s="94" t="s">
        <v>267</v>
      </c>
      <c r="Y190" t="s">
        <v>165</v>
      </c>
      <c r="Z190">
        <v>97856395.370000005</v>
      </c>
      <c r="AA190">
        <v>3838.4555331170968</v>
      </c>
    </row>
    <row r="191" spans="1:27" x14ac:dyDescent="0.25">
      <c r="A191">
        <v>241</v>
      </c>
      <c r="B191" s="77">
        <v>44910.000001469911</v>
      </c>
      <c r="C191" s="14" t="s">
        <v>40</v>
      </c>
      <c r="D191" s="23" t="s">
        <v>123</v>
      </c>
      <c r="E191" s="23" t="s">
        <v>124</v>
      </c>
      <c r="F191" s="23">
        <v>377.09760540000002</v>
      </c>
      <c r="G191" s="23">
        <v>0.11125551983738501</v>
      </c>
      <c r="H191" s="23">
        <v>2.95031096045738E-4</v>
      </c>
      <c r="I191" s="23">
        <v>0</v>
      </c>
      <c r="J191" s="23" t="s">
        <v>88</v>
      </c>
      <c r="K191" s="24">
        <v>44910.000001469911</v>
      </c>
      <c r="L191" s="23">
        <v>1</v>
      </c>
      <c r="M191" s="23" t="s">
        <v>124</v>
      </c>
      <c r="N191" s="25">
        <v>0</v>
      </c>
      <c r="O191" s="26" t="str">
        <f t="shared" si="53"/>
        <v>COIN</v>
      </c>
      <c r="P191" s="26" t="str">
        <f t="shared" si="55"/>
        <v>LONG</v>
      </c>
      <c r="Q191" s="26" t="str">
        <f t="shared" si="56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4"/>
        <v>HUBI</v>
      </c>
      <c r="W191" t="str">
        <f t="shared" si="57"/>
        <v>AAC COIN LONG</v>
      </c>
      <c r="X191" s="94" t="s">
        <v>267</v>
      </c>
      <c r="Y191" t="s">
        <v>166</v>
      </c>
      <c r="Z191">
        <v>4.5994865699999998</v>
      </c>
      <c r="AA191">
        <v>0.56617275192756478</v>
      </c>
    </row>
    <row r="192" spans="1:27" x14ac:dyDescent="0.25">
      <c r="A192">
        <v>242</v>
      </c>
      <c r="B192" s="77">
        <v>44910.000001469911</v>
      </c>
      <c r="C192" s="14" t="s">
        <v>40</v>
      </c>
      <c r="D192" s="23" t="s">
        <v>123</v>
      </c>
      <c r="E192" s="23" t="s">
        <v>87</v>
      </c>
      <c r="F192" s="23">
        <v>1.1000000000000001E-7</v>
      </c>
      <c r="G192" s="23">
        <v>3.3894767714163602E-8</v>
      </c>
      <c r="H192" s="23">
        <v>0.308134251946941</v>
      </c>
      <c r="I192" s="23">
        <v>0</v>
      </c>
      <c r="J192" s="23" t="s">
        <v>88</v>
      </c>
      <c r="K192" s="24">
        <v>44910.000001469911</v>
      </c>
      <c r="L192" s="23">
        <v>1</v>
      </c>
      <c r="M192" s="23" t="s">
        <v>87</v>
      </c>
      <c r="N192" s="25">
        <v>0</v>
      </c>
      <c r="O192" s="26" t="str">
        <f t="shared" si="53"/>
        <v>COIN</v>
      </c>
      <c r="P192" s="26" t="str">
        <f t="shared" si="55"/>
        <v>LONG</v>
      </c>
      <c r="Q192" s="26" t="str">
        <f t="shared" si="56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4"/>
        <v>HUBI</v>
      </c>
      <c r="W192" t="str">
        <f t="shared" si="57"/>
        <v>ADA COIN LONG</v>
      </c>
      <c r="X192" s="94" t="s">
        <v>267</v>
      </c>
      <c r="Y192" t="s">
        <v>102</v>
      </c>
      <c r="Z192">
        <v>614534.47512592992</v>
      </c>
      <c r="AA192">
        <v>311674.19816986064</v>
      </c>
    </row>
    <row r="193" spans="1:27" x14ac:dyDescent="0.25">
      <c r="A193">
        <v>243</v>
      </c>
      <c r="B193" s="77">
        <v>44910.000001469911</v>
      </c>
      <c r="C193" s="14" t="s">
        <v>40</v>
      </c>
      <c r="D193" s="23" t="s">
        <v>123</v>
      </c>
      <c r="E193" s="23" t="s">
        <v>125</v>
      </c>
      <c r="F193" s="23">
        <v>2.6E-7</v>
      </c>
      <c r="G193" s="23">
        <v>5.7438109833676303E-8</v>
      </c>
      <c r="H193" s="23">
        <v>0.220915807052601</v>
      </c>
      <c r="I193" s="23">
        <v>0</v>
      </c>
      <c r="J193" s="23" t="s">
        <v>88</v>
      </c>
      <c r="K193" s="24">
        <v>44910.000001469911</v>
      </c>
      <c r="L193" s="23">
        <v>1</v>
      </c>
      <c r="M193" s="23" t="s">
        <v>125</v>
      </c>
      <c r="N193" s="25">
        <v>0</v>
      </c>
      <c r="O193" s="26" t="str">
        <f t="shared" si="53"/>
        <v>COIN</v>
      </c>
      <c r="P193" s="26" t="str">
        <f t="shared" si="55"/>
        <v>LONG</v>
      </c>
      <c r="Q193" s="26" t="str">
        <f t="shared" si="56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4"/>
        <v>HUBI</v>
      </c>
      <c r="W193" t="str">
        <f t="shared" si="57"/>
        <v>ALGO COIN LONG</v>
      </c>
      <c r="X193" s="94" t="s">
        <v>267</v>
      </c>
      <c r="Y193" t="s">
        <v>167</v>
      </c>
      <c r="Z193">
        <v>3.9304560899999998</v>
      </c>
      <c r="AA193">
        <v>5.9693344766578251</v>
      </c>
    </row>
    <row r="194" spans="1:27" x14ac:dyDescent="0.25">
      <c r="A194">
        <v>244</v>
      </c>
      <c r="B194" s="77">
        <v>44910.000001469911</v>
      </c>
      <c r="C194" s="14" t="s">
        <v>40</v>
      </c>
      <c r="D194" s="23" t="s">
        <v>123</v>
      </c>
      <c r="E194" s="23" t="s">
        <v>126</v>
      </c>
      <c r="F194" s="23">
        <v>0.53247394999999997</v>
      </c>
      <c r="G194" s="23">
        <v>1.5597477765298099E-2</v>
      </c>
      <c r="H194" s="23">
        <v>2.9292471050082598E-2</v>
      </c>
      <c r="I194" s="23">
        <v>0</v>
      </c>
      <c r="J194" s="23" t="s">
        <v>88</v>
      </c>
      <c r="K194" s="24">
        <v>44910.000001469911</v>
      </c>
      <c r="L194" s="23">
        <v>1</v>
      </c>
      <c r="M194" s="23" t="s">
        <v>126</v>
      </c>
      <c r="N194" s="25">
        <v>0</v>
      </c>
      <c r="O194" s="26" t="str">
        <f t="shared" ref="O194:O257" si="58">IF($C194="","",IF(OR($E194="USD",$E194="EUR"),"CASH","COIN"))</f>
        <v>COIN</v>
      </c>
      <c r="P194" s="26" t="str">
        <f t="shared" si="55"/>
        <v>LONG</v>
      </c>
      <c r="Q194" s="26" t="str">
        <f t="shared" si="56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59">IF($C194="","",IF(ISERROR(SEARCH("-",$D194)),$D194,LEFT($D194,SEARCH("-",$D194)-1)))</f>
        <v>HUBI</v>
      </c>
      <c r="W194" t="str">
        <f t="shared" si="57"/>
        <v>ARPA COIN LONG</v>
      </c>
      <c r="X194" s="94" t="s">
        <v>267</v>
      </c>
      <c r="Y194" t="s">
        <v>174</v>
      </c>
      <c r="Z194">
        <v>3.4773900000000246E-2</v>
      </c>
      <c r="AA194">
        <v>292.4498877887745</v>
      </c>
    </row>
    <row r="195" spans="1:27" x14ac:dyDescent="0.25">
      <c r="A195">
        <v>245</v>
      </c>
      <c r="B195" s="77">
        <v>44910.000001469911</v>
      </c>
      <c r="C195" s="14" t="s">
        <v>40</v>
      </c>
      <c r="D195" s="23" t="s">
        <v>123</v>
      </c>
      <c r="E195" s="23" t="s">
        <v>36</v>
      </c>
      <c r="F195" s="23">
        <v>4.3657420000000002E-2</v>
      </c>
      <c r="G195" s="23">
        <v>0.41951020751225698</v>
      </c>
      <c r="H195" s="23">
        <v>9.6091387789809204</v>
      </c>
      <c r="I195" s="23">
        <v>0</v>
      </c>
      <c r="J195" s="23" t="s">
        <v>88</v>
      </c>
      <c r="K195" s="24">
        <v>44910.000001469911</v>
      </c>
      <c r="L195" s="23">
        <v>1</v>
      </c>
      <c r="M195" s="23" t="s">
        <v>36</v>
      </c>
      <c r="N195" s="25">
        <v>0</v>
      </c>
      <c r="O195" s="26" t="str">
        <f t="shared" si="58"/>
        <v>COIN</v>
      </c>
      <c r="P195" s="26" t="str">
        <f t="shared" ref="P195:P258" si="60">IF($C195="","",IF($J195="CME FUTURE","HEDGE",IF($G195&gt;0,"LONG","SHORT")))</f>
        <v>LONG</v>
      </c>
      <c r="Q195" s="26" t="str">
        <f t="shared" ref="Q195:Q258" si="61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59"/>
        <v>HUBI</v>
      </c>
      <c r="W195" t="str">
        <f t="shared" si="57"/>
        <v>ATOM COIN LONG</v>
      </c>
      <c r="X195" s="94" t="s">
        <v>267</v>
      </c>
      <c r="Y195" t="s">
        <v>120</v>
      </c>
      <c r="Z195">
        <v>1.572583E-2</v>
      </c>
      <c r="AA195">
        <v>14.084415691686086</v>
      </c>
    </row>
    <row r="196" spans="1:27" x14ac:dyDescent="0.25">
      <c r="A196">
        <v>246</v>
      </c>
      <c r="B196" s="77">
        <v>44910.000001469911</v>
      </c>
      <c r="C196" s="14" t="s">
        <v>40</v>
      </c>
      <c r="D196" s="23" t="s">
        <v>123</v>
      </c>
      <c r="E196" s="23" t="s">
        <v>190</v>
      </c>
      <c r="F196" s="23">
        <v>1.5389969999999999E-2</v>
      </c>
      <c r="G196" s="23">
        <v>0.21126673009278599</v>
      </c>
      <c r="H196" s="23">
        <v>13.7275595789196</v>
      </c>
      <c r="I196" s="23">
        <v>0</v>
      </c>
      <c r="J196" s="23" t="s">
        <v>88</v>
      </c>
      <c r="K196" s="24">
        <v>44910.000001469911</v>
      </c>
      <c r="L196" s="23">
        <v>1</v>
      </c>
      <c r="M196" s="23" t="s">
        <v>190</v>
      </c>
      <c r="N196" s="25">
        <v>0</v>
      </c>
      <c r="O196" s="26" t="str">
        <f t="shared" si="58"/>
        <v>COIN</v>
      </c>
      <c r="P196" s="26" t="str">
        <f t="shared" si="60"/>
        <v>LONG</v>
      </c>
      <c r="Q196" s="26" t="str">
        <f t="shared" si="61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59"/>
        <v>HUBI</v>
      </c>
      <c r="W196" t="str">
        <f t="shared" si="57"/>
        <v>AVAX COIN LONG</v>
      </c>
      <c r="X196" s="94" t="s">
        <v>267</v>
      </c>
      <c r="Y196" t="s">
        <v>168</v>
      </c>
      <c r="Z196">
        <v>2.173E-4</v>
      </c>
      <c r="AA196">
        <v>1.219035559826355E-2</v>
      </c>
    </row>
    <row r="197" spans="1:27" x14ac:dyDescent="0.25">
      <c r="A197">
        <v>247</v>
      </c>
      <c r="B197" s="77">
        <v>44910.000001469911</v>
      </c>
      <c r="C197" s="14" t="s">
        <v>40</v>
      </c>
      <c r="D197" s="23" t="s">
        <v>123</v>
      </c>
      <c r="E197" s="23" t="s">
        <v>127</v>
      </c>
      <c r="F197" s="23">
        <v>2.0454320000000002E-2</v>
      </c>
      <c r="G197" s="23">
        <v>4.5809772465210301E-3</v>
      </c>
      <c r="H197" s="23">
        <v>0.223961356159531</v>
      </c>
      <c r="I197" s="23">
        <v>0</v>
      </c>
      <c r="J197" s="23" t="s">
        <v>88</v>
      </c>
      <c r="K197" s="24">
        <v>44910.000001469911</v>
      </c>
      <c r="L197" s="23">
        <v>1</v>
      </c>
      <c r="M197" s="23" t="s">
        <v>127</v>
      </c>
      <c r="N197" s="25">
        <v>0</v>
      </c>
      <c r="O197" s="26" t="str">
        <f t="shared" si="58"/>
        <v>COIN</v>
      </c>
      <c r="P197" s="26" t="str">
        <f t="shared" si="60"/>
        <v>LONG</v>
      </c>
      <c r="Q197" s="26" t="str">
        <f t="shared" si="61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59"/>
        <v>HUBI</v>
      </c>
      <c r="W197" t="str">
        <f t="shared" si="57"/>
        <v>BAT COIN LONG</v>
      </c>
      <c r="X197" s="94" t="s">
        <v>267</v>
      </c>
      <c r="Y197" t="s">
        <v>27</v>
      </c>
      <c r="Z197">
        <v>533575.0815269798</v>
      </c>
      <c r="AA197">
        <v>17590.945836577681</v>
      </c>
    </row>
    <row r="198" spans="1:27" x14ac:dyDescent="0.25">
      <c r="A198">
        <v>248</v>
      </c>
      <c r="B198" s="77">
        <v>44910.000001469911</v>
      </c>
      <c r="C198" s="14" t="s">
        <v>40</v>
      </c>
      <c r="D198" s="23" t="s">
        <v>123</v>
      </c>
      <c r="E198" s="23" t="s">
        <v>21</v>
      </c>
      <c r="F198" s="23">
        <v>838.04330769000001</v>
      </c>
      <c r="G198" s="23">
        <v>91437.644845594201</v>
      </c>
      <c r="H198" s="23">
        <v>109.10849595307199</v>
      </c>
      <c r="I198" s="23">
        <v>0</v>
      </c>
      <c r="J198" s="23" t="s">
        <v>88</v>
      </c>
      <c r="K198" s="24">
        <v>44910.000001469911</v>
      </c>
      <c r="L198" s="23">
        <v>1</v>
      </c>
      <c r="M198" s="23" t="s">
        <v>21</v>
      </c>
      <c r="N198" s="25">
        <v>0</v>
      </c>
      <c r="O198" s="26" t="str">
        <f t="shared" si="58"/>
        <v>COIN</v>
      </c>
      <c r="P198" s="26" t="str">
        <f t="shared" si="60"/>
        <v>LONG</v>
      </c>
      <c r="Q198" s="26" t="str">
        <f t="shared" si="61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59"/>
        <v>HUBI</v>
      </c>
      <c r="W198" t="str">
        <f t="shared" ref="W198:W261" si="62">IF($C198="","",$M198&amp;" "&amp;$Q198)</f>
        <v>BCH COIN LONG</v>
      </c>
      <c r="X198" s="94" t="s">
        <v>267</v>
      </c>
      <c r="Y198" t="s">
        <v>275</v>
      </c>
      <c r="Z198">
        <v>34894.897757109997</v>
      </c>
      <c r="AA198">
        <v>259542.1542123761</v>
      </c>
    </row>
    <row r="199" spans="1:27" x14ac:dyDescent="0.25">
      <c r="A199">
        <v>249</v>
      </c>
      <c r="B199" s="77">
        <v>44910.000001469911</v>
      </c>
      <c r="C199" s="14" t="s">
        <v>40</v>
      </c>
      <c r="D199" s="23" t="s">
        <v>123</v>
      </c>
      <c r="E199" s="23" t="s">
        <v>128</v>
      </c>
      <c r="F199" s="23">
        <v>2.5033500000000001E-3</v>
      </c>
      <c r="G199" s="23">
        <v>1.9953523672060501E-4</v>
      </c>
      <c r="H199" s="23">
        <v>7.97072869237644E-2</v>
      </c>
      <c r="I199" s="23">
        <v>0</v>
      </c>
      <c r="J199" s="23" t="s">
        <v>88</v>
      </c>
      <c r="K199" s="24">
        <v>44910.000001469911</v>
      </c>
      <c r="L199" s="23">
        <v>1</v>
      </c>
      <c r="M199" s="23" t="s">
        <v>128</v>
      </c>
      <c r="N199" s="25">
        <v>0</v>
      </c>
      <c r="O199" s="26" t="str">
        <f t="shared" si="58"/>
        <v>COIN</v>
      </c>
      <c r="P199" s="26" t="str">
        <f t="shared" si="60"/>
        <v>LONG</v>
      </c>
      <c r="Q199" s="26" t="str">
        <f t="shared" si="61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59"/>
        <v>HUBI</v>
      </c>
      <c r="W199" t="str">
        <f t="shared" si="62"/>
        <v>BHD COIN LONG</v>
      </c>
      <c r="X199" s="94" t="s">
        <v>267</v>
      </c>
    </row>
    <row r="200" spans="1:27" x14ac:dyDescent="0.25">
      <c r="A200">
        <v>250</v>
      </c>
      <c r="B200" s="77">
        <v>44910.000001469911</v>
      </c>
      <c r="C200" s="14" t="s">
        <v>40</v>
      </c>
      <c r="D200" s="23" t="s">
        <v>123</v>
      </c>
      <c r="E200" s="23" t="s">
        <v>129</v>
      </c>
      <c r="F200" s="23">
        <v>115.29838952</v>
      </c>
      <c r="G200" s="23">
        <v>7.2493053638472196</v>
      </c>
      <c r="H200" s="23">
        <v>6.2874298539874501E-2</v>
      </c>
      <c r="I200" s="23">
        <v>0</v>
      </c>
      <c r="J200" s="23" t="s">
        <v>88</v>
      </c>
      <c r="K200" s="24">
        <v>44910.000001469911</v>
      </c>
      <c r="L200" s="23">
        <v>1</v>
      </c>
      <c r="M200" s="23" t="s">
        <v>129</v>
      </c>
      <c r="N200" s="25">
        <v>0</v>
      </c>
      <c r="O200" s="26" t="str">
        <f t="shared" si="58"/>
        <v>COIN</v>
      </c>
      <c r="P200" s="26" t="str">
        <f t="shared" si="60"/>
        <v>LONG</v>
      </c>
      <c r="Q200" s="26" t="str">
        <f t="shared" si="61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59"/>
        <v>HUBI</v>
      </c>
      <c r="W200" t="str">
        <f t="shared" si="62"/>
        <v>BLZ COIN LONG</v>
      </c>
      <c r="X200" s="94" t="s">
        <v>267</v>
      </c>
    </row>
    <row r="201" spans="1:27" x14ac:dyDescent="0.25">
      <c r="A201">
        <v>251</v>
      </c>
      <c r="B201" s="77">
        <v>44910.000001469911</v>
      </c>
      <c r="C201" s="14" t="s">
        <v>40</v>
      </c>
      <c r="D201" s="23" t="s">
        <v>123</v>
      </c>
      <c r="E201" s="23" t="s">
        <v>130</v>
      </c>
      <c r="F201" s="23">
        <v>14.7502</v>
      </c>
      <c r="G201" s="23">
        <v>3.0301948775707701</v>
      </c>
      <c r="H201" s="23">
        <v>0.205434155304387</v>
      </c>
      <c r="I201" s="23">
        <v>0</v>
      </c>
      <c r="J201" s="23" t="s">
        <v>88</v>
      </c>
      <c r="K201" s="24">
        <v>44910.000001469911</v>
      </c>
      <c r="L201" s="23">
        <v>1</v>
      </c>
      <c r="M201" s="23" t="s">
        <v>130</v>
      </c>
      <c r="N201" s="25">
        <v>0</v>
      </c>
      <c r="O201" s="26" t="str">
        <f t="shared" si="58"/>
        <v>COIN</v>
      </c>
      <c r="P201" s="26" t="str">
        <f t="shared" si="60"/>
        <v>LONG</v>
      </c>
      <c r="Q201" s="26" t="str">
        <f t="shared" si="61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59"/>
        <v>HUBI</v>
      </c>
      <c r="W201" t="str">
        <f t="shared" si="62"/>
        <v>BOBA COIN LONG</v>
      </c>
      <c r="X201" s="94" t="s">
        <v>267</v>
      </c>
    </row>
    <row r="202" spans="1:27" x14ac:dyDescent="0.25">
      <c r="A202">
        <v>252</v>
      </c>
      <c r="B202" s="77">
        <v>44910.000001469911</v>
      </c>
      <c r="C202" s="14" t="s">
        <v>40</v>
      </c>
      <c r="D202" s="23" t="s">
        <v>123</v>
      </c>
      <c r="E202" s="23" t="s">
        <v>116</v>
      </c>
      <c r="F202" s="23">
        <v>7.7951899999999996E-3</v>
      </c>
      <c r="G202" s="23">
        <v>0.35321267715002902</v>
      </c>
      <c r="H202" s="23">
        <v>45.311618722574998</v>
      </c>
      <c r="I202" s="23">
        <v>0</v>
      </c>
      <c r="J202" s="23" t="s">
        <v>88</v>
      </c>
      <c r="K202" s="24">
        <v>44910.000001469911</v>
      </c>
      <c r="L202" s="23">
        <v>1</v>
      </c>
      <c r="M202" s="23" t="s">
        <v>116</v>
      </c>
      <c r="N202" s="25">
        <v>0</v>
      </c>
      <c r="O202" s="26" t="str">
        <f t="shared" si="58"/>
        <v>COIN</v>
      </c>
      <c r="P202" s="26" t="str">
        <f t="shared" si="60"/>
        <v>LONG</v>
      </c>
      <c r="Q202" s="26" t="str">
        <f t="shared" si="61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59"/>
        <v>HUBI</v>
      </c>
      <c r="W202" t="str">
        <f t="shared" si="62"/>
        <v>BSV COIN LONG</v>
      </c>
      <c r="X202" s="94" t="s">
        <v>267</v>
      </c>
    </row>
    <row r="203" spans="1:27" x14ac:dyDescent="0.25">
      <c r="A203">
        <v>253</v>
      </c>
      <c r="B203" s="77">
        <v>44910.000001469911</v>
      </c>
      <c r="C203" s="14" t="s">
        <v>40</v>
      </c>
      <c r="D203" s="23" t="s">
        <v>123</v>
      </c>
      <c r="E203" s="23" t="s">
        <v>15</v>
      </c>
      <c r="F203" s="23">
        <v>287.47491647999999</v>
      </c>
      <c r="G203" s="23">
        <v>5121552.4540026896</v>
      </c>
      <c r="H203" s="23">
        <v>17815.649854650899</v>
      </c>
      <c r="I203" s="23">
        <v>0</v>
      </c>
      <c r="J203" s="23" t="s">
        <v>88</v>
      </c>
      <c r="K203" s="24">
        <v>44910.000001469911</v>
      </c>
      <c r="L203" s="23">
        <v>1</v>
      </c>
      <c r="M203" s="23" t="s">
        <v>15</v>
      </c>
      <c r="N203" s="25">
        <v>0</v>
      </c>
      <c r="O203" s="26" t="str">
        <f t="shared" si="58"/>
        <v>COIN</v>
      </c>
      <c r="P203" s="26" t="str">
        <f t="shared" si="60"/>
        <v>LONG</v>
      </c>
      <c r="Q203" s="26" t="str">
        <f t="shared" si="61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59"/>
        <v>HUBI</v>
      </c>
      <c r="W203" t="str">
        <f t="shared" si="62"/>
        <v>BTC COIN LONG</v>
      </c>
      <c r="X203" s="94" t="s">
        <v>267</v>
      </c>
    </row>
    <row r="204" spans="1:27" x14ac:dyDescent="0.25">
      <c r="A204">
        <v>254</v>
      </c>
      <c r="B204" s="77">
        <v>44910.000001469911</v>
      </c>
      <c r="C204" s="14" t="s">
        <v>40</v>
      </c>
      <c r="D204" s="23" t="s">
        <v>123</v>
      </c>
      <c r="E204" s="23" t="s">
        <v>131</v>
      </c>
      <c r="F204" s="23">
        <v>0.33565571999999999</v>
      </c>
      <c r="G204" s="23">
        <v>4.5998341691350798E-3</v>
      </c>
      <c r="H204" s="23">
        <v>1.3704024376927301E-2</v>
      </c>
      <c r="I204" s="23">
        <v>0</v>
      </c>
      <c r="J204" s="23" t="s">
        <v>88</v>
      </c>
      <c r="K204" s="24">
        <v>44910.000001469911</v>
      </c>
      <c r="L204" s="23">
        <v>1</v>
      </c>
      <c r="M204" s="23" t="s">
        <v>131</v>
      </c>
      <c r="N204" s="25">
        <v>0</v>
      </c>
      <c r="O204" s="26" t="str">
        <f t="shared" si="58"/>
        <v>COIN</v>
      </c>
      <c r="P204" s="26" t="str">
        <f t="shared" si="60"/>
        <v>LONG</v>
      </c>
      <c r="Q204" s="26" t="str">
        <f t="shared" si="61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59"/>
        <v>HUBI</v>
      </c>
      <c r="W204" t="str">
        <f t="shared" si="62"/>
        <v>BTM COIN LONG</v>
      </c>
      <c r="X204" s="94" t="s">
        <v>267</v>
      </c>
    </row>
    <row r="205" spans="1:27" x14ac:dyDescent="0.25">
      <c r="A205">
        <v>255</v>
      </c>
      <c r="B205" s="77">
        <v>44910.000001469911</v>
      </c>
      <c r="C205" s="14" t="s">
        <v>40</v>
      </c>
      <c r="D205" s="23" t="s">
        <v>123</v>
      </c>
      <c r="E205" s="23" t="s">
        <v>132</v>
      </c>
      <c r="F205" s="23">
        <v>1367501156.8785999</v>
      </c>
      <c r="G205" s="23">
        <v>926.78176959022505</v>
      </c>
      <c r="H205" s="23">
        <v>6.7771918504672998E-7</v>
      </c>
      <c r="I205" s="23">
        <v>0</v>
      </c>
      <c r="J205" s="23" t="s">
        <v>88</v>
      </c>
      <c r="K205" s="24">
        <v>44910.000001469911</v>
      </c>
      <c r="L205" s="23">
        <v>1</v>
      </c>
      <c r="M205" s="23" t="s">
        <v>132</v>
      </c>
      <c r="N205" s="25">
        <v>0</v>
      </c>
      <c r="O205" s="26" t="str">
        <f t="shared" si="58"/>
        <v>COIN</v>
      </c>
      <c r="P205" s="26" t="str">
        <f t="shared" si="60"/>
        <v>LONG</v>
      </c>
      <c r="Q205" s="26" t="str">
        <f t="shared" si="61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59"/>
        <v>HUBI</v>
      </c>
      <c r="W205" t="str">
        <f t="shared" si="62"/>
        <v>BTT COIN LONG</v>
      </c>
      <c r="X205" s="94" t="s">
        <v>267</v>
      </c>
    </row>
    <row r="206" spans="1:27" x14ac:dyDescent="0.25">
      <c r="A206">
        <v>256</v>
      </c>
      <c r="B206" s="77">
        <v>44910.000001469911</v>
      </c>
      <c r="C206" s="14" t="s">
        <v>40</v>
      </c>
      <c r="D206" s="23" t="s">
        <v>123</v>
      </c>
      <c r="E206" s="23" t="s">
        <v>133</v>
      </c>
      <c r="F206" s="23">
        <v>1.7855998900000001</v>
      </c>
      <c r="G206" s="23">
        <v>6.6804407083560597E-3</v>
      </c>
      <c r="H206" s="23">
        <v>3.7412864694766901E-3</v>
      </c>
      <c r="I206" s="23">
        <v>0</v>
      </c>
      <c r="J206" s="23" t="s">
        <v>88</v>
      </c>
      <c r="K206" s="24">
        <v>44910.000001469911</v>
      </c>
      <c r="L206" s="23">
        <v>1</v>
      </c>
      <c r="M206" s="23" t="s">
        <v>133</v>
      </c>
      <c r="N206" s="25">
        <v>0</v>
      </c>
      <c r="O206" s="26" t="str">
        <f t="shared" si="58"/>
        <v>COIN</v>
      </c>
      <c r="P206" s="26" t="str">
        <f t="shared" si="60"/>
        <v>LONG</v>
      </c>
      <c r="Q206" s="26" t="str">
        <f t="shared" si="61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59"/>
        <v>HUBI</v>
      </c>
      <c r="W206" t="str">
        <f t="shared" si="62"/>
        <v>CMT COIN LONG</v>
      </c>
      <c r="X206" s="94" t="s">
        <v>267</v>
      </c>
    </row>
    <row r="207" spans="1:27" x14ac:dyDescent="0.25">
      <c r="A207">
        <v>257</v>
      </c>
      <c r="B207" s="77">
        <v>44910.000001469911</v>
      </c>
      <c r="C207" s="14" t="s">
        <v>40</v>
      </c>
      <c r="D207" s="23" t="s">
        <v>123</v>
      </c>
      <c r="E207" s="23" t="s">
        <v>134</v>
      </c>
      <c r="F207" s="23">
        <v>0.30791584</v>
      </c>
      <c r="G207" s="23">
        <v>1.9071477542135899E-2</v>
      </c>
      <c r="H207" s="23">
        <v>6.1937305798025602E-2</v>
      </c>
      <c r="I207" s="23">
        <v>0</v>
      </c>
      <c r="J207" s="23" t="s">
        <v>88</v>
      </c>
      <c r="K207" s="24">
        <v>44910.000001469911</v>
      </c>
      <c r="L207" s="23">
        <v>1</v>
      </c>
      <c r="M207" s="23" t="s">
        <v>134</v>
      </c>
      <c r="N207" s="25">
        <v>0</v>
      </c>
      <c r="O207" s="26" t="str">
        <f t="shared" si="58"/>
        <v>COIN</v>
      </c>
      <c r="P207" s="26" t="str">
        <f t="shared" si="60"/>
        <v>LONG</v>
      </c>
      <c r="Q207" s="26" t="str">
        <f t="shared" si="61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59"/>
        <v>HUBI</v>
      </c>
      <c r="W207" t="str">
        <f t="shared" si="62"/>
        <v>CRO COIN LONG</v>
      </c>
      <c r="X207" s="94" t="s">
        <v>267</v>
      </c>
    </row>
    <row r="208" spans="1:27" x14ac:dyDescent="0.25">
      <c r="A208">
        <v>258</v>
      </c>
      <c r="B208" s="77">
        <v>44910.000001469911</v>
      </c>
      <c r="C208" s="14" t="s">
        <v>40</v>
      </c>
      <c r="D208" s="23" t="s">
        <v>123</v>
      </c>
      <c r="E208" s="23" t="s">
        <v>135</v>
      </c>
      <c r="F208" s="23">
        <v>5.6119999999999998E-5</v>
      </c>
      <c r="G208" s="23">
        <v>2.7411021117993198E-3</v>
      </c>
      <c r="H208" s="23">
        <v>48.843587166773403</v>
      </c>
      <c r="I208" s="23">
        <v>0</v>
      </c>
      <c r="J208" s="23" t="s">
        <v>88</v>
      </c>
      <c r="K208" s="24">
        <v>44910.000001469911</v>
      </c>
      <c r="L208" s="23">
        <v>1</v>
      </c>
      <c r="M208" s="23" t="s">
        <v>135</v>
      </c>
      <c r="N208" s="25">
        <v>0</v>
      </c>
      <c r="O208" s="26" t="str">
        <f t="shared" si="58"/>
        <v>COIN</v>
      </c>
      <c r="P208" s="26" t="str">
        <f t="shared" si="60"/>
        <v>LONG</v>
      </c>
      <c r="Q208" s="26" t="str">
        <f t="shared" si="61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59"/>
        <v>HUBI</v>
      </c>
      <c r="W208" t="str">
        <f t="shared" si="62"/>
        <v>DASH COIN LONG</v>
      </c>
      <c r="X208" s="94" t="s">
        <v>267</v>
      </c>
    </row>
    <row r="209" spans="1:24" x14ac:dyDescent="0.25">
      <c r="A209">
        <v>259</v>
      </c>
      <c r="B209" s="77">
        <v>44910.000001469911</v>
      </c>
      <c r="C209" s="14" t="s">
        <v>40</v>
      </c>
      <c r="D209" s="23" t="s">
        <v>123</v>
      </c>
      <c r="E209" s="23" t="s">
        <v>136</v>
      </c>
      <c r="F209" s="23">
        <v>5.9800000000000001E-4</v>
      </c>
      <c r="G209" s="23">
        <v>2.9903151768703602E-6</v>
      </c>
      <c r="H209" s="23">
        <v>5.0005270516226804E-3</v>
      </c>
      <c r="I209" s="23">
        <v>0</v>
      </c>
      <c r="J209" s="23" t="s">
        <v>88</v>
      </c>
      <c r="K209" s="24">
        <v>44910.000001469911</v>
      </c>
      <c r="L209" s="23">
        <v>1</v>
      </c>
      <c r="M209" s="23" t="s">
        <v>136</v>
      </c>
      <c r="N209" s="25">
        <v>0</v>
      </c>
      <c r="O209" s="26" t="str">
        <f t="shared" si="58"/>
        <v>COIN</v>
      </c>
      <c r="P209" s="26" t="str">
        <f t="shared" si="60"/>
        <v>LONG</v>
      </c>
      <c r="Q209" s="26" t="str">
        <f t="shared" si="61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59"/>
        <v>HUBI</v>
      </c>
      <c r="W209" t="str">
        <f t="shared" si="62"/>
        <v>DON COIN LONG</v>
      </c>
      <c r="X209" s="94" t="s">
        <v>267</v>
      </c>
    </row>
    <row r="210" spans="1:24" x14ac:dyDescent="0.25">
      <c r="A210">
        <v>260</v>
      </c>
      <c r="B210" s="77">
        <v>44910.000001469911</v>
      </c>
      <c r="C210" s="14" t="s">
        <v>40</v>
      </c>
      <c r="D210" s="23" t="s">
        <v>123</v>
      </c>
      <c r="E210" s="23" t="s">
        <v>23</v>
      </c>
      <c r="F210" s="23">
        <v>40134.758036849998</v>
      </c>
      <c r="G210" s="23">
        <v>209311.181466418</v>
      </c>
      <c r="H210" s="23">
        <v>5.21520975096543</v>
      </c>
      <c r="I210" s="23">
        <v>0</v>
      </c>
      <c r="J210" s="23" t="s">
        <v>88</v>
      </c>
      <c r="K210" s="24">
        <v>44910.000001469911</v>
      </c>
      <c r="L210" s="23">
        <v>1</v>
      </c>
      <c r="M210" s="23" t="s">
        <v>23</v>
      </c>
      <c r="N210" s="25">
        <v>0</v>
      </c>
      <c r="O210" s="26" t="str">
        <f t="shared" si="58"/>
        <v>COIN</v>
      </c>
      <c r="P210" s="26" t="str">
        <f t="shared" si="60"/>
        <v>LONG</v>
      </c>
      <c r="Q210" s="26" t="str">
        <f t="shared" si="61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59"/>
        <v>HUBI</v>
      </c>
      <c r="W210" t="str">
        <f t="shared" si="62"/>
        <v>DOT COIN LONG</v>
      </c>
      <c r="X210" s="94" t="s">
        <v>267</v>
      </c>
    </row>
    <row r="211" spans="1:24" x14ac:dyDescent="0.25">
      <c r="A211">
        <v>261</v>
      </c>
      <c r="B211" s="77">
        <v>44910.000001469911</v>
      </c>
      <c r="C211" s="14" t="s">
        <v>40</v>
      </c>
      <c r="D211" s="23" t="s">
        <v>123</v>
      </c>
      <c r="E211" s="23" t="s">
        <v>29</v>
      </c>
      <c r="F211" s="23">
        <v>1E-8</v>
      </c>
      <c r="G211" s="23">
        <v>3.00264020544341E-9</v>
      </c>
      <c r="H211" s="23">
        <v>0.30026402054434098</v>
      </c>
      <c r="I211" s="23">
        <v>0</v>
      </c>
      <c r="J211" s="23" t="s">
        <v>88</v>
      </c>
      <c r="K211" s="24">
        <v>44910.000001469911</v>
      </c>
      <c r="L211" s="23">
        <v>1</v>
      </c>
      <c r="M211" s="23" t="s">
        <v>29</v>
      </c>
      <c r="N211" s="25">
        <v>0</v>
      </c>
      <c r="O211" s="26" t="str">
        <f t="shared" si="58"/>
        <v>COIN</v>
      </c>
      <c r="P211" s="26" t="str">
        <f t="shared" si="60"/>
        <v>LONG</v>
      </c>
      <c r="Q211" s="26" t="str">
        <f t="shared" si="61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59"/>
        <v>HUBI</v>
      </c>
      <c r="W211" t="str">
        <f t="shared" si="62"/>
        <v>ENJ COIN LONG</v>
      </c>
      <c r="X211" s="94" t="s">
        <v>267</v>
      </c>
    </row>
    <row r="212" spans="1:24" x14ac:dyDescent="0.25">
      <c r="A212">
        <v>262</v>
      </c>
      <c r="B212" s="77">
        <v>44910.000001469911</v>
      </c>
      <c r="C212" s="14" t="s">
        <v>40</v>
      </c>
      <c r="D212" s="23" t="s">
        <v>123</v>
      </c>
      <c r="E212" s="23" t="s">
        <v>24</v>
      </c>
      <c r="F212" s="23">
        <v>28537.08774997</v>
      </c>
      <c r="G212" s="23">
        <v>27909.880706494401</v>
      </c>
      <c r="H212" s="23">
        <v>0.97802133669101299</v>
      </c>
      <c r="I212" s="23">
        <v>0</v>
      </c>
      <c r="J212" s="23" t="s">
        <v>88</v>
      </c>
      <c r="K212" s="24">
        <v>44910.000001469911</v>
      </c>
      <c r="L212" s="23">
        <v>1</v>
      </c>
      <c r="M212" s="23" t="s">
        <v>24</v>
      </c>
      <c r="N212" s="25">
        <v>0</v>
      </c>
      <c r="O212" s="26" t="str">
        <f t="shared" si="58"/>
        <v>COIN</v>
      </c>
      <c r="P212" s="26" t="str">
        <f t="shared" si="60"/>
        <v>LONG</v>
      </c>
      <c r="Q212" s="26" t="str">
        <f t="shared" si="61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59"/>
        <v>HUBI</v>
      </c>
      <c r="W212" t="str">
        <f t="shared" si="62"/>
        <v>EOS COIN LONG</v>
      </c>
      <c r="X212" s="94" t="s">
        <v>267</v>
      </c>
    </row>
    <row r="213" spans="1:24" x14ac:dyDescent="0.25">
      <c r="A213">
        <v>263</v>
      </c>
      <c r="B213" s="77">
        <v>44910.000001469911</v>
      </c>
      <c r="C213" s="14" t="s">
        <v>40</v>
      </c>
      <c r="D213" s="23" t="s">
        <v>123</v>
      </c>
      <c r="E213" s="23" t="s">
        <v>30</v>
      </c>
      <c r="F213" s="23">
        <v>9625.8346537899997</v>
      </c>
      <c r="G213" s="23">
        <v>180847.170787865</v>
      </c>
      <c r="H213" s="23">
        <v>18.787687228417099</v>
      </c>
      <c r="I213" s="23">
        <v>0</v>
      </c>
      <c r="J213" s="23" t="s">
        <v>88</v>
      </c>
      <c r="K213" s="24">
        <v>44910.000001469911</v>
      </c>
      <c r="L213" s="23">
        <v>1</v>
      </c>
      <c r="M213" s="23" t="s">
        <v>30</v>
      </c>
      <c r="N213" s="25">
        <v>0</v>
      </c>
      <c r="O213" s="26" t="str">
        <f t="shared" si="58"/>
        <v>COIN</v>
      </c>
      <c r="P213" s="26" t="str">
        <f t="shared" si="60"/>
        <v>LONG</v>
      </c>
      <c r="Q213" s="26" t="str">
        <f t="shared" si="61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59"/>
        <v>HUBI</v>
      </c>
      <c r="W213" t="str">
        <f t="shared" si="62"/>
        <v>ETC COIN LONG</v>
      </c>
      <c r="X213" s="94" t="s">
        <v>267</v>
      </c>
    </row>
    <row r="214" spans="1:24" x14ac:dyDescent="0.25">
      <c r="A214">
        <v>264</v>
      </c>
      <c r="B214" s="77">
        <v>44910.000001469911</v>
      </c>
      <c r="C214" s="14" t="s">
        <v>40</v>
      </c>
      <c r="D214" s="23" t="s">
        <v>123</v>
      </c>
      <c r="E214" s="23" t="s">
        <v>16</v>
      </c>
      <c r="F214" s="23">
        <v>4359.2729806400002</v>
      </c>
      <c r="G214" s="23">
        <v>5707721.1241309801</v>
      </c>
      <c r="H214" s="23">
        <v>1309.32867693296</v>
      </c>
      <c r="I214" s="23">
        <v>0</v>
      </c>
      <c r="J214" s="23" t="s">
        <v>88</v>
      </c>
      <c r="K214" s="24">
        <v>44910.000001469911</v>
      </c>
      <c r="L214" s="23">
        <v>1</v>
      </c>
      <c r="M214" s="23" t="s">
        <v>16</v>
      </c>
      <c r="N214" s="25">
        <v>0</v>
      </c>
      <c r="O214" s="26" t="str">
        <f t="shared" si="58"/>
        <v>COIN</v>
      </c>
      <c r="P214" s="26" t="str">
        <f t="shared" si="60"/>
        <v>LONG</v>
      </c>
      <c r="Q214" s="26" t="str">
        <f t="shared" si="61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59"/>
        <v>HUBI</v>
      </c>
      <c r="W214" t="str">
        <f t="shared" si="62"/>
        <v>ETH COIN LONG</v>
      </c>
      <c r="X214" s="94" t="s">
        <v>267</v>
      </c>
    </row>
    <row r="215" spans="1:24" x14ac:dyDescent="0.25">
      <c r="A215">
        <v>265</v>
      </c>
      <c r="B215" s="77">
        <v>44910.000001469911</v>
      </c>
      <c r="C215" s="14" t="s">
        <v>40</v>
      </c>
      <c r="D215" s="23" t="s">
        <v>123</v>
      </c>
      <c r="E215" s="23" t="s">
        <v>297</v>
      </c>
      <c r="F215" s="23">
        <v>9823.8364263999993</v>
      </c>
      <c r="G215" s="23">
        <v>2259.6459327001999</v>
      </c>
      <c r="H215" s="23">
        <v>0.23001664875320599</v>
      </c>
      <c r="I215" s="23">
        <v>0</v>
      </c>
      <c r="J215" s="23" t="s">
        <v>88</v>
      </c>
      <c r="K215" s="24">
        <v>44910.000001469911</v>
      </c>
      <c r="L215" s="23">
        <v>1</v>
      </c>
      <c r="M215" s="23" t="s">
        <v>297</v>
      </c>
      <c r="N215" s="25">
        <v>0</v>
      </c>
      <c r="O215" s="26" t="str">
        <f t="shared" si="58"/>
        <v>COIN</v>
      </c>
      <c r="P215" s="26" t="str">
        <f t="shared" si="60"/>
        <v>LONG</v>
      </c>
      <c r="Q215" s="26" t="str">
        <f t="shared" si="61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59"/>
        <v>HUBI</v>
      </c>
      <c r="W215" t="str">
        <f t="shared" si="62"/>
        <v>ETHF COIN LONG</v>
      </c>
      <c r="X215" s="94" t="s">
        <v>267</v>
      </c>
    </row>
    <row r="216" spans="1:24" x14ac:dyDescent="0.25">
      <c r="A216">
        <v>266</v>
      </c>
      <c r="B216" s="77">
        <v>44910.000001469911</v>
      </c>
      <c r="C216" s="14" t="s">
        <v>40</v>
      </c>
      <c r="D216" s="23" t="s">
        <v>123</v>
      </c>
      <c r="E216" s="23" t="s">
        <v>275</v>
      </c>
      <c r="F216" s="23">
        <v>3460.93190667</v>
      </c>
      <c r="G216" s="23">
        <v>12253.471532504</v>
      </c>
      <c r="H216" s="23">
        <v>3.5405121692480601</v>
      </c>
      <c r="I216" s="23">
        <v>0</v>
      </c>
      <c r="J216" s="23" t="s">
        <v>88</v>
      </c>
      <c r="K216" s="24">
        <v>44910.000001469911</v>
      </c>
      <c r="L216" s="23">
        <v>1</v>
      </c>
      <c r="M216" s="23" t="s">
        <v>275</v>
      </c>
      <c r="N216" s="25">
        <v>0</v>
      </c>
      <c r="O216" s="26" t="str">
        <f t="shared" si="58"/>
        <v>COIN</v>
      </c>
      <c r="P216" s="26" t="str">
        <f t="shared" si="60"/>
        <v>LONG</v>
      </c>
      <c r="Q216" s="26" t="str">
        <f t="shared" si="61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59"/>
        <v>HUBI</v>
      </c>
      <c r="W216" t="str">
        <f t="shared" si="62"/>
        <v>ETHW COIN LONG</v>
      </c>
      <c r="X216" s="94" t="s">
        <v>267</v>
      </c>
    </row>
    <row r="217" spans="1:24" x14ac:dyDescent="0.25">
      <c r="A217">
        <v>267</v>
      </c>
      <c r="B217" s="77">
        <v>44910.000001469911</v>
      </c>
      <c r="C217" s="14" t="s">
        <v>40</v>
      </c>
      <c r="D217" s="23" t="s">
        <v>123</v>
      </c>
      <c r="E217" s="23" t="s">
        <v>261</v>
      </c>
      <c r="F217" s="23">
        <v>340001.49837544002</v>
      </c>
      <c r="G217" s="23">
        <v>363234.29147343902</v>
      </c>
      <c r="H217" s="23">
        <v>1.0683314432701201</v>
      </c>
      <c r="I217" s="23">
        <v>0</v>
      </c>
      <c r="J217" s="23" t="s">
        <v>88</v>
      </c>
      <c r="K217" s="24">
        <v>44910.000001469911</v>
      </c>
      <c r="L217" s="23">
        <v>1</v>
      </c>
      <c r="M217" s="23" t="s">
        <v>261</v>
      </c>
      <c r="N217" s="25">
        <v>0</v>
      </c>
      <c r="O217" s="26" t="str">
        <f t="shared" si="58"/>
        <v>COIN</v>
      </c>
      <c r="P217" s="26" t="str">
        <f t="shared" si="60"/>
        <v>LONG</v>
      </c>
      <c r="Q217" s="26" t="str">
        <f t="shared" si="61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59"/>
        <v>HUBI</v>
      </c>
      <c r="W217" t="str">
        <f t="shared" si="62"/>
        <v>EUROC COIN LONG</v>
      </c>
      <c r="X217" s="94" t="s">
        <v>267</v>
      </c>
    </row>
    <row r="218" spans="1:24" x14ac:dyDescent="0.25">
      <c r="A218">
        <v>268</v>
      </c>
      <c r="B218" s="77">
        <v>44910.000001469911</v>
      </c>
      <c r="C218" s="14" t="s">
        <v>40</v>
      </c>
      <c r="D218" s="23" t="s">
        <v>123</v>
      </c>
      <c r="E218" s="23" t="s">
        <v>31</v>
      </c>
      <c r="F218" s="23">
        <v>1.0244641699999999</v>
      </c>
      <c r="G218" s="23">
        <v>4.3335753432124999</v>
      </c>
      <c r="H218" s="23">
        <v>4.2300897094453704</v>
      </c>
      <c r="I218" s="23">
        <v>0</v>
      </c>
      <c r="J218" s="23" t="s">
        <v>88</v>
      </c>
      <c r="K218" s="24">
        <v>44910.000001469911</v>
      </c>
      <c r="L218" s="23">
        <v>1</v>
      </c>
      <c r="M218" s="23" t="s">
        <v>31</v>
      </c>
      <c r="N218" s="25">
        <v>0</v>
      </c>
      <c r="O218" s="26" t="str">
        <f t="shared" si="58"/>
        <v>COIN</v>
      </c>
      <c r="P218" s="26" t="str">
        <f t="shared" si="60"/>
        <v>LONG</v>
      </c>
      <c r="Q218" s="26" t="str">
        <f t="shared" si="61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59"/>
        <v>HUBI</v>
      </c>
      <c r="W218" t="str">
        <f t="shared" si="62"/>
        <v>FIL COIN LONG</v>
      </c>
      <c r="X218" s="94" t="s">
        <v>267</v>
      </c>
    </row>
    <row r="219" spans="1:24" x14ac:dyDescent="0.25">
      <c r="A219">
        <v>269</v>
      </c>
      <c r="B219" s="77">
        <v>44910.000001469911</v>
      </c>
      <c r="C219" s="14" t="s">
        <v>40</v>
      </c>
      <c r="D219" s="23" t="s">
        <v>123</v>
      </c>
      <c r="E219" s="23" t="s">
        <v>112</v>
      </c>
      <c r="F219" s="23">
        <v>0.68557060000000003</v>
      </c>
      <c r="G219" s="23">
        <v>0.94009218100883196</v>
      </c>
      <c r="H219" s="23">
        <v>1.37125509905009</v>
      </c>
      <c r="I219" s="23">
        <v>0</v>
      </c>
      <c r="J219" s="23" t="s">
        <v>88</v>
      </c>
      <c r="K219" s="24">
        <v>44910.000001469911</v>
      </c>
      <c r="L219" s="23">
        <v>1</v>
      </c>
      <c r="M219" s="23" t="s">
        <v>112</v>
      </c>
      <c r="N219" s="25">
        <v>0</v>
      </c>
      <c r="O219" s="26" t="str">
        <f t="shared" si="58"/>
        <v>COIN</v>
      </c>
      <c r="P219" s="26" t="str">
        <f t="shared" si="60"/>
        <v>LONG</v>
      </c>
      <c r="Q219" s="26" t="str">
        <f t="shared" si="61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59"/>
        <v>HUBI</v>
      </c>
      <c r="W219" t="str">
        <f t="shared" si="62"/>
        <v>FTT COIN LONG</v>
      </c>
      <c r="X219" s="94" t="s">
        <v>267</v>
      </c>
    </row>
    <row r="220" spans="1:24" x14ac:dyDescent="0.25">
      <c r="A220">
        <v>270</v>
      </c>
      <c r="B220" s="77">
        <v>44910.000001469911</v>
      </c>
      <c r="C220" s="14" t="s">
        <v>40</v>
      </c>
      <c r="D220" s="23" t="s">
        <v>123</v>
      </c>
      <c r="E220" s="23" t="s">
        <v>137</v>
      </c>
      <c r="F220" s="23">
        <v>54.776400000000002</v>
      </c>
      <c r="G220" s="23">
        <v>126.89314937976</v>
      </c>
      <c r="H220" s="23">
        <v>2.31656606457818</v>
      </c>
      <c r="I220" s="23">
        <v>0</v>
      </c>
      <c r="J220" s="23" t="s">
        <v>88</v>
      </c>
      <c r="K220" s="24">
        <v>44910.000001469911</v>
      </c>
      <c r="L220" s="23">
        <v>1</v>
      </c>
      <c r="M220" s="23" t="s">
        <v>137</v>
      </c>
      <c r="N220" s="25">
        <v>0</v>
      </c>
      <c r="O220" s="26" t="str">
        <f t="shared" si="58"/>
        <v>COIN</v>
      </c>
      <c r="P220" s="26" t="str">
        <f t="shared" si="60"/>
        <v>LONG</v>
      </c>
      <c r="Q220" s="26" t="str">
        <f t="shared" si="61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59"/>
        <v>HUBI</v>
      </c>
      <c r="W220" t="str">
        <f t="shared" si="62"/>
        <v>GAS COIN LONG</v>
      </c>
      <c r="X220" s="94" t="s">
        <v>267</v>
      </c>
    </row>
    <row r="221" spans="1:24" x14ac:dyDescent="0.25">
      <c r="A221">
        <v>271</v>
      </c>
      <c r="B221" s="77">
        <v>44910.000001469911</v>
      </c>
      <c r="C221" s="14" t="s">
        <v>40</v>
      </c>
      <c r="D221" s="23" t="s">
        <v>123</v>
      </c>
      <c r="E221" s="23" t="s">
        <v>138</v>
      </c>
      <c r="F221" s="23">
        <v>3.4060489999999999E-2</v>
      </c>
      <c r="G221" s="23">
        <v>1.5899051850250801E-3</v>
      </c>
      <c r="H221" s="23">
        <v>4.6678870005249097E-2</v>
      </c>
      <c r="I221" s="23">
        <v>0</v>
      </c>
      <c r="J221" s="23" t="s">
        <v>88</v>
      </c>
      <c r="K221" s="24">
        <v>44910.000001469911</v>
      </c>
      <c r="L221" s="23">
        <v>1</v>
      </c>
      <c r="M221" s="23" t="s">
        <v>138</v>
      </c>
      <c r="N221" s="25">
        <v>0</v>
      </c>
      <c r="O221" s="26" t="str">
        <f t="shared" si="58"/>
        <v>COIN</v>
      </c>
      <c r="P221" s="26" t="str">
        <f t="shared" si="60"/>
        <v>LONG</v>
      </c>
      <c r="Q221" s="26" t="str">
        <f t="shared" si="61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59"/>
        <v>HUBI</v>
      </c>
      <c r="W221" t="str">
        <f t="shared" si="62"/>
        <v>HBAR COIN LONG</v>
      </c>
      <c r="X221" s="94" t="s">
        <v>267</v>
      </c>
    </row>
    <row r="222" spans="1:24" x14ac:dyDescent="0.25">
      <c r="A222">
        <v>272</v>
      </c>
      <c r="B222" s="77">
        <v>44910.000001469911</v>
      </c>
      <c r="C222" s="14" t="s">
        <v>40</v>
      </c>
      <c r="D222" s="23" t="s">
        <v>123</v>
      </c>
      <c r="E222" s="23" t="s">
        <v>139</v>
      </c>
      <c r="F222" s="23">
        <v>5337.6979873099999</v>
      </c>
      <c r="G222" s="23">
        <v>4.2889520671411701</v>
      </c>
      <c r="H222" s="23">
        <v>8.0352093305725597E-4</v>
      </c>
      <c r="I222" s="23">
        <v>0</v>
      </c>
      <c r="J222" s="23" t="s">
        <v>88</v>
      </c>
      <c r="K222" s="24">
        <v>44910.000001469911</v>
      </c>
      <c r="L222" s="23">
        <v>1</v>
      </c>
      <c r="M222" s="23" t="s">
        <v>139</v>
      </c>
      <c r="N222" s="25">
        <v>0</v>
      </c>
      <c r="O222" s="26" t="str">
        <f t="shared" si="58"/>
        <v>COIN</v>
      </c>
      <c r="P222" s="26" t="str">
        <f t="shared" si="60"/>
        <v>LONG</v>
      </c>
      <c r="Q222" s="26" t="str">
        <f t="shared" si="61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59"/>
        <v>HUBI</v>
      </c>
      <c r="W222" t="str">
        <f t="shared" si="62"/>
        <v>HPT COIN LONG</v>
      </c>
      <c r="X222" s="94" t="s">
        <v>267</v>
      </c>
    </row>
    <row r="223" spans="1:24" x14ac:dyDescent="0.25">
      <c r="A223">
        <v>273</v>
      </c>
      <c r="B223" s="77">
        <v>44910.000001469911</v>
      </c>
      <c r="C223" s="14" t="s">
        <v>40</v>
      </c>
      <c r="D223" s="23" t="s">
        <v>123</v>
      </c>
      <c r="E223" s="23" t="s">
        <v>140</v>
      </c>
      <c r="F223" s="23">
        <v>2231.62166088</v>
      </c>
      <c r="G223" s="23">
        <v>14057.7194527379</v>
      </c>
      <c r="H223" s="23">
        <v>6.2993291825257502</v>
      </c>
      <c r="I223" s="23">
        <v>0</v>
      </c>
      <c r="J223" s="23" t="s">
        <v>88</v>
      </c>
      <c r="K223" s="24">
        <v>44910.000001469911</v>
      </c>
      <c r="L223" s="23">
        <v>1</v>
      </c>
      <c r="M223" s="23" t="s">
        <v>140</v>
      </c>
      <c r="N223" s="25">
        <v>0</v>
      </c>
      <c r="O223" s="26" t="str">
        <f t="shared" si="58"/>
        <v>COIN</v>
      </c>
      <c r="P223" s="26" t="str">
        <f t="shared" si="60"/>
        <v>LONG</v>
      </c>
      <c r="Q223" s="26" t="str">
        <f t="shared" si="61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59"/>
        <v>HUBI</v>
      </c>
      <c r="W223" t="str">
        <f t="shared" si="62"/>
        <v>HT COIN LONG</v>
      </c>
      <c r="X223" s="94" t="s">
        <v>267</v>
      </c>
    </row>
    <row r="224" spans="1:24" x14ac:dyDescent="0.25">
      <c r="A224">
        <v>274</v>
      </c>
      <c r="B224" s="77">
        <v>44910.000001469911</v>
      </c>
      <c r="C224" s="14" t="s">
        <v>40</v>
      </c>
      <c r="D224" s="23" t="s">
        <v>123</v>
      </c>
      <c r="E224" s="23" t="s">
        <v>142</v>
      </c>
      <c r="F224" s="23">
        <v>14.785856219999999</v>
      </c>
      <c r="G224" s="23">
        <v>0.12275501988460601</v>
      </c>
      <c r="H224" s="23">
        <v>8.3021921800215306E-3</v>
      </c>
      <c r="I224" s="23">
        <v>0</v>
      </c>
      <c r="J224" s="23" t="s">
        <v>88</v>
      </c>
      <c r="K224" s="24">
        <v>44910.000001469911</v>
      </c>
      <c r="L224" s="23">
        <v>1</v>
      </c>
      <c r="M224" s="23" t="s">
        <v>142</v>
      </c>
      <c r="N224" s="25">
        <v>0</v>
      </c>
      <c r="O224" s="26" t="str">
        <f t="shared" si="58"/>
        <v>COIN</v>
      </c>
      <c r="P224" s="26" t="str">
        <f t="shared" si="60"/>
        <v>LONG</v>
      </c>
      <c r="Q224" s="26" t="str">
        <f t="shared" si="61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59"/>
        <v>HUBI</v>
      </c>
      <c r="W224" t="str">
        <f t="shared" si="62"/>
        <v>IOST COIN LONG</v>
      </c>
      <c r="X224" s="94" t="s">
        <v>267</v>
      </c>
    </row>
    <row r="225" spans="1:24" x14ac:dyDescent="0.25">
      <c r="A225">
        <v>275</v>
      </c>
      <c r="B225" s="77">
        <v>44910.000001469911</v>
      </c>
      <c r="C225" s="14" t="s">
        <v>40</v>
      </c>
      <c r="D225" s="23" t="s">
        <v>123</v>
      </c>
      <c r="E225" s="23" t="s">
        <v>143</v>
      </c>
      <c r="F225" s="23">
        <v>0.81765067999999996</v>
      </c>
      <c r="G225" s="23">
        <v>1.1601565558051599E-2</v>
      </c>
      <c r="H225" s="23">
        <v>1.41889022315148E-2</v>
      </c>
      <c r="I225" s="23">
        <v>0</v>
      </c>
      <c r="J225" s="23" t="s">
        <v>88</v>
      </c>
      <c r="K225" s="24">
        <v>44910.000001469911</v>
      </c>
      <c r="L225" s="23">
        <v>1</v>
      </c>
      <c r="M225" s="23" t="s">
        <v>143</v>
      </c>
      <c r="N225" s="25">
        <v>0</v>
      </c>
      <c r="O225" s="26" t="str">
        <f t="shared" si="58"/>
        <v>COIN</v>
      </c>
      <c r="P225" s="26" t="str">
        <f t="shared" si="60"/>
        <v>LONG</v>
      </c>
      <c r="Q225" s="26" t="str">
        <f t="shared" si="61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59"/>
        <v>HUBI</v>
      </c>
      <c r="W225" t="str">
        <f t="shared" si="62"/>
        <v>IRIS COIN LONG</v>
      </c>
      <c r="X225" s="94" t="s">
        <v>267</v>
      </c>
    </row>
    <row r="226" spans="1:24" x14ac:dyDescent="0.25">
      <c r="A226">
        <v>276</v>
      </c>
      <c r="B226" s="77">
        <v>44910.000001469911</v>
      </c>
      <c r="C226" s="14" t="s">
        <v>40</v>
      </c>
      <c r="D226" s="23" t="s">
        <v>123</v>
      </c>
      <c r="E226" s="23" t="s">
        <v>144</v>
      </c>
      <c r="F226" s="23">
        <v>9.1121815000000002</v>
      </c>
      <c r="G226" s="23">
        <v>0.20402093989553599</v>
      </c>
      <c r="H226" s="23">
        <v>2.2389911778594E-2</v>
      </c>
      <c r="I226" s="23">
        <v>0</v>
      </c>
      <c r="J226" s="23" t="s">
        <v>88</v>
      </c>
      <c r="K226" s="24">
        <v>44910.000001469911</v>
      </c>
      <c r="L226" s="23">
        <v>1</v>
      </c>
      <c r="M226" s="23" t="s">
        <v>144</v>
      </c>
      <c r="N226" s="25">
        <v>0</v>
      </c>
      <c r="O226" s="26" t="str">
        <f t="shared" si="58"/>
        <v>COIN</v>
      </c>
      <c r="P226" s="26" t="str">
        <f t="shared" si="60"/>
        <v>LONG</v>
      </c>
      <c r="Q226" s="26" t="str">
        <f t="shared" si="61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59"/>
        <v>HUBI</v>
      </c>
      <c r="W226" t="str">
        <f t="shared" si="62"/>
        <v>JST COIN LONG</v>
      </c>
      <c r="X226" s="94" t="s">
        <v>267</v>
      </c>
    </row>
    <row r="227" spans="1:24" x14ac:dyDescent="0.25">
      <c r="A227">
        <v>277</v>
      </c>
      <c r="B227" s="77">
        <v>44910.000001469911</v>
      </c>
      <c r="C227" s="14" t="s">
        <v>40</v>
      </c>
      <c r="D227" s="23" t="s">
        <v>123</v>
      </c>
      <c r="E227" s="23" t="s">
        <v>44</v>
      </c>
      <c r="F227" s="23">
        <v>1.4966E-4</v>
      </c>
      <c r="G227" s="23">
        <v>4.1227324713276198E-3</v>
      </c>
      <c r="H227" s="23">
        <v>27.547323742667501</v>
      </c>
      <c r="I227" s="23">
        <v>0</v>
      </c>
      <c r="J227" s="23" t="s">
        <v>88</v>
      </c>
      <c r="K227" s="24">
        <v>44910.000001469911</v>
      </c>
      <c r="L227" s="23">
        <v>1</v>
      </c>
      <c r="M227" s="23" t="s">
        <v>44</v>
      </c>
      <c r="N227" s="25">
        <v>0</v>
      </c>
      <c r="O227" s="26" t="str">
        <f t="shared" si="58"/>
        <v>COIN</v>
      </c>
      <c r="P227" s="26" t="str">
        <f t="shared" si="60"/>
        <v>LONG</v>
      </c>
      <c r="Q227" s="26" t="str">
        <f t="shared" si="61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59"/>
        <v>HUBI</v>
      </c>
      <c r="W227" t="str">
        <f t="shared" si="62"/>
        <v>KSM COIN LONG</v>
      </c>
      <c r="X227" s="94" t="s">
        <v>267</v>
      </c>
    </row>
    <row r="228" spans="1:24" x14ac:dyDescent="0.25">
      <c r="A228">
        <v>278</v>
      </c>
      <c r="B228" s="77">
        <v>44910.000001469911</v>
      </c>
      <c r="C228" s="14" t="s">
        <v>40</v>
      </c>
      <c r="D228" s="23" t="s">
        <v>123</v>
      </c>
      <c r="E228" s="23" t="s">
        <v>145</v>
      </c>
      <c r="F228" s="23">
        <v>0.24234807999999999</v>
      </c>
      <c r="G228" s="23">
        <v>3.0911104955718202E-4</v>
      </c>
      <c r="H228" s="23">
        <v>1.27548379816825E-3</v>
      </c>
      <c r="I228" s="23">
        <v>0</v>
      </c>
      <c r="J228" s="23" t="s">
        <v>88</v>
      </c>
      <c r="K228" s="24">
        <v>44910.000001469911</v>
      </c>
      <c r="L228" s="23">
        <v>1</v>
      </c>
      <c r="M228" s="23" t="s">
        <v>145</v>
      </c>
      <c r="N228" s="25">
        <v>0</v>
      </c>
      <c r="O228" s="26" t="str">
        <f t="shared" si="58"/>
        <v>COIN</v>
      </c>
      <c r="P228" s="26" t="str">
        <f t="shared" si="60"/>
        <v>LONG</v>
      </c>
      <c r="Q228" s="26" t="str">
        <f t="shared" si="61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59"/>
        <v>HUBI</v>
      </c>
      <c r="W228" t="str">
        <f t="shared" si="62"/>
        <v>LAMB COIN LONG</v>
      </c>
      <c r="X228" s="94" t="s">
        <v>267</v>
      </c>
    </row>
    <row r="229" spans="1:24" x14ac:dyDescent="0.25">
      <c r="A229">
        <v>279</v>
      </c>
      <c r="B229" s="77">
        <v>44910.000001469911</v>
      </c>
      <c r="C229" s="14" t="s">
        <v>40</v>
      </c>
      <c r="D229" s="23" t="s">
        <v>123</v>
      </c>
      <c r="E229" s="23" t="s">
        <v>146</v>
      </c>
      <c r="F229" s="23">
        <v>1E-8</v>
      </c>
      <c r="G229" s="23">
        <v>0</v>
      </c>
      <c r="H229" s="23">
        <v>0</v>
      </c>
      <c r="I229" s="23">
        <v>0</v>
      </c>
      <c r="J229" s="23" t="s">
        <v>88</v>
      </c>
      <c r="K229" s="24">
        <v>44910.000001469911</v>
      </c>
      <c r="L229" s="23">
        <v>1</v>
      </c>
      <c r="M229" s="23" t="s">
        <v>146</v>
      </c>
      <c r="N229" s="25">
        <v>0</v>
      </c>
      <c r="O229" s="26" t="str">
        <f t="shared" si="58"/>
        <v>COIN</v>
      </c>
      <c r="P229" s="26" t="str">
        <f t="shared" si="60"/>
        <v>SHORT</v>
      </c>
      <c r="Q229" s="26" t="str">
        <f t="shared" si="61"/>
        <v>COIN SHORT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59"/>
        <v>HUBI</v>
      </c>
      <c r="W229" t="str">
        <f t="shared" si="62"/>
        <v>LEND COIN SHORT</v>
      </c>
      <c r="X229" s="94" t="s">
        <v>267</v>
      </c>
    </row>
    <row r="230" spans="1:24" x14ac:dyDescent="0.25">
      <c r="A230">
        <v>280</v>
      </c>
      <c r="B230" s="77">
        <v>44910.000001469911</v>
      </c>
      <c r="C230" s="14" t="s">
        <v>40</v>
      </c>
      <c r="D230" s="23" t="s">
        <v>123</v>
      </c>
      <c r="E230" s="23" t="s">
        <v>28</v>
      </c>
      <c r="F230" s="23">
        <v>24008.678678230001</v>
      </c>
      <c r="G230" s="23">
        <v>161550.27071578801</v>
      </c>
      <c r="H230" s="23">
        <v>6.72882805759214</v>
      </c>
      <c r="I230" s="23">
        <v>0</v>
      </c>
      <c r="J230" s="23" t="s">
        <v>88</v>
      </c>
      <c r="K230" s="24">
        <v>44910.000001469911</v>
      </c>
      <c r="L230" s="23">
        <v>1</v>
      </c>
      <c r="M230" s="23" t="s">
        <v>28</v>
      </c>
      <c r="N230" s="25">
        <v>0</v>
      </c>
      <c r="O230" s="26" t="str">
        <f t="shared" si="58"/>
        <v>COIN</v>
      </c>
      <c r="P230" s="26" t="str">
        <f t="shared" si="60"/>
        <v>LONG</v>
      </c>
      <c r="Q230" s="26" t="str">
        <f t="shared" si="61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59"/>
        <v>HUBI</v>
      </c>
      <c r="W230" t="str">
        <f t="shared" si="62"/>
        <v>LINK COIN LONG</v>
      </c>
      <c r="X230" s="94" t="s">
        <v>267</v>
      </c>
    </row>
    <row r="231" spans="1:24" x14ac:dyDescent="0.25">
      <c r="A231">
        <v>281</v>
      </c>
      <c r="B231" s="77">
        <v>44910.000001469911</v>
      </c>
      <c r="C231" s="14" t="s">
        <v>40</v>
      </c>
      <c r="D231" s="23" t="s">
        <v>123</v>
      </c>
      <c r="E231" s="23" t="s">
        <v>147</v>
      </c>
      <c r="F231" s="23">
        <v>4.3289484800000002</v>
      </c>
      <c r="G231" s="23">
        <v>1.23866429375467E-6</v>
      </c>
      <c r="H231" s="23">
        <v>2.8613514332115E-7</v>
      </c>
      <c r="I231" s="23">
        <v>0</v>
      </c>
      <c r="J231" s="23" t="s">
        <v>88</v>
      </c>
      <c r="K231" s="24">
        <v>44910.000001469911</v>
      </c>
      <c r="L231" s="23">
        <v>1</v>
      </c>
      <c r="M231" s="23" t="s">
        <v>147</v>
      </c>
      <c r="N231" s="25">
        <v>0</v>
      </c>
      <c r="O231" s="26" t="str">
        <f t="shared" si="58"/>
        <v>COIN</v>
      </c>
      <c r="P231" s="26" t="str">
        <f t="shared" si="60"/>
        <v>LONG</v>
      </c>
      <c r="Q231" s="26" t="str">
        <f t="shared" si="61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59"/>
        <v>HUBI</v>
      </c>
      <c r="W231" t="str">
        <f t="shared" si="62"/>
        <v>LOL COIN LONG</v>
      </c>
      <c r="X231" s="94" t="s">
        <v>267</v>
      </c>
    </row>
    <row r="232" spans="1:24" x14ac:dyDescent="0.25">
      <c r="A232">
        <v>282</v>
      </c>
      <c r="B232" s="77">
        <v>44910.000001469911</v>
      </c>
      <c r="C232" s="14" t="s">
        <v>40</v>
      </c>
      <c r="D232" s="23" t="s">
        <v>123</v>
      </c>
      <c r="E232" s="23" t="s">
        <v>25</v>
      </c>
      <c r="F232" s="23">
        <v>8986.5232711400004</v>
      </c>
      <c r="G232" s="23">
        <v>678265.60506538104</v>
      </c>
      <c r="H232" s="23">
        <v>75.475863646134997</v>
      </c>
      <c r="I232" s="23">
        <v>0</v>
      </c>
      <c r="J232" s="23" t="s">
        <v>88</v>
      </c>
      <c r="K232" s="24">
        <v>44910.000001469911</v>
      </c>
      <c r="L232" s="23">
        <v>1</v>
      </c>
      <c r="M232" s="23" t="s">
        <v>25</v>
      </c>
      <c r="N232" s="25">
        <v>0</v>
      </c>
      <c r="O232" s="26" t="str">
        <f t="shared" si="58"/>
        <v>COIN</v>
      </c>
      <c r="P232" s="26" t="str">
        <f t="shared" si="60"/>
        <v>LONG</v>
      </c>
      <c r="Q232" s="26" t="str">
        <f t="shared" si="61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59"/>
        <v>HUBI</v>
      </c>
      <c r="W232" t="str">
        <f t="shared" si="62"/>
        <v>LTC COIN LONG</v>
      </c>
      <c r="X232" s="94" t="s">
        <v>267</v>
      </c>
    </row>
    <row r="233" spans="1:24" x14ac:dyDescent="0.25">
      <c r="A233">
        <v>283</v>
      </c>
      <c r="B233" s="77">
        <v>44910.000001469911</v>
      </c>
      <c r="C233" s="14" t="s">
        <v>40</v>
      </c>
      <c r="D233" s="23" t="s">
        <v>123</v>
      </c>
      <c r="E233" s="23" t="s">
        <v>148</v>
      </c>
      <c r="F233" s="23">
        <v>0.66495972999999997</v>
      </c>
      <c r="G233" s="23">
        <v>1.4231638225488101E-4</v>
      </c>
      <c r="H233" s="23">
        <v>2.1402255780945099E-4</v>
      </c>
      <c r="I233" s="23">
        <v>0</v>
      </c>
      <c r="J233" s="23" t="s">
        <v>88</v>
      </c>
      <c r="K233" s="24">
        <v>44910.000001469911</v>
      </c>
      <c r="L233" s="23">
        <v>1</v>
      </c>
      <c r="M233" s="23" t="s">
        <v>148</v>
      </c>
      <c r="N233" s="25">
        <v>0</v>
      </c>
      <c r="O233" s="26" t="str">
        <f t="shared" si="58"/>
        <v>COIN</v>
      </c>
      <c r="P233" s="26" t="str">
        <f t="shared" si="60"/>
        <v>LONG</v>
      </c>
      <c r="Q233" s="26" t="str">
        <f t="shared" si="61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59"/>
        <v>HUBI</v>
      </c>
      <c r="W233" t="str">
        <f t="shared" si="62"/>
        <v>LXT COIN LONG</v>
      </c>
      <c r="X233" s="94" t="s">
        <v>267</v>
      </c>
    </row>
    <row r="234" spans="1:24" x14ac:dyDescent="0.25">
      <c r="A234">
        <v>284</v>
      </c>
      <c r="B234" s="77">
        <v>44910.000001469911</v>
      </c>
      <c r="C234" s="14" t="s">
        <v>40</v>
      </c>
      <c r="D234" s="23" t="s">
        <v>123</v>
      </c>
      <c r="E234" s="23" t="s">
        <v>195</v>
      </c>
      <c r="F234" s="23">
        <v>0.34</v>
      </c>
      <c r="G234" s="23">
        <v>0.129832534504292</v>
      </c>
      <c r="H234" s="23">
        <v>0.38186039560085799</v>
      </c>
      <c r="I234" s="23">
        <v>0</v>
      </c>
      <c r="J234" s="23" t="s">
        <v>88</v>
      </c>
      <c r="K234" s="24">
        <v>44910.000001469911</v>
      </c>
      <c r="L234" s="23">
        <v>1</v>
      </c>
      <c r="M234" s="23" t="s">
        <v>195</v>
      </c>
      <c r="N234" s="25">
        <v>0</v>
      </c>
      <c r="O234" s="26" t="str">
        <f t="shared" si="58"/>
        <v>COIN</v>
      </c>
      <c r="P234" s="26" t="str">
        <f t="shared" si="60"/>
        <v>LONG</v>
      </c>
      <c r="Q234" s="26" t="str">
        <f t="shared" si="61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59"/>
        <v>HUBI</v>
      </c>
      <c r="W234" t="str">
        <f t="shared" si="62"/>
        <v>MANA COIN LONG</v>
      </c>
      <c r="X234" s="94" t="s">
        <v>267</v>
      </c>
    </row>
    <row r="235" spans="1:24" x14ac:dyDescent="0.25">
      <c r="A235">
        <v>285</v>
      </c>
      <c r="B235" s="77">
        <v>44910.000001469911</v>
      </c>
      <c r="C235" s="14" t="s">
        <v>40</v>
      </c>
      <c r="D235" s="23" t="s">
        <v>123</v>
      </c>
      <c r="E235" s="23" t="s">
        <v>149</v>
      </c>
      <c r="F235" s="23">
        <v>0.89105878000000005</v>
      </c>
      <c r="G235" s="23">
        <v>6.3936605193977698</v>
      </c>
      <c r="H235" s="23">
        <v>7.1753521349037896</v>
      </c>
      <c r="I235" s="23">
        <v>0</v>
      </c>
      <c r="J235" s="23" t="s">
        <v>88</v>
      </c>
      <c r="K235" s="24">
        <v>44910.000001469911</v>
      </c>
      <c r="L235" s="23">
        <v>1</v>
      </c>
      <c r="M235" s="23" t="s">
        <v>149</v>
      </c>
      <c r="N235" s="25">
        <v>0</v>
      </c>
      <c r="O235" s="26" t="str">
        <f t="shared" si="58"/>
        <v>COIN</v>
      </c>
      <c r="P235" s="26" t="str">
        <f t="shared" si="60"/>
        <v>LONG</v>
      </c>
      <c r="Q235" s="26" t="str">
        <f t="shared" si="61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59"/>
        <v>HUBI</v>
      </c>
      <c r="W235" t="str">
        <f t="shared" si="62"/>
        <v>NEO COIN LONG</v>
      </c>
      <c r="X235" s="94" t="s">
        <v>267</v>
      </c>
    </row>
    <row r="236" spans="1:24" x14ac:dyDescent="0.25">
      <c r="A236">
        <v>286</v>
      </c>
      <c r="B236" s="77">
        <v>44910.000001469911</v>
      </c>
      <c r="C236" s="14" t="s">
        <v>40</v>
      </c>
      <c r="D236" s="23" t="s">
        <v>123</v>
      </c>
      <c r="E236" s="23" t="s">
        <v>150</v>
      </c>
      <c r="F236" s="23">
        <v>40.704174029999997</v>
      </c>
      <c r="G236" s="23">
        <v>6.95299664114117E-3</v>
      </c>
      <c r="H236" s="23">
        <v>1.7081777991654199E-4</v>
      </c>
      <c r="I236" s="23">
        <v>0</v>
      </c>
      <c r="J236" s="23" t="s">
        <v>88</v>
      </c>
      <c r="K236" s="24">
        <v>44910.000001469911</v>
      </c>
      <c r="L236" s="23">
        <v>1</v>
      </c>
      <c r="M236" s="23" t="s">
        <v>150</v>
      </c>
      <c r="N236" s="25">
        <v>0</v>
      </c>
      <c r="O236" s="26" t="str">
        <f t="shared" si="58"/>
        <v>COIN</v>
      </c>
      <c r="P236" s="26" t="str">
        <f t="shared" si="60"/>
        <v>LONG</v>
      </c>
      <c r="Q236" s="26" t="str">
        <f t="shared" si="61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59"/>
        <v>HUBI</v>
      </c>
      <c r="W236" t="str">
        <f t="shared" si="62"/>
        <v>NEW COIN LONG</v>
      </c>
      <c r="X236" s="94" t="s">
        <v>267</v>
      </c>
    </row>
    <row r="237" spans="1:24" x14ac:dyDescent="0.25">
      <c r="A237">
        <v>287</v>
      </c>
      <c r="B237" s="77">
        <v>44910.000001469911</v>
      </c>
      <c r="C237" s="14" t="s">
        <v>40</v>
      </c>
      <c r="D237" s="23" t="s">
        <v>123</v>
      </c>
      <c r="E237" s="23" t="s">
        <v>151</v>
      </c>
      <c r="F237" s="23">
        <v>3045130004.3544402</v>
      </c>
      <c r="G237" s="23">
        <v>1441.74270216525</v>
      </c>
      <c r="H237" s="23">
        <v>4.7345850591062001E-7</v>
      </c>
      <c r="I237" s="23">
        <v>0</v>
      </c>
      <c r="J237" s="23" t="s">
        <v>88</v>
      </c>
      <c r="K237" s="24">
        <v>44910.000001469911</v>
      </c>
      <c r="L237" s="23">
        <v>1</v>
      </c>
      <c r="M237" s="23" t="s">
        <v>151</v>
      </c>
      <c r="N237" s="25">
        <v>0</v>
      </c>
      <c r="O237" s="26" t="str">
        <f t="shared" si="58"/>
        <v>COIN</v>
      </c>
      <c r="P237" s="26" t="str">
        <f t="shared" si="60"/>
        <v>LONG</v>
      </c>
      <c r="Q237" s="26" t="str">
        <f t="shared" si="61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59"/>
        <v>HUBI</v>
      </c>
      <c r="W237" t="str">
        <f t="shared" si="62"/>
        <v>NFT COIN LONG</v>
      </c>
      <c r="X237" s="94" t="s">
        <v>267</v>
      </c>
    </row>
    <row r="238" spans="1:24" x14ac:dyDescent="0.25">
      <c r="A238">
        <v>288</v>
      </c>
      <c r="B238" s="77">
        <v>44910.000001469911</v>
      </c>
      <c r="C238" s="14" t="s">
        <v>40</v>
      </c>
      <c r="D238" s="23" t="s">
        <v>123</v>
      </c>
      <c r="E238" s="23" t="s">
        <v>152</v>
      </c>
      <c r="F238" s="23">
        <v>4.3068300000000002E-3</v>
      </c>
      <c r="G238" s="23">
        <v>9.1859295588851404E-4</v>
      </c>
      <c r="H238" s="23">
        <v>0.213287488916097</v>
      </c>
      <c r="I238" s="23">
        <v>0</v>
      </c>
      <c r="J238" s="23" t="s">
        <v>88</v>
      </c>
      <c r="K238" s="24">
        <v>44910.000001469911</v>
      </c>
      <c r="L238" s="23">
        <v>1</v>
      </c>
      <c r="M238" s="23" t="s">
        <v>152</v>
      </c>
      <c r="N238" s="25">
        <v>0</v>
      </c>
      <c r="O238" s="26" t="str">
        <f t="shared" si="58"/>
        <v>COIN</v>
      </c>
      <c r="P238" s="26" t="str">
        <f t="shared" si="60"/>
        <v>LONG</v>
      </c>
      <c r="Q238" s="26" t="str">
        <f t="shared" si="61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59"/>
        <v>HUBI</v>
      </c>
      <c r="W238" t="str">
        <f t="shared" si="62"/>
        <v>NULS COIN LONG</v>
      </c>
      <c r="X238" s="94" t="s">
        <v>267</v>
      </c>
    </row>
    <row r="239" spans="1:24" x14ac:dyDescent="0.25">
      <c r="A239">
        <v>289</v>
      </c>
      <c r="B239" s="77">
        <v>44910.000001469911</v>
      </c>
      <c r="C239" s="14" t="s">
        <v>40</v>
      </c>
      <c r="D239" s="23" t="s">
        <v>123</v>
      </c>
      <c r="E239" s="23" t="s">
        <v>154</v>
      </c>
      <c r="F239" s="23">
        <v>0.34782034000000001</v>
      </c>
      <c r="G239" s="23">
        <v>9.2591922833754503E-2</v>
      </c>
      <c r="H239" s="23">
        <v>0.26620617653859602</v>
      </c>
      <c r="I239" s="23">
        <v>0</v>
      </c>
      <c r="J239" s="23" t="s">
        <v>88</v>
      </c>
      <c r="K239" s="24">
        <v>44910.000001469911</v>
      </c>
      <c r="L239" s="23">
        <v>1</v>
      </c>
      <c r="M239" s="23" t="s">
        <v>154</v>
      </c>
      <c r="N239" s="25">
        <v>0</v>
      </c>
      <c r="O239" s="26" t="str">
        <f t="shared" si="58"/>
        <v>COIN</v>
      </c>
      <c r="P239" s="26" t="str">
        <f t="shared" si="60"/>
        <v>LONG</v>
      </c>
      <c r="Q239" s="26" t="str">
        <f t="shared" si="61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59"/>
        <v>HUBI</v>
      </c>
      <c r="W239" t="str">
        <f t="shared" si="62"/>
        <v>ONG COIN LONG</v>
      </c>
      <c r="X239" s="94" t="s">
        <v>267</v>
      </c>
    </row>
    <row r="240" spans="1:24" x14ac:dyDescent="0.25">
      <c r="A240">
        <v>290</v>
      </c>
      <c r="B240" s="77">
        <v>44910.000001469911</v>
      </c>
      <c r="C240" s="14" t="s">
        <v>40</v>
      </c>
      <c r="D240" s="23" t="s">
        <v>123</v>
      </c>
      <c r="E240" s="23" t="s">
        <v>92</v>
      </c>
      <c r="F240" s="23">
        <v>787825.66037626006</v>
      </c>
      <c r="G240" s="23">
        <v>63954.010122330197</v>
      </c>
      <c r="H240" s="23">
        <v>8.1177871372945895E-2</v>
      </c>
      <c r="I240" s="23">
        <v>0</v>
      </c>
      <c r="J240" s="23" t="s">
        <v>88</v>
      </c>
      <c r="K240" s="24">
        <v>44910.000001469911</v>
      </c>
      <c r="L240" s="23">
        <v>1</v>
      </c>
      <c r="M240" s="23" t="s">
        <v>92</v>
      </c>
      <c r="N240" s="25">
        <v>0</v>
      </c>
      <c r="O240" s="26" t="str">
        <f t="shared" si="58"/>
        <v>COIN</v>
      </c>
      <c r="P240" s="26" t="str">
        <f t="shared" si="60"/>
        <v>LONG</v>
      </c>
      <c r="Q240" s="26" t="str">
        <f t="shared" si="61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59"/>
        <v>HUBI</v>
      </c>
      <c r="W240" t="str">
        <f t="shared" si="62"/>
        <v>OXT COIN LONG</v>
      </c>
      <c r="X240" s="94" t="s">
        <v>267</v>
      </c>
    </row>
    <row r="241" spans="1:24" x14ac:dyDescent="0.25">
      <c r="A241">
        <v>291</v>
      </c>
      <c r="B241" s="77">
        <v>44910.000001469911</v>
      </c>
      <c r="C241" s="14" t="s">
        <v>40</v>
      </c>
      <c r="D241" s="23" t="s">
        <v>123</v>
      </c>
      <c r="E241" s="23" t="s">
        <v>155</v>
      </c>
      <c r="F241" s="23">
        <v>3.0962099999999998E-3</v>
      </c>
      <c r="G241" s="23">
        <v>7.3057120862182502E-3</v>
      </c>
      <c r="H241" s="23">
        <v>2.3595660779527998</v>
      </c>
      <c r="I241" s="23">
        <v>0</v>
      </c>
      <c r="J241" s="23" t="s">
        <v>88</v>
      </c>
      <c r="K241" s="24">
        <v>44910.000001469911</v>
      </c>
      <c r="L241" s="23">
        <v>1</v>
      </c>
      <c r="M241" s="23" t="s">
        <v>155</v>
      </c>
      <c r="N241" s="25">
        <v>0</v>
      </c>
      <c r="O241" s="26" t="str">
        <f t="shared" si="58"/>
        <v>COIN</v>
      </c>
      <c r="P241" s="26" t="str">
        <f t="shared" si="60"/>
        <v>LONG</v>
      </c>
      <c r="Q241" s="26" t="str">
        <f t="shared" si="61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59"/>
        <v>HUBI</v>
      </c>
      <c r="W241" t="str">
        <f t="shared" si="62"/>
        <v>QTUM COIN LONG</v>
      </c>
      <c r="X241" s="94" t="s">
        <v>267</v>
      </c>
    </row>
    <row r="242" spans="1:24" x14ac:dyDescent="0.25">
      <c r="A242">
        <v>292</v>
      </c>
      <c r="B242" s="77">
        <v>44910.000001469911</v>
      </c>
      <c r="C242" s="14" t="s">
        <v>40</v>
      </c>
      <c r="D242" s="23" t="s">
        <v>123</v>
      </c>
      <c r="E242" s="23" t="s">
        <v>156</v>
      </c>
      <c r="F242" s="23">
        <v>2.6598900000000002E-2</v>
      </c>
      <c r="G242" s="23">
        <v>6.6126062963526102E-4</v>
      </c>
      <c r="H242" s="23">
        <v>2.4860450230470399E-2</v>
      </c>
      <c r="I242" s="23">
        <v>0</v>
      </c>
      <c r="J242" s="23" t="s">
        <v>88</v>
      </c>
      <c r="K242" s="24">
        <v>44910.000001469911</v>
      </c>
      <c r="L242" s="23">
        <v>1</v>
      </c>
      <c r="M242" s="23" t="s">
        <v>156</v>
      </c>
      <c r="N242" s="25">
        <v>0</v>
      </c>
      <c r="O242" s="26" t="str">
        <f t="shared" si="58"/>
        <v>COIN</v>
      </c>
      <c r="P242" s="26" t="str">
        <f t="shared" si="60"/>
        <v>LONG</v>
      </c>
      <c r="Q242" s="26" t="str">
        <f t="shared" si="61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59"/>
        <v>HUBI</v>
      </c>
      <c r="W242" t="str">
        <f t="shared" si="62"/>
        <v>REI COIN LONG</v>
      </c>
      <c r="X242" s="94" t="s">
        <v>267</v>
      </c>
    </row>
    <row r="243" spans="1:24" x14ac:dyDescent="0.25">
      <c r="A243">
        <v>293</v>
      </c>
      <c r="B243" s="77">
        <v>44910.000001469911</v>
      </c>
      <c r="C243" s="14" t="s">
        <v>40</v>
      </c>
      <c r="D243" s="23" t="s">
        <v>123</v>
      </c>
      <c r="E243" s="23" t="s">
        <v>101</v>
      </c>
      <c r="F243" s="23">
        <v>1214222.2371159999</v>
      </c>
      <c r="G243" s="23">
        <v>14448.8413958525</v>
      </c>
      <c r="H243" s="23">
        <v>1.1899667914311201E-2</v>
      </c>
      <c r="I243" s="23">
        <v>0</v>
      </c>
      <c r="J243" s="23" t="s">
        <v>88</v>
      </c>
      <c r="K243" s="24">
        <v>44910.000001469911</v>
      </c>
      <c r="L243" s="23">
        <v>1</v>
      </c>
      <c r="M243" s="23" t="s">
        <v>101</v>
      </c>
      <c r="N243" s="25">
        <v>0</v>
      </c>
      <c r="O243" s="26" t="str">
        <f t="shared" si="58"/>
        <v>COIN</v>
      </c>
      <c r="P243" s="26" t="str">
        <f t="shared" si="60"/>
        <v>LONG</v>
      </c>
      <c r="Q243" s="26" t="str">
        <f t="shared" si="61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59"/>
        <v>HUBI</v>
      </c>
      <c r="W243" t="str">
        <f t="shared" si="62"/>
        <v>SGB COIN LONG</v>
      </c>
      <c r="X243" s="94" t="s">
        <v>267</v>
      </c>
    </row>
    <row r="244" spans="1:24" x14ac:dyDescent="0.25">
      <c r="A244">
        <v>294</v>
      </c>
      <c r="B244" s="77">
        <v>44910.000001469911</v>
      </c>
      <c r="C244" s="14" t="s">
        <v>40</v>
      </c>
      <c r="D244" s="23" t="s">
        <v>123</v>
      </c>
      <c r="E244" s="23" t="s">
        <v>38</v>
      </c>
      <c r="F244" s="23">
        <v>1387387.30453923</v>
      </c>
      <c r="G244" s="23">
        <v>12.448687997758499</v>
      </c>
      <c r="H244" s="23">
        <v>8.9727561705582505E-6</v>
      </c>
      <c r="I244" s="23">
        <v>0</v>
      </c>
      <c r="J244" s="23" t="s">
        <v>88</v>
      </c>
      <c r="K244" s="24">
        <v>44910.000001469911</v>
      </c>
      <c r="L244" s="23">
        <v>1</v>
      </c>
      <c r="M244" s="23" t="s">
        <v>38</v>
      </c>
      <c r="N244" s="25">
        <v>0</v>
      </c>
      <c r="O244" s="26" t="str">
        <f t="shared" si="58"/>
        <v>COIN</v>
      </c>
      <c r="P244" s="26" t="str">
        <f t="shared" si="60"/>
        <v>LONG</v>
      </c>
      <c r="Q244" s="26" t="str">
        <f t="shared" si="61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59"/>
        <v>HUBI</v>
      </c>
      <c r="W244" t="str">
        <f t="shared" si="62"/>
        <v>SHIB COIN LONG</v>
      </c>
      <c r="X244" s="94" t="s">
        <v>267</v>
      </c>
    </row>
    <row r="245" spans="1:24" x14ac:dyDescent="0.25">
      <c r="A245">
        <v>295</v>
      </c>
      <c r="B245" s="77">
        <v>44910.000001469911</v>
      </c>
      <c r="C245" s="14" t="s">
        <v>40</v>
      </c>
      <c r="D245" s="23" t="s">
        <v>123</v>
      </c>
      <c r="E245" s="23" t="s">
        <v>157</v>
      </c>
      <c r="F245" s="23">
        <v>0.14106867000000001</v>
      </c>
      <c r="G245" s="23">
        <v>1.99478522395709</v>
      </c>
      <c r="H245" s="23">
        <v>14.1405261987448</v>
      </c>
      <c r="I245" s="23">
        <v>0</v>
      </c>
      <c r="J245" s="23" t="s">
        <v>88</v>
      </c>
      <c r="K245" s="24">
        <v>44910.000001469911</v>
      </c>
      <c r="L245" s="23">
        <v>1</v>
      </c>
      <c r="M245" s="23" t="s">
        <v>157</v>
      </c>
      <c r="N245" s="25">
        <v>0</v>
      </c>
      <c r="O245" s="26" t="str">
        <f t="shared" si="58"/>
        <v>COIN</v>
      </c>
      <c r="P245" s="26" t="str">
        <f t="shared" si="60"/>
        <v>LONG</v>
      </c>
      <c r="Q245" s="26" t="str">
        <f t="shared" si="61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59"/>
        <v>HUBI</v>
      </c>
      <c r="W245" t="str">
        <f t="shared" si="62"/>
        <v>SOL COIN LONG</v>
      </c>
      <c r="X245" s="94" t="s">
        <v>267</v>
      </c>
    </row>
    <row r="246" spans="1:24" x14ac:dyDescent="0.25">
      <c r="A246">
        <v>296</v>
      </c>
      <c r="B246" s="77">
        <v>44910.000001469911</v>
      </c>
      <c r="C246" s="14" t="s">
        <v>40</v>
      </c>
      <c r="D246" s="23" t="s">
        <v>123</v>
      </c>
      <c r="E246" s="23" t="s">
        <v>158</v>
      </c>
      <c r="F246" s="23">
        <v>38753.774400000002</v>
      </c>
      <c r="G246" s="23">
        <v>5874.2456954794798</v>
      </c>
      <c r="H246" s="23">
        <v>0.15157867295319399</v>
      </c>
      <c r="I246" s="23">
        <v>0</v>
      </c>
      <c r="J246" s="23" t="s">
        <v>88</v>
      </c>
      <c r="K246" s="24">
        <v>44910.000001469911</v>
      </c>
      <c r="L246" s="23">
        <v>1</v>
      </c>
      <c r="M246" s="23" t="s">
        <v>158</v>
      </c>
      <c r="N246" s="25">
        <v>0</v>
      </c>
      <c r="O246" s="26" t="str">
        <f t="shared" si="58"/>
        <v>COIN</v>
      </c>
      <c r="P246" s="26" t="str">
        <f t="shared" si="60"/>
        <v>LONG</v>
      </c>
      <c r="Q246" s="26" t="str">
        <f t="shared" si="61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59"/>
        <v>HUBI</v>
      </c>
      <c r="W246" t="str">
        <f t="shared" si="62"/>
        <v>SOLO COIN LONG</v>
      </c>
      <c r="X246" s="94" t="s">
        <v>267</v>
      </c>
    </row>
    <row r="247" spans="1:24" x14ac:dyDescent="0.25">
      <c r="A247">
        <v>297</v>
      </c>
      <c r="B247" s="77">
        <v>44910.000001469911</v>
      </c>
      <c r="C247" s="14" t="s">
        <v>40</v>
      </c>
      <c r="D247" s="23" t="s">
        <v>123</v>
      </c>
      <c r="E247" s="23" t="s">
        <v>159</v>
      </c>
      <c r="F247" s="23">
        <v>29.76350429</v>
      </c>
      <c r="G247" s="23">
        <v>9.9667326333820299</v>
      </c>
      <c r="H247" s="23">
        <v>0.33486421949080297</v>
      </c>
      <c r="I247" s="23">
        <v>0</v>
      </c>
      <c r="J247" s="23" t="s">
        <v>88</v>
      </c>
      <c r="K247" s="24">
        <v>44910.000001469911</v>
      </c>
      <c r="L247" s="23">
        <v>1</v>
      </c>
      <c r="M247" s="23" t="s">
        <v>159</v>
      </c>
      <c r="N247" s="25">
        <v>0</v>
      </c>
      <c r="O247" s="26" t="str">
        <f t="shared" si="58"/>
        <v>COIN</v>
      </c>
      <c r="P247" s="26" t="str">
        <f t="shared" si="60"/>
        <v>LONG</v>
      </c>
      <c r="Q247" s="26" t="str">
        <f t="shared" si="61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59"/>
        <v>HUBI</v>
      </c>
      <c r="W247" t="str">
        <f t="shared" si="62"/>
        <v>STORJ COIN LONG</v>
      </c>
      <c r="X247" s="94" t="s">
        <v>267</v>
      </c>
    </row>
    <row r="248" spans="1:24" x14ac:dyDescent="0.25">
      <c r="A248">
        <v>298</v>
      </c>
      <c r="B248" s="77">
        <v>44910.000001469911</v>
      </c>
      <c r="C248" s="14" t="s">
        <v>40</v>
      </c>
      <c r="D248" s="23" t="s">
        <v>123</v>
      </c>
      <c r="E248" s="23" t="s">
        <v>26</v>
      </c>
      <c r="F248" s="23">
        <v>44.266270740000003</v>
      </c>
      <c r="G248" s="23">
        <v>2.4641420358800699</v>
      </c>
      <c r="H248" s="23">
        <v>5.5666357131219001E-2</v>
      </c>
      <c r="I248" s="23">
        <v>0</v>
      </c>
      <c r="J248" s="23" t="s">
        <v>88</v>
      </c>
      <c r="K248" s="24">
        <v>44910.000001469911</v>
      </c>
      <c r="L248" s="23">
        <v>1</v>
      </c>
      <c r="M248" s="23" t="s">
        <v>26</v>
      </c>
      <c r="N248" s="25">
        <v>0</v>
      </c>
      <c r="O248" s="26" t="str">
        <f t="shared" si="58"/>
        <v>COIN</v>
      </c>
      <c r="P248" s="26" t="str">
        <f t="shared" si="60"/>
        <v>LONG</v>
      </c>
      <c r="Q248" s="26" t="str">
        <f t="shared" si="61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59"/>
        <v>HUBI</v>
      </c>
      <c r="W248" t="str">
        <f t="shared" si="62"/>
        <v>TRX COIN LONG</v>
      </c>
      <c r="X248" s="94" t="s">
        <v>267</v>
      </c>
    </row>
    <row r="249" spans="1:24" x14ac:dyDescent="0.25">
      <c r="A249">
        <v>299</v>
      </c>
      <c r="B249" s="77">
        <v>44910.000001469911</v>
      </c>
      <c r="C249" s="14" t="s">
        <v>40</v>
      </c>
      <c r="D249" s="23" t="s">
        <v>123</v>
      </c>
      <c r="E249" s="23" t="s">
        <v>160</v>
      </c>
      <c r="F249" s="23">
        <v>6.3152970000000003E-2</v>
      </c>
      <c r="G249" s="23">
        <v>2.4075889084370101E-4</v>
      </c>
      <c r="H249" s="23">
        <v>3.8123130368009801E-3</v>
      </c>
      <c r="I249" s="23">
        <v>0</v>
      </c>
      <c r="J249" s="23" t="s">
        <v>88</v>
      </c>
      <c r="K249" s="24">
        <v>44910.000001469911</v>
      </c>
      <c r="L249" s="23">
        <v>1</v>
      </c>
      <c r="M249" s="23" t="s">
        <v>160</v>
      </c>
      <c r="N249" s="25">
        <v>0</v>
      </c>
      <c r="O249" s="26" t="str">
        <f t="shared" si="58"/>
        <v>COIN</v>
      </c>
      <c r="P249" s="26" t="str">
        <f t="shared" si="60"/>
        <v>LONG</v>
      </c>
      <c r="Q249" s="26" t="str">
        <f t="shared" si="61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59"/>
        <v>HUBI</v>
      </c>
      <c r="W249" t="str">
        <f t="shared" si="62"/>
        <v>TT COIN LONG</v>
      </c>
      <c r="X249" s="94" t="s">
        <v>267</v>
      </c>
    </row>
    <row r="250" spans="1:24" x14ac:dyDescent="0.25">
      <c r="A250">
        <v>300</v>
      </c>
      <c r="B250" s="77">
        <v>44910.000001469911</v>
      </c>
      <c r="C250" s="14" t="s">
        <v>40</v>
      </c>
      <c r="D250" s="23" t="s">
        <v>123</v>
      </c>
      <c r="E250" s="23" t="s">
        <v>161</v>
      </c>
      <c r="F250" s="23">
        <v>20</v>
      </c>
      <c r="G250" s="23">
        <v>19.9996805291984</v>
      </c>
      <c r="H250" s="23">
        <v>0.99998402645992202</v>
      </c>
      <c r="I250" s="23">
        <v>0</v>
      </c>
      <c r="J250" s="23" t="s">
        <v>88</v>
      </c>
      <c r="K250" s="24">
        <v>44910.000001469911</v>
      </c>
      <c r="L250" s="23">
        <v>1</v>
      </c>
      <c r="M250" s="23" t="s">
        <v>161</v>
      </c>
      <c r="N250" s="25">
        <v>0</v>
      </c>
      <c r="O250" s="26" t="str">
        <f t="shared" si="58"/>
        <v>COIN</v>
      </c>
      <c r="P250" s="26" t="str">
        <f t="shared" si="60"/>
        <v>LONG</v>
      </c>
      <c r="Q250" s="26" t="str">
        <f t="shared" si="61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59"/>
        <v>HUBI</v>
      </c>
      <c r="W250" t="str">
        <f t="shared" si="62"/>
        <v>TUSD COIN LONG</v>
      </c>
      <c r="X250" s="94" t="s">
        <v>267</v>
      </c>
    </row>
    <row r="251" spans="1:24" x14ac:dyDescent="0.25">
      <c r="A251">
        <v>301</v>
      </c>
      <c r="B251" s="77">
        <v>44910.000001469911</v>
      </c>
      <c r="C251" s="14" t="s">
        <v>40</v>
      </c>
      <c r="D251" s="23" t="s">
        <v>123</v>
      </c>
      <c r="E251" s="23" t="s">
        <v>162</v>
      </c>
      <c r="F251" s="23">
        <v>1E-8</v>
      </c>
      <c r="G251" s="23">
        <v>5.9196374391119299E-8</v>
      </c>
      <c r="H251" s="23">
        <v>5.9196374391119297</v>
      </c>
      <c r="I251" s="23">
        <v>0</v>
      </c>
      <c r="J251" s="23" t="s">
        <v>88</v>
      </c>
      <c r="K251" s="24">
        <v>44910.000001469911</v>
      </c>
      <c r="L251" s="23">
        <v>1</v>
      </c>
      <c r="M251" s="23" t="s">
        <v>162</v>
      </c>
      <c r="N251" s="25">
        <v>0</v>
      </c>
      <c r="O251" s="26" t="str">
        <f t="shared" si="58"/>
        <v>COIN</v>
      </c>
      <c r="P251" s="26" t="str">
        <f t="shared" si="60"/>
        <v>LONG</v>
      </c>
      <c r="Q251" s="26" t="str">
        <f t="shared" si="61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59"/>
        <v>HUBI</v>
      </c>
      <c r="W251" t="str">
        <f t="shared" si="62"/>
        <v>UNI COIN LONG</v>
      </c>
      <c r="X251" s="94" t="s">
        <v>267</v>
      </c>
    </row>
    <row r="252" spans="1:24" x14ac:dyDescent="0.25">
      <c r="A252">
        <v>302</v>
      </c>
      <c r="B252" s="77">
        <v>44910.000001469911</v>
      </c>
      <c r="C252" s="14" t="s">
        <v>40</v>
      </c>
      <c r="D252" s="23" t="s">
        <v>123</v>
      </c>
      <c r="E252" s="23" t="s">
        <v>95</v>
      </c>
      <c r="F252" s="23">
        <v>5.6000000000000004E-7</v>
      </c>
      <c r="G252" s="23">
        <v>5.5998853417048301E-7</v>
      </c>
      <c r="H252" s="23">
        <v>0.99997952530443501</v>
      </c>
      <c r="I252" s="23">
        <v>0</v>
      </c>
      <c r="J252" s="23" t="s">
        <v>88</v>
      </c>
      <c r="K252" s="24">
        <v>44910.000001469911</v>
      </c>
      <c r="L252" s="23">
        <v>1</v>
      </c>
      <c r="M252" s="23" t="s">
        <v>95</v>
      </c>
      <c r="N252" s="25">
        <v>0</v>
      </c>
      <c r="O252" s="26" t="str">
        <f t="shared" si="58"/>
        <v>COIN</v>
      </c>
      <c r="P252" s="26" t="str">
        <f t="shared" si="60"/>
        <v>LONG</v>
      </c>
      <c r="Q252" s="26" t="str">
        <f t="shared" si="61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59"/>
        <v>HUBI</v>
      </c>
      <c r="W252" t="str">
        <f t="shared" si="62"/>
        <v>USDC COIN LONG</v>
      </c>
      <c r="X252" s="94" t="s">
        <v>267</v>
      </c>
    </row>
    <row r="253" spans="1:24" x14ac:dyDescent="0.25">
      <c r="A253">
        <v>303</v>
      </c>
      <c r="B253" s="77">
        <v>44910.000001469911</v>
      </c>
      <c r="C253" s="14" t="s">
        <v>40</v>
      </c>
      <c r="D253" s="23" t="s">
        <v>123</v>
      </c>
      <c r="E253" s="23" t="s">
        <v>163</v>
      </c>
      <c r="F253" s="23">
        <v>0.34680431</v>
      </c>
      <c r="G253" s="23">
        <v>0.34804517992871897</v>
      </c>
      <c r="H253" s="23">
        <v>1.0035780118439599</v>
      </c>
      <c r="I253" s="23">
        <v>0</v>
      </c>
      <c r="J253" s="23" t="s">
        <v>88</v>
      </c>
      <c r="K253" s="24">
        <v>44910.000001469911</v>
      </c>
      <c r="L253" s="23">
        <v>1</v>
      </c>
      <c r="M253" s="23" t="s">
        <v>163</v>
      </c>
      <c r="N253" s="25">
        <v>0</v>
      </c>
      <c r="O253" s="26" t="str">
        <f t="shared" si="58"/>
        <v>COIN</v>
      </c>
      <c r="P253" s="26" t="str">
        <f t="shared" si="60"/>
        <v>LONG</v>
      </c>
      <c r="Q253" s="26" t="str">
        <f t="shared" si="61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59"/>
        <v>HUBI</v>
      </c>
      <c r="W253" t="str">
        <f t="shared" si="62"/>
        <v>USDP COIN LONG</v>
      </c>
      <c r="X253" s="94" t="s">
        <v>267</v>
      </c>
    </row>
    <row r="254" spans="1:24" x14ac:dyDescent="0.25">
      <c r="A254">
        <v>304</v>
      </c>
      <c r="B254" s="77">
        <v>44910.000001469911</v>
      </c>
      <c r="C254" s="14" t="s">
        <v>40</v>
      </c>
      <c r="D254" s="23" t="s">
        <v>123</v>
      </c>
      <c r="E254" s="23" t="s">
        <v>39</v>
      </c>
      <c r="F254" s="23">
        <v>55130.491809560001</v>
      </c>
      <c r="G254" s="23">
        <v>55136.303132593501</v>
      </c>
      <c r="H254" s="23">
        <v>1.0001054103245299</v>
      </c>
      <c r="I254" s="23">
        <v>0</v>
      </c>
      <c r="J254" s="23" t="s">
        <v>88</v>
      </c>
      <c r="K254" s="24">
        <v>44910.000001469911</v>
      </c>
      <c r="L254" s="23">
        <v>1</v>
      </c>
      <c r="M254" s="23" t="s">
        <v>39</v>
      </c>
      <c r="N254" s="25">
        <v>0</v>
      </c>
      <c r="O254" s="26" t="str">
        <f t="shared" si="58"/>
        <v>COIN</v>
      </c>
      <c r="P254" s="26" t="str">
        <f t="shared" si="60"/>
        <v>LONG</v>
      </c>
      <c r="Q254" s="26" t="str">
        <f t="shared" si="61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59"/>
        <v>HUBI</v>
      </c>
      <c r="W254" t="str">
        <f t="shared" si="62"/>
        <v>USDT COIN LONG</v>
      </c>
      <c r="X254" s="94" t="s">
        <v>267</v>
      </c>
    </row>
    <row r="255" spans="1:24" x14ac:dyDescent="0.25">
      <c r="A255">
        <v>305</v>
      </c>
      <c r="B255" s="77">
        <v>44910.000001469911</v>
      </c>
      <c r="C255" s="14" t="s">
        <v>40</v>
      </c>
      <c r="D255" s="23" t="s">
        <v>123</v>
      </c>
      <c r="E255" s="23" t="s">
        <v>199</v>
      </c>
      <c r="F255" s="23">
        <v>25.959481520000001</v>
      </c>
      <c r="G255" s="23">
        <v>0.48659952986674698</v>
      </c>
      <c r="H255" s="23">
        <v>1.8744578141587899E-2</v>
      </c>
      <c r="I255" s="23">
        <v>0</v>
      </c>
      <c r="J255" s="23" t="s">
        <v>88</v>
      </c>
      <c r="K255" s="24">
        <v>44910.000001469911</v>
      </c>
      <c r="L255" s="23">
        <v>1</v>
      </c>
      <c r="M255" s="23" t="s">
        <v>199</v>
      </c>
      <c r="N255" s="25">
        <v>0</v>
      </c>
      <c r="O255" s="26" t="str">
        <f t="shared" si="58"/>
        <v>COIN</v>
      </c>
      <c r="P255" s="26" t="str">
        <f t="shared" si="60"/>
        <v>LONG</v>
      </c>
      <c r="Q255" s="26" t="str">
        <f t="shared" si="61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59"/>
        <v>HUBI</v>
      </c>
      <c r="W255" t="str">
        <f t="shared" si="62"/>
        <v>VET COIN LONG</v>
      </c>
      <c r="X255" s="94" t="s">
        <v>267</v>
      </c>
    </row>
    <row r="256" spans="1:24" x14ac:dyDescent="0.25">
      <c r="A256">
        <v>306</v>
      </c>
      <c r="B256" s="77">
        <v>44910.000001469911</v>
      </c>
      <c r="C256" s="14" t="s">
        <v>40</v>
      </c>
      <c r="D256" s="23" t="s">
        <v>123</v>
      </c>
      <c r="E256" s="23" t="s">
        <v>164</v>
      </c>
      <c r="F256" s="23">
        <v>0.20872535</v>
      </c>
      <c r="G256" s="23">
        <v>2.1650087385953701E-4</v>
      </c>
      <c r="H256" s="23">
        <v>1.03725241739701E-3</v>
      </c>
      <c r="I256" s="23">
        <v>0</v>
      </c>
      <c r="J256" s="23" t="s">
        <v>88</v>
      </c>
      <c r="K256" s="24">
        <v>44910.000001469911</v>
      </c>
      <c r="L256" s="23">
        <v>1</v>
      </c>
      <c r="M256" s="23" t="s">
        <v>164</v>
      </c>
      <c r="N256" s="25">
        <v>0</v>
      </c>
      <c r="O256" s="26" t="str">
        <f t="shared" si="58"/>
        <v>COIN</v>
      </c>
      <c r="P256" s="26" t="str">
        <f t="shared" si="60"/>
        <v>LONG</v>
      </c>
      <c r="Q256" s="26" t="str">
        <f t="shared" si="61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59"/>
        <v>HUBI</v>
      </c>
      <c r="W256" t="str">
        <f t="shared" si="62"/>
        <v>VSYS COIN LONG</v>
      </c>
      <c r="X256" s="94" t="s">
        <v>267</v>
      </c>
    </row>
    <row r="257" spans="1:24" x14ac:dyDescent="0.25">
      <c r="A257">
        <v>307</v>
      </c>
      <c r="B257" s="77">
        <v>44910.000001469911</v>
      </c>
      <c r="C257" s="14" t="s">
        <v>40</v>
      </c>
      <c r="D257" s="23" t="s">
        <v>123</v>
      </c>
      <c r="E257" s="23" t="s">
        <v>165</v>
      </c>
      <c r="F257" s="23">
        <v>97856389.900000006</v>
      </c>
      <c r="G257" s="23">
        <v>2824.1968203913998</v>
      </c>
      <c r="H257" s="23">
        <v>2.8860627530583E-5</v>
      </c>
      <c r="I257" s="23">
        <v>0</v>
      </c>
      <c r="J257" s="23" t="s">
        <v>88</v>
      </c>
      <c r="K257" s="24">
        <v>44910.000001469911</v>
      </c>
      <c r="L257" s="23">
        <v>1</v>
      </c>
      <c r="M257" s="23" t="s">
        <v>165</v>
      </c>
      <c r="N257" s="25">
        <v>0</v>
      </c>
      <c r="O257" s="26" t="str">
        <f t="shared" si="58"/>
        <v>COIN</v>
      </c>
      <c r="P257" s="26" t="str">
        <f t="shared" si="60"/>
        <v>LONG</v>
      </c>
      <c r="Q257" s="26" t="str">
        <f t="shared" si="61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59"/>
        <v>HUBI</v>
      </c>
      <c r="W257" t="str">
        <f t="shared" si="62"/>
        <v>XEC COIN LONG</v>
      </c>
      <c r="X257" s="94" t="s">
        <v>267</v>
      </c>
    </row>
    <row r="258" spans="1:24" x14ac:dyDescent="0.25">
      <c r="A258">
        <v>308</v>
      </c>
      <c r="B258" s="77">
        <v>44910.000001469911</v>
      </c>
      <c r="C258" s="14" t="s">
        <v>40</v>
      </c>
      <c r="D258" s="23" t="s">
        <v>123</v>
      </c>
      <c r="E258" s="23" t="s">
        <v>166</v>
      </c>
      <c r="F258" s="23">
        <v>0.55556267999999998</v>
      </c>
      <c r="G258" s="23">
        <v>4.6119363227788597E-2</v>
      </c>
      <c r="H258" s="23">
        <v>8.3013789241186201E-2</v>
      </c>
      <c r="I258" s="23">
        <v>0</v>
      </c>
      <c r="J258" s="23" t="s">
        <v>88</v>
      </c>
      <c r="K258" s="24">
        <v>44910.000001469911</v>
      </c>
      <c r="L258" s="23">
        <v>1</v>
      </c>
      <c r="M258" s="23" t="s">
        <v>166</v>
      </c>
      <c r="N258" s="25">
        <v>0</v>
      </c>
      <c r="O258" s="26" t="str">
        <f t="shared" ref="O258:O321" si="63">IF($C258="","",IF(OR($E258="USD",$E258="EUR"),"CASH","COIN"))</f>
        <v>COIN</v>
      </c>
      <c r="P258" s="26" t="str">
        <f t="shared" si="60"/>
        <v>LONG</v>
      </c>
      <c r="Q258" s="26" t="str">
        <f t="shared" si="61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4">IF($C258="","",IF(ISERROR(SEARCH("-",$D258)),$D258,LEFT($D258,SEARCH("-",$D258)-1)))</f>
        <v>HUBI</v>
      </c>
      <c r="W258" t="str">
        <f t="shared" si="62"/>
        <v>XLM COIN LONG</v>
      </c>
      <c r="X258" s="94" t="s">
        <v>267</v>
      </c>
    </row>
    <row r="259" spans="1:24" x14ac:dyDescent="0.25">
      <c r="A259">
        <v>309</v>
      </c>
      <c r="B259" s="77">
        <v>44910.000001469911</v>
      </c>
      <c r="C259" s="14" t="s">
        <v>40</v>
      </c>
      <c r="D259" s="23" t="s">
        <v>123</v>
      </c>
      <c r="E259" s="23" t="s">
        <v>102</v>
      </c>
      <c r="F259" s="23">
        <v>108.13630258000001</v>
      </c>
      <c r="G259" s="23">
        <v>41.785350706776903</v>
      </c>
      <c r="H259" s="23">
        <v>0.38641371777866901</v>
      </c>
      <c r="I259" s="23">
        <v>0</v>
      </c>
      <c r="J259" s="23" t="s">
        <v>88</v>
      </c>
      <c r="K259" s="24">
        <v>44910.000001469911</v>
      </c>
      <c r="L259" s="23">
        <v>1</v>
      </c>
      <c r="M259" s="23" t="s">
        <v>102</v>
      </c>
      <c r="N259" s="25">
        <v>0</v>
      </c>
      <c r="O259" s="26" t="str">
        <f t="shared" si="63"/>
        <v>COIN</v>
      </c>
      <c r="P259" s="26" t="str">
        <f t="shared" ref="P259:P322" si="65">IF($C259="","",IF($J259="CME FUTURE","HEDGE",IF($G259&gt;0,"LONG","SHORT")))</f>
        <v>LONG</v>
      </c>
      <c r="Q259" s="26" t="str">
        <f t="shared" ref="Q259:Q322" si="66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4"/>
        <v>HUBI</v>
      </c>
      <c r="W259" t="str">
        <f t="shared" si="62"/>
        <v>XRP COIN LONG</v>
      </c>
      <c r="X259" s="94" t="s">
        <v>267</v>
      </c>
    </row>
    <row r="260" spans="1:24" x14ac:dyDescent="0.25">
      <c r="A260">
        <v>310</v>
      </c>
      <c r="B260" s="77">
        <v>44910.000001469911</v>
      </c>
      <c r="C260" s="14" t="s">
        <v>40</v>
      </c>
      <c r="D260" s="23" t="s">
        <v>123</v>
      </c>
      <c r="E260" s="23" t="s">
        <v>167</v>
      </c>
      <c r="F260" s="23">
        <v>3.9304560899999998</v>
      </c>
      <c r="G260" s="23">
        <v>3.7396377270751899</v>
      </c>
      <c r="H260" s="23">
        <v>0.95145134341780602</v>
      </c>
      <c r="I260" s="23">
        <v>0</v>
      </c>
      <c r="J260" s="23" t="s">
        <v>88</v>
      </c>
      <c r="K260" s="24">
        <v>44910.000001469911</v>
      </c>
      <c r="L260" s="23">
        <v>1</v>
      </c>
      <c r="M260" s="23" t="s">
        <v>167</v>
      </c>
      <c r="N260" s="25">
        <v>0</v>
      </c>
      <c r="O260" s="26" t="str">
        <f t="shared" si="63"/>
        <v>COIN</v>
      </c>
      <c r="P260" s="26" t="str">
        <f t="shared" si="65"/>
        <v>LONG</v>
      </c>
      <c r="Q260" s="26" t="str">
        <f t="shared" si="66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4"/>
        <v>HUBI</v>
      </c>
      <c r="W260" t="str">
        <f t="shared" si="62"/>
        <v>XTZ COIN LONG</v>
      </c>
      <c r="X260" s="94" t="s">
        <v>267</v>
      </c>
    </row>
    <row r="261" spans="1:24" x14ac:dyDescent="0.25">
      <c r="A261">
        <v>311</v>
      </c>
      <c r="B261" s="77">
        <v>44910.000001469911</v>
      </c>
      <c r="C261" s="14" t="s">
        <v>40</v>
      </c>
      <c r="D261" s="23" t="s">
        <v>123</v>
      </c>
      <c r="E261" s="23" t="s">
        <v>120</v>
      </c>
      <c r="F261" s="23">
        <v>1.329583E-2</v>
      </c>
      <c r="G261" s="23">
        <v>17.861586464285502</v>
      </c>
      <c r="H261" s="23">
        <v>1343.3976264953401</v>
      </c>
      <c r="I261" s="23">
        <v>0</v>
      </c>
      <c r="J261" s="23" t="s">
        <v>88</v>
      </c>
      <c r="K261" s="24">
        <v>44910.000001469911</v>
      </c>
      <c r="L261" s="23">
        <v>1</v>
      </c>
      <c r="M261" s="23" t="s">
        <v>120</v>
      </c>
      <c r="N261" s="25">
        <v>0</v>
      </c>
      <c r="O261" s="26" t="str">
        <f t="shared" si="63"/>
        <v>COIN</v>
      </c>
      <c r="P261" s="26" t="str">
        <f t="shared" si="65"/>
        <v>LONG</v>
      </c>
      <c r="Q261" s="26" t="str">
        <f t="shared" si="66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4"/>
        <v>HUBI</v>
      </c>
      <c r="W261" t="str">
        <f t="shared" si="62"/>
        <v>YFII COIN LONG</v>
      </c>
      <c r="X261" s="94" t="s">
        <v>267</v>
      </c>
    </row>
    <row r="262" spans="1:24" x14ac:dyDescent="0.25">
      <c r="A262">
        <v>312</v>
      </c>
      <c r="B262" s="77">
        <v>44910.000001469911</v>
      </c>
      <c r="C262" s="14" t="s">
        <v>40</v>
      </c>
      <c r="D262" s="23" t="s">
        <v>123</v>
      </c>
      <c r="E262" s="23" t="s">
        <v>168</v>
      </c>
      <c r="F262" s="23">
        <v>2.173E-4</v>
      </c>
      <c r="G262" s="23">
        <v>1.0078858162692401E-2</v>
      </c>
      <c r="H262" s="23">
        <v>46.382228084180497</v>
      </c>
      <c r="I262" s="23">
        <v>0</v>
      </c>
      <c r="J262" s="23" t="s">
        <v>88</v>
      </c>
      <c r="K262" s="24">
        <v>44910.000001469911</v>
      </c>
      <c r="L262" s="23">
        <v>1</v>
      </c>
      <c r="M262" s="23" t="s">
        <v>168</v>
      </c>
      <c r="N262" s="25">
        <v>0</v>
      </c>
      <c r="O262" s="26" t="str">
        <f t="shared" si="63"/>
        <v>COIN</v>
      </c>
      <c r="P262" s="26" t="str">
        <f t="shared" si="65"/>
        <v>LONG</v>
      </c>
      <c r="Q262" s="26" t="str">
        <f t="shared" si="66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4"/>
        <v>HUBI</v>
      </c>
      <c r="W262" t="str">
        <f t="shared" ref="W262:W325" si="67">IF($C262="","",$M262&amp;" "&amp;$Q262)</f>
        <v>ZEC COIN LONG</v>
      </c>
      <c r="X262" s="94" t="s">
        <v>267</v>
      </c>
    </row>
    <row r="263" spans="1:24" x14ac:dyDescent="0.25">
      <c r="A263">
        <v>313</v>
      </c>
      <c r="B263" s="77">
        <v>44910.000001469911</v>
      </c>
      <c r="C263" s="14" t="s">
        <v>40</v>
      </c>
      <c r="D263" s="23" t="s">
        <v>123</v>
      </c>
      <c r="E263" s="23" t="s">
        <v>27</v>
      </c>
      <c r="F263" s="23">
        <v>19012302.002175301</v>
      </c>
      <c r="G263" s="23">
        <v>414285.150596319</v>
      </c>
      <c r="H263" s="23">
        <v>2.1790372914806299E-2</v>
      </c>
      <c r="I263" s="23">
        <v>0</v>
      </c>
      <c r="J263" s="23" t="s">
        <v>88</v>
      </c>
      <c r="K263" s="24">
        <v>44910.000001469911</v>
      </c>
      <c r="L263" s="23">
        <v>1</v>
      </c>
      <c r="M263" s="23" t="s">
        <v>27</v>
      </c>
      <c r="N263" s="25">
        <v>0</v>
      </c>
      <c r="O263" s="26" t="str">
        <f t="shared" si="63"/>
        <v>COIN</v>
      </c>
      <c r="P263" s="26" t="str">
        <f t="shared" si="65"/>
        <v>LONG</v>
      </c>
      <c r="Q263" s="26" t="str">
        <f t="shared" si="66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4"/>
        <v>HUBI</v>
      </c>
      <c r="W263" t="str">
        <f t="shared" si="67"/>
        <v>ZIL COIN LONG</v>
      </c>
      <c r="X263" s="94" t="s">
        <v>267</v>
      </c>
    </row>
    <row r="264" spans="1:24" x14ac:dyDescent="0.25">
      <c r="A264">
        <v>314</v>
      </c>
      <c r="B264" s="77">
        <v>44910.000001469911</v>
      </c>
      <c r="C264" s="14" t="s">
        <v>40</v>
      </c>
      <c r="D264" s="23" t="s">
        <v>169</v>
      </c>
      <c r="E264" s="23" t="s">
        <v>21</v>
      </c>
      <c r="F264" s="23">
        <v>0.10004001</v>
      </c>
      <c r="G264" s="23">
        <v>10.9152150262303</v>
      </c>
      <c r="H264" s="23">
        <v>109.10849595307199</v>
      </c>
      <c r="I264" s="23">
        <v>0</v>
      </c>
      <c r="J264" s="23" t="s">
        <v>88</v>
      </c>
      <c r="K264" s="24">
        <v>44910.000001469911</v>
      </c>
      <c r="L264" s="23">
        <v>1</v>
      </c>
      <c r="M264" s="23" t="s">
        <v>21</v>
      </c>
      <c r="N264" s="25">
        <v>0</v>
      </c>
      <c r="O264" s="26" t="str">
        <f t="shared" si="63"/>
        <v>COIN</v>
      </c>
      <c r="P264" s="26" t="str">
        <f t="shared" si="65"/>
        <v>LONG</v>
      </c>
      <c r="Q264" s="26" t="str">
        <f t="shared" si="66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4"/>
        <v>HUBI</v>
      </c>
      <c r="W264" t="str">
        <f t="shared" si="67"/>
        <v>BCH COIN LONG</v>
      </c>
      <c r="X264" s="94" t="s">
        <v>267</v>
      </c>
    </row>
    <row r="265" spans="1:24" x14ac:dyDescent="0.25">
      <c r="A265">
        <v>315</v>
      </c>
      <c r="B265" s="77">
        <v>44910.000001469911</v>
      </c>
      <c r="C265" s="14" t="s">
        <v>40</v>
      </c>
      <c r="D265" s="23" t="s">
        <v>169</v>
      </c>
      <c r="E265" s="23" t="s">
        <v>24</v>
      </c>
      <c r="F265" s="23">
        <v>720921.74999677006</v>
      </c>
      <c r="G265" s="23">
        <v>705076.85358146497</v>
      </c>
      <c r="H265" s="23">
        <v>0.97802133669101299</v>
      </c>
      <c r="I265" s="23">
        <v>0</v>
      </c>
      <c r="J265" s="23" t="s">
        <v>88</v>
      </c>
      <c r="K265" s="24">
        <v>44910.000001469911</v>
      </c>
      <c r="L265" s="23">
        <v>1</v>
      </c>
      <c r="M265" s="23" t="s">
        <v>24</v>
      </c>
      <c r="N265" s="25">
        <v>0</v>
      </c>
      <c r="O265" s="26" t="str">
        <f t="shared" si="63"/>
        <v>COIN</v>
      </c>
      <c r="P265" s="26" t="str">
        <f t="shared" si="65"/>
        <v>LONG</v>
      </c>
      <c r="Q265" s="26" t="str">
        <f t="shared" si="66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4"/>
        <v>HUBI</v>
      </c>
      <c r="W265" t="str">
        <f t="shared" si="67"/>
        <v>EOS COIN LONG</v>
      </c>
      <c r="X265" s="94" t="s">
        <v>267</v>
      </c>
    </row>
    <row r="266" spans="1:24" x14ac:dyDescent="0.25">
      <c r="A266">
        <v>316</v>
      </c>
      <c r="B266" s="77">
        <v>44910.000001469911</v>
      </c>
      <c r="C266" s="14" t="s">
        <v>40</v>
      </c>
      <c r="D266" s="23" t="s">
        <v>169</v>
      </c>
      <c r="E266" s="23" t="s">
        <v>30</v>
      </c>
      <c r="F266" s="23">
        <v>1E-8</v>
      </c>
      <c r="G266" s="23">
        <v>1.87876872284171E-7</v>
      </c>
      <c r="H266" s="23">
        <v>18.787687228417099</v>
      </c>
      <c r="I266" s="23">
        <v>0</v>
      </c>
      <c r="J266" s="23" t="s">
        <v>88</v>
      </c>
      <c r="K266" s="24">
        <v>44910.000001469911</v>
      </c>
      <c r="L266" s="23">
        <v>1</v>
      </c>
      <c r="M266" s="23" t="s">
        <v>30</v>
      </c>
      <c r="N266" s="25">
        <v>0</v>
      </c>
      <c r="O266" s="26" t="str">
        <f t="shared" si="63"/>
        <v>COIN</v>
      </c>
      <c r="P266" s="26" t="str">
        <f t="shared" si="65"/>
        <v>LONG</v>
      </c>
      <c r="Q266" s="26" t="str">
        <f t="shared" si="66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4"/>
        <v>HUBI</v>
      </c>
      <c r="W266" t="str">
        <f t="shared" si="67"/>
        <v>ETC COIN LONG</v>
      </c>
      <c r="X266" s="94" t="s">
        <v>267</v>
      </c>
    </row>
    <row r="267" spans="1:24" x14ac:dyDescent="0.25">
      <c r="A267">
        <v>317</v>
      </c>
      <c r="B267" s="77">
        <v>44910.000001469911</v>
      </c>
      <c r="C267" s="14" t="s">
        <v>40</v>
      </c>
      <c r="D267" s="23" t="s">
        <v>169</v>
      </c>
      <c r="E267" s="23" t="s">
        <v>25</v>
      </c>
      <c r="F267" s="23">
        <v>5942.5685764899999</v>
      </c>
      <c r="G267" s="23">
        <v>448520.495586965</v>
      </c>
      <c r="H267" s="23">
        <v>75.475863646134997</v>
      </c>
      <c r="I267" s="23">
        <v>0</v>
      </c>
      <c r="J267" s="23" t="s">
        <v>88</v>
      </c>
      <c r="K267" s="24">
        <v>44910.000001469911</v>
      </c>
      <c r="L267" s="23">
        <v>1</v>
      </c>
      <c r="M267" s="23" t="s">
        <v>25</v>
      </c>
      <c r="N267" s="25">
        <v>0</v>
      </c>
      <c r="O267" s="26" t="str">
        <f t="shared" si="63"/>
        <v>COIN</v>
      </c>
      <c r="P267" s="26" t="str">
        <f t="shared" si="65"/>
        <v>LONG</v>
      </c>
      <c r="Q267" s="26" t="str">
        <f t="shared" si="66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4"/>
        <v>HUBI</v>
      </c>
      <c r="W267" t="str">
        <f t="shared" si="67"/>
        <v>LTC COIN LONG</v>
      </c>
      <c r="X267" s="94" t="s">
        <v>267</v>
      </c>
    </row>
    <row r="268" spans="1:24" x14ac:dyDescent="0.25">
      <c r="A268">
        <v>318</v>
      </c>
      <c r="B268" s="77">
        <v>44910.000001469911</v>
      </c>
      <c r="C268" s="14" t="s">
        <v>40</v>
      </c>
      <c r="D268" s="23" t="s">
        <v>169</v>
      </c>
      <c r="E268" s="23" t="s">
        <v>26</v>
      </c>
      <c r="F268" s="23">
        <v>1E-8</v>
      </c>
      <c r="G268" s="23">
        <v>5.5666357131219E-10</v>
      </c>
      <c r="H268" s="23">
        <v>5.5666357131219001E-2</v>
      </c>
      <c r="I268" s="23">
        <v>0</v>
      </c>
      <c r="J268" s="23" t="s">
        <v>88</v>
      </c>
      <c r="K268" s="24">
        <v>44910.000001469911</v>
      </c>
      <c r="L268" s="23">
        <v>1</v>
      </c>
      <c r="M268" s="23" t="s">
        <v>26</v>
      </c>
      <c r="N268" s="25">
        <v>0</v>
      </c>
      <c r="O268" s="26" t="str">
        <f t="shared" si="63"/>
        <v>COIN</v>
      </c>
      <c r="P268" s="26" t="str">
        <f t="shared" si="65"/>
        <v>LONG</v>
      </c>
      <c r="Q268" s="26" t="str">
        <f t="shared" si="66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4"/>
        <v>HUBI</v>
      </c>
      <c r="W268" t="str">
        <f t="shared" si="67"/>
        <v>TRX COIN LONG</v>
      </c>
      <c r="X268" s="94" t="s">
        <v>267</v>
      </c>
    </row>
    <row r="269" spans="1:24" x14ac:dyDescent="0.25">
      <c r="A269">
        <v>319</v>
      </c>
      <c r="B269" s="77">
        <v>44910.000001469911</v>
      </c>
      <c r="C269" s="14" t="s">
        <v>40</v>
      </c>
      <c r="D269" s="23" t="s">
        <v>169</v>
      </c>
      <c r="E269" s="23" t="s">
        <v>39</v>
      </c>
      <c r="F269" s="23">
        <v>638678.88282727997</v>
      </c>
      <c r="G269" s="23">
        <v>638746.20617559401</v>
      </c>
      <c r="H269" s="23">
        <v>1.0001054103245299</v>
      </c>
      <c r="I269" s="23">
        <v>0</v>
      </c>
      <c r="J269" s="23" t="s">
        <v>88</v>
      </c>
      <c r="K269" s="24">
        <v>44910.000001469911</v>
      </c>
      <c r="L269" s="23">
        <v>1</v>
      </c>
      <c r="M269" s="23" t="s">
        <v>39</v>
      </c>
      <c r="N269" s="25">
        <v>0</v>
      </c>
      <c r="O269" s="26" t="str">
        <f t="shared" si="63"/>
        <v>COIN</v>
      </c>
      <c r="P269" s="26" t="str">
        <f t="shared" si="65"/>
        <v>LONG</v>
      </c>
      <c r="Q269" s="26" t="str">
        <f t="shared" si="66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4"/>
        <v>HUBI</v>
      </c>
      <c r="W269" t="str">
        <f t="shared" si="67"/>
        <v>USDT COIN LONG</v>
      </c>
      <c r="X269" s="94" t="s">
        <v>267</v>
      </c>
    </row>
    <row r="270" spans="1:24" x14ac:dyDescent="0.25">
      <c r="A270">
        <v>320</v>
      </c>
      <c r="B270" s="77">
        <v>44910.000001469911</v>
      </c>
      <c r="C270" s="14" t="s">
        <v>40</v>
      </c>
      <c r="D270" s="23" t="s">
        <v>169</v>
      </c>
      <c r="E270" s="23" t="s">
        <v>102</v>
      </c>
      <c r="F270" s="23">
        <v>7.6039999999999997E-5</v>
      </c>
      <c r="G270" s="23">
        <v>2.9382899099889999E-5</v>
      </c>
      <c r="H270" s="23">
        <v>0.38641371777866901</v>
      </c>
      <c r="I270" s="23">
        <v>0</v>
      </c>
      <c r="J270" s="23" t="s">
        <v>88</v>
      </c>
      <c r="K270" s="24">
        <v>44910.000001469911</v>
      </c>
      <c r="L270" s="23">
        <v>1</v>
      </c>
      <c r="M270" s="23" t="s">
        <v>102</v>
      </c>
      <c r="N270" s="25">
        <v>0</v>
      </c>
      <c r="O270" s="26" t="str">
        <f t="shared" si="63"/>
        <v>COIN</v>
      </c>
      <c r="P270" s="26" t="str">
        <f t="shared" si="65"/>
        <v>LONG</v>
      </c>
      <c r="Q270" s="26" t="str">
        <f t="shared" si="66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4"/>
        <v>HUBI</v>
      </c>
      <c r="W270" t="str">
        <f t="shared" si="67"/>
        <v>XRP COIN LONG</v>
      </c>
      <c r="X270" s="94" t="s">
        <v>267</v>
      </c>
    </row>
    <row r="271" spans="1:24" x14ac:dyDescent="0.25">
      <c r="A271">
        <v>321</v>
      </c>
      <c r="B271" s="77">
        <v>44909.91698321759</v>
      </c>
      <c r="C271" s="14" t="s">
        <v>170</v>
      </c>
      <c r="D271" s="23" t="s">
        <v>170</v>
      </c>
      <c r="E271" s="23" t="s">
        <v>36</v>
      </c>
      <c r="F271" s="23">
        <v>0.331542</v>
      </c>
      <c r="G271" s="23">
        <v>3.1858330890608899</v>
      </c>
      <c r="H271" s="23">
        <v>9.6091387789809204</v>
      </c>
      <c r="I271" s="23">
        <v>0</v>
      </c>
      <c r="J271" s="23" t="s">
        <v>88</v>
      </c>
      <c r="K271" s="24">
        <v>44909.91698321759</v>
      </c>
      <c r="L271" s="23">
        <v>1</v>
      </c>
      <c r="M271" s="23" t="s">
        <v>36</v>
      </c>
      <c r="N271" s="25">
        <v>0</v>
      </c>
      <c r="O271" s="26" t="str">
        <f t="shared" si="63"/>
        <v>COIN</v>
      </c>
      <c r="P271" s="26" t="str">
        <f t="shared" si="65"/>
        <v>LONG</v>
      </c>
      <c r="Q271" s="26" t="str">
        <f t="shared" si="66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4"/>
        <v>KRKE</v>
      </c>
      <c r="W271" t="str">
        <f t="shared" si="67"/>
        <v>ATOM COIN LONG</v>
      </c>
      <c r="X271" s="94" t="s">
        <v>267</v>
      </c>
    </row>
    <row r="272" spans="1:24" x14ac:dyDescent="0.25">
      <c r="A272">
        <v>322</v>
      </c>
      <c r="B272" s="77">
        <v>44909.916983020834</v>
      </c>
      <c r="C272" s="14" t="s">
        <v>170</v>
      </c>
      <c r="D272" s="23" t="s">
        <v>170</v>
      </c>
      <c r="E272" s="23" t="s">
        <v>21</v>
      </c>
      <c r="F272" s="23">
        <v>1.7695412699999999</v>
      </c>
      <c r="G272" s="23">
        <v>193.07198649659</v>
      </c>
      <c r="H272" s="23">
        <v>109.10849595307199</v>
      </c>
      <c r="I272" s="23">
        <v>0</v>
      </c>
      <c r="J272" s="23" t="s">
        <v>88</v>
      </c>
      <c r="K272" s="24">
        <v>44909.916983020834</v>
      </c>
      <c r="L272" s="23">
        <v>1</v>
      </c>
      <c r="M272" s="23" t="s">
        <v>21</v>
      </c>
      <c r="N272" s="25">
        <v>0</v>
      </c>
      <c r="O272" s="26" t="str">
        <f t="shared" si="63"/>
        <v>COIN</v>
      </c>
      <c r="P272" s="26" t="str">
        <f t="shared" si="65"/>
        <v>LONG</v>
      </c>
      <c r="Q272" s="26" t="str">
        <f t="shared" si="66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4"/>
        <v>KRKE</v>
      </c>
      <c r="W272" t="str">
        <f t="shared" si="67"/>
        <v>BCH COIN LONG</v>
      </c>
      <c r="X272" s="94" t="s">
        <v>267</v>
      </c>
    </row>
    <row r="273" spans="1:24" x14ac:dyDescent="0.25">
      <c r="A273">
        <v>323</v>
      </c>
      <c r="B273" s="77">
        <v>44909.916983020834</v>
      </c>
      <c r="C273" s="14" t="s">
        <v>170</v>
      </c>
      <c r="D273" s="23" t="s">
        <v>170</v>
      </c>
      <c r="E273" s="23" t="s">
        <v>15</v>
      </c>
      <c r="F273" s="23">
        <v>1.8847760000000002E-2</v>
      </c>
      <c r="G273" s="23">
        <v>335.78509270449501</v>
      </c>
      <c r="H273" s="23">
        <v>17815.649854650899</v>
      </c>
      <c r="I273" s="23">
        <v>0</v>
      </c>
      <c r="J273" s="23" t="s">
        <v>88</v>
      </c>
      <c r="K273" s="24">
        <v>44909.916983020834</v>
      </c>
      <c r="L273" s="23">
        <v>1</v>
      </c>
      <c r="M273" s="23" t="s">
        <v>15</v>
      </c>
      <c r="N273" s="25">
        <v>0</v>
      </c>
      <c r="O273" s="26" t="str">
        <f t="shared" si="63"/>
        <v>COIN</v>
      </c>
      <c r="P273" s="26" t="str">
        <f t="shared" si="65"/>
        <v>LONG</v>
      </c>
      <c r="Q273" s="26" t="str">
        <f t="shared" si="66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4"/>
        <v>KRKE</v>
      </c>
      <c r="W273" t="str">
        <f t="shared" si="67"/>
        <v>BTC COIN LONG</v>
      </c>
      <c r="X273" s="94" t="s">
        <v>267</v>
      </c>
    </row>
    <row r="274" spans="1:24" x14ac:dyDescent="0.25">
      <c r="A274">
        <v>324</v>
      </c>
      <c r="B274" s="77">
        <v>44909.916983020834</v>
      </c>
      <c r="C274" s="14" t="s">
        <v>170</v>
      </c>
      <c r="D274" s="23" t="s">
        <v>170</v>
      </c>
      <c r="E274" s="23" t="s">
        <v>24</v>
      </c>
      <c r="F274" s="23">
        <v>9.9499194400000004</v>
      </c>
      <c r="G274" s="23">
        <v>9.7312335106767005</v>
      </c>
      <c r="H274" s="23">
        <v>0.97802133669101299</v>
      </c>
      <c r="I274" s="23">
        <v>0</v>
      </c>
      <c r="J274" s="23" t="s">
        <v>88</v>
      </c>
      <c r="K274" s="24">
        <v>44909.916983020834</v>
      </c>
      <c r="L274" s="23">
        <v>1</v>
      </c>
      <c r="M274" s="23" t="s">
        <v>24</v>
      </c>
      <c r="N274" s="25">
        <v>0</v>
      </c>
      <c r="O274" s="26" t="str">
        <f t="shared" si="63"/>
        <v>COIN</v>
      </c>
      <c r="P274" s="26" t="str">
        <f t="shared" si="65"/>
        <v>LONG</v>
      </c>
      <c r="Q274" s="26" t="str">
        <f t="shared" si="66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4"/>
        <v>KRKE</v>
      </c>
      <c r="W274" t="str">
        <f t="shared" si="67"/>
        <v>EOS COIN LONG</v>
      </c>
      <c r="X274" s="94" t="s">
        <v>267</v>
      </c>
    </row>
    <row r="275" spans="1:24" x14ac:dyDescent="0.25">
      <c r="A275">
        <v>325</v>
      </c>
      <c r="B275" s="77">
        <v>44909.916983020834</v>
      </c>
      <c r="C275" s="14" t="s">
        <v>170</v>
      </c>
      <c r="D275" s="23" t="s">
        <v>170</v>
      </c>
      <c r="E275" s="23" t="s">
        <v>275</v>
      </c>
      <c r="F275" s="23">
        <v>3.4037359</v>
      </c>
      <c r="G275" s="23">
        <v>12.050968374856501</v>
      </c>
      <c r="H275" s="23">
        <v>3.5405121692480601</v>
      </c>
      <c r="I275" s="23">
        <v>0</v>
      </c>
      <c r="J275" s="23" t="s">
        <v>88</v>
      </c>
      <c r="K275" s="24">
        <v>44909.916983020834</v>
      </c>
      <c r="L275" s="23">
        <v>1</v>
      </c>
      <c r="M275" s="23" t="s">
        <v>275</v>
      </c>
      <c r="N275" s="25">
        <v>0</v>
      </c>
      <c r="O275" s="26" t="str">
        <f t="shared" si="63"/>
        <v>COIN</v>
      </c>
      <c r="P275" s="26" t="str">
        <f t="shared" si="65"/>
        <v>LONG</v>
      </c>
      <c r="Q275" s="26" t="str">
        <f t="shared" si="66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4"/>
        <v>KRKE</v>
      </c>
      <c r="W275" t="str">
        <f t="shared" si="67"/>
        <v>ETHW COIN LONG</v>
      </c>
      <c r="X275" s="94" t="s">
        <v>267</v>
      </c>
    </row>
    <row r="276" spans="1:24" x14ac:dyDescent="0.25">
      <c r="A276">
        <v>326</v>
      </c>
      <c r="B276" s="77">
        <v>44909.916983020834</v>
      </c>
      <c r="C276" s="14" t="s">
        <v>170</v>
      </c>
      <c r="D276" s="23" t="s">
        <v>170</v>
      </c>
      <c r="E276" s="23" t="s">
        <v>25</v>
      </c>
      <c r="F276" s="23">
        <v>9.1421368100000002</v>
      </c>
      <c r="G276" s="23">
        <v>690.01067130587103</v>
      </c>
      <c r="H276" s="23">
        <v>75.475863646134997</v>
      </c>
      <c r="I276" s="23">
        <v>0</v>
      </c>
      <c r="J276" s="23" t="s">
        <v>88</v>
      </c>
      <c r="K276" s="24">
        <v>44909.916983020834</v>
      </c>
      <c r="L276" s="23">
        <v>1</v>
      </c>
      <c r="M276" s="23" t="s">
        <v>25</v>
      </c>
      <c r="N276" s="25">
        <v>0</v>
      </c>
      <c r="O276" s="26" t="str">
        <f t="shared" si="63"/>
        <v>COIN</v>
      </c>
      <c r="P276" s="26" t="str">
        <f t="shared" si="65"/>
        <v>LONG</v>
      </c>
      <c r="Q276" s="26" t="str">
        <f t="shared" si="66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4"/>
        <v>KRKE</v>
      </c>
      <c r="W276" t="str">
        <f t="shared" si="67"/>
        <v>LTC COIN LONG</v>
      </c>
      <c r="X276" s="94" t="s">
        <v>267</v>
      </c>
    </row>
    <row r="277" spans="1:24" x14ac:dyDescent="0.25">
      <c r="A277">
        <v>327</v>
      </c>
      <c r="B277" s="77">
        <v>44909.916983020834</v>
      </c>
      <c r="C277" s="14" t="s">
        <v>170</v>
      </c>
      <c r="D277" s="23" t="s">
        <v>170</v>
      </c>
      <c r="E277" s="23" t="s">
        <v>92</v>
      </c>
      <c r="F277" s="23">
        <v>608071.39262864005</v>
      </c>
      <c r="G277" s="23">
        <v>49361.9412963758</v>
      </c>
      <c r="H277" s="23">
        <v>8.1177871372945895E-2</v>
      </c>
      <c r="I277" s="23">
        <v>0</v>
      </c>
      <c r="J277" s="23" t="s">
        <v>88</v>
      </c>
      <c r="K277" s="24">
        <v>44909.916983020834</v>
      </c>
      <c r="L277" s="23">
        <v>1</v>
      </c>
      <c r="M277" s="23" t="s">
        <v>92</v>
      </c>
      <c r="N277" s="25">
        <v>0</v>
      </c>
      <c r="O277" s="26" t="str">
        <f t="shared" si="63"/>
        <v>COIN</v>
      </c>
      <c r="P277" s="26" t="str">
        <f t="shared" si="65"/>
        <v>LONG</v>
      </c>
      <c r="Q277" s="26" t="str">
        <f t="shared" si="66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4"/>
        <v>KRKE</v>
      </c>
      <c r="W277" t="str">
        <f t="shared" si="67"/>
        <v>OXT COIN LONG</v>
      </c>
      <c r="X277" s="94" t="s">
        <v>267</v>
      </c>
    </row>
    <row r="278" spans="1:24" x14ac:dyDescent="0.25">
      <c r="A278">
        <v>328</v>
      </c>
      <c r="B278" s="77">
        <v>44909.916982870367</v>
      </c>
      <c r="C278" s="14" t="s">
        <v>170</v>
      </c>
      <c r="D278" s="23" t="s">
        <v>170</v>
      </c>
      <c r="E278" s="23" t="s">
        <v>101</v>
      </c>
      <c r="F278" s="23">
        <v>0.10834547999999999</v>
      </c>
      <c r="G278" s="23">
        <v>1.2892752320166499E-3</v>
      </c>
      <c r="H278" s="23">
        <v>1.1899667914311201E-2</v>
      </c>
      <c r="I278" s="23">
        <v>0</v>
      </c>
      <c r="J278" s="23" t="s">
        <v>88</v>
      </c>
      <c r="K278" s="24">
        <v>44909.916982870367</v>
      </c>
      <c r="L278" s="23">
        <v>1</v>
      </c>
      <c r="M278" s="23" t="s">
        <v>101</v>
      </c>
      <c r="N278" s="25">
        <v>0</v>
      </c>
      <c r="O278" s="26" t="str">
        <f t="shared" si="63"/>
        <v>COIN</v>
      </c>
      <c r="P278" s="26" t="str">
        <f t="shared" si="65"/>
        <v>LONG</v>
      </c>
      <c r="Q278" s="26" t="str">
        <f t="shared" si="66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4"/>
        <v>KRKE</v>
      </c>
      <c r="W278" t="str">
        <f t="shared" si="67"/>
        <v>SGB COIN LONG</v>
      </c>
      <c r="X278" s="94" t="s">
        <v>267</v>
      </c>
    </row>
    <row r="279" spans="1:24" x14ac:dyDescent="0.25">
      <c r="A279">
        <v>329</v>
      </c>
      <c r="B279" s="77">
        <v>44909.916983020834</v>
      </c>
      <c r="C279" s="14" t="s">
        <v>170</v>
      </c>
      <c r="D279" s="23" t="s">
        <v>170</v>
      </c>
      <c r="E279" s="23" t="s">
        <v>98</v>
      </c>
      <c r="F279" s="23">
        <v>134422.20680000001</v>
      </c>
      <c r="G279" s="23">
        <v>134422.20680000001</v>
      </c>
      <c r="H279" s="23">
        <v>1</v>
      </c>
      <c r="I279" s="23">
        <v>0</v>
      </c>
      <c r="J279" s="23" t="s">
        <v>88</v>
      </c>
      <c r="K279" s="24">
        <v>44909.916983020834</v>
      </c>
      <c r="L279" s="23">
        <v>1</v>
      </c>
      <c r="M279" s="23" t="s">
        <v>98</v>
      </c>
      <c r="N279" s="25">
        <v>0</v>
      </c>
      <c r="O279" s="26" t="str">
        <f t="shared" si="63"/>
        <v>CASH</v>
      </c>
      <c r="P279" s="26" t="str">
        <f t="shared" si="65"/>
        <v>LONG</v>
      </c>
      <c r="Q279" s="26" t="str">
        <f t="shared" si="66"/>
        <v>CASH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4"/>
        <v>KRKE</v>
      </c>
      <c r="W279" t="str">
        <f t="shared" si="67"/>
        <v>USD CASH LONG</v>
      </c>
      <c r="X279" s="94" t="s">
        <v>267</v>
      </c>
    </row>
    <row r="280" spans="1:24" x14ac:dyDescent="0.25">
      <c r="A280">
        <v>330</v>
      </c>
      <c r="B280" s="77">
        <v>44909.91698321759</v>
      </c>
      <c r="C280" s="14" t="s">
        <v>170</v>
      </c>
      <c r="D280" s="23" t="s">
        <v>170</v>
      </c>
      <c r="E280" s="23" t="s">
        <v>39</v>
      </c>
      <c r="F280" s="23">
        <v>1.182861E-2</v>
      </c>
      <c r="G280" s="23">
        <v>1.1829856857618899E-2</v>
      </c>
      <c r="H280" s="23">
        <v>1.0001054103245299</v>
      </c>
      <c r="I280" s="23">
        <v>0</v>
      </c>
      <c r="J280" s="23" t="s">
        <v>88</v>
      </c>
      <c r="K280" s="24">
        <v>44909.91698321759</v>
      </c>
      <c r="L280" s="23">
        <v>1</v>
      </c>
      <c r="M280" s="23" t="s">
        <v>39</v>
      </c>
      <c r="N280" s="25">
        <v>0</v>
      </c>
      <c r="O280" s="26" t="str">
        <f t="shared" si="63"/>
        <v>COIN</v>
      </c>
      <c r="P280" s="26" t="str">
        <f t="shared" si="65"/>
        <v>LONG</v>
      </c>
      <c r="Q280" s="26" t="str">
        <f t="shared" si="66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4"/>
        <v>KRKE</v>
      </c>
      <c r="W280" t="str">
        <f t="shared" si="67"/>
        <v>USDT COIN LONG</v>
      </c>
      <c r="X280" s="94" t="s">
        <v>267</v>
      </c>
    </row>
    <row r="281" spans="1:24" x14ac:dyDescent="0.25">
      <c r="A281">
        <v>331</v>
      </c>
      <c r="B281" s="77">
        <v>44909.91698321759</v>
      </c>
      <c r="C281" s="14" t="s">
        <v>170</v>
      </c>
      <c r="D281" s="23" t="s">
        <v>170</v>
      </c>
      <c r="E281" s="23" t="s">
        <v>166</v>
      </c>
      <c r="F281" s="23">
        <v>8.93329E-3</v>
      </c>
      <c r="G281" s="23">
        <v>7.4158625329039595E-4</v>
      </c>
      <c r="H281" s="23">
        <v>8.3013789241186201E-2</v>
      </c>
      <c r="I281" s="23">
        <v>0</v>
      </c>
      <c r="J281" s="23" t="s">
        <v>88</v>
      </c>
      <c r="K281" s="24">
        <v>44909.91698321759</v>
      </c>
      <c r="L281" s="23">
        <v>1</v>
      </c>
      <c r="M281" s="23" t="s">
        <v>166</v>
      </c>
      <c r="N281" s="25">
        <v>0</v>
      </c>
      <c r="O281" s="26" t="str">
        <f t="shared" si="63"/>
        <v>COIN</v>
      </c>
      <c r="P281" s="26" t="str">
        <f t="shared" si="65"/>
        <v>LONG</v>
      </c>
      <c r="Q281" s="26" t="str">
        <f t="shared" si="66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4"/>
        <v>KRKE</v>
      </c>
      <c r="W281" t="str">
        <f t="shared" si="67"/>
        <v>XLM COIN LONG</v>
      </c>
      <c r="X281" s="94" t="s">
        <v>267</v>
      </c>
    </row>
    <row r="282" spans="1:24" x14ac:dyDescent="0.25">
      <c r="A282">
        <v>332</v>
      </c>
      <c r="B282" s="77">
        <v>44909.91698321759</v>
      </c>
      <c r="C282" s="14" t="s">
        <v>170</v>
      </c>
      <c r="D282" s="23" t="s">
        <v>170</v>
      </c>
      <c r="E282" s="23" t="s">
        <v>102</v>
      </c>
      <c r="F282" s="23">
        <v>0.71704489000000005</v>
      </c>
      <c r="G282" s="23">
        <v>0.27707598175909598</v>
      </c>
      <c r="H282" s="23">
        <v>0.38641371777866901</v>
      </c>
      <c r="I282" s="23">
        <v>0</v>
      </c>
      <c r="J282" s="23" t="s">
        <v>88</v>
      </c>
      <c r="K282" s="24">
        <v>44909.91698321759</v>
      </c>
      <c r="L282" s="23">
        <v>1</v>
      </c>
      <c r="M282" s="23" t="s">
        <v>102</v>
      </c>
      <c r="N282" s="25">
        <v>0</v>
      </c>
      <c r="O282" s="26" t="str">
        <f t="shared" si="63"/>
        <v>COIN</v>
      </c>
      <c r="P282" s="26" t="str">
        <f t="shared" si="65"/>
        <v>LONG</v>
      </c>
      <c r="Q282" s="26" t="str">
        <f t="shared" si="66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4"/>
        <v>KRKE</v>
      </c>
      <c r="W282" t="str">
        <f t="shared" si="67"/>
        <v>XRP COIN LONG</v>
      </c>
      <c r="X282" s="94" t="s">
        <v>267</v>
      </c>
    </row>
    <row r="283" spans="1:24" x14ac:dyDescent="0.25">
      <c r="A283">
        <v>333</v>
      </c>
      <c r="B283" s="77">
        <v>44909</v>
      </c>
      <c r="C283" s="14" t="s">
        <v>173</v>
      </c>
      <c r="D283" s="23" t="s">
        <v>171</v>
      </c>
      <c r="E283" s="23" t="s">
        <v>21</v>
      </c>
      <c r="F283" s="23">
        <v>5377</v>
      </c>
      <c r="G283" s="23">
        <v>586676.38273967302</v>
      </c>
      <c r="H283" s="23">
        <v>109.10849595307199</v>
      </c>
      <c r="I283" s="23">
        <v>0</v>
      </c>
      <c r="J283" s="23" t="s">
        <v>88</v>
      </c>
      <c r="K283" s="24">
        <v>44909</v>
      </c>
      <c r="L283" s="23">
        <v>1</v>
      </c>
      <c r="M283" s="23" t="s">
        <v>21</v>
      </c>
      <c r="N283" s="25">
        <v>0</v>
      </c>
      <c r="O283" s="26" t="str">
        <f t="shared" si="63"/>
        <v>COIN</v>
      </c>
      <c r="P283" s="26" t="str">
        <f t="shared" si="65"/>
        <v>LONG</v>
      </c>
      <c r="Q283" s="26" t="str">
        <f t="shared" si="66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4"/>
        <v>LEND</v>
      </c>
      <c r="W283" t="str">
        <f t="shared" si="67"/>
        <v>BCH COIN LONG</v>
      </c>
      <c r="X283" s="94" t="s">
        <v>267</v>
      </c>
    </row>
    <row r="284" spans="1:24" x14ac:dyDescent="0.25">
      <c r="A284">
        <v>334</v>
      </c>
      <c r="B284" s="77">
        <v>44909</v>
      </c>
      <c r="C284" s="14" t="s">
        <v>173</v>
      </c>
      <c r="D284" s="23" t="s">
        <v>171</v>
      </c>
      <c r="E284" s="23" t="s">
        <v>32</v>
      </c>
      <c r="F284" s="23">
        <v>5000</v>
      </c>
      <c r="G284" s="23">
        <v>196766.195646665</v>
      </c>
      <c r="H284" s="23">
        <v>39.353239129333097</v>
      </c>
      <c r="I284" s="23">
        <v>0</v>
      </c>
      <c r="J284" s="23" t="s">
        <v>88</v>
      </c>
      <c r="K284" s="24">
        <v>44909</v>
      </c>
      <c r="L284" s="23">
        <v>1</v>
      </c>
      <c r="M284" s="23" t="s">
        <v>32</v>
      </c>
      <c r="N284" s="25">
        <v>0</v>
      </c>
      <c r="O284" s="26" t="str">
        <f t="shared" si="63"/>
        <v>COIN</v>
      </c>
      <c r="P284" s="26" t="str">
        <f t="shared" si="65"/>
        <v>LONG</v>
      </c>
      <c r="Q284" s="26" t="str">
        <f t="shared" si="66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4"/>
        <v>LEND</v>
      </c>
      <c r="W284" t="str">
        <f t="shared" si="67"/>
        <v>COMP COIN LONG</v>
      </c>
      <c r="X284" s="94" t="s">
        <v>267</v>
      </c>
    </row>
    <row r="285" spans="1:24" x14ac:dyDescent="0.25">
      <c r="A285">
        <v>335</v>
      </c>
      <c r="B285" s="77">
        <v>44909</v>
      </c>
      <c r="C285" s="14" t="s">
        <v>173</v>
      </c>
      <c r="D285" s="23" t="s">
        <v>171</v>
      </c>
      <c r="E285" s="23" t="s">
        <v>30</v>
      </c>
      <c r="F285" s="23">
        <v>98000</v>
      </c>
      <c r="G285" s="23">
        <v>1841193.34838488</v>
      </c>
      <c r="H285" s="23">
        <v>18.787687228417099</v>
      </c>
      <c r="I285" s="23">
        <v>0</v>
      </c>
      <c r="J285" s="23" t="s">
        <v>88</v>
      </c>
      <c r="K285" s="24">
        <v>44909</v>
      </c>
      <c r="L285" s="23">
        <v>1</v>
      </c>
      <c r="M285" s="23" t="s">
        <v>30</v>
      </c>
      <c r="N285" s="25">
        <v>0</v>
      </c>
      <c r="O285" s="26" t="str">
        <f t="shared" si="63"/>
        <v>COIN</v>
      </c>
      <c r="P285" s="26" t="str">
        <f t="shared" si="65"/>
        <v>LONG</v>
      </c>
      <c r="Q285" s="26" t="str">
        <f t="shared" si="66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4"/>
        <v>LEND</v>
      </c>
      <c r="W285" t="str">
        <f t="shared" si="67"/>
        <v>ETC COIN LONG</v>
      </c>
      <c r="X285" s="94" t="s">
        <v>267</v>
      </c>
    </row>
    <row r="286" spans="1:24" x14ac:dyDescent="0.25">
      <c r="A286">
        <v>336</v>
      </c>
      <c r="B286" s="77">
        <v>44909</v>
      </c>
      <c r="C286" s="14" t="s">
        <v>173</v>
      </c>
      <c r="D286" s="23" t="s">
        <v>171</v>
      </c>
      <c r="E286" s="23" t="s">
        <v>38</v>
      </c>
      <c r="F286" s="23">
        <v>187000000000</v>
      </c>
      <c r="G286" s="23">
        <v>1677905.40389439</v>
      </c>
      <c r="H286" s="23">
        <v>8.9727561705582505E-6</v>
      </c>
      <c r="I286" s="23">
        <v>0</v>
      </c>
      <c r="J286" s="23" t="s">
        <v>88</v>
      </c>
      <c r="K286" s="24">
        <v>44909</v>
      </c>
      <c r="L286" s="23">
        <v>1</v>
      </c>
      <c r="M286" s="23" t="s">
        <v>38</v>
      </c>
      <c r="N286" s="25">
        <v>0</v>
      </c>
      <c r="O286" s="26" t="str">
        <f t="shared" si="63"/>
        <v>COIN</v>
      </c>
      <c r="P286" s="26" t="str">
        <f t="shared" si="65"/>
        <v>LONG</v>
      </c>
      <c r="Q286" s="26" t="str">
        <f t="shared" si="66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4"/>
        <v>LEND</v>
      </c>
      <c r="W286" t="str">
        <f t="shared" si="67"/>
        <v>SHIB COIN LONG</v>
      </c>
      <c r="X286" s="94" t="s">
        <v>267</v>
      </c>
    </row>
    <row r="287" spans="1:24" x14ac:dyDescent="0.25">
      <c r="A287">
        <v>337</v>
      </c>
      <c r="B287" s="77">
        <v>44909</v>
      </c>
      <c r="C287" s="14" t="s">
        <v>173</v>
      </c>
      <c r="D287" s="23" t="s">
        <v>171</v>
      </c>
      <c r="E287" s="23" t="s">
        <v>174</v>
      </c>
      <c r="F287" s="23">
        <v>4</v>
      </c>
      <c r="G287" s="23">
        <v>25811.124612553798</v>
      </c>
      <c r="H287" s="23">
        <v>6452.7811531384496</v>
      </c>
      <c r="I287" s="23">
        <v>0</v>
      </c>
      <c r="J287" s="23" t="s">
        <v>88</v>
      </c>
      <c r="K287" s="24">
        <v>44909</v>
      </c>
      <c r="L287" s="23">
        <v>1</v>
      </c>
      <c r="M287" s="23" t="s">
        <v>174</v>
      </c>
      <c r="N287" s="25">
        <v>0</v>
      </c>
      <c r="O287" s="26" t="str">
        <f t="shared" si="63"/>
        <v>COIN</v>
      </c>
      <c r="P287" s="26" t="str">
        <f t="shared" si="65"/>
        <v>LONG</v>
      </c>
      <c r="Q287" s="26" t="str">
        <f t="shared" si="66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4"/>
        <v>LEND</v>
      </c>
      <c r="W287" t="str">
        <f t="shared" si="67"/>
        <v>YFI COIN LONG</v>
      </c>
      <c r="X287" s="94" t="s">
        <v>267</v>
      </c>
    </row>
    <row r="288" spans="1:24" x14ac:dyDescent="0.25">
      <c r="A288">
        <v>338</v>
      </c>
      <c r="B288" s="77">
        <v>44909.000005706017</v>
      </c>
      <c r="C288" s="14" t="s">
        <v>175</v>
      </c>
      <c r="D288" s="23" t="s">
        <v>175</v>
      </c>
      <c r="E288" s="23" t="s">
        <v>16</v>
      </c>
      <c r="F288" s="23">
        <v>5.0000000000000001E-4</v>
      </c>
      <c r="G288" s="23">
        <v>0.65466433846648098</v>
      </c>
      <c r="H288" s="23">
        <v>1309.32867693296</v>
      </c>
      <c r="I288" s="23">
        <v>0</v>
      </c>
      <c r="J288" s="23" t="s">
        <v>88</v>
      </c>
      <c r="K288" s="24">
        <v>44909.000005706017</v>
      </c>
      <c r="L288" s="23">
        <v>1</v>
      </c>
      <c r="M288" s="23" t="s">
        <v>16</v>
      </c>
      <c r="N288" s="25">
        <v>0</v>
      </c>
      <c r="O288" s="26" t="str">
        <f t="shared" si="63"/>
        <v>COIN</v>
      </c>
      <c r="P288" s="26" t="str">
        <f t="shared" si="65"/>
        <v>LONG</v>
      </c>
      <c r="Q288" s="26" t="str">
        <f t="shared" si="66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4"/>
        <v>LMAC</v>
      </c>
      <c r="W288" t="str">
        <f t="shared" si="67"/>
        <v>ETH COIN LONG</v>
      </c>
      <c r="X288" s="94" t="s">
        <v>267</v>
      </c>
    </row>
    <row r="289" spans="1:24" x14ac:dyDescent="0.25">
      <c r="A289">
        <v>339</v>
      </c>
      <c r="B289" s="77">
        <v>44909.000005706017</v>
      </c>
      <c r="C289" s="14" t="s">
        <v>175</v>
      </c>
      <c r="D289" s="23" t="s">
        <v>175</v>
      </c>
      <c r="E289" s="23" t="s">
        <v>98</v>
      </c>
      <c r="F289" s="23">
        <v>2.63E-3</v>
      </c>
      <c r="G289" s="23">
        <v>2.63E-3</v>
      </c>
      <c r="H289" s="23">
        <v>1</v>
      </c>
      <c r="I289" s="23">
        <v>0</v>
      </c>
      <c r="J289" s="23" t="s">
        <v>88</v>
      </c>
      <c r="K289" s="24">
        <v>44909.000005706017</v>
      </c>
      <c r="L289" s="23">
        <v>1</v>
      </c>
      <c r="M289" s="23" t="s">
        <v>98</v>
      </c>
      <c r="N289" s="25">
        <v>0</v>
      </c>
      <c r="O289" s="26" t="str">
        <f t="shared" si="63"/>
        <v>CASH</v>
      </c>
      <c r="P289" s="26" t="str">
        <f t="shared" si="65"/>
        <v>LONG</v>
      </c>
      <c r="Q289" s="26" t="str">
        <f t="shared" si="66"/>
        <v>CASH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4"/>
        <v>LMAC</v>
      </c>
      <c r="W289" t="str">
        <f t="shared" si="67"/>
        <v>USD CASH LONG</v>
      </c>
      <c r="X289" s="94" t="s">
        <v>267</v>
      </c>
    </row>
    <row r="290" spans="1:24" x14ac:dyDescent="0.25">
      <c r="A290">
        <v>340</v>
      </c>
      <c r="B290" s="77">
        <v>44909.000005706017</v>
      </c>
      <c r="C290" s="14" t="s">
        <v>176</v>
      </c>
      <c r="D290" s="23" t="s">
        <v>176</v>
      </c>
      <c r="E290" s="23" t="s">
        <v>98</v>
      </c>
      <c r="F290" s="23">
        <v>10137.885630000001</v>
      </c>
      <c r="G290" s="23">
        <v>10137.885630000001</v>
      </c>
      <c r="H290" s="23">
        <v>1</v>
      </c>
      <c r="I290" s="23">
        <v>0</v>
      </c>
      <c r="J290" s="23" t="s">
        <v>88</v>
      </c>
      <c r="K290" s="24">
        <v>44909.000005706017</v>
      </c>
      <c r="L290" s="23">
        <v>1</v>
      </c>
      <c r="M290" s="23" t="s">
        <v>98</v>
      </c>
      <c r="N290" s="25">
        <v>0</v>
      </c>
      <c r="O290" s="26" t="str">
        <f t="shared" si="63"/>
        <v>CASH</v>
      </c>
      <c r="P290" s="26" t="str">
        <f t="shared" si="65"/>
        <v>LONG</v>
      </c>
      <c r="Q290" s="26" t="str">
        <f t="shared" si="66"/>
        <v>CASH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4"/>
        <v>LMAX</v>
      </c>
      <c r="W290" t="str">
        <f t="shared" si="67"/>
        <v>USD CASH LONG</v>
      </c>
      <c r="X290" s="94" t="s">
        <v>267</v>
      </c>
    </row>
    <row r="291" spans="1:24" x14ac:dyDescent="0.25">
      <c r="A291">
        <v>341</v>
      </c>
      <c r="B291" s="77">
        <v>44910.000001076391</v>
      </c>
      <c r="C291" s="14" t="s">
        <v>46</v>
      </c>
      <c r="D291" s="23" t="s">
        <v>50</v>
      </c>
      <c r="E291" s="23" t="s">
        <v>15</v>
      </c>
      <c r="F291" s="23">
        <v>8.9691284600000003</v>
      </c>
      <c r="G291" s="23">
        <v>159790.85214474401</v>
      </c>
      <c r="H291" s="23">
        <v>17815.649854650899</v>
      </c>
      <c r="I291" s="23">
        <v>0</v>
      </c>
      <c r="J291" s="23" t="s">
        <v>88</v>
      </c>
      <c r="K291" s="24">
        <v>44910.000001076391</v>
      </c>
      <c r="L291" s="23">
        <v>1</v>
      </c>
      <c r="M291" s="23" t="s">
        <v>15</v>
      </c>
      <c r="N291" s="25">
        <v>0</v>
      </c>
      <c r="O291" s="26" t="str">
        <f t="shared" si="63"/>
        <v>COIN</v>
      </c>
      <c r="P291" s="26" t="str">
        <f t="shared" si="65"/>
        <v>LONG</v>
      </c>
      <c r="Q291" s="26" t="str">
        <f t="shared" si="66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4"/>
        <v>OKEX</v>
      </c>
      <c r="W291" t="str">
        <f t="shared" si="67"/>
        <v>BTC COIN LONG</v>
      </c>
      <c r="X291" s="94" t="s">
        <v>267</v>
      </c>
    </row>
    <row r="292" spans="1:24" x14ac:dyDescent="0.25">
      <c r="A292">
        <v>342</v>
      </c>
      <c r="B292" s="77">
        <v>44910.000001076391</v>
      </c>
      <c r="C292" s="14" t="s">
        <v>46</v>
      </c>
      <c r="D292" s="23" t="s">
        <v>50</v>
      </c>
      <c r="E292" s="23" t="s">
        <v>15</v>
      </c>
      <c r="F292" s="23">
        <v>0.25889719999999999</v>
      </c>
      <c r="G292" s="23">
        <v>4612.4218635495199</v>
      </c>
      <c r="H292" s="23">
        <v>17815.649854650899</v>
      </c>
      <c r="I292" s="23">
        <v>0</v>
      </c>
      <c r="J292" s="23" t="s">
        <v>256</v>
      </c>
      <c r="K292" s="24">
        <v>44910.000001076391</v>
      </c>
      <c r="L292" s="23">
        <v>1</v>
      </c>
      <c r="M292" s="23" t="s">
        <v>15</v>
      </c>
      <c r="N292" s="25">
        <v>0</v>
      </c>
      <c r="O292" s="26" t="str">
        <f t="shared" si="63"/>
        <v>COIN</v>
      </c>
      <c r="P292" s="26" t="str">
        <f t="shared" si="65"/>
        <v>LONG</v>
      </c>
      <c r="Q292" s="26" t="str">
        <f t="shared" si="66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4"/>
        <v>OKEX</v>
      </c>
      <c r="W292" t="str">
        <f t="shared" si="67"/>
        <v>BTC COIN LONG</v>
      </c>
      <c r="X292" s="94" t="s">
        <v>267</v>
      </c>
    </row>
    <row r="293" spans="1:24" x14ac:dyDescent="0.25">
      <c r="A293">
        <v>343</v>
      </c>
      <c r="B293" s="77">
        <v>44910.000001076391</v>
      </c>
      <c r="C293" s="14" t="s">
        <v>46</v>
      </c>
      <c r="D293" s="23" t="s">
        <v>50</v>
      </c>
      <c r="E293" s="23" t="s">
        <v>16</v>
      </c>
      <c r="F293" s="23">
        <v>20.316267499999999</v>
      </c>
      <c r="G293" s="23">
        <v>26600.6716459911</v>
      </c>
      <c r="H293" s="23">
        <v>1309.32867693296</v>
      </c>
      <c r="I293" s="23">
        <v>0</v>
      </c>
      <c r="J293" s="23" t="s">
        <v>88</v>
      </c>
      <c r="K293" s="24">
        <v>44910.000001076391</v>
      </c>
      <c r="L293" s="23">
        <v>1</v>
      </c>
      <c r="M293" s="23" t="s">
        <v>16</v>
      </c>
      <c r="N293" s="25">
        <v>0</v>
      </c>
      <c r="O293" s="26" t="str">
        <f t="shared" si="63"/>
        <v>COIN</v>
      </c>
      <c r="P293" s="26" t="str">
        <f t="shared" si="65"/>
        <v>LONG</v>
      </c>
      <c r="Q293" s="26" t="str">
        <f t="shared" si="66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4"/>
        <v>OKEX</v>
      </c>
      <c r="W293" t="str">
        <f t="shared" si="67"/>
        <v>ETH COIN LONG</v>
      </c>
      <c r="X293" s="94" t="s">
        <v>267</v>
      </c>
    </row>
    <row r="294" spans="1:24" x14ac:dyDescent="0.25">
      <c r="A294">
        <v>344</v>
      </c>
      <c r="B294" s="77">
        <v>44910.000001076391</v>
      </c>
      <c r="C294" s="14" t="s">
        <v>46</v>
      </c>
      <c r="D294" s="23" t="s">
        <v>50</v>
      </c>
      <c r="E294" s="23" t="s">
        <v>16</v>
      </c>
      <c r="F294" s="23">
        <v>-0.27192326</v>
      </c>
      <c r="G294" s="23">
        <v>-356.03692224309702</v>
      </c>
      <c r="H294" s="23">
        <v>1309.32867693296</v>
      </c>
      <c r="I294" s="23">
        <v>0</v>
      </c>
      <c r="J294" s="23" t="s">
        <v>256</v>
      </c>
      <c r="K294" s="24">
        <v>44910.000001076391</v>
      </c>
      <c r="L294" s="23">
        <v>1</v>
      </c>
      <c r="M294" s="23" t="s">
        <v>16</v>
      </c>
      <c r="N294" s="25">
        <v>0</v>
      </c>
      <c r="O294" s="26" t="str">
        <f t="shared" si="63"/>
        <v>COIN</v>
      </c>
      <c r="P294" s="26" t="str">
        <f t="shared" si="65"/>
        <v>SHORT</v>
      </c>
      <c r="Q294" s="26" t="str">
        <f t="shared" si="66"/>
        <v>COIN SHORT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4"/>
        <v>OKEX</v>
      </c>
      <c r="W294" t="str">
        <f t="shared" si="67"/>
        <v>ETH COIN SHORT</v>
      </c>
      <c r="X294" s="94" t="s">
        <v>267</v>
      </c>
    </row>
    <row r="295" spans="1:24" x14ac:dyDescent="0.25">
      <c r="A295">
        <v>345</v>
      </c>
      <c r="B295" s="77">
        <v>44910.000001076391</v>
      </c>
      <c r="C295" s="14" t="s">
        <v>46</v>
      </c>
      <c r="D295" s="23" t="s">
        <v>50</v>
      </c>
      <c r="E295" s="23" t="s">
        <v>102</v>
      </c>
      <c r="F295" s="23">
        <v>0.44933625999999999</v>
      </c>
      <c r="G295" s="23">
        <v>0.17362969475936199</v>
      </c>
      <c r="H295" s="23">
        <v>0.38641371777866901</v>
      </c>
      <c r="I295" s="23">
        <v>0</v>
      </c>
      <c r="J295" s="23" t="s">
        <v>88</v>
      </c>
      <c r="K295" s="24">
        <v>44910.000001076391</v>
      </c>
      <c r="L295" s="23">
        <v>1</v>
      </c>
      <c r="M295" s="23" t="s">
        <v>102</v>
      </c>
      <c r="N295" s="25">
        <v>0</v>
      </c>
      <c r="O295" s="26" t="str">
        <f t="shared" si="63"/>
        <v>COIN</v>
      </c>
      <c r="P295" s="26" t="str">
        <f t="shared" si="65"/>
        <v>LONG</v>
      </c>
      <c r="Q295" s="26" t="str">
        <f t="shared" si="66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4"/>
        <v>OKEX</v>
      </c>
      <c r="W295" t="str">
        <f t="shared" si="67"/>
        <v>XRP COIN LONG</v>
      </c>
      <c r="X295" s="94" t="s">
        <v>267</v>
      </c>
    </row>
    <row r="296" spans="1:24" x14ac:dyDescent="0.25">
      <c r="A296">
        <v>346</v>
      </c>
      <c r="B296" s="77">
        <v>44910.000001192129</v>
      </c>
      <c r="C296" s="14" t="s">
        <v>46</v>
      </c>
      <c r="D296" s="23" t="s">
        <v>53</v>
      </c>
      <c r="E296" s="23" t="s">
        <v>15</v>
      </c>
      <c r="F296" s="23">
        <v>5.0953451200000002</v>
      </c>
      <c r="G296" s="23">
        <v>90776.884546524205</v>
      </c>
      <c r="H296" s="23">
        <v>17815.649854650899</v>
      </c>
      <c r="I296" s="23">
        <v>0</v>
      </c>
      <c r="J296" s="23" t="s">
        <v>88</v>
      </c>
      <c r="K296" s="24">
        <v>44910.000001192129</v>
      </c>
      <c r="L296" s="23">
        <v>1</v>
      </c>
      <c r="M296" s="23" t="s">
        <v>15</v>
      </c>
      <c r="N296" s="25">
        <v>0</v>
      </c>
      <c r="O296" s="26" t="str">
        <f t="shared" si="63"/>
        <v>COIN</v>
      </c>
      <c r="P296" s="26" t="str">
        <f t="shared" si="65"/>
        <v>LONG</v>
      </c>
      <c r="Q296" s="26" t="str">
        <f t="shared" si="66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4"/>
        <v>OKEX</v>
      </c>
      <c r="W296" t="str">
        <f t="shared" si="67"/>
        <v>BTC COIN LONG</v>
      </c>
      <c r="X296" s="94" t="s">
        <v>267</v>
      </c>
    </row>
    <row r="297" spans="1:24" x14ac:dyDescent="0.25">
      <c r="A297">
        <v>347</v>
      </c>
      <c r="B297" s="77">
        <v>44910.000001192129</v>
      </c>
      <c r="C297" s="14" t="s">
        <v>46</v>
      </c>
      <c r="D297" s="23" t="s">
        <v>53</v>
      </c>
      <c r="E297" s="23" t="s">
        <v>15</v>
      </c>
      <c r="F297" s="23">
        <v>7.7485E-4</v>
      </c>
      <c r="G297" s="23">
        <v>13.8044562898762</v>
      </c>
      <c r="H297" s="23">
        <v>17815.649854650899</v>
      </c>
      <c r="I297" s="23">
        <v>0</v>
      </c>
      <c r="J297" s="23" t="s">
        <v>256</v>
      </c>
      <c r="K297" s="24">
        <v>44910.000001192129</v>
      </c>
      <c r="L297" s="23">
        <v>1</v>
      </c>
      <c r="M297" s="23" t="s">
        <v>15</v>
      </c>
      <c r="N297" s="25">
        <v>0</v>
      </c>
      <c r="O297" s="26" t="str">
        <f t="shared" si="63"/>
        <v>COIN</v>
      </c>
      <c r="P297" s="26" t="str">
        <f t="shared" si="65"/>
        <v>LONG</v>
      </c>
      <c r="Q297" s="26" t="str">
        <f t="shared" si="66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4"/>
        <v>OKEX</v>
      </c>
      <c r="W297" t="str">
        <f t="shared" si="67"/>
        <v>BTC COIN LONG</v>
      </c>
      <c r="X297" s="94" t="s">
        <v>267</v>
      </c>
    </row>
    <row r="298" spans="1:24" x14ac:dyDescent="0.25">
      <c r="A298">
        <v>348</v>
      </c>
      <c r="B298" s="77">
        <v>44910.000001192129</v>
      </c>
      <c r="C298" s="14" t="s">
        <v>46</v>
      </c>
      <c r="D298" s="23" t="s">
        <v>53</v>
      </c>
      <c r="E298" s="23" t="s">
        <v>16</v>
      </c>
      <c r="F298" s="23">
        <v>10</v>
      </c>
      <c r="G298" s="23">
        <v>13093.286769329599</v>
      </c>
      <c r="H298" s="23">
        <v>1309.32867693296</v>
      </c>
      <c r="I298" s="23">
        <v>0</v>
      </c>
      <c r="J298" s="23" t="s">
        <v>88</v>
      </c>
      <c r="K298" s="24">
        <v>44910.000001192129</v>
      </c>
      <c r="L298" s="23">
        <v>1</v>
      </c>
      <c r="M298" s="23" t="s">
        <v>16</v>
      </c>
      <c r="N298" s="25">
        <v>0</v>
      </c>
      <c r="O298" s="26" t="str">
        <f t="shared" si="63"/>
        <v>COIN</v>
      </c>
      <c r="P298" s="26" t="str">
        <f t="shared" si="65"/>
        <v>LONG</v>
      </c>
      <c r="Q298" s="26" t="str">
        <f t="shared" si="66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4"/>
        <v>OKEX</v>
      </c>
      <c r="W298" t="str">
        <f t="shared" si="67"/>
        <v>ETH COIN LONG</v>
      </c>
      <c r="X298" s="94" t="s">
        <v>267</v>
      </c>
    </row>
    <row r="299" spans="1:24" x14ac:dyDescent="0.25">
      <c r="A299">
        <v>349</v>
      </c>
      <c r="B299" s="77">
        <v>44910.000001192129</v>
      </c>
      <c r="C299" s="14" t="s">
        <v>46</v>
      </c>
      <c r="D299" s="23" t="s">
        <v>53</v>
      </c>
      <c r="E299" s="23" t="s">
        <v>39</v>
      </c>
      <c r="F299" s="23">
        <v>237486.28396321001</v>
      </c>
      <c r="G299" s="23">
        <v>237511.31746947501</v>
      </c>
      <c r="H299" s="23">
        <v>1.0001054103245299</v>
      </c>
      <c r="I299" s="23">
        <v>0</v>
      </c>
      <c r="J299" s="23" t="s">
        <v>88</v>
      </c>
      <c r="K299" s="24">
        <v>44910.000001192129</v>
      </c>
      <c r="L299" s="23">
        <v>1</v>
      </c>
      <c r="M299" s="23" t="s">
        <v>39</v>
      </c>
      <c r="N299" s="25">
        <v>0</v>
      </c>
      <c r="O299" s="26" t="str">
        <f t="shared" si="63"/>
        <v>COIN</v>
      </c>
      <c r="P299" s="26" t="str">
        <f t="shared" si="65"/>
        <v>LONG</v>
      </c>
      <c r="Q299" s="26" t="str">
        <f t="shared" si="66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4"/>
        <v>OKEX</v>
      </c>
      <c r="W299" t="str">
        <f t="shared" si="67"/>
        <v>USDT COIN LONG</v>
      </c>
      <c r="X299" s="94" t="s">
        <v>267</v>
      </c>
    </row>
    <row r="300" spans="1:24" x14ac:dyDescent="0.25">
      <c r="A300">
        <v>350</v>
      </c>
      <c r="B300" s="77">
        <v>44910.000001192129</v>
      </c>
      <c r="C300" s="14" t="s">
        <v>46</v>
      </c>
      <c r="D300" s="23" t="s">
        <v>53</v>
      </c>
      <c r="E300" s="23" t="s">
        <v>39</v>
      </c>
      <c r="F300" s="23">
        <v>-8464.4245849700001</v>
      </c>
      <c r="G300" s="23">
        <v>-8465.3168227125207</v>
      </c>
      <c r="H300" s="23">
        <v>1.0001054103245299</v>
      </c>
      <c r="I300" s="23">
        <v>0</v>
      </c>
      <c r="J300" s="23" t="s">
        <v>256</v>
      </c>
      <c r="K300" s="24">
        <v>44910.000001192129</v>
      </c>
      <c r="L300" s="23">
        <v>1</v>
      </c>
      <c r="M300" s="23" t="s">
        <v>39</v>
      </c>
      <c r="N300" s="25">
        <v>0</v>
      </c>
      <c r="O300" s="26" t="str">
        <f t="shared" si="63"/>
        <v>COIN</v>
      </c>
      <c r="P300" s="26" t="str">
        <f t="shared" si="65"/>
        <v>SHORT</v>
      </c>
      <c r="Q300" s="26" t="str">
        <f t="shared" si="66"/>
        <v>COIN SHORT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4"/>
        <v>OKEX</v>
      </c>
      <c r="W300" t="str">
        <f t="shared" si="67"/>
        <v>USDT COIN SHORT</v>
      </c>
      <c r="X300" s="94" t="s">
        <v>267</v>
      </c>
    </row>
    <row r="301" spans="1:24" x14ac:dyDescent="0.25">
      <c r="A301">
        <v>351</v>
      </c>
      <c r="B301" s="77">
        <v>44910.000001273147</v>
      </c>
      <c r="C301" s="14" t="s">
        <v>46</v>
      </c>
      <c r="D301" s="23" t="s">
        <v>54</v>
      </c>
      <c r="E301" s="23" t="s">
        <v>15</v>
      </c>
      <c r="F301" s="23">
        <v>4.2557053800000002</v>
      </c>
      <c r="G301" s="23">
        <v>75818.156934634098</v>
      </c>
      <c r="H301" s="23">
        <v>17815.649854650899</v>
      </c>
      <c r="I301" s="23">
        <v>0</v>
      </c>
      <c r="J301" s="23" t="s">
        <v>88</v>
      </c>
      <c r="K301" s="24">
        <v>44910.000001273147</v>
      </c>
      <c r="L301" s="23">
        <v>1</v>
      </c>
      <c r="M301" s="23" t="s">
        <v>15</v>
      </c>
      <c r="N301" s="25">
        <v>0</v>
      </c>
      <c r="O301" s="26" t="str">
        <f t="shared" si="63"/>
        <v>COIN</v>
      </c>
      <c r="P301" s="26" t="str">
        <f t="shared" si="65"/>
        <v>LONG</v>
      </c>
      <c r="Q301" s="26" t="str">
        <f t="shared" si="66"/>
        <v>COIN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4"/>
        <v>OKEX</v>
      </c>
      <c r="W301" t="str">
        <f t="shared" si="67"/>
        <v>BTC COIN LONG</v>
      </c>
      <c r="X301" s="94" t="s">
        <v>267</v>
      </c>
    </row>
    <row r="302" spans="1:24" x14ac:dyDescent="0.25">
      <c r="A302">
        <v>352</v>
      </c>
      <c r="B302" s="77">
        <v>44910.000001273147</v>
      </c>
      <c r="C302" s="14" t="s">
        <v>46</v>
      </c>
      <c r="D302" s="23" t="s">
        <v>54</v>
      </c>
      <c r="E302" s="23" t="s">
        <v>39</v>
      </c>
      <c r="F302" s="23">
        <v>-18052.890061800001</v>
      </c>
      <c r="G302" s="23">
        <v>-18054.793022800201</v>
      </c>
      <c r="H302" s="23">
        <v>1.0001054103245299</v>
      </c>
      <c r="I302" s="23">
        <v>0</v>
      </c>
      <c r="J302" s="23" t="s">
        <v>256</v>
      </c>
      <c r="K302" s="24">
        <v>44910.000001273147</v>
      </c>
      <c r="L302" s="23">
        <v>1</v>
      </c>
      <c r="M302" s="23" t="s">
        <v>39</v>
      </c>
      <c r="N302" s="25">
        <v>0</v>
      </c>
      <c r="O302" s="26" t="str">
        <f t="shared" si="63"/>
        <v>COIN</v>
      </c>
      <c r="P302" s="26" t="str">
        <f t="shared" si="65"/>
        <v>SHORT</v>
      </c>
      <c r="Q302" s="26" t="str">
        <f t="shared" si="66"/>
        <v>COIN SHORT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4"/>
        <v>OKEX</v>
      </c>
      <c r="W302" t="str">
        <f t="shared" si="67"/>
        <v>USDT COIN SHORT</v>
      </c>
      <c r="X302" s="94" t="s">
        <v>267</v>
      </c>
    </row>
    <row r="303" spans="1:24" x14ac:dyDescent="0.25">
      <c r="A303">
        <v>353</v>
      </c>
      <c r="B303" s="77">
        <v>44910.000003275461</v>
      </c>
      <c r="C303" s="14" t="s">
        <v>46</v>
      </c>
      <c r="D303" s="23" t="s">
        <v>47</v>
      </c>
      <c r="E303" s="23" t="s">
        <v>15</v>
      </c>
      <c r="F303" s="23">
        <v>764.01100843999996</v>
      </c>
      <c r="G303" s="23">
        <v>13611352.6114657</v>
      </c>
      <c r="H303" s="23">
        <v>17815.649854650899</v>
      </c>
      <c r="I303" s="23">
        <v>0</v>
      </c>
      <c r="J303" s="23" t="s">
        <v>88</v>
      </c>
      <c r="K303" s="24">
        <v>44910.000003275461</v>
      </c>
      <c r="L303" s="23">
        <v>1</v>
      </c>
      <c r="M303" s="23" t="s">
        <v>15</v>
      </c>
      <c r="N303" s="25">
        <v>0</v>
      </c>
      <c r="O303" s="26" t="str">
        <f t="shared" si="63"/>
        <v>COIN</v>
      </c>
      <c r="P303" s="26" t="str">
        <f t="shared" si="65"/>
        <v>LONG</v>
      </c>
      <c r="Q303" s="26" t="str">
        <f t="shared" si="66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4"/>
        <v>OKEX</v>
      </c>
      <c r="W303" t="str">
        <f t="shared" si="67"/>
        <v>BTC COIN LONG</v>
      </c>
      <c r="X303" s="94" t="s">
        <v>267</v>
      </c>
    </row>
    <row r="304" spans="1:24" x14ac:dyDescent="0.25">
      <c r="A304">
        <v>354</v>
      </c>
      <c r="B304" s="77">
        <v>44910.000003275461</v>
      </c>
      <c r="C304" s="14" t="s">
        <v>46</v>
      </c>
      <c r="D304" s="23" t="s">
        <v>47</v>
      </c>
      <c r="E304" s="23" t="s">
        <v>15</v>
      </c>
      <c r="F304" s="23">
        <v>1.3770048500000001</v>
      </c>
      <c r="G304" s="23">
        <v>24532.236255756099</v>
      </c>
      <c r="H304" s="23">
        <v>17815.649854650899</v>
      </c>
      <c r="I304" s="23">
        <v>0</v>
      </c>
      <c r="J304" s="23" t="s">
        <v>256</v>
      </c>
      <c r="K304" s="24">
        <v>44910.000003275461</v>
      </c>
      <c r="L304" s="23">
        <v>1</v>
      </c>
      <c r="M304" s="23" t="s">
        <v>15</v>
      </c>
      <c r="N304" s="25">
        <v>0</v>
      </c>
      <c r="O304" s="26" t="str">
        <f t="shared" si="63"/>
        <v>COIN</v>
      </c>
      <c r="P304" s="26" t="str">
        <f t="shared" si="65"/>
        <v>LONG</v>
      </c>
      <c r="Q304" s="26" t="str">
        <f t="shared" si="66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4"/>
        <v>OKEX</v>
      </c>
      <c r="W304" t="str">
        <f t="shared" si="67"/>
        <v>BTC COIN LONG</v>
      </c>
      <c r="X304" s="94" t="s">
        <v>267</v>
      </c>
    </row>
    <row r="305" spans="1:24" x14ac:dyDescent="0.25">
      <c r="A305">
        <v>355</v>
      </c>
      <c r="B305" s="77">
        <v>44910.000003275461</v>
      </c>
      <c r="C305" s="14" t="s">
        <v>46</v>
      </c>
      <c r="D305" s="23" t="s">
        <v>47</v>
      </c>
      <c r="E305" s="23" t="s">
        <v>24</v>
      </c>
      <c r="F305" s="23">
        <v>38721.420911499998</v>
      </c>
      <c r="G305" s="23">
        <v>37870.375838440501</v>
      </c>
      <c r="H305" s="23">
        <v>0.97802133669101299</v>
      </c>
      <c r="I305" s="23">
        <v>0</v>
      </c>
      <c r="J305" s="23" t="s">
        <v>88</v>
      </c>
      <c r="K305" s="24">
        <v>44910.000003275461</v>
      </c>
      <c r="L305" s="23">
        <v>1</v>
      </c>
      <c r="M305" s="23" t="s">
        <v>24</v>
      </c>
      <c r="N305" s="25">
        <v>0</v>
      </c>
      <c r="O305" s="26" t="str">
        <f t="shared" si="63"/>
        <v>COIN</v>
      </c>
      <c r="P305" s="26" t="str">
        <f t="shared" si="65"/>
        <v>LONG</v>
      </c>
      <c r="Q305" s="26" t="str">
        <f t="shared" si="66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4"/>
        <v>OKEX</v>
      </c>
      <c r="W305" t="str">
        <f t="shared" si="67"/>
        <v>EOS COIN LONG</v>
      </c>
      <c r="X305" s="94" t="s">
        <v>267</v>
      </c>
    </row>
    <row r="306" spans="1:24" x14ac:dyDescent="0.25">
      <c r="A306">
        <v>356</v>
      </c>
      <c r="B306" s="77">
        <v>44910.000003275461</v>
      </c>
      <c r="C306" s="14" t="s">
        <v>46</v>
      </c>
      <c r="D306" s="23" t="s">
        <v>47</v>
      </c>
      <c r="E306" s="23" t="s">
        <v>16</v>
      </c>
      <c r="F306" s="23">
        <v>2557.3184111800001</v>
      </c>
      <c r="G306" s="23">
        <v>3348370.3318066099</v>
      </c>
      <c r="H306" s="23">
        <v>1309.32867693296</v>
      </c>
      <c r="I306" s="23">
        <v>0</v>
      </c>
      <c r="J306" s="23" t="s">
        <v>88</v>
      </c>
      <c r="K306" s="24">
        <v>44910.000003275461</v>
      </c>
      <c r="L306" s="23">
        <v>1</v>
      </c>
      <c r="M306" s="23" t="s">
        <v>16</v>
      </c>
      <c r="N306" s="25">
        <v>0</v>
      </c>
      <c r="O306" s="26" t="str">
        <f t="shared" si="63"/>
        <v>COIN</v>
      </c>
      <c r="P306" s="26" t="str">
        <f t="shared" si="65"/>
        <v>LONG</v>
      </c>
      <c r="Q306" s="26" t="str">
        <f t="shared" si="66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4"/>
        <v>OKEX</v>
      </c>
      <c r="W306" t="str">
        <f t="shared" si="67"/>
        <v>ETH COIN LONG</v>
      </c>
      <c r="X306" s="94" t="s">
        <v>267</v>
      </c>
    </row>
    <row r="307" spans="1:24" x14ac:dyDescent="0.25">
      <c r="A307">
        <v>357</v>
      </c>
      <c r="B307" s="77">
        <v>44910.000003275461</v>
      </c>
      <c r="C307" s="14" t="s">
        <v>46</v>
      </c>
      <c r="D307" s="23" t="s">
        <v>47</v>
      </c>
      <c r="E307" s="23" t="s">
        <v>16</v>
      </c>
      <c r="F307" s="23">
        <v>-15.32692119</v>
      </c>
      <c r="G307" s="23">
        <v>-20067.977443158401</v>
      </c>
      <c r="H307" s="23">
        <v>1309.32867693296</v>
      </c>
      <c r="I307" s="23">
        <v>0</v>
      </c>
      <c r="J307" s="23" t="s">
        <v>256</v>
      </c>
      <c r="K307" s="24">
        <v>44910.000003275461</v>
      </c>
      <c r="L307" s="23">
        <v>1</v>
      </c>
      <c r="M307" s="23" t="s">
        <v>16</v>
      </c>
      <c r="N307" s="25">
        <v>0</v>
      </c>
      <c r="O307" s="26" t="str">
        <f t="shared" si="63"/>
        <v>COIN</v>
      </c>
      <c r="P307" s="26" t="str">
        <f t="shared" si="65"/>
        <v>SHORT</v>
      </c>
      <c r="Q307" s="26" t="str">
        <f t="shared" si="66"/>
        <v>COIN SHORT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4"/>
        <v>OKEX</v>
      </c>
      <c r="W307" t="str">
        <f t="shared" si="67"/>
        <v>ETH COIN SHORT</v>
      </c>
      <c r="X307" s="94" t="s">
        <v>267</v>
      </c>
    </row>
    <row r="308" spans="1:24" x14ac:dyDescent="0.25">
      <c r="A308">
        <v>358</v>
      </c>
      <c r="B308" s="77">
        <v>44910.000003275461</v>
      </c>
      <c r="C308" s="14" t="s">
        <v>46</v>
      </c>
      <c r="D308" s="23" t="s">
        <v>47</v>
      </c>
      <c r="E308" s="23" t="s">
        <v>25</v>
      </c>
      <c r="F308" s="23">
        <v>137.25004552999999</v>
      </c>
      <c r="G308" s="23">
        <v>10359.065721848099</v>
      </c>
      <c r="H308" s="23">
        <v>75.475863646134997</v>
      </c>
      <c r="I308" s="23">
        <v>0</v>
      </c>
      <c r="J308" s="23" t="s">
        <v>88</v>
      </c>
      <c r="K308" s="24">
        <v>44910.000003275461</v>
      </c>
      <c r="L308" s="23">
        <v>1</v>
      </c>
      <c r="M308" s="23" t="s">
        <v>25</v>
      </c>
      <c r="N308" s="25">
        <v>0</v>
      </c>
      <c r="O308" s="26" t="str">
        <f t="shared" si="63"/>
        <v>COIN</v>
      </c>
      <c r="P308" s="26" t="str">
        <f t="shared" si="65"/>
        <v>LONG</v>
      </c>
      <c r="Q308" s="26" t="str">
        <f t="shared" si="66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4"/>
        <v>OKEX</v>
      </c>
      <c r="W308" t="str">
        <f t="shared" si="67"/>
        <v>LTC COIN LONG</v>
      </c>
      <c r="X308" s="94" t="s">
        <v>267</v>
      </c>
    </row>
    <row r="309" spans="1:24" x14ac:dyDescent="0.25">
      <c r="A309">
        <v>359</v>
      </c>
      <c r="B309" s="77">
        <v>44910.000003275461</v>
      </c>
      <c r="C309" s="14" t="s">
        <v>46</v>
      </c>
      <c r="D309" s="23" t="s">
        <v>47</v>
      </c>
      <c r="E309" s="23" t="s">
        <v>92</v>
      </c>
      <c r="F309" s="23">
        <v>635986.32306369999</v>
      </c>
      <c r="G309" s="23">
        <v>51628.015928617897</v>
      </c>
      <c r="H309" s="23">
        <v>8.1177871372945895E-2</v>
      </c>
      <c r="I309" s="23">
        <v>0</v>
      </c>
      <c r="J309" s="23" t="s">
        <v>88</v>
      </c>
      <c r="K309" s="24">
        <v>44910.000003275461</v>
      </c>
      <c r="L309" s="23">
        <v>1</v>
      </c>
      <c r="M309" s="23" t="s">
        <v>92</v>
      </c>
      <c r="N309" s="25">
        <v>0</v>
      </c>
      <c r="O309" s="26" t="str">
        <f t="shared" si="63"/>
        <v>COIN</v>
      </c>
      <c r="P309" s="26" t="str">
        <f t="shared" si="65"/>
        <v>LONG</v>
      </c>
      <c r="Q309" s="26" t="str">
        <f t="shared" si="66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4"/>
        <v>OKEX</v>
      </c>
      <c r="W309" t="str">
        <f t="shared" si="67"/>
        <v>OXT COIN LONG</v>
      </c>
      <c r="X309" s="94" t="s">
        <v>267</v>
      </c>
    </row>
    <row r="310" spans="1:24" x14ac:dyDescent="0.25">
      <c r="A310">
        <v>360</v>
      </c>
      <c r="B310" s="77">
        <v>44910.000003275461</v>
      </c>
      <c r="C310" s="14" t="s">
        <v>46</v>
      </c>
      <c r="D310" s="23" t="s">
        <v>47</v>
      </c>
      <c r="E310" s="23" t="s">
        <v>39</v>
      </c>
      <c r="F310" s="23">
        <v>204481.77734043999</v>
      </c>
      <c r="G310" s="23">
        <v>204503.33183095101</v>
      </c>
      <c r="H310" s="23">
        <v>1.0001054103245299</v>
      </c>
      <c r="I310" s="23">
        <v>0</v>
      </c>
      <c r="J310" s="23" t="s">
        <v>256</v>
      </c>
      <c r="K310" s="24">
        <v>44910.000003275461</v>
      </c>
      <c r="L310" s="23">
        <v>1</v>
      </c>
      <c r="M310" s="23" t="s">
        <v>39</v>
      </c>
      <c r="N310" s="25">
        <v>0</v>
      </c>
      <c r="O310" s="26" t="str">
        <f t="shared" si="63"/>
        <v>COIN</v>
      </c>
      <c r="P310" s="26" t="str">
        <f t="shared" si="65"/>
        <v>LONG</v>
      </c>
      <c r="Q310" s="26" t="str">
        <f t="shared" si="66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4"/>
        <v>OKEX</v>
      </c>
      <c r="W310" t="str">
        <f t="shared" si="67"/>
        <v>USDT COIN LONG</v>
      </c>
      <c r="X310" s="94" t="s">
        <v>267</v>
      </c>
    </row>
    <row r="311" spans="1:24" x14ac:dyDescent="0.25">
      <c r="A311">
        <v>361</v>
      </c>
      <c r="B311" s="77">
        <v>44910.000003275461</v>
      </c>
      <c r="C311" s="14" t="s">
        <v>46</v>
      </c>
      <c r="D311" s="23" t="s">
        <v>47</v>
      </c>
      <c r="E311" s="23" t="s">
        <v>102</v>
      </c>
      <c r="F311" s="23">
        <v>14324.333393569999</v>
      </c>
      <c r="G311" s="23">
        <v>5535.1189213105199</v>
      </c>
      <c r="H311" s="23">
        <v>0.38641371777866901</v>
      </c>
      <c r="I311" s="23">
        <v>0</v>
      </c>
      <c r="J311" s="23" t="s">
        <v>88</v>
      </c>
      <c r="K311" s="24">
        <v>44910.000003275461</v>
      </c>
      <c r="L311" s="23">
        <v>1</v>
      </c>
      <c r="M311" s="23" t="s">
        <v>102</v>
      </c>
      <c r="N311" s="25">
        <v>0</v>
      </c>
      <c r="O311" s="26" t="str">
        <f t="shared" si="63"/>
        <v>COIN</v>
      </c>
      <c r="P311" s="26" t="str">
        <f t="shared" si="65"/>
        <v>LONG</v>
      </c>
      <c r="Q311" s="26" t="str">
        <f t="shared" si="66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4"/>
        <v>OKEX</v>
      </c>
      <c r="W311" t="str">
        <f t="shared" si="67"/>
        <v>XRP COIN LONG</v>
      </c>
      <c r="X311" s="94" t="s">
        <v>267</v>
      </c>
    </row>
    <row r="312" spans="1:24" x14ac:dyDescent="0.25">
      <c r="A312">
        <v>362</v>
      </c>
      <c r="B312" s="77">
        <v>44910.000003275461</v>
      </c>
      <c r="C312" s="14" t="s">
        <v>46</v>
      </c>
      <c r="D312" s="23" t="s">
        <v>47</v>
      </c>
      <c r="E312" s="23" t="s">
        <v>27</v>
      </c>
      <c r="F312" s="23">
        <v>1887327.67139451</v>
      </c>
      <c r="G312" s="23">
        <v>41125.573772119402</v>
      </c>
      <c r="H312" s="23">
        <v>2.1790372914806299E-2</v>
      </c>
      <c r="I312" s="23">
        <v>0</v>
      </c>
      <c r="J312" s="23" t="s">
        <v>88</v>
      </c>
      <c r="K312" s="24">
        <v>44910.000003275461</v>
      </c>
      <c r="L312" s="23">
        <v>1</v>
      </c>
      <c r="M312" s="23" t="s">
        <v>27</v>
      </c>
      <c r="N312" s="25">
        <v>0</v>
      </c>
      <c r="O312" s="26" t="str">
        <f t="shared" si="63"/>
        <v>COIN</v>
      </c>
      <c r="P312" s="26" t="str">
        <f t="shared" si="65"/>
        <v>LONG</v>
      </c>
      <c r="Q312" s="26" t="str">
        <f t="shared" si="66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4"/>
        <v>OKEX</v>
      </c>
      <c r="W312" t="str">
        <f t="shared" si="67"/>
        <v>ZIL COIN LONG</v>
      </c>
      <c r="X312" s="94" t="s">
        <v>267</v>
      </c>
    </row>
    <row r="313" spans="1:24" x14ac:dyDescent="0.25">
      <c r="A313">
        <v>363</v>
      </c>
      <c r="B313" s="77">
        <v>44910.000003275461</v>
      </c>
      <c r="C313" s="14" t="s">
        <v>46</v>
      </c>
      <c r="D313" s="23" t="s">
        <v>177</v>
      </c>
      <c r="E313" s="23" t="s">
        <v>21</v>
      </c>
      <c r="F313" s="23">
        <v>7.381E-5</v>
      </c>
      <c r="G313" s="23">
        <v>8.0532980862963108E-3</v>
      </c>
      <c r="H313" s="23">
        <v>109.10849595307199</v>
      </c>
      <c r="I313" s="23">
        <v>0</v>
      </c>
      <c r="J313" s="23" t="s">
        <v>88</v>
      </c>
      <c r="K313" s="24">
        <v>44910.000003275461</v>
      </c>
      <c r="L313" s="23">
        <v>1</v>
      </c>
      <c r="M313" s="23" t="s">
        <v>21</v>
      </c>
      <c r="N313" s="25">
        <v>0</v>
      </c>
      <c r="O313" s="26" t="str">
        <f t="shared" si="63"/>
        <v>COIN</v>
      </c>
      <c r="P313" s="26" t="str">
        <f t="shared" si="65"/>
        <v>LONG</v>
      </c>
      <c r="Q313" s="26" t="str">
        <f t="shared" si="66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4"/>
        <v>OKEX</v>
      </c>
      <c r="W313" t="str">
        <f t="shared" si="67"/>
        <v>BCH COIN LONG</v>
      </c>
      <c r="X313" s="94" t="s">
        <v>267</v>
      </c>
    </row>
    <row r="314" spans="1:24" x14ac:dyDescent="0.25">
      <c r="A314">
        <v>364</v>
      </c>
      <c r="B314" s="77">
        <v>44910.000003275461</v>
      </c>
      <c r="C314" s="14" t="s">
        <v>46</v>
      </c>
      <c r="D314" s="23" t="s">
        <v>177</v>
      </c>
      <c r="E314" s="23" t="s">
        <v>116</v>
      </c>
      <c r="F314" s="23">
        <v>0.86729455</v>
      </c>
      <c r="G314" s="23">
        <v>39.298519969767199</v>
      </c>
      <c r="H314" s="23">
        <v>45.311618722574998</v>
      </c>
      <c r="I314" s="23">
        <v>0</v>
      </c>
      <c r="J314" s="23" t="s">
        <v>88</v>
      </c>
      <c r="K314" s="24">
        <v>44910.000003275461</v>
      </c>
      <c r="L314" s="23">
        <v>1</v>
      </c>
      <c r="M314" s="23" t="s">
        <v>116</v>
      </c>
      <c r="N314" s="25">
        <v>0</v>
      </c>
      <c r="O314" s="26" t="str">
        <f t="shared" si="63"/>
        <v>COIN</v>
      </c>
      <c r="P314" s="26" t="str">
        <f t="shared" si="65"/>
        <v>LONG</v>
      </c>
      <c r="Q314" s="26" t="str">
        <f t="shared" si="66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4"/>
        <v>OKEX</v>
      </c>
      <c r="W314" t="str">
        <f t="shared" si="67"/>
        <v>BSV COIN LONG</v>
      </c>
      <c r="X314" s="94" t="s">
        <v>267</v>
      </c>
    </row>
    <row r="315" spans="1:24" x14ac:dyDescent="0.25">
      <c r="A315">
        <v>365</v>
      </c>
      <c r="B315" s="77">
        <v>44910.000003275461</v>
      </c>
      <c r="C315" s="14" t="s">
        <v>46</v>
      </c>
      <c r="D315" s="23" t="s">
        <v>177</v>
      </c>
      <c r="E315" s="23" t="s">
        <v>23</v>
      </c>
      <c r="F315" s="23">
        <v>6.8575999999999999E-4</v>
      </c>
      <c r="G315" s="23">
        <v>3.5763822388220502E-3</v>
      </c>
      <c r="H315" s="23">
        <v>5.21520975096543</v>
      </c>
      <c r="I315" s="23">
        <v>0</v>
      </c>
      <c r="J315" s="23" t="s">
        <v>88</v>
      </c>
      <c r="K315" s="24">
        <v>44910.000003275461</v>
      </c>
      <c r="L315" s="23">
        <v>1</v>
      </c>
      <c r="M315" s="23" t="s">
        <v>23</v>
      </c>
      <c r="N315" s="25">
        <v>0</v>
      </c>
      <c r="O315" s="26" t="str">
        <f t="shared" si="63"/>
        <v>COIN</v>
      </c>
      <c r="P315" s="26" t="str">
        <f t="shared" si="65"/>
        <v>LONG</v>
      </c>
      <c r="Q315" s="26" t="str">
        <f t="shared" si="66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4"/>
        <v>OKEX</v>
      </c>
      <c r="W315" t="str">
        <f t="shared" si="67"/>
        <v>DOT COIN LONG</v>
      </c>
      <c r="X315" s="94" t="s">
        <v>267</v>
      </c>
    </row>
    <row r="316" spans="1:24" x14ac:dyDescent="0.25">
      <c r="A316">
        <v>366</v>
      </c>
      <c r="B316" s="77">
        <v>44910.000003275461</v>
      </c>
      <c r="C316" s="14" t="s">
        <v>46</v>
      </c>
      <c r="D316" s="23" t="s">
        <v>177</v>
      </c>
      <c r="E316" s="23" t="s">
        <v>275</v>
      </c>
      <c r="F316" s="23">
        <v>8.7929999999999993E-5</v>
      </c>
      <c r="G316" s="23">
        <v>3.11317235041982E-4</v>
      </c>
      <c r="H316" s="23">
        <v>3.5405121692480601</v>
      </c>
      <c r="I316" s="23">
        <v>0</v>
      </c>
      <c r="J316" s="23" t="s">
        <v>88</v>
      </c>
      <c r="K316" s="24">
        <v>44910.000003275461</v>
      </c>
      <c r="L316" s="23">
        <v>1</v>
      </c>
      <c r="M316" s="23" t="s">
        <v>275</v>
      </c>
      <c r="N316" s="25">
        <v>0</v>
      </c>
      <c r="O316" s="26" t="str">
        <f t="shared" si="63"/>
        <v>COIN</v>
      </c>
      <c r="P316" s="26" t="str">
        <f t="shared" si="65"/>
        <v>LONG</v>
      </c>
      <c r="Q316" s="26" t="str">
        <f t="shared" si="66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4"/>
        <v>OKEX</v>
      </c>
      <c r="W316" t="str">
        <f t="shared" si="67"/>
        <v>ETHW COIN LONG</v>
      </c>
      <c r="X316" s="94" t="s">
        <v>267</v>
      </c>
    </row>
    <row r="317" spans="1:24" x14ac:dyDescent="0.25">
      <c r="A317">
        <v>367</v>
      </c>
      <c r="B317" s="77">
        <v>44910.000003275461</v>
      </c>
      <c r="C317" s="14" t="s">
        <v>46</v>
      </c>
      <c r="D317" s="23" t="s">
        <v>177</v>
      </c>
      <c r="E317" s="23" t="s">
        <v>28</v>
      </c>
      <c r="F317" s="23">
        <v>7.5870867500000001</v>
      </c>
      <c r="G317" s="23">
        <v>51.052202198785501</v>
      </c>
      <c r="H317" s="23">
        <v>6.72882805759214</v>
      </c>
      <c r="I317" s="23">
        <v>0</v>
      </c>
      <c r="J317" s="23" t="s">
        <v>88</v>
      </c>
      <c r="K317" s="24">
        <v>44910.000003275461</v>
      </c>
      <c r="L317" s="23">
        <v>1</v>
      </c>
      <c r="M317" s="23" t="s">
        <v>28</v>
      </c>
      <c r="N317" s="25">
        <v>0</v>
      </c>
      <c r="O317" s="26" t="str">
        <f t="shared" si="63"/>
        <v>COIN</v>
      </c>
      <c r="P317" s="26" t="str">
        <f t="shared" si="65"/>
        <v>LONG</v>
      </c>
      <c r="Q317" s="26" t="str">
        <f t="shared" si="66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4"/>
        <v>OKEX</v>
      </c>
      <c r="W317" t="str">
        <f t="shared" si="67"/>
        <v>LINK COIN LONG</v>
      </c>
      <c r="X317" s="94" t="s">
        <v>267</v>
      </c>
    </row>
    <row r="318" spans="1:24" x14ac:dyDescent="0.25">
      <c r="A318">
        <v>368</v>
      </c>
      <c r="B318" s="77">
        <v>44910.000003275461</v>
      </c>
      <c r="C318" s="14" t="s">
        <v>46</v>
      </c>
      <c r="D318" s="23" t="s">
        <v>177</v>
      </c>
      <c r="E318" s="23" t="s">
        <v>25</v>
      </c>
      <c r="F318" s="23">
        <v>6.758E-5</v>
      </c>
      <c r="G318" s="23">
        <v>5.1006588652058003E-3</v>
      </c>
      <c r="H318" s="23">
        <v>75.475863646134997</v>
      </c>
      <c r="I318" s="23">
        <v>0</v>
      </c>
      <c r="J318" s="23" t="s">
        <v>88</v>
      </c>
      <c r="K318" s="24">
        <v>44910.000003275461</v>
      </c>
      <c r="L318" s="23">
        <v>1</v>
      </c>
      <c r="M318" s="23" t="s">
        <v>25</v>
      </c>
      <c r="N318" s="25">
        <v>0</v>
      </c>
      <c r="O318" s="26" t="str">
        <f t="shared" si="63"/>
        <v>COIN</v>
      </c>
      <c r="P318" s="26" t="str">
        <f t="shared" si="65"/>
        <v>LONG</v>
      </c>
      <c r="Q318" s="26" t="str">
        <f t="shared" si="66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4"/>
        <v>OKEX</v>
      </c>
      <c r="W318" t="str">
        <f t="shared" si="67"/>
        <v>LTC COIN LONG</v>
      </c>
      <c r="X318" s="94" t="s">
        <v>267</v>
      </c>
    </row>
    <row r="319" spans="1:24" x14ac:dyDescent="0.25">
      <c r="A319">
        <v>369</v>
      </c>
      <c r="B319" s="77">
        <v>44910.000003275461</v>
      </c>
      <c r="C319" s="14" t="s">
        <v>46</v>
      </c>
      <c r="D319" s="23" t="s">
        <v>177</v>
      </c>
      <c r="E319" s="23" t="s">
        <v>38</v>
      </c>
      <c r="F319" s="23">
        <v>8.1457000000000003E-4</v>
      </c>
      <c r="G319" s="23">
        <v>7.3089379938516298E-9</v>
      </c>
      <c r="H319" s="23">
        <v>8.9727561705582505E-6</v>
      </c>
      <c r="I319" s="23">
        <v>0</v>
      </c>
      <c r="J319" s="23" t="s">
        <v>88</v>
      </c>
      <c r="K319" s="24">
        <v>44910.000003275461</v>
      </c>
      <c r="L319" s="23">
        <v>1</v>
      </c>
      <c r="M319" s="23" t="s">
        <v>38</v>
      </c>
      <c r="N319" s="25">
        <v>0</v>
      </c>
      <c r="O319" s="26" t="str">
        <f t="shared" si="63"/>
        <v>COIN</v>
      </c>
      <c r="P319" s="26" t="str">
        <f t="shared" si="65"/>
        <v>LONG</v>
      </c>
      <c r="Q319" s="26" t="str">
        <f t="shared" si="66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4"/>
        <v>OKEX</v>
      </c>
      <c r="W319" t="str">
        <f t="shared" si="67"/>
        <v>SHIB COIN LONG</v>
      </c>
      <c r="X319" s="94" t="s">
        <v>267</v>
      </c>
    </row>
    <row r="320" spans="1:24" x14ac:dyDescent="0.25">
      <c r="A320">
        <v>370</v>
      </c>
      <c r="B320" s="77">
        <v>44910.000003275461</v>
      </c>
      <c r="C320" s="14" t="s">
        <v>46</v>
      </c>
      <c r="D320" s="23" t="s">
        <v>177</v>
      </c>
      <c r="E320" s="23" t="s">
        <v>165</v>
      </c>
      <c r="F320" s="23">
        <v>5.47</v>
      </c>
      <c r="G320" s="23">
        <v>1.57867632592289E-4</v>
      </c>
      <c r="H320" s="23">
        <v>2.8860627530583E-5</v>
      </c>
      <c r="I320" s="23">
        <v>0</v>
      </c>
      <c r="J320" s="23" t="s">
        <v>88</v>
      </c>
      <c r="K320" s="24">
        <v>44910.000003275461</v>
      </c>
      <c r="L320" s="23">
        <v>1</v>
      </c>
      <c r="M320" s="23" t="s">
        <v>165</v>
      </c>
      <c r="N320" s="25">
        <v>0</v>
      </c>
      <c r="O320" s="26" t="str">
        <f t="shared" si="63"/>
        <v>COIN</v>
      </c>
      <c r="P320" s="26" t="str">
        <f t="shared" si="65"/>
        <v>LONG</v>
      </c>
      <c r="Q320" s="26" t="str">
        <f t="shared" si="66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4"/>
        <v>OKEX</v>
      </c>
      <c r="W320" t="str">
        <f t="shared" si="67"/>
        <v>XEC COIN LONG</v>
      </c>
      <c r="X320" s="94" t="s">
        <v>267</v>
      </c>
    </row>
    <row r="321" spans="1:24" x14ac:dyDescent="0.25">
      <c r="A321">
        <v>371</v>
      </c>
      <c r="B321" s="77">
        <v>44910.000003275461</v>
      </c>
      <c r="C321" s="14" t="s">
        <v>46</v>
      </c>
      <c r="D321" s="23" t="s">
        <v>177</v>
      </c>
      <c r="E321" s="23" t="s">
        <v>102</v>
      </c>
      <c r="F321" s="23">
        <v>6.9987000000000001E-4</v>
      </c>
      <c r="G321" s="23">
        <v>2.7043936866175702E-4</v>
      </c>
      <c r="H321" s="23">
        <v>0.38641371777866901</v>
      </c>
      <c r="I321" s="23">
        <v>0</v>
      </c>
      <c r="J321" s="23" t="s">
        <v>88</v>
      </c>
      <c r="K321" s="24">
        <v>44910.000003275461</v>
      </c>
      <c r="L321" s="23">
        <v>1</v>
      </c>
      <c r="M321" s="23" t="s">
        <v>102</v>
      </c>
      <c r="N321" s="25">
        <v>0</v>
      </c>
      <c r="O321" s="26" t="str">
        <f t="shared" si="63"/>
        <v>COIN</v>
      </c>
      <c r="P321" s="26" t="str">
        <f t="shared" si="65"/>
        <v>LONG</v>
      </c>
      <c r="Q321" s="26" t="str">
        <f t="shared" si="66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4"/>
        <v>OKEX</v>
      </c>
      <c r="W321" t="str">
        <f t="shared" si="67"/>
        <v>XRP COIN LONG</v>
      </c>
      <c r="X321" s="94" t="s">
        <v>267</v>
      </c>
    </row>
    <row r="322" spans="1:24" x14ac:dyDescent="0.25">
      <c r="A322">
        <v>372</v>
      </c>
      <c r="B322" s="77">
        <v>44909.915996724536</v>
      </c>
      <c r="C322" s="14" t="s">
        <v>179</v>
      </c>
      <c r="D322" s="23" t="s">
        <v>178</v>
      </c>
      <c r="E322" s="23" t="s">
        <v>16</v>
      </c>
      <c r="F322" s="23">
        <v>7.1361999999999999E-4</v>
      </c>
      <c r="G322" s="23">
        <v>0.93436313043289998</v>
      </c>
      <c r="H322" s="23">
        <v>1309.32867693296</v>
      </c>
      <c r="I322" s="23">
        <v>0</v>
      </c>
      <c r="J322" s="23" t="s">
        <v>88</v>
      </c>
      <c r="K322" s="24">
        <v>44909.915996724536</v>
      </c>
      <c r="L322" s="23">
        <v>1</v>
      </c>
      <c r="M322" s="23" t="s">
        <v>16</v>
      </c>
      <c r="N322" s="25">
        <v>0</v>
      </c>
      <c r="O322" s="26" t="str">
        <f t="shared" ref="O322:O385" si="68">IF($C322="","",IF(OR($E322="USD",$E322="EUR"),"CASH","COIN"))</f>
        <v>COIN</v>
      </c>
      <c r="P322" s="26" t="str">
        <f t="shared" si="65"/>
        <v>LONG</v>
      </c>
      <c r="Q322" s="26" t="str">
        <f t="shared" si="66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69">IF($C322="","",IF(ISERROR(SEARCH("-",$D322)),$D322,LEFT($D322,SEARCH("-",$D322)-1)))</f>
        <v>PITX</v>
      </c>
      <c r="W322" t="str">
        <f t="shared" si="67"/>
        <v>ETH COIN LONG</v>
      </c>
      <c r="X322" s="94" t="s">
        <v>267</v>
      </c>
    </row>
    <row r="323" spans="1:24" x14ac:dyDescent="0.25">
      <c r="A323">
        <v>373</v>
      </c>
      <c r="B323" s="77">
        <v>44909.915996909724</v>
      </c>
      <c r="C323" s="14" t="s">
        <v>179</v>
      </c>
      <c r="D323" s="23" t="s">
        <v>178</v>
      </c>
      <c r="E323" s="23" t="s">
        <v>110</v>
      </c>
      <c r="F323" s="23">
        <v>0.01</v>
      </c>
      <c r="G323" s="23">
        <v>1.06827E-2</v>
      </c>
      <c r="H323" s="23">
        <v>1.0682700000000001</v>
      </c>
      <c r="I323" s="23">
        <v>0</v>
      </c>
      <c r="J323" s="23" t="s">
        <v>88</v>
      </c>
      <c r="K323" s="24">
        <v>44909.915996909724</v>
      </c>
      <c r="L323" s="23">
        <v>1</v>
      </c>
      <c r="M323" s="23" t="s">
        <v>110</v>
      </c>
      <c r="N323" s="25">
        <v>0</v>
      </c>
      <c r="O323" s="26" t="str">
        <f t="shared" si="68"/>
        <v>CASH</v>
      </c>
      <c r="P323" s="26" t="str">
        <f t="shared" ref="P323:P386" si="70">IF($C323="","",IF($J323="CME FUTURE","HEDGE",IF($G323&gt;0,"LONG","SHORT")))</f>
        <v>LONG</v>
      </c>
      <c r="Q323" s="26" t="str">
        <f t="shared" ref="Q323:Q352" si="71">O323&amp;" "&amp;P323</f>
        <v>CASH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69"/>
        <v>PITX</v>
      </c>
      <c r="W323" t="str">
        <f t="shared" si="67"/>
        <v>EUR CASH LONG</v>
      </c>
      <c r="X323" s="94" t="s">
        <v>267</v>
      </c>
    </row>
    <row r="324" spans="1:24" x14ac:dyDescent="0.25">
      <c r="A324">
        <v>374</v>
      </c>
      <c r="B324" s="77">
        <v>44909.915996909724</v>
      </c>
      <c r="C324" s="14" t="s">
        <v>179</v>
      </c>
      <c r="D324" s="23" t="s">
        <v>178</v>
      </c>
      <c r="E324" s="23" t="s">
        <v>180</v>
      </c>
      <c r="F324" s="23">
        <v>0.01</v>
      </c>
      <c r="G324" s="23">
        <v>1.24276499999999E-2</v>
      </c>
      <c r="H324" s="23">
        <v>1.2427649999999999</v>
      </c>
      <c r="I324" s="23">
        <v>0</v>
      </c>
      <c r="J324" s="23" t="s">
        <v>88</v>
      </c>
      <c r="K324" s="24">
        <v>44909.915996909724</v>
      </c>
      <c r="L324" s="23">
        <v>1</v>
      </c>
      <c r="M324" s="23" t="s">
        <v>180</v>
      </c>
      <c r="N324" s="25">
        <v>0</v>
      </c>
      <c r="O324" s="26" t="str">
        <f t="shared" si="68"/>
        <v>COIN</v>
      </c>
      <c r="P324" s="26" t="str">
        <f t="shared" si="70"/>
        <v>LONG</v>
      </c>
      <c r="Q324" s="26" t="str">
        <f t="shared" si="71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69"/>
        <v>PITX</v>
      </c>
      <c r="W324" t="str">
        <f t="shared" si="67"/>
        <v>GBP COIN LONG</v>
      </c>
      <c r="X324" s="94" t="s">
        <v>267</v>
      </c>
    </row>
    <row r="325" spans="1:24" x14ac:dyDescent="0.25">
      <c r="A325">
        <v>375</v>
      </c>
      <c r="B325" s="77">
        <v>44909.915996909724</v>
      </c>
      <c r="C325" s="14" t="s">
        <v>179</v>
      </c>
      <c r="D325" s="23" t="s">
        <v>178</v>
      </c>
      <c r="E325" s="23" t="s">
        <v>182</v>
      </c>
      <c r="F325" s="23">
        <v>0.10983253</v>
      </c>
      <c r="G325" s="23">
        <v>5.8358694645149999E-3</v>
      </c>
      <c r="H325" s="23">
        <v>5.3134253253703599E-2</v>
      </c>
      <c r="I325" s="23">
        <v>0</v>
      </c>
      <c r="J325" s="23" t="s">
        <v>88</v>
      </c>
      <c r="K325" s="24">
        <v>44909.915996909724</v>
      </c>
      <c r="L325" s="23">
        <v>1</v>
      </c>
      <c r="M325" s="23" t="s">
        <v>182</v>
      </c>
      <c r="N325" s="25">
        <v>0</v>
      </c>
      <c r="O325" s="26" t="str">
        <f t="shared" si="68"/>
        <v>COIN</v>
      </c>
      <c r="P325" s="26" t="str">
        <f t="shared" si="70"/>
        <v>LONG</v>
      </c>
      <c r="Q325" s="26" t="str">
        <f t="shared" si="71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69"/>
        <v>PITX</v>
      </c>
      <c r="W325" t="str">
        <f t="shared" si="67"/>
        <v>TRY COIN LONG</v>
      </c>
      <c r="X325" s="94" t="s">
        <v>267</v>
      </c>
    </row>
    <row r="326" spans="1:24" x14ac:dyDescent="0.25">
      <c r="A326">
        <v>376</v>
      </c>
      <c r="B326" s="77">
        <v>44909.915996724536</v>
      </c>
      <c r="C326" s="14" t="s">
        <v>179</v>
      </c>
      <c r="D326" s="23" t="s">
        <v>178</v>
      </c>
      <c r="E326" s="23" t="s">
        <v>98</v>
      </c>
      <c r="F326" s="23">
        <v>6.5778299999999998E-3</v>
      </c>
      <c r="G326" s="23">
        <v>6.5778299999999998E-3</v>
      </c>
      <c r="H326" s="23">
        <v>1</v>
      </c>
      <c r="I326" s="23">
        <v>0</v>
      </c>
      <c r="J326" s="23" t="s">
        <v>88</v>
      </c>
      <c r="K326" s="24">
        <v>44909.915996724536</v>
      </c>
      <c r="L326" s="23">
        <v>1</v>
      </c>
      <c r="M326" s="23" t="s">
        <v>98</v>
      </c>
      <c r="N326" s="25">
        <v>0</v>
      </c>
      <c r="O326" s="26" t="str">
        <f t="shared" si="68"/>
        <v>CASH</v>
      </c>
      <c r="P326" s="26" t="str">
        <f t="shared" si="70"/>
        <v>LONG</v>
      </c>
      <c r="Q326" s="26" t="str">
        <f t="shared" si="71"/>
        <v>CASH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69"/>
        <v>PITX</v>
      </c>
      <c r="W326" t="str">
        <f t="shared" ref="W326:W389" si="72">IF($C326="","",$M326&amp;" "&amp;$Q326)</f>
        <v>USD CASH LONG</v>
      </c>
      <c r="X326" s="94" t="s">
        <v>267</v>
      </c>
    </row>
    <row r="327" spans="1:24" x14ac:dyDescent="0.25">
      <c r="A327">
        <v>377</v>
      </c>
      <c r="B327" s="77">
        <v>44909.915996909724</v>
      </c>
      <c r="C327" s="14" t="s">
        <v>179</v>
      </c>
      <c r="D327" s="23" t="s">
        <v>178</v>
      </c>
      <c r="E327" s="23" t="s">
        <v>39</v>
      </c>
      <c r="F327" s="23">
        <v>9.9996000000000004E-4</v>
      </c>
      <c r="G327" s="23">
        <v>1.0000654061081201E-3</v>
      </c>
      <c r="H327" s="23">
        <v>1.0001054103245299</v>
      </c>
      <c r="I327" s="23">
        <v>0</v>
      </c>
      <c r="J327" s="23" t="s">
        <v>88</v>
      </c>
      <c r="K327" s="24">
        <v>44909.915996909724</v>
      </c>
      <c r="L327" s="23">
        <v>1</v>
      </c>
      <c r="M327" s="23" t="s">
        <v>39</v>
      </c>
      <c r="N327" s="25">
        <v>0</v>
      </c>
      <c r="O327" s="26" t="str">
        <f t="shared" si="68"/>
        <v>COIN</v>
      </c>
      <c r="P327" s="26" t="str">
        <f t="shared" si="70"/>
        <v>LONG</v>
      </c>
      <c r="Q327" s="26" t="str">
        <f t="shared" si="71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69"/>
        <v>PITX</v>
      </c>
      <c r="W327" t="str">
        <f t="shared" si="72"/>
        <v>USDT COIN LONG</v>
      </c>
      <c r="X327" s="94" t="s">
        <v>267</v>
      </c>
    </row>
    <row r="328" spans="1:24" x14ac:dyDescent="0.25">
      <c r="A328">
        <v>378</v>
      </c>
      <c r="B328" s="77">
        <v>44909.915996909724</v>
      </c>
      <c r="C328" s="14" t="s">
        <v>179</v>
      </c>
      <c r="D328" s="23" t="s">
        <v>178</v>
      </c>
      <c r="E328" s="23" t="s">
        <v>166</v>
      </c>
      <c r="F328" s="23">
        <v>9.9999999999999995E-8</v>
      </c>
      <c r="G328" s="23">
        <v>8.3013789241186207E-9</v>
      </c>
      <c r="H328" s="23">
        <v>8.3013789241186201E-2</v>
      </c>
      <c r="I328" s="23">
        <v>0</v>
      </c>
      <c r="J328" s="23" t="s">
        <v>88</v>
      </c>
      <c r="K328" s="24">
        <v>44909.915996909724</v>
      </c>
      <c r="L328" s="23">
        <v>1</v>
      </c>
      <c r="M328" s="23" t="s">
        <v>166</v>
      </c>
      <c r="N328" s="25">
        <v>0</v>
      </c>
      <c r="O328" s="26" t="str">
        <f t="shared" si="68"/>
        <v>COIN</v>
      </c>
      <c r="P328" s="26" t="str">
        <f t="shared" si="70"/>
        <v>LONG</v>
      </c>
      <c r="Q328" s="26" t="str">
        <f t="shared" si="71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69"/>
        <v>PITX</v>
      </c>
      <c r="W328" t="str">
        <f t="shared" si="72"/>
        <v>XLM COIN LONG</v>
      </c>
      <c r="X328" s="94" t="s">
        <v>267</v>
      </c>
    </row>
    <row r="329" spans="1:24" x14ac:dyDescent="0.25">
      <c r="A329">
        <v>379</v>
      </c>
      <c r="B329" s="77">
        <v>44910.000002974535</v>
      </c>
      <c r="C329" s="14" t="s">
        <v>185</v>
      </c>
      <c r="D329" s="23" t="s">
        <v>183</v>
      </c>
      <c r="E329" s="23" t="s">
        <v>184</v>
      </c>
      <c r="F329" s="23">
        <v>3393052.5294192201</v>
      </c>
      <c r="G329" s="23">
        <v>31408.321681189798</v>
      </c>
      <c r="H329" s="23">
        <v>9.2566564793401199E-3</v>
      </c>
      <c r="I329" s="23">
        <v>0</v>
      </c>
      <c r="J329" s="23" t="s">
        <v>88</v>
      </c>
      <c r="K329" s="24">
        <v>44910.000002974535</v>
      </c>
      <c r="L329" s="23">
        <v>1</v>
      </c>
      <c r="M329" s="23" t="s">
        <v>184</v>
      </c>
      <c r="N329" s="25">
        <v>0</v>
      </c>
      <c r="O329" s="26" t="str">
        <f t="shared" si="68"/>
        <v>COIN</v>
      </c>
      <c r="P329" s="26" t="str">
        <f t="shared" si="70"/>
        <v>LONG</v>
      </c>
      <c r="Q329" s="26" t="str">
        <f t="shared" si="71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69"/>
        <v>SHFT</v>
      </c>
      <c r="W329" t="str">
        <f t="shared" si="72"/>
        <v>SHFT COIN LONG</v>
      </c>
      <c r="X329" s="94" t="s">
        <v>267</v>
      </c>
    </row>
    <row r="330" spans="1:24" x14ac:dyDescent="0.25">
      <c r="A330">
        <v>380</v>
      </c>
      <c r="B330" s="77">
        <v>44910.000001469911</v>
      </c>
      <c r="C330" s="14" t="s">
        <v>187</v>
      </c>
      <c r="D330" s="23" t="s">
        <v>186</v>
      </c>
      <c r="E330" s="23" t="s">
        <v>87</v>
      </c>
      <c r="F330" s="23">
        <v>59</v>
      </c>
      <c r="G330" s="23">
        <v>18.179920864869501</v>
      </c>
      <c r="H330" s="23">
        <v>0.308134251946941</v>
      </c>
      <c r="I330" s="23">
        <v>0</v>
      </c>
      <c r="J330" s="23" t="s">
        <v>88</v>
      </c>
      <c r="K330" s="24">
        <v>44910.000001469911</v>
      </c>
      <c r="L330" s="23">
        <v>1</v>
      </c>
      <c r="M330" s="23" t="s">
        <v>87</v>
      </c>
      <c r="N330" s="25">
        <v>0</v>
      </c>
      <c r="O330" s="26" t="str">
        <f t="shared" si="68"/>
        <v>COIN</v>
      </c>
      <c r="P330" s="26" t="str">
        <f t="shared" si="70"/>
        <v>LONG</v>
      </c>
      <c r="Q330" s="26" t="str">
        <f t="shared" si="71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69"/>
        <v>WOOX</v>
      </c>
      <c r="W330" t="str">
        <f t="shared" si="72"/>
        <v>ADA COIN LONG</v>
      </c>
      <c r="X330" s="94" t="s">
        <v>267</v>
      </c>
    </row>
    <row r="331" spans="1:24" x14ac:dyDescent="0.25">
      <c r="A331">
        <v>381</v>
      </c>
      <c r="B331" s="77">
        <v>44910.000001469911</v>
      </c>
      <c r="C331" s="14" t="s">
        <v>187</v>
      </c>
      <c r="D331" s="23" t="s">
        <v>186</v>
      </c>
      <c r="E331" s="23" t="s">
        <v>15</v>
      </c>
      <c r="F331" s="23">
        <v>349.04641047000001</v>
      </c>
      <c r="G331" s="23">
        <v>6218488.63195627</v>
      </c>
      <c r="H331" s="23">
        <v>17815.649854650899</v>
      </c>
      <c r="I331" s="23">
        <v>0</v>
      </c>
      <c r="J331" s="23" t="s">
        <v>88</v>
      </c>
      <c r="K331" s="24">
        <v>44910.000001469911</v>
      </c>
      <c r="L331" s="23">
        <v>1</v>
      </c>
      <c r="M331" s="23" t="s">
        <v>15</v>
      </c>
      <c r="N331" s="25">
        <v>0</v>
      </c>
      <c r="O331" s="26" t="str">
        <f t="shared" si="68"/>
        <v>COIN</v>
      </c>
      <c r="P331" s="26" t="str">
        <f t="shared" si="70"/>
        <v>LONG</v>
      </c>
      <c r="Q331" s="26" t="str">
        <f t="shared" si="71"/>
        <v>COIN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69"/>
        <v>WOOX</v>
      </c>
      <c r="W331" t="str">
        <f t="shared" si="72"/>
        <v>BTC COIN LONG</v>
      </c>
      <c r="X331" s="94" t="s">
        <v>267</v>
      </c>
    </row>
    <row r="332" spans="1:24" x14ac:dyDescent="0.25">
      <c r="A332">
        <v>382</v>
      </c>
      <c r="B332" s="77">
        <v>44910.000001469911</v>
      </c>
      <c r="C332" s="14" t="s">
        <v>187</v>
      </c>
      <c r="D332" s="23" t="s">
        <v>186</v>
      </c>
      <c r="E332" s="23" t="s">
        <v>16</v>
      </c>
      <c r="F332" s="23">
        <v>2104.7725880100002</v>
      </c>
      <c r="G332" s="23">
        <v>2755839.1079039001</v>
      </c>
      <c r="H332" s="23">
        <v>1309.32867693296</v>
      </c>
      <c r="I332" s="23">
        <v>0</v>
      </c>
      <c r="J332" s="23" t="s">
        <v>88</v>
      </c>
      <c r="K332" s="24">
        <v>44910.000001469911</v>
      </c>
      <c r="L332" s="23">
        <v>1</v>
      </c>
      <c r="M332" s="23" t="s">
        <v>16</v>
      </c>
      <c r="N332" s="25">
        <v>0</v>
      </c>
      <c r="O332" s="26" t="str">
        <f t="shared" si="68"/>
        <v>COIN</v>
      </c>
      <c r="P332" s="26" t="str">
        <f t="shared" si="70"/>
        <v>LONG</v>
      </c>
      <c r="Q332" s="26" t="str">
        <f t="shared" si="71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69"/>
        <v>WOOX</v>
      </c>
      <c r="W332" t="str">
        <f t="shared" si="72"/>
        <v>ETH COIN LONG</v>
      </c>
      <c r="X332" s="94" t="s">
        <v>267</v>
      </c>
    </row>
    <row r="333" spans="1:24" x14ac:dyDescent="0.25">
      <c r="A333">
        <v>383</v>
      </c>
      <c r="B333" s="77">
        <v>44910.000001469911</v>
      </c>
      <c r="C333" s="14" t="s">
        <v>187</v>
      </c>
      <c r="D333" s="23" t="s">
        <v>186</v>
      </c>
      <c r="E333" s="23" t="s">
        <v>275</v>
      </c>
      <c r="F333" s="23">
        <v>1267.7570125100001</v>
      </c>
      <c r="G333" s="23">
        <v>4488.5091304412199</v>
      </c>
      <c r="H333" s="23">
        <v>3.5405121692480601</v>
      </c>
      <c r="I333" s="23">
        <v>0</v>
      </c>
      <c r="J333" s="23" t="s">
        <v>88</v>
      </c>
      <c r="K333" s="24">
        <v>44910.000001469911</v>
      </c>
      <c r="L333" s="23">
        <v>1</v>
      </c>
      <c r="M333" s="23" t="s">
        <v>275</v>
      </c>
      <c r="N333" s="25">
        <v>0</v>
      </c>
      <c r="O333" s="26" t="str">
        <f t="shared" si="68"/>
        <v>COIN</v>
      </c>
      <c r="P333" s="26" t="str">
        <f t="shared" si="70"/>
        <v>LONG</v>
      </c>
      <c r="Q333" s="26" t="str">
        <f t="shared" si="71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69"/>
        <v>WOOX</v>
      </c>
      <c r="W333" t="str">
        <f t="shared" si="72"/>
        <v>ETHW COIN LONG</v>
      </c>
      <c r="X333" s="94" t="s">
        <v>267</v>
      </c>
    </row>
    <row r="334" spans="1:24" x14ac:dyDescent="0.25">
      <c r="A334">
        <v>384</v>
      </c>
      <c r="B334" s="77">
        <v>44910.000001469911</v>
      </c>
      <c r="C334" s="14" t="s">
        <v>187</v>
      </c>
      <c r="D334" s="23" t="s">
        <v>186</v>
      </c>
      <c r="E334" s="23" t="s">
        <v>188</v>
      </c>
      <c r="F334" s="23">
        <v>1644286.05309931</v>
      </c>
      <c r="G334" s="23">
        <v>222148.28450126699</v>
      </c>
      <c r="H334" s="23">
        <v>0.135103186019574</v>
      </c>
      <c r="I334" s="23">
        <v>0</v>
      </c>
      <c r="J334" s="23" t="s">
        <v>88</v>
      </c>
      <c r="K334" s="24">
        <v>44910.000001469911</v>
      </c>
      <c r="L334" s="23">
        <v>1</v>
      </c>
      <c r="M334" s="23" t="s">
        <v>188</v>
      </c>
      <c r="N334" s="25">
        <v>0</v>
      </c>
      <c r="O334" s="26" t="str">
        <f t="shared" si="68"/>
        <v>COIN</v>
      </c>
      <c r="P334" s="26" t="str">
        <f t="shared" si="70"/>
        <v>LONG</v>
      </c>
      <c r="Q334" s="26" t="str">
        <f t="shared" si="71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69"/>
        <v>WOOX</v>
      </c>
      <c r="W334" t="str">
        <f t="shared" si="72"/>
        <v>WOO COIN LONG</v>
      </c>
      <c r="X334" s="94" t="s">
        <v>267</v>
      </c>
    </row>
    <row r="335" spans="1:24" x14ac:dyDescent="0.25">
      <c r="A335">
        <v>385</v>
      </c>
      <c r="B335" s="77">
        <v>44910.019369756941</v>
      </c>
      <c r="C335" s="14" t="s">
        <v>189</v>
      </c>
      <c r="D335" s="23" t="s">
        <v>189</v>
      </c>
      <c r="E335" s="23" t="s">
        <v>119</v>
      </c>
      <c r="F335" s="23">
        <v>21.553935809999999</v>
      </c>
      <c r="G335" s="23">
        <v>1348.4765286499101</v>
      </c>
      <c r="H335" s="23">
        <v>62.562890626420497</v>
      </c>
      <c r="I335" s="23">
        <v>0</v>
      </c>
      <c r="J335" s="23" t="s">
        <v>88</v>
      </c>
      <c r="K335" s="24">
        <v>44910.019369756941</v>
      </c>
      <c r="L335" s="23">
        <v>1</v>
      </c>
      <c r="M335" s="23" t="s">
        <v>119</v>
      </c>
      <c r="N335" s="25">
        <v>0</v>
      </c>
      <c r="O335" s="26" t="str">
        <f t="shared" si="68"/>
        <v>COIN</v>
      </c>
      <c r="P335" s="26" t="str">
        <f t="shared" si="70"/>
        <v>LONG</v>
      </c>
      <c r="Q335" s="26" t="str">
        <f t="shared" si="71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69"/>
        <v>FBLK</v>
      </c>
      <c r="W335" t="str">
        <f t="shared" si="72"/>
        <v>AAVE COIN LONG</v>
      </c>
      <c r="X335" s="94" t="s">
        <v>267</v>
      </c>
    </row>
    <row r="336" spans="1:24" x14ac:dyDescent="0.25">
      <c r="A336">
        <v>386</v>
      </c>
      <c r="B336" s="77">
        <v>44910.019369756941</v>
      </c>
      <c r="C336" s="14" t="s">
        <v>189</v>
      </c>
      <c r="D336" s="23" t="s">
        <v>189</v>
      </c>
      <c r="E336" s="23" t="s">
        <v>87</v>
      </c>
      <c r="F336" s="23">
        <v>72355.023579999994</v>
      </c>
      <c r="G336" s="23">
        <v>22295.061065426598</v>
      </c>
      <c r="H336" s="23">
        <v>0.308134251946941</v>
      </c>
      <c r="I336" s="23">
        <v>0</v>
      </c>
      <c r="J336" s="23" t="s">
        <v>88</v>
      </c>
      <c r="K336" s="24">
        <v>44910.019369756941</v>
      </c>
      <c r="L336" s="23">
        <v>1</v>
      </c>
      <c r="M336" s="23" t="s">
        <v>87</v>
      </c>
      <c r="N336" s="25">
        <v>0</v>
      </c>
      <c r="O336" s="26" t="str">
        <f t="shared" si="68"/>
        <v>COIN</v>
      </c>
      <c r="P336" s="26" t="str">
        <f t="shared" si="70"/>
        <v>LONG</v>
      </c>
      <c r="Q336" s="26" t="str">
        <f t="shared" si="71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69"/>
        <v>FBLK</v>
      </c>
      <c r="W336" t="str">
        <f t="shared" si="72"/>
        <v>ADA COIN LONG</v>
      </c>
      <c r="X336" s="94" t="s">
        <v>267</v>
      </c>
    </row>
    <row r="337" spans="1:24" x14ac:dyDescent="0.25">
      <c r="A337">
        <v>387</v>
      </c>
      <c r="B337" s="77">
        <v>44910.019369756941</v>
      </c>
      <c r="C337" s="14" t="s">
        <v>189</v>
      </c>
      <c r="D337" s="23" t="s">
        <v>189</v>
      </c>
      <c r="E337" s="23" t="s">
        <v>125</v>
      </c>
      <c r="F337" s="23">
        <v>7939.9443799999999</v>
      </c>
      <c r="G337" s="23">
        <v>1754.0592206604599</v>
      </c>
      <c r="H337" s="23">
        <v>0.220915807052601</v>
      </c>
      <c r="I337" s="23">
        <v>0</v>
      </c>
      <c r="J337" s="23" t="s">
        <v>88</v>
      </c>
      <c r="K337" s="24">
        <v>44910.019369756941</v>
      </c>
      <c r="L337" s="23">
        <v>1</v>
      </c>
      <c r="M337" s="23" t="s">
        <v>125</v>
      </c>
      <c r="N337" s="25">
        <v>0</v>
      </c>
      <c r="O337" s="26" t="str">
        <f t="shared" si="68"/>
        <v>COIN</v>
      </c>
      <c r="P337" s="26" t="str">
        <f t="shared" si="70"/>
        <v>LONG</v>
      </c>
      <c r="Q337" s="26" t="str">
        <f t="shared" si="71"/>
        <v>COIN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69"/>
        <v>FBLK</v>
      </c>
      <c r="W337" t="str">
        <f t="shared" si="72"/>
        <v>ALGO COIN LONG</v>
      </c>
      <c r="X337" s="94" t="s">
        <v>267</v>
      </c>
    </row>
    <row r="338" spans="1:24" x14ac:dyDescent="0.25">
      <c r="A338">
        <v>388</v>
      </c>
      <c r="B338" s="77">
        <v>44910.019369756941</v>
      </c>
      <c r="C338" s="14" t="s">
        <v>189</v>
      </c>
      <c r="D338" s="23" t="s">
        <v>189</v>
      </c>
      <c r="E338" s="23" t="s">
        <v>190</v>
      </c>
      <c r="F338" s="23">
        <v>1336.2276758400001</v>
      </c>
      <c r="G338" s="23">
        <v>18343.1450310949</v>
      </c>
      <c r="H338" s="23">
        <v>13.7275595789196</v>
      </c>
      <c r="I338" s="23">
        <v>0</v>
      </c>
      <c r="J338" s="23" t="s">
        <v>88</v>
      </c>
      <c r="K338" s="24">
        <v>44910.019369756941</v>
      </c>
      <c r="L338" s="23">
        <v>1</v>
      </c>
      <c r="M338" s="23" t="s">
        <v>190</v>
      </c>
      <c r="N338" s="25">
        <v>0</v>
      </c>
      <c r="O338" s="26" t="str">
        <f t="shared" si="68"/>
        <v>COIN</v>
      </c>
      <c r="P338" s="26" t="str">
        <f t="shared" si="70"/>
        <v>LONG</v>
      </c>
      <c r="Q338" s="26" t="str">
        <f t="shared" si="71"/>
        <v>COIN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69"/>
        <v>FBLK</v>
      </c>
      <c r="W338" t="str">
        <f t="shared" si="72"/>
        <v>AVAX COIN LONG</v>
      </c>
      <c r="X338" s="94" t="s">
        <v>267</v>
      </c>
    </row>
    <row r="339" spans="1:24" x14ac:dyDescent="0.25">
      <c r="A339">
        <v>389</v>
      </c>
      <c r="B339" s="77">
        <v>44910.019369756941</v>
      </c>
      <c r="C339" s="14" t="s">
        <v>189</v>
      </c>
      <c r="D339" s="23" t="s">
        <v>189</v>
      </c>
      <c r="E339" s="23" t="s">
        <v>127</v>
      </c>
      <c r="F339" s="23">
        <v>8346.3712095800001</v>
      </c>
      <c r="G339" s="23">
        <v>1869.2646151084</v>
      </c>
      <c r="H339" s="23">
        <v>0.223961356159531</v>
      </c>
      <c r="I339" s="23">
        <v>0</v>
      </c>
      <c r="J339" s="23" t="s">
        <v>88</v>
      </c>
      <c r="K339" s="24">
        <v>44910.019369756941</v>
      </c>
      <c r="L339" s="23">
        <v>1</v>
      </c>
      <c r="M339" s="23" t="s">
        <v>127</v>
      </c>
      <c r="N339" s="25">
        <v>0</v>
      </c>
      <c r="O339" s="26" t="str">
        <f t="shared" si="68"/>
        <v>COIN</v>
      </c>
      <c r="P339" s="26" t="str">
        <f t="shared" si="70"/>
        <v>LONG</v>
      </c>
      <c r="Q339" s="26" t="str">
        <f t="shared" si="71"/>
        <v>COIN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69"/>
        <v>FBLK</v>
      </c>
      <c r="W339" t="str">
        <f t="shared" si="72"/>
        <v>BAT COIN LONG</v>
      </c>
      <c r="X339" s="94" t="s">
        <v>267</v>
      </c>
    </row>
    <row r="340" spans="1:24" x14ac:dyDescent="0.25">
      <c r="A340">
        <v>390</v>
      </c>
      <c r="B340" s="77">
        <v>44910.019369756941</v>
      </c>
      <c r="C340" s="14" t="s">
        <v>189</v>
      </c>
      <c r="D340" s="23" t="s">
        <v>189</v>
      </c>
      <c r="E340" s="23" t="s">
        <v>21</v>
      </c>
      <c r="F340" s="23">
        <v>0.826766</v>
      </c>
      <c r="G340" s="23">
        <v>90.207194765138198</v>
      </c>
      <c r="H340" s="23">
        <v>109.10849595307199</v>
      </c>
      <c r="I340" s="23">
        <v>0</v>
      </c>
      <c r="J340" s="23" t="s">
        <v>88</v>
      </c>
      <c r="K340" s="24">
        <v>44910.019369756941</v>
      </c>
      <c r="L340" s="23">
        <v>1</v>
      </c>
      <c r="M340" s="23" t="s">
        <v>21</v>
      </c>
      <c r="N340" s="25">
        <v>0</v>
      </c>
      <c r="O340" s="26" t="str">
        <f t="shared" si="68"/>
        <v>COIN</v>
      </c>
      <c r="P340" s="26" t="str">
        <f t="shared" si="70"/>
        <v>LONG</v>
      </c>
      <c r="Q340" s="26" t="str">
        <f t="shared" si="71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69"/>
        <v>FBLK</v>
      </c>
      <c r="W340" t="str">
        <f t="shared" si="72"/>
        <v>BCH COIN LONG</v>
      </c>
      <c r="X340" s="94" t="s">
        <v>267</v>
      </c>
    </row>
    <row r="341" spans="1:24" x14ac:dyDescent="0.25">
      <c r="A341">
        <v>391</v>
      </c>
      <c r="B341" s="77">
        <v>44910.019369756941</v>
      </c>
      <c r="C341" s="14" t="s">
        <v>189</v>
      </c>
      <c r="D341" s="23" t="s">
        <v>189</v>
      </c>
      <c r="E341" s="23" t="s">
        <v>15</v>
      </c>
      <c r="F341" s="23">
        <v>598.26817843000003</v>
      </c>
      <c r="G341" s="23">
        <v>10658536.3860886</v>
      </c>
      <c r="H341" s="23">
        <v>17815.649854650899</v>
      </c>
      <c r="I341" s="23">
        <v>0</v>
      </c>
      <c r="J341" s="23" t="s">
        <v>88</v>
      </c>
      <c r="K341" s="24">
        <v>44910.019369756941</v>
      </c>
      <c r="L341" s="23">
        <v>1</v>
      </c>
      <c r="M341" s="23" t="s">
        <v>15</v>
      </c>
      <c r="N341" s="25">
        <v>0</v>
      </c>
      <c r="O341" s="26" t="str">
        <f t="shared" si="68"/>
        <v>COIN</v>
      </c>
      <c r="P341" s="26" t="str">
        <f t="shared" si="70"/>
        <v>LONG</v>
      </c>
      <c r="Q341" s="26" t="str">
        <f t="shared" si="71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69"/>
        <v>FBLK</v>
      </c>
      <c r="W341" t="str">
        <f t="shared" si="72"/>
        <v>BTC COIN LONG</v>
      </c>
      <c r="X341" s="94" t="s">
        <v>267</v>
      </c>
    </row>
    <row r="342" spans="1:24" x14ac:dyDescent="0.25">
      <c r="A342">
        <v>392</v>
      </c>
      <c r="B342" s="77">
        <v>44910.019369756941</v>
      </c>
      <c r="C342" s="14" t="s">
        <v>189</v>
      </c>
      <c r="D342" s="23" t="s">
        <v>189</v>
      </c>
      <c r="E342" s="23" t="s">
        <v>32</v>
      </c>
      <c r="F342" s="23">
        <v>107.31036570000001</v>
      </c>
      <c r="G342" s="23">
        <v>4223.0104824482896</v>
      </c>
      <c r="H342" s="23">
        <v>39.353239129333097</v>
      </c>
      <c r="I342" s="23">
        <v>0</v>
      </c>
      <c r="J342" s="23" t="s">
        <v>88</v>
      </c>
      <c r="K342" s="24">
        <v>44910.019369756941</v>
      </c>
      <c r="L342" s="23">
        <v>1</v>
      </c>
      <c r="M342" s="23" t="s">
        <v>32</v>
      </c>
      <c r="N342" s="25">
        <v>0</v>
      </c>
      <c r="O342" s="26" t="str">
        <f t="shared" si="68"/>
        <v>COIN</v>
      </c>
      <c r="P342" s="26" t="str">
        <f t="shared" si="70"/>
        <v>LONG</v>
      </c>
      <c r="Q342" s="26" t="str">
        <f t="shared" si="71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69"/>
        <v>FBLK</v>
      </c>
      <c r="W342" t="str">
        <f t="shared" si="72"/>
        <v>COMP COIN LONG</v>
      </c>
      <c r="X342" s="94" t="s">
        <v>267</v>
      </c>
    </row>
    <row r="343" spans="1:24" x14ac:dyDescent="0.25">
      <c r="A343">
        <v>393</v>
      </c>
      <c r="B343" s="77">
        <v>44910.019369756941</v>
      </c>
      <c r="C343" s="14" t="s">
        <v>189</v>
      </c>
      <c r="D343" s="23" t="s">
        <v>189</v>
      </c>
      <c r="E343" s="23" t="s">
        <v>135</v>
      </c>
      <c r="F343" s="23">
        <v>2.5788782800000001</v>
      </c>
      <c r="G343" s="23">
        <v>125.961666061678</v>
      </c>
      <c r="H343" s="23">
        <v>48.843587166773403</v>
      </c>
      <c r="I343" s="23">
        <v>0</v>
      </c>
      <c r="J343" s="23" t="s">
        <v>88</v>
      </c>
      <c r="K343" s="24">
        <v>44910.019369756941</v>
      </c>
      <c r="L343" s="23">
        <v>1</v>
      </c>
      <c r="M343" s="23" t="s">
        <v>135</v>
      </c>
      <c r="N343" s="25">
        <v>0</v>
      </c>
      <c r="O343" s="26" t="str">
        <f t="shared" si="68"/>
        <v>COIN</v>
      </c>
      <c r="P343" s="26" t="str">
        <f t="shared" si="70"/>
        <v>LONG</v>
      </c>
      <c r="Q343" s="26" t="str">
        <f t="shared" si="71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69"/>
        <v>FBLK</v>
      </c>
      <c r="W343" t="str">
        <f t="shared" si="72"/>
        <v>DASH COIN LONG</v>
      </c>
      <c r="X343" s="94" t="s">
        <v>267</v>
      </c>
    </row>
    <row r="344" spans="1:24" x14ac:dyDescent="0.25">
      <c r="A344">
        <v>394</v>
      </c>
      <c r="B344" s="77">
        <v>44910.019369756941</v>
      </c>
      <c r="C344" s="14" t="s">
        <v>189</v>
      </c>
      <c r="D344" s="23" t="s">
        <v>189</v>
      </c>
      <c r="E344" s="23" t="s">
        <v>193</v>
      </c>
      <c r="F344" s="23">
        <v>5680.2592693400002</v>
      </c>
      <c r="G344" s="23">
        <v>502.78469967242597</v>
      </c>
      <c r="H344" s="23">
        <v>8.8514392712015305E-2</v>
      </c>
      <c r="I344" s="23">
        <v>0</v>
      </c>
      <c r="J344" s="23" t="s">
        <v>88</v>
      </c>
      <c r="K344" s="24">
        <v>44910.019369756941</v>
      </c>
      <c r="L344" s="23">
        <v>1</v>
      </c>
      <c r="M344" s="23" t="s">
        <v>193</v>
      </c>
      <c r="N344" s="25">
        <v>0</v>
      </c>
      <c r="O344" s="26" t="str">
        <f t="shared" si="68"/>
        <v>COIN</v>
      </c>
      <c r="P344" s="26" t="str">
        <f t="shared" si="70"/>
        <v>LONG</v>
      </c>
      <c r="Q344" s="26" t="str">
        <f t="shared" si="71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69"/>
        <v>FBLK</v>
      </c>
      <c r="W344" t="str">
        <f t="shared" si="72"/>
        <v>DOGE COIN LONG</v>
      </c>
      <c r="X344" s="94" t="s">
        <v>267</v>
      </c>
    </row>
    <row r="345" spans="1:24" x14ac:dyDescent="0.25">
      <c r="A345">
        <v>395</v>
      </c>
      <c r="B345" s="77">
        <v>44910.019369756941</v>
      </c>
      <c r="C345" s="14" t="s">
        <v>189</v>
      </c>
      <c r="D345" s="23" t="s">
        <v>189</v>
      </c>
      <c r="E345" s="23" t="s">
        <v>23</v>
      </c>
      <c r="F345" s="23">
        <v>2.0019999999999998</v>
      </c>
      <c r="G345" s="23">
        <v>10.4408499214328</v>
      </c>
      <c r="H345" s="23">
        <v>5.21520975096543</v>
      </c>
      <c r="I345" s="23">
        <v>0</v>
      </c>
      <c r="J345" s="23" t="s">
        <v>88</v>
      </c>
      <c r="K345" s="24">
        <v>44910.019369756941</v>
      </c>
      <c r="L345" s="23">
        <v>1</v>
      </c>
      <c r="M345" s="23" t="s">
        <v>23</v>
      </c>
      <c r="N345" s="25">
        <v>0</v>
      </c>
      <c r="O345" s="26" t="str">
        <f t="shared" si="68"/>
        <v>COIN</v>
      </c>
      <c r="P345" s="26" t="str">
        <f t="shared" si="70"/>
        <v>LONG</v>
      </c>
      <c r="Q345" s="26" t="str">
        <f t="shared" si="71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69"/>
        <v>FBLK</v>
      </c>
      <c r="W345" t="str">
        <f t="shared" si="72"/>
        <v>DOT COIN LONG</v>
      </c>
      <c r="X345" s="94" t="s">
        <v>267</v>
      </c>
    </row>
    <row r="346" spans="1:24" x14ac:dyDescent="0.25">
      <c r="A346">
        <v>396</v>
      </c>
      <c r="B346" s="77">
        <v>44910.019369756941</v>
      </c>
      <c r="C346" s="14" t="s">
        <v>189</v>
      </c>
      <c r="D346" s="23" t="s">
        <v>189</v>
      </c>
      <c r="E346" s="23" t="s">
        <v>29</v>
      </c>
      <c r="F346" s="23">
        <v>170.34154862</v>
      </c>
      <c r="G346" s="23">
        <v>51.147438254390501</v>
      </c>
      <c r="H346" s="23">
        <v>0.30026402054434098</v>
      </c>
      <c r="I346" s="23">
        <v>0</v>
      </c>
      <c r="J346" s="23" t="s">
        <v>88</v>
      </c>
      <c r="K346" s="24">
        <v>44910.019369756941</v>
      </c>
      <c r="L346" s="23">
        <v>1</v>
      </c>
      <c r="M346" s="23" t="s">
        <v>29</v>
      </c>
      <c r="N346" s="25">
        <v>0</v>
      </c>
      <c r="O346" s="26" t="str">
        <f t="shared" si="68"/>
        <v>COIN</v>
      </c>
      <c r="P346" s="26" t="str">
        <f t="shared" si="70"/>
        <v>LONG</v>
      </c>
      <c r="Q346" s="26" t="str">
        <f t="shared" si="71"/>
        <v>COIN LONG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69"/>
        <v>FBLK</v>
      </c>
      <c r="W346" t="str">
        <f t="shared" si="72"/>
        <v>ENJ COIN LONG</v>
      </c>
      <c r="X346" s="94" t="s">
        <v>267</v>
      </c>
    </row>
    <row r="347" spans="1:24" x14ac:dyDescent="0.25">
      <c r="A347">
        <v>397</v>
      </c>
      <c r="B347" s="77">
        <v>44910.019369756941</v>
      </c>
      <c r="C347" s="14" t="s">
        <v>189</v>
      </c>
      <c r="D347" s="23" t="s">
        <v>189</v>
      </c>
      <c r="E347" s="23" t="s">
        <v>24</v>
      </c>
      <c r="F347" s="23">
        <v>885.21320000000003</v>
      </c>
      <c r="G347" s="23">
        <v>865.75739712052905</v>
      </c>
      <c r="H347" s="23">
        <v>0.97802133669101299</v>
      </c>
      <c r="I347" s="23">
        <v>0</v>
      </c>
      <c r="J347" s="23" t="s">
        <v>88</v>
      </c>
      <c r="K347" s="24">
        <v>44910.019369756941</v>
      </c>
      <c r="L347" s="23">
        <v>1</v>
      </c>
      <c r="M347" s="23" t="s">
        <v>24</v>
      </c>
      <c r="N347" s="25">
        <v>0</v>
      </c>
      <c r="O347" s="26" t="str">
        <f t="shared" si="68"/>
        <v>COIN</v>
      </c>
      <c r="P347" s="26" t="str">
        <f t="shared" si="70"/>
        <v>LONG</v>
      </c>
      <c r="Q347" s="26" t="str">
        <f t="shared" si="71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69"/>
        <v>FBLK</v>
      </c>
      <c r="W347" t="str">
        <f t="shared" si="72"/>
        <v>EOS COIN LONG</v>
      </c>
      <c r="X347" s="94" t="s">
        <v>267</v>
      </c>
    </row>
    <row r="348" spans="1:24" x14ac:dyDescent="0.25">
      <c r="A348">
        <v>398</v>
      </c>
      <c r="B348" s="77">
        <v>44910.019369756941</v>
      </c>
      <c r="C348" s="14" t="s">
        <v>189</v>
      </c>
      <c r="D348" s="23" t="s">
        <v>189</v>
      </c>
      <c r="E348" s="23" t="s">
        <v>30</v>
      </c>
      <c r="F348" s="23">
        <v>5.8852999999999998E-4</v>
      </c>
      <c r="G348" s="23">
        <v>1.10571175645403E-2</v>
      </c>
      <c r="H348" s="23">
        <v>18.787687228417099</v>
      </c>
      <c r="I348" s="23">
        <v>0</v>
      </c>
      <c r="J348" s="23" t="s">
        <v>88</v>
      </c>
      <c r="K348" s="24">
        <v>44910.019369756941</v>
      </c>
      <c r="L348" s="23">
        <v>1</v>
      </c>
      <c r="M348" s="23" t="s">
        <v>30</v>
      </c>
      <c r="N348" s="25">
        <v>0</v>
      </c>
      <c r="O348" s="26" t="str">
        <f t="shared" si="68"/>
        <v>COIN</v>
      </c>
      <c r="P348" s="26" t="str">
        <f t="shared" si="70"/>
        <v>LONG</v>
      </c>
      <c r="Q348" s="26" t="str">
        <f t="shared" si="71"/>
        <v>COIN LONG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69"/>
        <v>FBLK</v>
      </c>
      <c r="W348" t="str">
        <f t="shared" si="72"/>
        <v>ETC COIN LONG</v>
      </c>
      <c r="X348" s="94" t="s">
        <v>267</v>
      </c>
    </row>
    <row r="349" spans="1:24" x14ac:dyDescent="0.25">
      <c r="A349">
        <v>399</v>
      </c>
      <c r="B349" s="77">
        <v>44910.019369756941</v>
      </c>
      <c r="C349" s="14" t="s">
        <v>189</v>
      </c>
      <c r="D349" s="23" t="s">
        <v>189</v>
      </c>
      <c r="E349" s="23" t="s">
        <v>16</v>
      </c>
      <c r="F349" s="23">
        <v>3813.7481754699902</v>
      </c>
      <c r="G349" s="23">
        <v>4993449.8527436303</v>
      </c>
      <c r="H349" s="23">
        <v>1309.32867693296</v>
      </c>
      <c r="I349" s="23">
        <v>0</v>
      </c>
      <c r="J349" s="23" t="s">
        <v>88</v>
      </c>
      <c r="K349" s="24">
        <v>44910.019369756941</v>
      </c>
      <c r="L349" s="23">
        <v>1</v>
      </c>
      <c r="M349" s="23" t="s">
        <v>16</v>
      </c>
      <c r="N349" s="25">
        <v>0</v>
      </c>
      <c r="O349" s="26" t="str">
        <f t="shared" si="68"/>
        <v>COIN</v>
      </c>
      <c r="P349" s="26" t="str">
        <f t="shared" si="70"/>
        <v>LONG</v>
      </c>
      <c r="Q349" s="26" t="str">
        <f t="shared" si="71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69"/>
        <v>FBLK</v>
      </c>
      <c r="W349" t="str">
        <f t="shared" si="72"/>
        <v>ETH COIN LONG</v>
      </c>
      <c r="X349" s="94" t="s">
        <v>267</v>
      </c>
    </row>
    <row r="350" spans="1:24" x14ac:dyDescent="0.25">
      <c r="A350">
        <v>400</v>
      </c>
      <c r="B350" s="77">
        <v>44910.019369756941</v>
      </c>
      <c r="C350" s="14" t="s">
        <v>189</v>
      </c>
      <c r="D350" s="23" t="s">
        <v>189</v>
      </c>
      <c r="E350" s="23" t="s">
        <v>275</v>
      </c>
      <c r="F350" s="23">
        <v>0.42501022999999999</v>
      </c>
      <c r="G350" s="23">
        <v>1.5047538913699099</v>
      </c>
      <c r="H350" s="23">
        <v>3.5405121692480601</v>
      </c>
      <c r="I350" s="23">
        <v>0</v>
      </c>
      <c r="J350" s="23" t="s">
        <v>88</v>
      </c>
      <c r="K350" s="24">
        <v>44910.019369756941</v>
      </c>
      <c r="L350" s="23">
        <v>1</v>
      </c>
      <c r="M350" s="23" t="s">
        <v>275</v>
      </c>
      <c r="N350" s="25">
        <v>0</v>
      </c>
      <c r="O350" s="26" t="str">
        <f t="shared" si="68"/>
        <v>COIN</v>
      </c>
      <c r="P350" s="26" t="str">
        <f t="shared" si="70"/>
        <v>LONG</v>
      </c>
      <c r="Q350" s="26" t="str">
        <f t="shared" si="71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69"/>
        <v>FBLK</v>
      </c>
      <c r="W350" t="str">
        <f t="shared" si="72"/>
        <v>ETHW COIN LONG</v>
      </c>
      <c r="X350" s="94" t="s">
        <v>267</v>
      </c>
    </row>
    <row r="351" spans="1:24" x14ac:dyDescent="0.25">
      <c r="A351">
        <v>401</v>
      </c>
      <c r="B351" s="77">
        <v>44910.019369756941</v>
      </c>
      <c r="C351" s="14" t="s">
        <v>189</v>
      </c>
      <c r="D351" s="23" t="s">
        <v>189</v>
      </c>
      <c r="E351" s="23" t="s">
        <v>261</v>
      </c>
      <c r="F351" s="23">
        <v>5024</v>
      </c>
      <c r="G351" s="23">
        <v>5367.2971709891099</v>
      </c>
      <c r="H351" s="23">
        <v>1.0683314432701201</v>
      </c>
      <c r="I351" s="23">
        <v>0</v>
      </c>
      <c r="J351" s="23" t="s">
        <v>88</v>
      </c>
      <c r="K351" s="24">
        <v>44910.019369756941</v>
      </c>
      <c r="L351" s="23">
        <v>1</v>
      </c>
      <c r="M351" s="23" t="s">
        <v>261</v>
      </c>
      <c r="N351" s="25">
        <v>0</v>
      </c>
      <c r="O351" s="26" t="str">
        <f t="shared" si="68"/>
        <v>COIN</v>
      </c>
      <c r="P351" s="26" t="str">
        <f t="shared" si="70"/>
        <v>LONG</v>
      </c>
      <c r="Q351" s="26" t="str">
        <f t="shared" si="71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69"/>
        <v>FBLK</v>
      </c>
      <c r="W351" t="str">
        <f t="shared" si="72"/>
        <v>EUROC COIN LONG</v>
      </c>
      <c r="X351" s="94" t="s">
        <v>267</v>
      </c>
    </row>
    <row r="352" spans="1:24" x14ac:dyDescent="0.25">
      <c r="A352">
        <v>402</v>
      </c>
      <c r="B352" s="77">
        <v>44910.019369756941</v>
      </c>
      <c r="C352" s="14" t="s">
        <v>189</v>
      </c>
      <c r="D352" s="23" t="s">
        <v>189</v>
      </c>
      <c r="E352" s="23" t="s">
        <v>194</v>
      </c>
      <c r="F352" s="23">
        <v>3969.6552405000002</v>
      </c>
      <c r="G352" s="23">
        <v>955.17595012880599</v>
      </c>
      <c r="H352" s="23">
        <v>0.24061937177408299</v>
      </c>
      <c r="I352" s="23">
        <v>0</v>
      </c>
      <c r="J352" s="23" t="s">
        <v>88</v>
      </c>
      <c r="K352" s="24">
        <v>44910.019369756941</v>
      </c>
      <c r="L352" s="23">
        <v>1</v>
      </c>
      <c r="M352" s="23" t="s">
        <v>194</v>
      </c>
      <c r="N352" s="25">
        <v>0</v>
      </c>
      <c r="O352" s="26" t="str">
        <f t="shared" si="68"/>
        <v>COIN</v>
      </c>
      <c r="P352" s="26" t="str">
        <f t="shared" si="70"/>
        <v>LONG</v>
      </c>
      <c r="Q352" s="26" t="str">
        <f t="shared" si="71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69"/>
        <v>FBLK</v>
      </c>
      <c r="W352" t="str">
        <f t="shared" si="72"/>
        <v>FTM COIN LONG</v>
      </c>
      <c r="X352" s="94" t="s">
        <v>267</v>
      </c>
    </row>
    <row r="353" spans="1:24" x14ac:dyDescent="0.25">
      <c r="A353">
        <v>403</v>
      </c>
      <c r="B353" s="77">
        <v>44910.019369756941</v>
      </c>
      <c r="C353" s="14" t="s">
        <v>189</v>
      </c>
      <c r="D353" s="23" t="s">
        <v>189</v>
      </c>
      <c r="E353" s="23" t="s">
        <v>112</v>
      </c>
      <c r="F353" s="23">
        <v>2.53888889</v>
      </c>
      <c r="G353" s="23">
        <v>3.4814643363341302</v>
      </c>
      <c r="H353" s="23">
        <v>1.37125509905009</v>
      </c>
      <c r="I353" s="23">
        <v>0</v>
      </c>
      <c r="J353" s="23" t="s">
        <v>88</v>
      </c>
      <c r="K353" s="24">
        <v>44910.019369756941</v>
      </c>
      <c r="L353" s="23">
        <v>1</v>
      </c>
      <c r="M353" s="23" t="s">
        <v>112</v>
      </c>
      <c r="N353" s="25">
        <v>0</v>
      </c>
      <c r="O353" s="26" t="str">
        <f t="shared" si="68"/>
        <v>COIN</v>
      </c>
      <c r="P353" s="26" t="str">
        <f t="shared" si="70"/>
        <v>LONG</v>
      </c>
      <c r="Q353" s="26" t="str">
        <f t="shared" ref="Q353:Q363" si="73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69"/>
        <v>FBLK</v>
      </c>
      <c r="W353" t="str">
        <f t="shared" si="72"/>
        <v>FTT COIN LONG</v>
      </c>
      <c r="X353" s="94" t="s">
        <v>267</v>
      </c>
    </row>
    <row r="354" spans="1:24" x14ac:dyDescent="0.25">
      <c r="A354">
        <v>404</v>
      </c>
      <c r="B354" s="77">
        <v>44910.019369756941</v>
      </c>
      <c r="C354" s="14" t="s">
        <v>189</v>
      </c>
      <c r="D354" s="23" t="s">
        <v>189</v>
      </c>
      <c r="E354" s="23" t="s">
        <v>635</v>
      </c>
      <c r="F354" s="23">
        <v>401.2307831</v>
      </c>
      <c r="G354" s="23">
        <v>26.365646284376101</v>
      </c>
      <c r="H354" s="23">
        <v>6.5711922900504302E-2</v>
      </c>
      <c r="I354" s="23">
        <v>0</v>
      </c>
      <c r="J354" s="23" t="s">
        <v>88</v>
      </c>
      <c r="K354" s="24">
        <v>44910.019369756941</v>
      </c>
      <c r="L354" s="23">
        <v>1</v>
      </c>
      <c r="M354" s="23" t="s">
        <v>635</v>
      </c>
      <c r="N354" s="25">
        <v>0</v>
      </c>
      <c r="O354" s="26" t="str">
        <f t="shared" si="68"/>
        <v>COIN</v>
      </c>
      <c r="P354" s="26" t="str">
        <f t="shared" si="70"/>
        <v>LONG</v>
      </c>
      <c r="Q354" s="26" t="str">
        <f t="shared" si="73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69"/>
        <v>FBLK</v>
      </c>
      <c r="W354" t="str">
        <f t="shared" si="72"/>
        <v>GRT COIN LONG</v>
      </c>
      <c r="X354" s="94" t="s">
        <v>267</v>
      </c>
    </row>
    <row r="355" spans="1:24" x14ac:dyDescent="0.25">
      <c r="A355">
        <v>405</v>
      </c>
      <c r="B355" s="77">
        <v>44910.019369756941</v>
      </c>
      <c r="C355" s="14" t="s">
        <v>189</v>
      </c>
      <c r="D355" s="23" t="s">
        <v>189</v>
      </c>
      <c r="E355" s="23" t="s">
        <v>138</v>
      </c>
      <c r="F355" s="23">
        <v>6955.5320218500001</v>
      </c>
      <c r="G355" s="23">
        <v>324.67637506528399</v>
      </c>
      <c r="H355" s="23">
        <v>4.6678870005249097E-2</v>
      </c>
      <c r="I355" s="23">
        <v>0</v>
      </c>
      <c r="J355" s="23" t="s">
        <v>88</v>
      </c>
      <c r="K355" s="24">
        <v>44910.019369756941</v>
      </c>
      <c r="L355" s="23">
        <v>1</v>
      </c>
      <c r="M355" s="23" t="s">
        <v>138</v>
      </c>
      <c r="N355" s="25">
        <v>0</v>
      </c>
      <c r="O355" s="26" t="str">
        <f t="shared" si="68"/>
        <v>COIN</v>
      </c>
      <c r="P355" s="26" t="str">
        <f t="shared" si="70"/>
        <v>LONG</v>
      </c>
      <c r="Q355" s="26" t="str">
        <f t="shared" si="73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69"/>
        <v>FBLK</v>
      </c>
      <c r="W355" t="str">
        <f t="shared" si="72"/>
        <v>HBAR COIN LONG</v>
      </c>
      <c r="X355" s="94" t="s">
        <v>267</v>
      </c>
    </row>
    <row r="356" spans="1:24" x14ac:dyDescent="0.25">
      <c r="A356">
        <v>406</v>
      </c>
      <c r="B356" s="77">
        <v>44910.019369756941</v>
      </c>
      <c r="C356" s="14" t="s">
        <v>189</v>
      </c>
      <c r="D356" s="23" t="s">
        <v>189</v>
      </c>
      <c r="E356" s="23" t="s">
        <v>44</v>
      </c>
      <c r="F356" s="23">
        <v>9.2269799999999992E-3</v>
      </c>
      <c r="G356" s="23">
        <v>0.25417860522711799</v>
      </c>
      <c r="H356" s="23">
        <v>27.547323742667501</v>
      </c>
      <c r="I356" s="23">
        <v>0</v>
      </c>
      <c r="J356" s="23" t="s">
        <v>88</v>
      </c>
      <c r="K356" s="24">
        <v>44910.019369756941</v>
      </c>
      <c r="L356" s="23">
        <v>1</v>
      </c>
      <c r="M356" s="23" t="s">
        <v>44</v>
      </c>
      <c r="N356" s="25">
        <v>0</v>
      </c>
      <c r="O356" s="26" t="str">
        <f t="shared" si="68"/>
        <v>COIN</v>
      </c>
      <c r="P356" s="26" t="str">
        <f t="shared" si="70"/>
        <v>LONG</v>
      </c>
      <c r="Q356" s="26" t="str">
        <f t="shared" si="73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69"/>
        <v>FBLK</v>
      </c>
      <c r="W356" t="str">
        <f t="shared" si="72"/>
        <v>KSM COIN LONG</v>
      </c>
      <c r="X356" s="94" t="s">
        <v>267</v>
      </c>
    </row>
    <row r="357" spans="1:24" x14ac:dyDescent="0.25">
      <c r="A357">
        <v>407</v>
      </c>
      <c r="B357" s="77">
        <v>44910.019369756941</v>
      </c>
      <c r="C357" s="14" t="s">
        <v>189</v>
      </c>
      <c r="D357" s="23" t="s">
        <v>189</v>
      </c>
      <c r="E357" s="23" t="s">
        <v>28</v>
      </c>
      <c r="F357" s="23">
        <v>991.68718306000005</v>
      </c>
      <c r="G357" s="23">
        <v>6672.89254172864</v>
      </c>
      <c r="H357" s="23">
        <v>6.72882805759214</v>
      </c>
      <c r="I357" s="23">
        <v>0</v>
      </c>
      <c r="J357" s="23" t="s">
        <v>88</v>
      </c>
      <c r="K357" s="24">
        <v>44910.019369756941</v>
      </c>
      <c r="L357" s="23">
        <v>1</v>
      </c>
      <c r="M357" s="23" t="s">
        <v>28</v>
      </c>
      <c r="N357" s="25">
        <v>0</v>
      </c>
      <c r="O357" s="26" t="str">
        <f t="shared" si="68"/>
        <v>COIN</v>
      </c>
      <c r="P357" s="26" t="str">
        <f t="shared" si="70"/>
        <v>LONG</v>
      </c>
      <c r="Q357" s="26" t="str">
        <f t="shared" si="73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69"/>
        <v>FBLK</v>
      </c>
      <c r="W357" t="str">
        <f t="shared" si="72"/>
        <v>LINK COIN LONG</v>
      </c>
      <c r="X357" s="94" t="s">
        <v>267</v>
      </c>
    </row>
    <row r="358" spans="1:24" x14ac:dyDescent="0.25">
      <c r="A358">
        <v>408</v>
      </c>
      <c r="B358" s="77">
        <v>44910.019369756941</v>
      </c>
      <c r="C358" s="14" t="s">
        <v>189</v>
      </c>
      <c r="D358" s="23" t="s">
        <v>189</v>
      </c>
      <c r="E358" s="23" t="s">
        <v>25</v>
      </c>
      <c r="F358" s="23">
        <v>6.3299567400000001</v>
      </c>
      <c r="G358" s="23">
        <v>477.75895179417302</v>
      </c>
      <c r="H358" s="23">
        <v>75.475863646134997</v>
      </c>
      <c r="I358" s="23">
        <v>0</v>
      </c>
      <c r="J358" s="23" t="s">
        <v>88</v>
      </c>
      <c r="K358" s="24">
        <v>44910.019369756941</v>
      </c>
      <c r="L358" s="23">
        <v>1</v>
      </c>
      <c r="M358" s="23" t="s">
        <v>25</v>
      </c>
      <c r="N358" s="25">
        <v>0</v>
      </c>
      <c r="O358" s="26" t="str">
        <f t="shared" si="68"/>
        <v>COIN</v>
      </c>
      <c r="P358" s="26" t="str">
        <f t="shared" si="70"/>
        <v>LONG</v>
      </c>
      <c r="Q358" s="26" t="str">
        <f t="shared" si="73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69"/>
        <v>FBLK</v>
      </c>
      <c r="W358" t="str">
        <f t="shared" si="72"/>
        <v>LTC COIN LONG</v>
      </c>
      <c r="X358" s="94" t="s">
        <v>267</v>
      </c>
    </row>
    <row r="359" spans="1:24" x14ac:dyDescent="0.25">
      <c r="A359">
        <v>409</v>
      </c>
      <c r="B359" s="77">
        <v>44910.019369756941</v>
      </c>
      <c r="C359" s="14" t="s">
        <v>189</v>
      </c>
      <c r="D359" s="23" t="s">
        <v>189</v>
      </c>
      <c r="E359" s="23" t="s">
        <v>195</v>
      </c>
      <c r="F359" s="23">
        <v>1894.9818869999999</v>
      </c>
      <c r="G359" s="23">
        <v>723.61853302628197</v>
      </c>
      <c r="H359" s="23">
        <v>0.38186039560085799</v>
      </c>
      <c r="I359" s="23">
        <v>0</v>
      </c>
      <c r="J359" s="23" t="s">
        <v>88</v>
      </c>
      <c r="K359" s="24">
        <v>44910.019369756941</v>
      </c>
      <c r="L359" s="23">
        <v>1</v>
      </c>
      <c r="M359" s="23" t="s">
        <v>195</v>
      </c>
      <c r="N359" s="25">
        <v>0</v>
      </c>
      <c r="O359" s="26" t="str">
        <f t="shared" si="68"/>
        <v>COIN</v>
      </c>
      <c r="P359" s="26" t="str">
        <f t="shared" si="70"/>
        <v>LONG</v>
      </c>
      <c r="Q359" s="26" t="str">
        <f t="shared" si="73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69"/>
        <v>FBLK</v>
      </c>
      <c r="W359" t="str">
        <f t="shared" si="72"/>
        <v>MANA COIN LONG</v>
      </c>
      <c r="X359" s="94" t="s">
        <v>267</v>
      </c>
    </row>
    <row r="360" spans="1:24" x14ac:dyDescent="0.25">
      <c r="A360">
        <v>410</v>
      </c>
      <c r="B360" s="77">
        <v>44910.019369756941</v>
      </c>
      <c r="C360" s="14" t="s">
        <v>189</v>
      </c>
      <c r="D360" s="23" t="s">
        <v>189</v>
      </c>
      <c r="E360" s="23" t="s">
        <v>196</v>
      </c>
      <c r="F360" s="23">
        <v>9754.9953736700008</v>
      </c>
      <c r="G360" s="23">
        <v>8812.1492566720899</v>
      </c>
      <c r="H360" s="23">
        <v>0.90334735375244002</v>
      </c>
      <c r="I360" s="23">
        <v>0</v>
      </c>
      <c r="J360" s="23" t="s">
        <v>88</v>
      </c>
      <c r="K360" s="24">
        <v>44910.019369756941</v>
      </c>
      <c r="L360" s="23">
        <v>1</v>
      </c>
      <c r="M360" s="23" t="s">
        <v>196</v>
      </c>
      <c r="N360" s="25">
        <v>0</v>
      </c>
      <c r="O360" s="26" t="str">
        <f t="shared" si="68"/>
        <v>COIN</v>
      </c>
      <c r="P360" s="26" t="str">
        <f t="shared" si="70"/>
        <v>LONG</v>
      </c>
      <c r="Q360" s="26" t="str">
        <f t="shared" si="73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69"/>
        <v>FBLK</v>
      </c>
      <c r="W360" t="str">
        <f t="shared" si="72"/>
        <v>MATIC COIN LONG</v>
      </c>
      <c r="X360" s="94" t="s">
        <v>267</v>
      </c>
    </row>
    <row r="361" spans="1:24" x14ac:dyDescent="0.25">
      <c r="A361">
        <v>411</v>
      </c>
      <c r="B361" s="77">
        <v>44910.019369756941</v>
      </c>
      <c r="C361" s="14" t="s">
        <v>189</v>
      </c>
      <c r="D361" s="23" t="s">
        <v>189</v>
      </c>
      <c r="E361" s="23" t="s">
        <v>567</v>
      </c>
      <c r="F361" s="23">
        <v>0.77666018999999997</v>
      </c>
      <c r="G361" s="23">
        <v>470.77853044224997</v>
      </c>
      <c r="H361" s="23">
        <v>606.15766908594901</v>
      </c>
      <c r="I361" s="23">
        <v>0</v>
      </c>
      <c r="J361" s="23" t="s">
        <v>88</v>
      </c>
      <c r="K361" s="24">
        <v>44910.019369756941</v>
      </c>
      <c r="L361" s="23">
        <v>1</v>
      </c>
      <c r="M361" s="23" t="s">
        <v>567</v>
      </c>
      <c r="N361" s="25">
        <v>0</v>
      </c>
      <c r="O361" s="26" t="str">
        <f t="shared" si="68"/>
        <v>COIN</v>
      </c>
      <c r="P361" s="26" t="str">
        <f t="shared" si="70"/>
        <v>LONG</v>
      </c>
      <c r="Q361" s="26" t="str">
        <f t="shared" si="73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69"/>
        <v>FBLK</v>
      </c>
      <c r="W361" t="str">
        <f t="shared" si="72"/>
        <v>MKR COIN LONG</v>
      </c>
      <c r="X361" s="94" t="s">
        <v>267</v>
      </c>
    </row>
    <row r="362" spans="1:24" x14ac:dyDescent="0.25">
      <c r="A362">
        <v>412</v>
      </c>
      <c r="B362" s="77">
        <v>44910.019369756941</v>
      </c>
      <c r="C362" s="14" t="s">
        <v>189</v>
      </c>
      <c r="D362" s="23" t="s">
        <v>189</v>
      </c>
      <c r="E362" s="23" t="s">
        <v>153</v>
      </c>
      <c r="F362" s="23">
        <v>106.971</v>
      </c>
      <c r="G362" s="23">
        <v>125.99285361318501</v>
      </c>
      <c r="H362" s="23">
        <v>1.1778225277242</v>
      </c>
      <c r="I362" s="23">
        <v>0</v>
      </c>
      <c r="J362" s="23" t="s">
        <v>88</v>
      </c>
      <c r="K362" s="24">
        <v>44910.019369756941</v>
      </c>
      <c r="L362" s="23">
        <v>1</v>
      </c>
      <c r="M362" s="23" t="s">
        <v>153</v>
      </c>
      <c r="N362" s="25">
        <v>0</v>
      </c>
      <c r="O362" s="26" t="str">
        <f t="shared" si="68"/>
        <v>COIN</v>
      </c>
      <c r="P362" s="26" t="str">
        <f t="shared" si="70"/>
        <v>LONG</v>
      </c>
      <c r="Q362" s="26" t="str">
        <f t="shared" si="73"/>
        <v>COIN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69"/>
        <v>FBLK</v>
      </c>
      <c r="W362" t="str">
        <f t="shared" si="72"/>
        <v>OMG COIN LONG</v>
      </c>
      <c r="X362" s="94" t="s">
        <v>267</v>
      </c>
    </row>
    <row r="363" spans="1:24" x14ac:dyDescent="0.25">
      <c r="A363">
        <v>413</v>
      </c>
      <c r="B363" s="77">
        <v>44910.019369756941</v>
      </c>
      <c r="C363" s="14" t="s">
        <v>189</v>
      </c>
      <c r="D363" s="23" t="s">
        <v>189</v>
      </c>
      <c r="E363" s="23" t="s">
        <v>92</v>
      </c>
      <c r="F363" s="23">
        <v>24.565999999999999</v>
      </c>
      <c r="G363" s="23">
        <v>1.9942155881477901</v>
      </c>
      <c r="H363" s="23">
        <v>8.1177871372945895E-2</v>
      </c>
      <c r="I363" s="23">
        <v>0</v>
      </c>
      <c r="J363" s="23" t="s">
        <v>88</v>
      </c>
      <c r="K363" s="24">
        <v>44910.019369756941</v>
      </c>
      <c r="L363" s="23">
        <v>1</v>
      </c>
      <c r="M363" s="23" t="s">
        <v>92</v>
      </c>
      <c r="N363" s="25">
        <v>0</v>
      </c>
      <c r="O363" s="26" t="str">
        <f t="shared" si="68"/>
        <v>COIN</v>
      </c>
      <c r="P363" s="26" t="str">
        <f t="shared" si="70"/>
        <v>LONG</v>
      </c>
      <c r="Q363" s="26" t="str">
        <f t="shared" si="73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69"/>
        <v>FBLK</v>
      </c>
      <c r="W363" t="str">
        <f t="shared" si="72"/>
        <v>OXT COIN LONG</v>
      </c>
      <c r="X363" s="94" t="s">
        <v>267</v>
      </c>
    </row>
    <row r="364" spans="1:24" x14ac:dyDescent="0.25">
      <c r="A364">
        <v>414</v>
      </c>
      <c r="B364" s="77">
        <v>44910.019369756941</v>
      </c>
      <c r="C364" s="14" t="s">
        <v>189</v>
      </c>
      <c r="D364" s="23" t="s">
        <v>189</v>
      </c>
      <c r="E364" s="23" t="s">
        <v>38</v>
      </c>
      <c r="F364" s="23">
        <v>664916118.04308903</v>
      </c>
      <c r="G364" s="23">
        <v>5966.1302010747604</v>
      </c>
      <c r="H364" s="23">
        <v>8.9727561705582505E-6</v>
      </c>
      <c r="I364" s="23">
        <v>0</v>
      </c>
      <c r="J364" s="23" t="s">
        <v>88</v>
      </c>
      <c r="K364" s="24">
        <v>44910.019369756941</v>
      </c>
      <c r="L364" s="23">
        <v>1</v>
      </c>
      <c r="M364" s="23" t="s">
        <v>38</v>
      </c>
      <c r="N364" s="25">
        <v>0</v>
      </c>
      <c r="O364" s="26" t="str">
        <f t="shared" si="68"/>
        <v>COIN</v>
      </c>
      <c r="P364" s="26" t="str">
        <f t="shared" si="70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69"/>
        <v>FBLK</v>
      </c>
      <c r="W364" t="str">
        <f t="shared" si="72"/>
        <v>SHIB COIN LONG</v>
      </c>
      <c r="X364" s="94" t="s">
        <v>267</v>
      </c>
    </row>
    <row r="365" spans="1:24" x14ac:dyDescent="0.25">
      <c r="A365">
        <v>415</v>
      </c>
      <c r="B365" s="77">
        <v>44910.019369756941</v>
      </c>
      <c r="C365" s="14" t="s">
        <v>189</v>
      </c>
      <c r="D365" s="23" t="s">
        <v>189</v>
      </c>
      <c r="E365" s="23" t="s">
        <v>157</v>
      </c>
      <c r="F365" s="23">
        <v>464.53931548000003</v>
      </c>
      <c r="G365" s="23">
        <v>6568.8303608919496</v>
      </c>
      <c r="H365" s="23">
        <v>14.1405261987448</v>
      </c>
      <c r="I365" s="23">
        <v>0</v>
      </c>
      <c r="J365" s="23" t="s">
        <v>88</v>
      </c>
      <c r="K365" s="24">
        <v>44910.019369756941</v>
      </c>
      <c r="L365" s="23">
        <v>1</v>
      </c>
      <c r="M365" s="23" t="s">
        <v>157</v>
      </c>
      <c r="N365" s="25">
        <v>0</v>
      </c>
      <c r="O365" s="26" t="str">
        <f t="shared" si="68"/>
        <v>COIN</v>
      </c>
      <c r="P365" s="26" t="str">
        <f t="shared" si="70"/>
        <v>LONG</v>
      </c>
      <c r="Q365" s="26" t="str">
        <f>O365&amp;" "&amp;P365</f>
        <v>COIN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69"/>
        <v>FBLK</v>
      </c>
      <c r="W365" t="str">
        <f t="shared" si="72"/>
        <v>SOL COIN LONG</v>
      </c>
      <c r="X365" s="94" t="s">
        <v>267</v>
      </c>
    </row>
    <row r="366" spans="1:24" x14ac:dyDescent="0.25">
      <c r="A366">
        <v>416</v>
      </c>
      <c r="B366" s="77">
        <v>44910.019369756941</v>
      </c>
      <c r="C366" s="14" t="s">
        <v>189</v>
      </c>
      <c r="D366" s="23" t="s">
        <v>189</v>
      </c>
      <c r="E366" s="23" t="s">
        <v>615</v>
      </c>
      <c r="F366" s="23">
        <v>1600.35402912</v>
      </c>
      <c r="G366" s="23">
        <v>1791.8438991088899</v>
      </c>
      <c r="H366" s="23">
        <v>1.1196546929645199</v>
      </c>
      <c r="I366" s="23">
        <v>0</v>
      </c>
      <c r="J366" s="23" t="s">
        <v>88</v>
      </c>
      <c r="K366" s="24">
        <v>44910.019369756941</v>
      </c>
      <c r="L366" s="23">
        <v>1</v>
      </c>
      <c r="M366" s="23" t="s">
        <v>615</v>
      </c>
      <c r="N366" s="25">
        <v>0</v>
      </c>
      <c r="O366" s="26" t="str">
        <f t="shared" si="68"/>
        <v>COIN</v>
      </c>
      <c r="P366" s="26" t="str">
        <f t="shared" si="70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69"/>
        <v>FBLK</v>
      </c>
      <c r="W366" t="str">
        <f t="shared" si="72"/>
        <v>SUSHI COIN LONG</v>
      </c>
      <c r="X366" s="94" t="s">
        <v>267</v>
      </c>
    </row>
    <row r="367" spans="1:24" x14ac:dyDescent="0.25">
      <c r="A367">
        <v>417</v>
      </c>
      <c r="B367" s="77">
        <v>44910.019369756941</v>
      </c>
      <c r="C367" s="14" t="s">
        <v>189</v>
      </c>
      <c r="D367" s="23" t="s">
        <v>189</v>
      </c>
      <c r="E367" s="23" t="s">
        <v>162</v>
      </c>
      <c r="F367" s="23">
        <v>733.96397166999998</v>
      </c>
      <c r="G367" s="23">
        <v>4344.8006056570202</v>
      </c>
      <c r="H367" s="23">
        <v>5.9196374391119297</v>
      </c>
      <c r="I367" s="23">
        <v>0</v>
      </c>
      <c r="J367" s="23" t="s">
        <v>88</v>
      </c>
      <c r="K367" s="24">
        <v>44910.019369756941</v>
      </c>
      <c r="L367" s="23">
        <v>1</v>
      </c>
      <c r="M367" s="23" t="s">
        <v>162</v>
      </c>
      <c r="N367" s="25">
        <v>0</v>
      </c>
      <c r="O367" s="26" t="str">
        <f t="shared" si="68"/>
        <v>COIN</v>
      </c>
      <c r="P367" s="26" t="str">
        <f t="shared" si="70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69"/>
        <v>FBLK</v>
      </c>
      <c r="W367" t="str">
        <f t="shared" si="72"/>
        <v>UNI COIN LONG</v>
      </c>
      <c r="X367" s="94" t="s">
        <v>267</v>
      </c>
    </row>
    <row r="368" spans="1:24" x14ac:dyDescent="0.25">
      <c r="A368">
        <v>418</v>
      </c>
      <c r="B368" s="77">
        <v>44910.019369756941</v>
      </c>
      <c r="C368" s="14" t="s">
        <v>189</v>
      </c>
      <c r="D368" s="23" t="s">
        <v>189</v>
      </c>
      <c r="E368" s="23" t="s">
        <v>95</v>
      </c>
      <c r="F368" s="23">
        <v>28895.690009999998</v>
      </c>
      <c r="G368" s="23">
        <v>28895.098379543899</v>
      </c>
      <c r="H368" s="23">
        <v>0.99997952530443501</v>
      </c>
      <c r="I368" s="23">
        <v>0</v>
      </c>
      <c r="J368" s="23" t="s">
        <v>88</v>
      </c>
      <c r="K368" s="24">
        <v>44910.019369756941</v>
      </c>
      <c r="L368" s="23">
        <v>1</v>
      </c>
      <c r="M368" s="23" t="s">
        <v>95</v>
      </c>
      <c r="N368" s="25">
        <v>0</v>
      </c>
      <c r="O368" s="26" t="str">
        <f t="shared" si="68"/>
        <v>COIN</v>
      </c>
      <c r="P368" s="26" t="str">
        <f t="shared" si="70"/>
        <v>LONG</v>
      </c>
      <c r="Q368" s="26" t="str">
        <f t="shared" ref="Q368:Q406" si="74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69"/>
        <v>FBLK</v>
      </c>
      <c r="W368" t="str">
        <f t="shared" si="72"/>
        <v>USDC COIN LONG</v>
      </c>
      <c r="X368" s="94" t="s">
        <v>267</v>
      </c>
    </row>
    <row r="369" spans="1:24" x14ac:dyDescent="0.25">
      <c r="A369">
        <v>419</v>
      </c>
      <c r="B369" s="77">
        <v>44910.019369756941</v>
      </c>
      <c r="C369" s="14" t="s">
        <v>189</v>
      </c>
      <c r="D369" s="23" t="s">
        <v>189</v>
      </c>
      <c r="E369" s="23" t="s">
        <v>39</v>
      </c>
      <c r="F369" s="23">
        <v>4892269.848123</v>
      </c>
      <c r="G369" s="23">
        <v>4892785.5438754102</v>
      </c>
      <c r="H369" s="23">
        <v>1.0001054103245299</v>
      </c>
      <c r="I369" s="23">
        <v>0</v>
      </c>
      <c r="J369" s="23" t="s">
        <v>88</v>
      </c>
      <c r="K369" s="24">
        <v>44910.019369756941</v>
      </c>
      <c r="L369" s="23">
        <v>1</v>
      </c>
      <c r="M369" s="23" t="s">
        <v>39</v>
      </c>
      <c r="N369" s="25">
        <v>0</v>
      </c>
      <c r="O369" s="26" t="str">
        <f t="shared" si="68"/>
        <v>COIN</v>
      </c>
      <c r="P369" s="26" t="str">
        <f t="shared" si="70"/>
        <v>LONG</v>
      </c>
      <c r="Q369" s="26" t="str">
        <f t="shared" si="74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69"/>
        <v>FBLK</v>
      </c>
      <c r="W369" t="str">
        <f t="shared" si="72"/>
        <v>USDT COIN LONG</v>
      </c>
      <c r="X369" s="94" t="s">
        <v>267</v>
      </c>
    </row>
    <row r="370" spans="1:24" x14ac:dyDescent="0.25">
      <c r="A370">
        <v>420</v>
      </c>
      <c r="B370" s="77">
        <v>44910.019369756941</v>
      </c>
      <c r="C370" s="14" t="s">
        <v>189</v>
      </c>
      <c r="D370" s="23" t="s">
        <v>189</v>
      </c>
      <c r="E370" s="23" t="s">
        <v>166</v>
      </c>
      <c r="F370" s="23">
        <v>5546.1452737</v>
      </c>
      <c r="G370" s="23">
        <v>460.40653485193297</v>
      </c>
      <c r="H370" s="23">
        <v>8.3013789241186201E-2</v>
      </c>
      <c r="I370" s="23">
        <v>0</v>
      </c>
      <c r="J370" s="23" t="s">
        <v>88</v>
      </c>
      <c r="K370" s="24">
        <v>44910.019369756941</v>
      </c>
      <c r="L370" s="23">
        <v>1</v>
      </c>
      <c r="M370" s="23" t="s">
        <v>166</v>
      </c>
      <c r="N370" s="25">
        <v>0</v>
      </c>
      <c r="O370" s="26" t="str">
        <f t="shared" si="68"/>
        <v>COIN</v>
      </c>
      <c r="P370" s="26" t="str">
        <f t="shared" si="70"/>
        <v>LONG</v>
      </c>
      <c r="Q370" s="26" t="str">
        <f t="shared" si="74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69"/>
        <v>FBLK</v>
      </c>
      <c r="W370" t="str">
        <f t="shared" si="72"/>
        <v>XLM COIN LONG</v>
      </c>
      <c r="X370" s="94" t="s">
        <v>267</v>
      </c>
    </row>
    <row r="371" spans="1:24" x14ac:dyDescent="0.25">
      <c r="A371">
        <v>421</v>
      </c>
      <c r="B371" s="77">
        <v>44910.019369756941</v>
      </c>
      <c r="C371" s="14" t="s">
        <v>189</v>
      </c>
      <c r="D371" s="23" t="s">
        <v>189</v>
      </c>
      <c r="E371" s="23" t="s">
        <v>102</v>
      </c>
      <c r="F371" s="23">
        <v>313.68986200000001</v>
      </c>
      <c r="G371" s="23">
        <v>121.214065804897</v>
      </c>
      <c r="H371" s="23">
        <v>0.38641371777866901</v>
      </c>
      <c r="I371" s="23">
        <v>0</v>
      </c>
      <c r="J371" s="23" t="s">
        <v>88</v>
      </c>
      <c r="K371" s="24">
        <v>44910.019369756941</v>
      </c>
      <c r="L371" s="23">
        <v>1</v>
      </c>
      <c r="M371" s="23" t="s">
        <v>102</v>
      </c>
      <c r="N371" s="25">
        <v>0</v>
      </c>
      <c r="O371" s="26" t="str">
        <f t="shared" si="68"/>
        <v>COIN</v>
      </c>
      <c r="P371" s="26" t="str">
        <f t="shared" si="70"/>
        <v>LONG</v>
      </c>
      <c r="Q371" s="26" t="str">
        <f t="shared" si="74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69"/>
        <v>FBLK</v>
      </c>
      <c r="W371" t="str">
        <f t="shared" si="72"/>
        <v>XRP COIN LONG</v>
      </c>
      <c r="X371" s="94" t="s">
        <v>267</v>
      </c>
    </row>
    <row r="372" spans="1:24" x14ac:dyDescent="0.25">
      <c r="A372">
        <v>422</v>
      </c>
      <c r="B372" s="77">
        <v>44910.019369756941</v>
      </c>
      <c r="C372" s="14" t="s">
        <v>189</v>
      </c>
      <c r="D372" s="23" t="s">
        <v>189</v>
      </c>
      <c r="E372" s="23" t="s">
        <v>167</v>
      </c>
      <c r="F372" s="23">
        <v>74.496399999999994</v>
      </c>
      <c r="G372" s="23">
        <v>70.879699859790193</v>
      </c>
      <c r="H372" s="23">
        <v>0.95145134341780602</v>
      </c>
      <c r="I372" s="23">
        <v>0</v>
      </c>
      <c r="J372" s="23" t="s">
        <v>88</v>
      </c>
      <c r="K372" s="24">
        <v>44910.019369756941</v>
      </c>
      <c r="L372" s="23">
        <v>1</v>
      </c>
      <c r="M372" s="23" t="s">
        <v>167</v>
      </c>
      <c r="N372" s="25">
        <v>0</v>
      </c>
      <c r="O372" s="26" t="str">
        <f t="shared" si="68"/>
        <v>COIN</v>
      </c>
      <c r="P372" s="26" t="str">
        <f t="shared" si="70"/>
        <v>LONG</v>
      </c>
      <c r="Q372" s="26" t="str">
        <f t="shared" si="74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69"/>
        <v>FBLK</v>
      </c>
      <c r="W372" t="str">
        <f t="shared" si="72"/>
        <v>XTZ COIN LONG</v>
      </c>
      <c r="X372" s="94" t="s">
        <v>267</v>
      </c>
    </row>
    <row r="373" spans="1:24" x14ac:dyDescent="0.25">
      <c r="A373">
        <v>423</v>
      </c>
      <c r="B373" s="77">
        <v>44910.019369756941</v>
      </c>
      <c r="C373" s="14" t="s">
        <v>189</v>
      </c>
      <c r="D373" s="23" t="s">
        <v>189</v>
      </c>
      <c r="E373" s="23" t="s">
        <v>174</v>
      </c>
      <c r="F373" s="23">
        <v>1.9935830000000002E-2</v>
      </c>
      <c r="G373" s="23">
        <v>128.64154809617199</v>
      </c>
      <c r="H373" s="23">
        <v>6452.7811531384496</v>
      </c>
      <c r="I373" s="23">
        <v>0</v>
      </c>
      <c r="J373" s="23" t="s">
        <v>88</v>
      </c>
      <c r="K373" s="24">
        <v>44910.019369756941</v>
      </c>
      <c r="L373" s="23">
        <v>1</v>
      </c>
      <c r="M373" s="23" t="s">
        <v>174</v>
      </c>
      <c r="N373" s="25">
        <v>0</v>
      </c>
      <c r="O373" s="26" t="str">
        <f t="shared" si="68"/>
        <v>COIN</v>
      </c>
      <c r="P373" s="26" t="str">
        <f t="shared" si="70"/>
        <v>LONG</v>
      </c>
      <c r="Q373" s="26" t="str">
        <f t="shared" si="74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69"/>
        <v>FBLK</v>
      </c>
      <c r="W373" t="str">
        <f t="shared" si="72"/>
        <v>YFI COIN LONG</v>
      </c>
      <c r="X373" s="94" t="s">
        <v>267</v>
      </c>
    </row>
    <row r="374" spans="1:24" x14ac:dyDescent="0.25">
      <c r="A374">
        <v>424</v>
      </c>
      <c r="B374" s="77">
        <v>44910.000002928238</v>
      </c>
      <c r="C374" s="14" t="s">
        <v>11</v>
      </c>
      <c r="D374" s="23" t="s">
        <v>197</v>
      </c>
      <c r="E374" s="23" t="s">
        <v>119</v>
      </c>
      <c r="F374" s="23">
        <v>-600</v>
      </c>
      <c r="G374" s="23">
        <v>-37537.734375852298</v>
      </c>
      <c r="H374" s="23">
        <v>62.562890626420497</v>
      </c>
      <c r="I374" s="23">
        <v>0</v>
      </c>
      <c r="J374" s="23" t="s">
        <v>266</v>
      </c>
      <c r="K374" s="24">
        <v>44910.000002928238</v>
      </c>
      <c r="L374" s="23">
        <v>1</v>
      </c>
      <c r="M374" s="23" t="s">
        <v>119</v>
      </c>
      <c r="N374" s="25">
        <v>0</v>
      </c>
      <c r="O374" s="26" t="str">
        <f t="shared" si="68"/>
        <v>COIN</v>
      </c>
      <c r="P374" s="26" t="str">
        <f t="shared" si="70"/>
        <v>SHORT</v>
      </c>
      <c r="Q374" s="26" t="str">
        <f t="shared" si="74"/>
        <v>COIN SHORT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69"/>
        <v>BINE</v>
      </c>
      <c r="W374" t="str">
        <f t="shared" si="72"/>
        <v>AAVE COIN SHORT</v>
      </c>
      <c r="X374" s="94" t="s">
        <v>267</v>
      </c>
    </row>
    <row r="375" spans="1:24" x14ac:dyDescent="0.25">
      <c r="A375">
        <v>425</v>
      </c>
      <c r="B375" s="77">
        <v>44910.000002928238</v>
      </c>
      <c r="C375" s="14" t="s">
        <v>11</v>
      </c>
      <c r="D375" s="23" t="s">
        <v>197</v>
      </c>
      <c r="E375" s="23" t="s">
        <v>87</v>
      </c>
      <c r="F375" s="23">
        <v>-300000</v>
      </c>
      <c r="G375" s="23">
        <v>-92440.275584082498</v>
      </c>
      <c r="H375" s="23">
        <v>0.308134251946941</v>
      </c>
      <c r="I375" s="23">
        <v>0</v>
      </c>
      <c r="J375" s="23" t="s">
        <v>266</v>
      </c>
      <c r="K375" s="24">
        <v>44910.000002928238</v>
      </c>
      <c r="L375" s="23">
        <v>1</v>
      </c>
      <c r="M375" s="23" t="s">
        <v>87</v>
      </c>
      <c r="N375" s="25">
        <v>0</v>
      </c>
      <c r="O375" s="26" t="str">
        <f t="shared" si="68"/>
        <v>COIN</v>
      </c>
      <c r="P375" s="26" t="str">
        <f t="shared" si="70"/>
        <v>SHORT</v>
      </c>
      <c r="Q375" s="26" t="str">
        <f t="shared" si="74"/>
        <v>COIN SHORT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69"/>
        <v>BINE</v>
      </c>
      <c r="W375" t="str">
        <f t="shared" si="72"/>
        <v>ADA COIN SHORT</v>
      </c>
      <c r="X375" s="94" t="s">
        <v>267</v>
      </c>
    </row>
    <row r="376" spans="1:24" x14ac:dyDescent="0.25">
      <c r="A376">
        <v>426</v>
      </c>
      <c r="B376" s="77">
        <v>44910.000002928238</v>
      </c>
      <c r="C376" s="14" t="s">
        <v>11</v>
      </c>
      <c r="D376" s="23" t="s">
        <v>197</v>
      </c>
      <c r="E376" s="23" t="s">
        <v>125</v>
      </c>
      <c r="F376" s="23">
        <v>-140000</v>
      </c>
      <c r="G376" s="23">
        <v>-30928.212987364099</v>
      </c>
      <c r="H376" s="23">
        <v>0.220915807052601</v>
      </c>
      <c r="I376" s="23">
        <v>0</v>
      </c>
      <c r="J376" s="23" t="s">
        <v>266</v>
      </c>
      <c r="K376" s="24">
        <v>44910.000002928238</v>
      </c>
      <c r="L376" s="23">
        <v>1</v>
      </c>
      <c r="M376" s="23" t="s">
        <v>125</v>
      </c>
      <c r="N376" s="25">
        <v>0</v>
      </c>
      <c r="O376" s="26" t="str">
        <f t="shared" si="68"/>
        <v>COIN</v>
      </c>
      <c r="P376" s="26" t="str">
        <f t="shared" si="70"/>
        <v>SHORT</v>
      </c>
      <c r="Q376" s="26" t="str">
        <f t="shared" si="74"/>
        <v>COIN SHORT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69"/>
        <v>BINE</v>
      </c>
      <c r="W376" t="str">
        <f t="shared" si="72"/>
        <v>ALGO COIN SHORT</v>
      </c>
      <c r="X376" s="94" t="s">
        <v>267</v>
      </c>
    </row>
    <row r="377" spans="1:24" x14ac:dyDescent="0.25">
      <c r="A377">
        <v>427</v>
      </c>
      <c r="B377" s="77">
        <v>44910.000002928238</v>
      </c>
      <c r="C377" s="14" t="s">
        <v>11</v>
      </c>
      <c r="D377" s="23" t="s">
        <v>197</v>
      </c>
      <c r="E377" s="23" t="s">
        <v>190</v>
      </c>
      <c r="F377" s="23">
        <v>-3000</v>
      </c>
      <c r="G377" s="23">
        <v>-41182.678736759</v>
      </c>
      <c r="H377" s="23">
        <v>13.7275595789196</v>
      </c>
      <c r="I377" s="23">
        <v>0</v>
      </c>
      <c r="J377" s="23" t="s">
        <v>266</v>
      </c>
      <c r="K377" s="24">
        <v>44910.000002928238</v>
      </c>
      <c r="L377" s="23">
        <v>1</v>
      </c>
      <c r="M377" s="23" t="s">
        <v>190</v>
      </c>
      <c r="N377" s="25">
        <v>0</v>
      </c>
      <c r="O377" s="26" t="str">
        <f t="shared" si="68"/>
        <v>COIN</v>
      </c>
      <c r="P377" s="26" t="str">
        <f t="shared" si="70"/>
        <v>SHORT</v>
      </c>
      <c r="Q377" s="26" t="str">
        <f t="shared" si="74"/>
        <v>COIN SHORT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69"/>
        <v>BINE</v>
      </c>
      <c r="W377" t="str">
        <f t="shared" si="72"/>
        <v>AVAX COIN SHORT</v>
      </c>
      <c r="X377" s="94" t="s">
        <v>267</v>
      </c>
    </row>
    <row r="378" spans="1:24" x14ac:dyDescent="0.25">
      <c r="A378">
        <v>428</v>
      </c>
      <c r="B378" s="77">
        <v>44910.000002928238</v>
      </c>
      <c r="C378" s="14" t="s">
        <v>11</v>
      </c>
      <c r="D378" s="23" t="s">
        <v>197</v>
      </c>
      <c r="E378" s="23" t="s">
        <v>127</v>
      </c>
      <c r="F378" s="23">
        <v>-100000</v>
      </c>
      <c r="G378" s="23">
        <v>-22396.135615953099</v>
      </c>
      <c r="H378" s="23">
        <v>0.223961356159531</v>
      </c>
      <c r="I378" s="23">
        <v>0</v>
      </c>
      <c r="J378" s="23" t="s">
        <v>266</v>
      </c>
      <c r="K378" s="24">
        <v>44910.000002928238</v>
      </c>
      <c r="L378" s="23">
        <v>1</v>
      </c>
      <c r="M378" s="23" t="s">
        <v>127</v>
      </c>
      <c r="N378" s="25">
        <v>0</v>
      </c>
      <c r="O378" s="26" t="str">
        <f t="shared" si="68"/>
        <v>COIN</v>
      </c>
      <c r="P378" s="26" t="str">
        <f t="shared" si="70"/>
        <v>SHORT</v>
      </c>
      <c r="Q378" s="26" t="str">
        <f t="shared" si="74"/>
        <v>COIN SHORT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69"/>
        <v>BINE</v>
      </c>
      <c r="W378" t="str">
        <f t="shared" si="72"/>
        <v>BAT COIN SHORT</v>
      </c>
      <c r="X378" s="94" t="s">
        <v>267</v>
      </c>
    </row>
    <row r="379" spans="1:24" x14ac:dyDescent="0.25">
      <c r="A379">
        <v>429</v>
      </c>
      <c r="B379" s="77">
        <v>44910.000002928238</v>
      </c>
      <c r="C379" s="14" t="s">
        <v>11</v>
      </c>
      <c r="D379" s="23" t="s">
        <v>197</v>
      </c>
      <c r="E379" s="23" t="s">
        <v>21</v>
      </c>
      <c r="F379" s="23">
        <v>-90</v>
      </c>
      <c r="G379" s="23">
        <v>-9819.7646357765607</v>
      </c>
      <c r="H379" s="23">
        <v>109.10849595307199</v>
      </c>
      <c r="I379" s="23">
        <v>0</v>
      </c>
      <c r="J379" s="23" t="s">
        <v>266</v>
      </c>
      <c r="K379" s="24">
        <v>44910.000002928238</v>
      </c>
      <c r="L379" s="23">
        <v>1</v>
      </c>
      <c r="M379" s="23" t="s">
        <v>21</v>
      </c>
      <c r="N379" s="25">
        <v>0</v>
      </c>
      <c r="O379" s="26" t="str">
        <f t="shared" si="68"/>
        <v>COIN</v>
      </c>
      <c r="P379" s="26" t="str">
        <f t="shared" si="70"/>
        <v>SHORT</v>
      </c>
      <c r="Q379" s="26" t="str">
        <f t="shared" si="74"/>
        <v>COIN SHORT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69"/>
        <v>BINE</v>
      </c>
      <c r="W379" t="str">
        <f t="shared" si="72"/>
        <v>BCH COIN SHORT</v>
      </c>
      <c r="X379" s="94" t="s">
        <v>267</v>
      </c>
    </row>
    <row r="380" spans="1:24" x14ac:dyDescent="0.25">
      <c r="A380">
        <v>430</v>
      </c>
      <c r="B380" s="77">
        <v>44910.000002928238</v>
      </c>
      <c r="C380" s="14" t="s">
        <v>11</v>
      </c>
      <c r="D380" s="23" t="s">
        <v>197</v>
      </c>
      <c r="E380" s="23" t="s">
        <v>91</v>
      </c>
      <c r="F380" s="23">
        <v>-3677799.0840893998</v>
      </c>
      <c r="G380" s="23">
        <v>-3678725.90524658</v>
      </c>
      <c r="H380" s="23">
        <v>1.0002520042927801</v>
      </c>
      <c r="I380" s="23">
        <v>0</v>
      </c>
      <c r="J380" s="23" t="s">
        <v>266</v>
      </c>
      <c r="K380" s="24">
        <v>44910.000002928238</v>
      </c>
      <c r="L380" s="23">
        <v>1</v>
      </c>
      <c r="M380" s="23" t="s">
        <v>91</v>
      </c>
      <c r="N380" s="25">
        <v>0</v>
      </c>
      <c r="O380" s="26" t="str">
        <f t="shared" si="68"/>
        <v>COIN</v>
      </c>
      <c r="P380" s="26" t="str">
        <f t="shared" si="70"/>
        <v>SHORT</v>
      </c>
      <c r="Q380" s="26" t="str">
        <f t="shared" si="74"/>
        <v>COIN SHORT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69"/>
        <v>BINE</v>
      </c>
      <c r="W380" t="str">
        <f t="shared" si="72"/>
        <v>BUSD COIN SHORT</v>
      </c>
      <c r="X380" s="94" t="s">
        <v>267</v>
      </c>
    </row>
    <row r="381" spans="1:24" x14ac:dyDescent="0.25">
      <c r="A381">
        <v>431</v>
      </c>
      <c r="B381" s="77">
        <v>44910.000002928238</v>
      </c>
      <c r="C381" s="14" t="s">
        <v>11</v>
      </c>
      <c r="D381" s="23" t="s">
        <v>197</v>
      </c>
      <c r="E381" s="23" t="s">
        <v>32</v>
      </c>
      <c r="F381" s="23">
        <v>-4800</v>
      </c>
      <c r="G381" s="23">
        <v>-188895.54782079899</v>
      </c>
      <c r="H381" s="23">
        <v>39.353239129333097</v>
      </c>
      <c r="I381" s="23">
        <v>0</v>
      </c>
      <c r="J381" s="23" t="s">
        <v>266</v>
      </c>
      <c r="K381" s="24">
        <v>44910.000002928238</v>
      </c>
      <c r="L381" s="23">
        <v>1</v>
      </c>
      <c r="M381" s="23" t="s">
        <v>32</v>
      </c>
      <c r="N381" s="25">
        <v>0</v>
      </c>
      <c r="O381" s="26" t="str">
        <f t="shared" si="68"/>
        <v>COIN</v>
      </c>
      <c r="P381" s="26" t="str">
        <f t="shared" si="70"/>
        <v>SHORT</v>
      </c>
      <c r="Q381" s="26" t="str">
        <f t="shared" si="74"/>
        <v>COIN SHORT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69"/>
        <v>BINE</v>
      </c>
      <c r="W381" t="str">
        <f t="shared" si="72"/>
        <v>COMP COIN SHORT</v>
      </c>
      <c r="X381" s="94" t="s">
        <v>267</v>
      </c>
    </row>
    <row r="382" spans="1:24" x14ac:dyDescent="0.25">
      <c r="A382">
        <v>432</v>
      </c>
      <c r="B382" s="77">
        <v>44910.000002928238</v>
      </c>
      <c r="C382" s="14" t="s">
        <v>11</v>
      </c>
      <c r="D382" s="23" t="s">
        <v>197</v>
      </c>
      <c r="E382" s="23" t="s">
        <v>135</v>
      </c>
      <c r="F382" s="23">
        <v>-500</v>
      </c>
      <c r="G382" s="23">
        <v>-24421.793583386701</v>
      </c>
      <c r="H382" s="23">
        <v>48.843587166773403</v>
      </c>
      <c r="I382" s="23">
        <v>0</v>
      </c>
      <c r="J382" s="23" t="s">
        <v>266</v>
      </c>
      <c r="K382" s="24">
        <v>44910.000002928238</v>
      </c>
      <c r="L382" s="23">
        <v>1</v>
      </c>
      <c r="M382" s="23" t="s">
        <v>135</v>
      </c>
      <c r="N382" s="25">
        <v>0</v>
      </c>
      <c r="O382" s="26" t="str">
        <f t="shared" si="68"/>
        <v>COIN</v>
      </c>
      <c r="P382" s="26" t="str">
        <f t="shared" si="70"/>
        <v>SHORT</v>
      </c>
      <c r="Q382" s="26" t="str">
        <f t="shared" si="74"/>
        <v>COIN SHORT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69"/>
        <v>BINE</v>
      </c>
      <c r="W382" t="str">
        <f t="shared" si="72"/>
        <v>DASH COIN SHORT</v>
      </c>
      <c r="X382" s="94" t="s">
        <v>267</v>
      </c>
    </row>
    <row r="383" spans="1:24" x14ac:dyDescent="0.25">
      <c r="A383">
        <v>433</v>
      </c>
      <c r="B383" s="77">
        <v>44910.000002928238</v>
      </c>
      <c r="C383" s="14" t="s">
        <v>11</v>
      </c>
      <c r="D383" s="23" t="s">
        <v>197</v>
      </c>
      <c r="E383" s="23" t="s">
        <v>193</v>
      </c>
      <c r="F383" s="23">
        <v>-500000</v>
      </c>
      <c r="G383" s="23">
        <v>-44257.196356007596</v>
      </c>
      <c r="H383" s="23">
        <v>8.8514392712015305E-2</v>
      </c>
      <c r="I383" s="23">
        <v>0</v>
      </c>
      <c r="J383" s="23" t="s">
        <v>266</v>
      </c>
      <c r="K383" s="24">
        <v>44910.000002928238</v>
      </c>
      <c r="L383" s="23">
        <v>1</v>
      </c>
      <c r="M383" s="23" t="s">
        <v>193</v>
      </c>
      <c r="N383" s="25">
        <v>0</v>
      </c>
      <c r="O383" s="26" t="str">
        <f t="shared" si="68"/>
        <v>COIN</v>
      </c>
      <c r="P383" s="26" t="str">
        <f t="shared" si="70"/>
        <v>SHORT</v>
      </c>
      <c r="Q383" s="26" t="str">
        <f t="shared" si="74"/>
        <v>COIN SHORT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69"/>
        <v>BINE</v>
      </c>
      <c r="W383" t="str">
        <f t="shared" si="72"/>
        <v>DOGE COIN SHORT</v>
      </c>
      <c r="X383" s="94" t="s">
        <v>267</v>
      </c>
    </row>
    <row r="384" spans="1:24" x14ac:dyDescent="0.25">
      <c r="A384">
        <v>434</v>
      </c>
      <c r="B384" s="77">
        <v>44910.000002928238</v>
      </c>
      <c r="C384" s="14" t="s">
        <v>11</v>
      </c>
      <c r="D384" s="23" t="s">
        <v>197</v>
      </c>
      <c r="E384" s="23" t="s">
        <v>23</v>
      </c>
      <c r="F384" s="23">
        <v>-5000</v>
      </c>
      <c r="G384" s="23">
        <v>-26076.048754827101</v>
      </c>
      <c r="H384" s="23">
        <v>5.21520975096543</v>
      </c>
      <c r="I384" s="23">
        <v>0</v>
      </c>
      <c r="J384" s="23" t="s">
        <v>266</v>
      </c>
      <c r="K384" s="24">
        <v>44910.000002928238</v>
      </c>
      <c r="L384" s="23">
        <v>1</v>
      </c>
      <c r="M384" s="23" t="s">
        <v>23</v>
      </c>
      <c r="N384" s="25">
        <v>0</v>
      </c>
      <c r="O384" s="26" t="str">
        <f t="shared" si="68"/>
        <v>COIN</v>
      </c>
      <c r="P384" s="26" t="str">
        <f t="shared" si="70"/>
        <v>SHORT</v>
      </c>
      <c r="Q384" s="26" t="str">
        <f t="shared" si="74"/>
        <v>COIN SHORT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69"/>
        <v>BINE</v>
      </c>
      <c r="W384" t="str">
        <f t="shared" si="72"/>
        <v>DOT COIN SHORT</v>
      </c>
      <c r="X384" s="94" t="s">
        <v>267</v>
      </c>
    </row>
    <row r="385" spans="1:24" x14ac:dyDescent="0.25">
      <c r="A385">
        <v>435</v>
      </c>
      <c r="B385" s="77">
        <v>44910.000002928238</v>
      </c>
      <c r="C385" s="14" t="s">
        <v>11</v>
      </c>
      <c r="D385" s="23" t="s">
        <v>197</v>
      </c>
      <c r="E385" s="23" t="s">
        <v>29</v>
      </c>
      <c r="F385" s="23">
        <v>-30000</v>
      </c>
      <c r="G385" s="23">
        <v>-9007.9206163302297</v>
      </c>
      <c r="H385" s="23">
        <v>0.30026402054434098</v>
      </c>
      <c r="I385" s="23">
        <v>0</v>
      </c>
      <c r="J385" s="23" t="s">
        <v>266</v>
      </c>
      <c r="K385" s="24">
        <v>44910.000002928238</v>
      </c>
      <c r="L385" s="23">
        <v>1</v>
      </c>
      <c r="M385" s="23" t="s">
        <v>29</v>
      </c>
      <c r="N385" s="25">
        <v>0</v>
      </c>
      <c r="O385" s="26" t="str">
        <f t="shared" si="68"/>
        <v>COIN</v>
      </c>
      <c r="P385" s="26" t="str">
        <f t="shared" si="70"/>
        <v>SHORT</v>
      </c>
      <c r="Q385" s="26" t="str">
        <f t="shared" si="74"/>
        <v>COIN SHORT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69"/>
        <v>BINE</v>
      </c>
      <c r="W385" t="str">
        <f t="shared" si="72"/>
        <v>ENJ COIN SHORT</v>
      </c>
      <c r="X385" s="94" t="s">
        <v>267</v>
      </c>
    </row>
    <row r="386" spans="1:24" x14ac:dyDescent="0.25">
      <c r="A386">
        <v>436</v>
      </c>
      <c r="B386" s="77">
        <v>44910.000002928238</v>
      </c>
      <c r="C386" s="14" t="s">
        <v>11</v>
      </c>
      <c r="D386" s="23" t="s">
        <v>197</v>
      </c>
      <c r="E386" s="23" t="s">
        <v>194</v>
      </c>
      <c r="F386" s="23">
        <v>-150000</v>
      </c>
      <c r="G386" s="23">
        <v>-36092.905766112402</v>
      </c>
      <c r="H386" s="23">
        <v>0.24061937177408299</v>
      </c>
      <c r="I386" s="23">
        <v>0</v>
      </c>
      <c r="J386" s="23" t="s">
        <v>266</v>
      </c>
      <c r="K386" s="24">
        <v>44910.000002928238</v>
      </c>
      <c r="L386" s="23">
        <v>1</v>
      </c>
      <c r="M386" s="23" t="s">
        <v>194</v>
      </c>
      <c r="N386" s="25">
        <v>0</v>
      </c>
      <c r="O386" s="26" t="str">
        <f t="shared" ref="O386:O396" si="75">IF($C386="","",IF(OR($E386="USD",$E386="EUR"),"CASH","COIN"))</f>
        <v>COIN</v>
      </c>
      <c r="P386" s="26" t="str">
        <f t="shared" si="70"/>
        <v>SHORT</v>
      </c>
      <c r="Q386" s="26" t="str">
        <f t="shared" si="74"/>
        <v>COIN SHORT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6">IF($C386="","",IF(ISERROR(SEARCH("-",$D386)),$D386,LEFT($D386,SEARCH("-",$D386)-1)))</f>
        <v>BINE</v>
      </c>
      <c r="W386" t="str">
        <f t="shared" si="72"/>
        <v>FTM COIN SHORT</v>
      </c>
      <c r="X386" s="94" t="s">
        <v>267</v>
      </c>
    </row>
    <row r="387" spans="1:24" x14ac:dyDescent="0.25">
      <c r="A387">
        <v>437</v>
      </c>
      <c r="B387" s="77">
        <v>44910.000002928238</v>
      </c>
      <c r="C387" s="14" t="s">
        <v>11</v>
      </c>
      <c r="D387" s="23" t="s">
        <v>197</v>
      </c>
      <c r="E387" s="23" t="s">
        <v>635</v>
      </c>
      <c r="F387" s="23">
        <v>-240000</v>
      </c>
      <c r="G387" s="23">
        <v>-15770.861496121001</v>
      </c>
      <c r="H387" s="23">
        <v>6.5711922900504302E-2</v>
      </c>
      <c r="I387" s="23">
        <v>0</v>
      </c>
      <c r="J387" s="23" t="s">
        <v>266</v>
      </c>
      <c r="K387" s="24">
        <v>44910.000002928238</v>
      </c>
      <c r="L387" s="23">
        <v>1</v>
      </c>
      <c r="M387" s="23" t="s">
        <v>635</v>
      </c>
      <c r="N387" s="25">
        <v>0</v>
      </c>
      <c r="O387" s="26" t="str">
        <f t="shared" si="75"/>
        <v>COIN</v>
      </c>
      <c r="P387" s="26" t="str">
        <f t="shared" ref="P387:P450" si="77">IF($C387="","",IF($J387="CME FUTURE","HEDGE",IF($G387&gt;0,"LONG","SHORT")))</f>
        <v>SHORT</v>
      </c>
      <c r="Q387" s="26" t="str">
        <f t="shared" si="74"/>
        <v>COIN SHORT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6"/>
        <v>BINE</v>
      </c>
      <c r="W387" t="str">
        <f t="shared" si="72"/>
        <v>GRT COIN SHORT</v>
      </c>
      <c r="X387" s="94" t="s">
        <v>267</v>
      </c>
    </row>
    <row r="388" spans="1:24" x14ac:dyDescent="0.25">
      <c r="A388">
        <v>438</v>
      </c>
      <c r="B388" s="77">
        <v>44910.000002928238</v>
      </c>
      <c r="C388" s="14" t="s">
        <v>11</v>
      </c>
      <c r="D388" s="23" t="s">
        <v>197</v>
      </c>
      <c r="E388" s="23" t="s">
        <v>138</v>
      </c>
      <c r="F388" s="23">
        <v>-628800</v>
      </c>
      <c r="G388" s="23">
        <v>-29351.6734593006</v>
      </c>
      <c r="H388" s="23">
        <v>4.6678870005249097E-2</v>
      </c>
      <c r="I388" s="23">
        <v>0</v>
      </c>
      <c r="J388" s="23" t="s">
        <v>266</v>
      </c>
      <c r="K388" s="24">
        <v>44910.000002928238</v>
      </c>
      <c r="L388" s="23">
        <v>1</v>
      </c>
      <c r="M388" s="23" t="s">
        <v>138</v>
      </c>
      <c r="N388" s="25">
        <v>0</v>
      </c>
      <c r="O388" s="26" t="str">
        <f t="shared" si="75"/>
        <v>COIN</v>
      </c>
      <c r="P388" s="26" t="str">
        <f t="shared" si="77"/>
        <v>SHORT</v>
      </c>
      <c r="Q388" s="26" t="str">
        <f t="shared" si="74"/>
        <v>COIN SHORT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6"/>
        <v>BINE</v>
      </c>
      <c r="W388" t="str">
        <f t="shared" si="72"/>
        <v>HBAR COIN SHORT</v>
      </c>
      <c r="X388" s="94" t="s">
        <v>267</v>
      </c>
    </row>
    <row r="389" spans="1:24" x14ac:dyDescent="0.25">
      <c r="A389">
        <v>439</v>
      </c>
      <c r="B389" s="77">
        <v>44910.000002928238</v>
      </c>
      <c r="C389" s="14" t="s">
        <v>11</v>
      </c>
      <c r="D389" s="23" t="s">
        <v>197</v>
      </c>
      <c r="E389" s="23" t="s">
        <v>28</v>
      </c>
      <c r="F389" s="23">
        <v>-12506.5</v>
      </c>
      <c r="G389" s="23">
        <v>-84154.088102276102</v>
      </c>
      <c r="H389" s="23">
        <v>6.72882805759214</v>
      </c>
      <c r="I389" s="23">
        <v>0</v>
      </c>
      <c r="J389" s="23" t="s">
        <v>266</v>
      </c>
      <c r="K389" s="24">
        <v>44910.000002928238</v>
      </c>
      <c r="L389" s="23">
        <v>1</v>
      </c>
      <c r="M389" s="23" t="s">
        <v>28</v>
      </c>
      <c r="N389" s="25">
        <v>0</v>
      </c>
      <c r="O389" s="26" t="str">
        <f t="shared" si="75"/>
        <v>COIN</v>
      </c>
      <c r="P389" s="26" t="str">
        <f t="shared" si="77"/>
        <v>SHORT</v>
      </c>
      <c r="Q389" s="26" t="str">
        <f t="shared" si="74"/>
        <v>COIN SHORT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6"/>
        <v>BINE</v>
      </c>
      <c r="W389" t="str">
        <f t="shared" si="72"/>
        <v>LINK COIN SHORT</v>
      </c>
      <c r="X389" s="94" t="s">
        <v>267</v>
      </c>
    </row>
    <row r="390" spans="1:24" x14ac:dyDescent="0.25">
      <c r="A390">
        <v>440</v>
      </c>
      <c r="B390" s="77">
        <v>44910.000002928238</v>
      </c>
      <c r="C390" s="14" t="s">
        <v>11</v>
      </c>
      <c r="D390" s="23" t="s">
        <v>197</v>
      </c>
      <c r="E390" s="23" t="s">
        <v>25</v>
      </c>
      <c r="F390" s="23">
        <v>-928.62699999999995</v>
      </c>
      <c r="G390" s="23">
        <v>-70088.924830119402</v>
      </c>
      <c r="H390" s="23">
        <v>75.475863646134997</v>
      </c>
      <c r="I390" s="23">
        <v>0</v>
      </c>
      <c r="J390" s="23" t="s">
        <v>266</v>
      </c>
      <c r="K390" s="24">
        <v>44910.000002928238</v>
      </c>
      <c r="L390" s="23">
        <v>1</v>
      </c>
      <c r="M390" s="23" t="s">
        <v>25</v>
      </c>
      <c r="N390" s="25">
        <v>0</v>
      </c>
      <c r="O390" s="26" t="str">
        <f t="shared" si="75"/>
        <v>COIN</v>
      </c>
      <c r="P390" s="26" t="str">
        <f t="shared" si="77"/>
        <v>SHORT</v>
      </c>
      <c r="Q390" s="26" t="str">
        <f t="shared" si="74"/>
        <v>COIN SHORT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6"/>
        <v>BINE</v>
      </c>
      <c r="W390" t="str">
        <f t="shared" ref="W390:W453" si="78">IF($C390="","",$M390&amp;" "&amp;$Q390)</f>
        <v>LTC COIN SHORT</v>
      </c>
      <c r="X390" s="94" t="s">
        <v>267</v>
      </c>
    </row>
    <row r="391" spans="1:24" x14ac:dyDescent="0.25">
      <c r="A391">
        <v>441</v>
      </c>
      <c r="B391" s="77">
        <v>44910.000002928238</v>
      </c>
      <c r="C391" s="14" t="s">
        <v>11</v>
      </c>
      <c r="D391" s="23" t="s">
        <v>197</v>
      </c>
      <c r="E391" s="23" t="s">
        <v>195</v>
      </c>
      <c r="F391" s="23">
        <v>-45000</v>
      </c>
      <c r="G391" s="23">
        <v>-17183.717802038602</v>
      </c>
      <c r="H391" s="23">
        <v>0.38186039560085799</v>
      </c>
      <c r="I391" s="23">
        <v>0</v>
      </c>
      <c r="J391" s="23" t="s">
        <v>266</v>
      </c>
      <c r="K391" s="24">
        <v>44910.000002928238</v>
      </c>
      <c r="L391" s="23">
        <v>1</v>
      </c>
      <c r="M391" s="23" t="s">
        <v>195</v>
      </c>
      <c r="N391" s="25">
        <v>0</v>
      </c>
      <c r="O391" s="26" t="str">
        <f t="shared" si="75"/>
        <v>COIN</v>
      </c>
      <c r="P391" s="26" t="str">
        <f t="shared" si="77"/>
        <v>SHORT</v>
      </c>
      <c r="Q391" s="26" t="str">
        <f t="shared" si="74"/>
        <v>COIN SHORT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6"/>
        <v>BINE</v>
      </c>
      <c r="W391" t="str">
        <f t="shared" si="78"/>
        <v>MANA COIN SHORT</v>
      </c>
      <c r="X391" s="94" t="s">
        <v>267</v>
      </c>
    </row>
    <row r="392" spans="1:24" x14ac:dyDescent="0.25">
      <c r="A392">
        <v>442</v>
      </c>
      <c r="B392" s="77">
        <v>44910.000002928238</v>
      </c>
      <c r="C392" s="14" t="s">
        <v>11</v>
      </c>
      <c r="D392" s="23" t="s">
        <v>197</v>
      </c>
      <c r="E392" s="23" t="s">
        <v>196</v>
      </c>
      <c r="F392" s="23">
        <v>-50000</v>
      </c>
      <c r="G392" s="23">
        <v>-45167.367687621998</v>
      </c>
      <c r="H392" s="23">
        <v>0.90334735375244002</v>
      </c>
      <c r="I392" s="23">
        <v>0</v>
      </c>
      <c r="J392" s="23" t="s">
        <v>266</v>
      </c>
      <c r="K392" s="24">
        <v>44910.000002928238</v>
      </c>
      <c r="L392" s="23">
        <v>1</v>
      </c>
      <c r="M392" s="23" t="s">
        <v>196</v>
      </c>
      <c r="N392" s="25">
        <v>0</v>
      </c>
      <c r="O392" s="26" t="str">
        <f t="shared" si="75"/>
        <v>COIN</v>
      </c>
      <c r="P392" s="26" t="str">
        <f t="shared" si="77"/>
        <v>SHORT</v>
      </c>
      <c r="Q392" s="26" t="str">
        <f t="shared" si="74"/>
        <v>COIN SHORT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6"/>
        <v>BINE</v>
      </c>
      <c r="W392" t="str">
        <f t="shared" si="78"/>
        <v>MATIC COIN SHORT</v>
      </c>
      <c r="X392" s="94" t="s">
        <v>267</v>
      </c>
    </row>
    <row r="393" spans="1:24" x14ac:dyDescent="0.25">
      <c r="A393">
        <v>443</v>
      </c>
      <c r="B393" s="77">
        <v>44910.000002928238</v>
      </c>
      <c r="C393" s="14" t="s">
        <v>11</v>
      </c>
      <c r="D393" s="23" t="s">
        <v>197</v>
      </c>
      <c r="E393" s="23" t="s">
        <v>567</v>
      </c>
      <c r="F393" s="23">
        <v>-14</v>
      </c>
      <c r="G393" s="23">
        <v>-8486.2073672032893</v>
      </c>
      <c r="H393" s="23">
        <v>606.15766908594901</v>
      </c>
      <c r="I393" s="23">
        <v>0</v>
      </c>
      <c r="J393" s="23" t="s">
        <v>266</v>
      </c>
      <c r="K393" s="24">
        <v>44910.000002928238</v>
      </c>
      <c r="L393" s="23">
        <v>1</v>
      </c>
      <c r="M393" s="23" t="s">
        <v>567</v>
      </c>
      <c r="N393" s="25">
        <v>0</v>
      </c>
      <c r="O393" s="26" t="str">
        <f t="shared" si="75"/>
        <v>COIN</v>
      </c>
      <c r="P393" s="26" t="str">
        <f t="shared" si="77"/>
        <v>SHORT</v>
      </c>
      <c r="Q393" s="26" t="str">
        <f t="shared" si="74"/>
        <v>COIN SHORT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6"/>
        <v>BINE</v>
      </c>
      <c r="W393" t="str">
        <f t="shared" si="78"/>
        <v>MKR COIN SHORT</v>
      </c>
      <c r="X393" s="94" t="s">
        <v>267</v>
      </c>
    </row>
    <row r="394" spans="1:24" x14ac:dyDescent="0.25">
      <c r="A394">
        <v>444</v>
      </c>
      <c r="B394" s="77">
        <v>44908.142159340277</v>
      </c>
      <c r="C394" s="14" t="s">
        <v>11</v>
      </c>
      <c r="D394" s="23" t="s">
        <v>197</v>
      </c>
      <c r="E394" s="23" t="s">
        <v>153</v>
      </c>
      <c r="F394" s="23">
        <v>-290.39999999999998</v>
      </c>
      <c r="G394" s="23">
        <v>-342.039662051108</v>
      </c>
      <c r="H394" s="23">
        <v>1.1778225277242</v>
      </c>
      <c r="I394" s="23">
        <v>0</v>
      </c>
      <c r="J394" s="23" t="s">
        <v>266</v>
      </c>
      <c r="K394" s="24">
        <v>44908.142159340277</v>
      </c>
      <c r="L394" s="23">
        <v>1</v>
      </c>
      <c r="M394" s="23" t="s">
        <v>153</v>
      </c>
      <c r="N394" s="25">
        <v>0</v>
      </c>
      <c r="O394" s="26" t="str">
        <f t="shared" si="75"/>
        <v>COIN</v>
      </c>
      <c r="P394" s="26" t="str">
        <f t="shared" si="77"/>
        <v>SHORT</v>
      </c>
      <c r="Q394" s="26" t="str">
        <f t="shared" si="74"/>
        <v>COIN SHORT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6"/>
        <v>BINE</v>
      </c>
      <c r="W394" t="str">
        <f t="shared" si="78"/>
        <v>OMG COIN SHORT</v>
      </c>
      <c r="X394" s="94" t="s">
        <v>267</v>
      </c>
    </row>
    <row r="395" spans="1:24" x14ac:dyDescent="0.25">
      <c r="A395">
        <v>445</v>
      </c>
      <c r="B395" s="77">
        <v>44910.000002928238</v>
      </c>
      <c r="C395" s="14" t="s">
        <v>11</v>
      </c>
      <c r="D395" s="23" t="s">
        <v>197</v>
      </c>
      <c r="E395" s="23" t="s">
        <v>38</v>
      </c>
      <c r="F395" s="23">
        <v>-6000000000</v>
      </c>
      <c r="G395" s="23">
        <v>-53836.537023349498</v>
      </c>
      <c r="H395" s="23">
        <v>8.9727561705582505E-6</v>
      </c>
      <c r="I395" s="23">
        <v>0</v>
      </c>
      <c r="J395" s="23" t="s">
        <v>266</v>
      </c>
      <c r="K395" s="24">
        <v>44910.000002928238</v>
      </c>
      <c r="L395" s="23">
        <v>1</v>
      </c>
      <c r="M395" s="23" t="s">
        <v>38</v>
      </c>
      <c r="N395" s="25">
        <v>0</v>
      </c>
      <c r="O395" s="26" t="str">
        <f t="shared" si="75"/>
        <v>COIN</v>
      </c>
      <c r="P395" s="26" t="str">
        <f t="shared" si="77"/>
        <v>SHORT</v>
      </c>
      <c r="Q395" s="26" t="str">
        <f t="shared" si="74"/>
        <v>COIN SHORT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6"/>
        <v>BINE</v>
      </c>
      <c r="W395" t="str">
        <f t="shared" si="78"/>
        <v>SHIB COIN SHORT</v>
      </c>
      <c r="X395" s="94" t="s">
        <v>267</v>
      </c>
    </row>
    <row r="396" spans="1:24" x14ac:dyDescent="0.25">
      <c r="A396">
        <v>446</v>
      </c>
      <c r="B396" s="77">
        <v>44910.000002928238</v>
      </c>
      <c r="C396" s="14" t="s">
        <v>11</v>
      </c>
      <c r="D396" s="23" t="s">
        <v>197</v>
      </c>
      <c r="E396" s="23" t="s">
        <v>157</v>
      </c>
      <c r="F396" s="23">
        <v>-5000</v>
      </c>
      <c r="G396" s="23">
        <v>-70702.630993724306</v>
      </c>
      <c r="H396" s="23">
        <v>14.1405261987448</v>
      </c>
      <c r="I396" s="23">
        <v>0</v>
      </c>
      <c r="J396" s="23" t="s">
        <v>266</v>
      </c>
      <c r="K396" s="24">
        <v>44910.000002928238</v>
      </c>
      <c r="L396" s="23">
        <v>1</v>
      </c>
      <c r="M396" s="23" t="s">
        <v>157</v>
      </c>
      <c r="N396" s="25">
        <v>0</v>
      </c>
      <c r="O396" s="26" t="str">
        <f t="shared" si="75"/>
        <v>COIN</v>
      </c>
      <c r="P396" s="26" t="str">
        <f t="shared" si="77"/>
        <v>SHORT</v>
      </c>
      <c r="Q396" s="26" t="str">
        <f t="shared" si="74"/>
        <v>COIN SHORT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6"/>
        <v>BINE</v>
      </c>
      <c r="W396" t="str">
        <f t="shared" si="78"/>
        <v>SOL COIN SHORT</v>
      </c>
      <c r="X396" s="94" t="s">
        <v>267</v>
      </c>
    </row>
    <row r="397" spans="1:24" x14ac:dyDescent="0.25">
      <c r="A397">
        <v>447</v>
      </c>
      <c r="B397" s="77">
        <v>44910.000002928238</v>
      </c>
      <c r="C397" s="14" t="s">
        <v>11</v>
      </c>
      <c r="D397" s="23" t="s">
        <v>197</v>
      </c>
      <c r="E397" s="23" t="s">
        <v>615</v>
      </c>
      <c r="F397" s="23">
        <v>-30000</v>
      </c>
      <c r="G397" s="23">
        <v>-33589.6407889357</v>
      </c>
      <c r="H397" s="23">
        <v>1.1196546929645199</v>
      </c>
      <c r="I397" s="23">
        <v>0</v>
      </c>
      <c r="J397" s="23" t="s">
        <v>266</v>
      </c>
      <c r="K397" s="24">
        <v>44910.000002928238</v>
      </c>
      <c r="L397" s="23">
        <v>1</v>
      </c>
      <c r="M397" s="23" t="s">
        <v>615</v>
      </c>
      <c r="N397" s="25">
        <v>0</v>
      </c>
      <c r="O397" s="26" t="str">
        <f>IF($C397="","",IF(OR($E397="USD",$E397="EUR"),"CASH","COIN"))</f>
        <v>COIN</v>
      </c>
      <c r="P397" s="26" t="str">
        <f t="shared" si="77"/>
        <v>SHORT</v>
      </c>
      <c r="Q397" s="26" t="str">
        <f t="shared" si="74"/>
        <v>COIN SHORT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6"/>
        <v>BINE</v>
      </c>
      <c r="W397" t="str">
        <f t="shared" si="78"/>
        <v>SUSHI COIN SHORT</v>
      </c>
      <c r="X397" s="94" t="s">
        <v>267</v>
      </c>
    </row>
    <row r="398" spans="1:24" x14ac:dyDescent="0.25">
      <c r="A398">
        <v>448</v>
      </c>
      <c r="B398" s="77">
        <v>44910.000002928238</v>
      </c>
      <c r="C398" s="14" t="s">
        <v>11</v>
      </c>
      <c r="D398" s="23" t="s">
        <v>197</v>
      </c>
      <c r="E398" s="23" t="s">
        <v>162</v>
      </c>
      <c r="F398" s="23">
        <v>-6000</v>
      </c>
      <c r="G398" s="23">
        <v>-35517.824634671597</v>
      </c>
      <c r="H398" s="23">
        <v>5.9196374391119297</v>
      </c>
      <c r="I398" s="23">
        <v>0</v>
      </c>
      <c r="J398" s="23" t="s">
        <v>266</v>
      </c>
      <c r="K398" s="24">
        <v>44910.000002928238</v>
      </c>
      <c r="L398" s="23">
        <v>1</v>
      </c>
      <c r="M398" s="23" t="s">
        <v>162</v>
      </c>
      <c r="N398" s="25">
        <v>0</v>
      </c>
      <c r="O398" s="26" t="str">
        <f>IF($C398="","",IF(OR($E398="USD",$E398="EUR"),"CASH","COIN"))</f>
        <v>COIN</v>
      </c>
      <c r="P398" s="26" t="str">
        <f t="shared" si="77"/>
        <v>SHORT</v>
      </c>
      <c r="Q398" s="26" t="str">
        <f t="shared" si="74"/>
        <v>COIN SHORT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6"/>
        <v>BINE</v>
      </c>
      <c r="W398" t="str">
        <f t="shared" si="78"/>
        <v>UNI COIN SHORT</v>
      </c>
      <c r="X398" s="94" t="s">
        <v>267</v>
      </c>
    </row>
    <row r="399" spans="1:24" x14ac:dyDescent="0.25">
      <c r="A399">
        <v>449</v>
      </c>
      <c r="B399" s="77">
        <v>44910.000002928238</v>
      </c>
      <c r="C399" s="14" t="s">
        <v>11</v>
      </c>
      <c r="D399" s="23" t="s">
        <v>197</v>
      </c>
      <c r="E399" s="23" t="s">
        <v>39</v>
      </c>
      <c r="F399" s="23">
        <v>-4696108.9971914096</v>
      </c>
      <c r="G399" s="23">
        <v>-4696604.0155648598</v>
      </c>
      <c r="H399" s="23">
        <v>1.0001054103245299</v>
      </c>
      <c r="I399" s="23">
        <v>0</v>
      </c>
      <c r="J399" s="23" t="s">
        <v>266</v>
      </c>
      <c r="K399" s="24">
        <v>44910.000002928238</v>
      </c>
      <c r="L399" s="23">
        <v>1</v>
      </c>
      <c r="M399" s="23" t="s">
        <v>39</v>
      </c>
      <c r="N399" s="25">
        <v>0</v>
      </c>
      <c r="O399" s="26" t="str">
        <f t="shared" ref="O399:O462" si="79">IF($C399="","",IF(OR($E399="USD",$E399="EUR"),"CASH","COIN"))</f>
        <v>COIN</v>
      </c>
      <c r="P399" s="26" t="str">
        <f t="shared" si="77"/>
        <v>SHORT</v>
      </c>
      <c r="Q399" s="26" t="str">
        <f t="shared" si="74"/>
        <v>COIN SHORT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6"/>
        <v>BINE</v>
      </c>
      <c r="W399" t="str">
        <f t="shared" si="78"/>
        <v>USDT COIN SHORT</v>
      </c>
      <c r="X399" s="94" t="s">
        <v>267</v>
      </c>
    </row>
    <row r="400" spans="1:24" x14ac:dyDescent="0.25">
      <c r="A400">
        <v>450</v>
      </c>
      <c r="B400" s="77">
        <v>44910.000002928238</v>
      </c>
      <c r="C400" s="14" t="s">
        <v>11</v>
      </c>
      <c r="D400" s="23" t="s">
        <v>197</v>
      </c>
      <c r="E400" s="23" t="s">
        <v>199</v>
      </c>
      <c r="F400" s="23">
        <v>-100</v>
      </c>
      <c r="G400" s="23">
        <v>-1.87445781415879</v>
      </c>
      <c r="H400" s="23">
        <v>1.8744578141587899E-2</v>
      </c>
      <c r="I400" s="23">
        <v>0</v>
      </c>
      <c r="J400" s="23" t="s">
        <v>266</v>
      </c>
      <c r="K400" s="24">
        <v>44910.000002928238</v>
      </c>
      <c r="L400" s="23">
        <v>1</v>
      </c>
      <c r="M400" s="23" t="s">
        <v>199</v>
      </c>
      <c r="N400" s="25">
        <v>0</v>
      </c>
      <c r="O400" s="26" t="str">
        <f t="shared" si="79"/>
        <v>COIN</v>
      </c>
      <c r="P400" s="26" t="str">
        <f t="shared" si="77"/>
        <v>SHORT</v>
      </c>
      <c r="Q400" s="26" t="str">
        <f t="shared" si="74"/>
        <v>COIN SHORT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6"/>
        <v>BINE</v>
      </c>
      <c r="W400" t="str">
        <f t="shared" si="78"/>
        <v>VET COIN SHORT</v>
      </c>
      <c r="X400" s="94" t="s">
        <v>267</v>
      </c>
    </row>
    <row r="401" spans="1:24" x14ac:dyDescent="0.25">
      <c r="A401">
        <v>451</v>
      </c>
      <c r="B401" s="77">
        <v>44910.000002928238</v>
      </c>
      <c r="C401" s="14" t="s">
        <v>11</v>
      </c>
      <c r="D401" s="23" t="s">
        <v>197</v>
      </c>
      <c r="E401" s="23" t="s">
        <v>166</v>
      </c>
      <c r="F401" s="23">
        <v>-500000</v>
      </c>
      <c r="G401" s="23">
        <v>-41506.894620593099</v>
      </c>
      <c r="H401" s="23">
        <v>8.3013789241186201E-2</v>
      </c>
      <c r="I401" s="23">
        <v>0</v>
      </c>
      <c r="J401" s="23" t="s">
        <v>266</v>
      </c>
      <c r="K401" s="24">
        <v>44910.000002928238</v>
      </c>
      <c r="L401" s="23">
        <v>1</v>
      </c>
      <c r="M401" s="23" t="s">
        <v>166</v>
      </c>
      <c r="N401" s="25">
        <v>0</v>
      </c>
      <c r="O401" s="26" t="str">
        <f t="shared" si="79"/>
        <v>COIN</v>
      </c>
      <c r="P401" s="26" t="str">
        <f t="shared" si="77"/>
        <v>SHORT</v>
      </c>
      <c r="Q401" s="26" t="str">
        <f t="shared" si="74"/>
        <v>COIN SHORT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6"/>
        <v>BINE</v>
      </c>
      <c r="W401" t="str">
        <f t="shared" si="78"/>
        <v>XLM COIN SHORT</v>
      </c>
      <c r="X401" s="94" t="s">
        <v>267</v>
      </c>
    </row>
    <row r="402" spans="1:24" x14ac:dyDescent="0.25">
      <c r="A402">
        <v>452</v>
      </c>
      <c r="B402" s="77">
        <v>44910.000002928238</v>
      </c>
      <c r="C402" s="14" t="s">
        <v>11</v>
      </c>
      <c r="D402" s="23" t="s">
        <v>197</v>
      </c>
      <c r="E402" s="23" t="s">
        <v>167</v>
      </c>
      <c r="F402" s="23">
        <v>-40000</v>
      </c>
      <c r="G402" s="23">
        <v>-38058.053736712201</v>
      </c>
      <c r="H402" s="23">
        <v>0.95145134341780602</v>
      </c>
      <c r="I402" s="23">
        <v>0</v>
      </c>
      <c r="J402" s="23" t="s">
        <v>266</v>
      </c>
      <c r="K402" s="24">
        <v>44910.000002928238</v>
      </c>
      <c r="L402" s="23">
        <v>1</v>
      </c>
      <c r="M402" s="23" t="s">
        <v>167</v>
      </c>
      <c r="N402" s="25">
        <v>0</v>
      </c>
      <c r="O402" s="26" t="str">
        <f t="shared" si="79"/>
        <v>COIN</v>
      </c>
      <c r="P402" s="26" t="str">
        <f t="shared" si="77"/>
        <v>SHORT</v>
      </c>
      <c r="Q402" s="26" t="str">
        <f t="shared" si="74"/>
        <v>COIN SHORT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6"/>
        <v>BINE</v>
      </c>
      <c r="W402" t="str">
        <f t="shared" si="78"/>
        <v>XTZ COIN SHORT</v>
      </c>
      <c r="X402" s="94" t="s">
        <v>267</v>
      </c>
    </row>
    <row r="403" spans="1:24" x14ac:dyDescent="0.25">
      <c r="A403">
        <v>453</v>
      </c>
      <c r="B403" s="77">
        <v>44910.000001469911</v>
      </c>
      <c r="C403" s="14" t="s">
        <v>40</v>
      </c>
      <c r="D403" s="23" t="s">
        <v>205</v>
      </c>
      <c r="E403" s="23" t="s">
        <v>24</v>
      </c>
      <c r="F403" s="23">
        <v>-457203</v>
      </c>
      <c r="G403" s="23">
        <v>-447154.28919914103</v>
      </c>
      <c r="H403" s="23">
        <v>0.97802133669101299</v>
      </c>
      <c r="I403" s="23">
        <v>0</v>
      </c>
      <c r="J403" s="23" t="s">
        <v>266</v>
      </c>
      <c r="K403" s="24">
        <v>44910.000001469911</v>
      </c>
      <c r="L403" s="23">
        <v>1</v>
      </c>
      <c r="M403" s="23" t="s">
        <v>24</v>
      </c>
      <c r="N403" s="25">
        <v>0</v>
      </c>
      <c r="O403" s="26" t="str">
        <f t="shared" si="79"/>
        <v>COIN</v>
      </c>
      <c r="P403" s="26" t="str">
        <f t="shared" si="77"/>
        <v>SHORT</v>
      </c>
      <c r="Q403" s="26" t="str">
        <f t="shared" si="74"/>
        <v>COIN SHORT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6"/>
        <v>HUBI</v>
      </c>
      <c r="W403" t="str">
        <f t="shared" si="78"/>
        <v>EOS COIN SHORT</v>
      </c>
      <c r="X403" s="94" t="s">
        <v>267</v>
      </c>
    </row>
    <row r="404" spans="1:24" x14ac:dyDescent="0.25">
      <c r="A404">
        <v>454</v>
      </c>
      <c r="B404" s="77">
        <v>44910.000001469911</v>
      </c>
      <c r="C404" s="14" t="s">
        <v>40</v>
      </c>
      <c r="D404" s="23" t="s">
        <v>205</v>
      </c>
      <c r="E404" s="23" t="s">
        <v>28</v>
      </c>
      <c r="F404" s="23">
        <v>-2073</v>
      </c>
      <c r="G404" s="23">
        <v>-13948.8605633885</v>
      </c>
      <c r="H404" s="23">
        <v>6.72882805759214</v>
      </c>
      <c r="I404" s="23">
        <v>0</v>
      </c>
      <c r="J404" s="23" t="s">
        <v>266</v>
      </c>
      <c r="K404" s="24">
        <v>44910.000001469911</v>
      </c>
      <c r="L404" s="23">
        <v>1</v>
      </c>
      <c r="M404" s="23" t="s">
        <v>28</v>
      </c>
      <c r="N404" s="25">
        <v>0</v>
      </c>
      <c r="O404" s="26" t="str">
        <f t="shared" si="79"/>
        <v>COIN</v>
      </c>
      <c r="P404" s="26" t="str">
        <f t="shared" si="77"/>
        <v>SHORT</v>
      </c>
      <c r="Q404" s="26" t="str">
        <f t="shared" si="74"/>
        <v>COIN SHORT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6"/>
        <v>HUBI</v>
      </c>
      <c r="W404" t="str">
        <f t="shared" si="78"/>
        <v>LINK COIN SHORT</v>
      </c>
      <c r="X404" s="94" t="s">
        <v>267</v>
      </c>
    </row>
    <row r="405" spans="1:24" x14ac:dyDescent="0.25">
      <c r="A405">
        <v>455</v>
      </c>
      <c r="B405" s="77">
        <v>44910.000001469911</v>
      </c>
      <c r="C405" s="14" t="s">
        <v>40</v>
      </c>
      <c r="D405" s="23" t="s">
        <v>205</v>
      </c>
      <c r="E405" s="23" t="s">
        <v>25</v>
      </c>
      <c r="F405" s="23">
        <v>-6100</v>
      </c>
      <c r="G405" s="23">
        <v>-460402.76824142301</v>
      </c>
      <c r="H405" s="23">
        <v>75.475863646134997</v>
      </c>
      <c r="I405" s="23">
        <v>0</v>
      </c>
      <c r="J405" s="23" t="s">
        <v>266</v>
      </c>
      <c r="K405" s="24">
        <v>44910.000001469911</v>
      </c>
      <c r="L405" s="23">
        <v>1</v>
      </c>
      <c r="M405" s="23" t="s">
        <v>25</v>
      </c>
      <c r="N405" s="25">
        <v>0</v>
      </c>
      <c r="O405" s="26" t="str">
        <f t="shared" si="79"/>
        <v>COIN</v>
      </c>
      <c r="P405" s="26" t="str">
        <f t="shared" si="77"/>
        <v>SHORT</v>
      </c>
      <c r="Q405" s="26" t="str">
        <f t="shared" si="74"/>
        <v>COIN SHORT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6"/>
        <v>HUBI</v>
      </c>
      <c r="W405" t="str">
        <f t="shared" si="78"/>
        <v>LTC COIN SHORT</v>
      </c>
      <c r="X405" s="94" t="s">
        <v>267</v>
      </c>
    </row>
    <row r="406" spans="1:24" x14ac:dyDescent="0.25">
      <c r="A406">
        <v>456</v>
      </c>
      <c r="B406" s="77">
        <v>44910.000001469911</v>
      </c>
      <c r="C406" s="14" t="s">
        <v>40</v>
      </c>
      <c r="D406" s="23" t="s">
        <v>205</v>
      </c>
      <c r="E406" s="23" t="s">
        <v>39</v>
      </c>
      <c r="F406" s="23">
        <v>-200000</v>
      </c>
      <c r="G406" s="23">
        <v>-200021.08206490701</v>
      </c>
      <c r="H406" s="23">
        <v>1.0001054103245299</v>
      </c>
      <c r="I406" s="23">
        <v>0</v>
      </c>
      <c r="J406" s="23" t="s">
        <v>266</v>
      </c>
      <c r="K406" s="24">
        <v>44910.000001469911</v>
      </c>
      <c r="L406" s="23">
        <v>1</v>
      </c>
      <c r="M406" s="23" t="s">
        <v>39</v>
      </c>
      <c r="N406" s="25">
        <v>0</v>
      </c>
      <c r="O406" s="26" t="str">
        <f t="shared" si="79"/>
        <v>COIN</v>
      </c>
      <c r="P406" s="26" t="str">
        <f t="shared" si="77"/>
        <v>SHORT</v>
      </c>
      <c r="Q406" s="26" t="str">
        <f t="shared" si="74"/>
        <v>COIN SHORT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6"/>
        <v>HUBI</v>
      </c>
      <c r="W406" t="str">
        <f t="shared" si="78"/>
        <v>USDT COIN SHORT</v>
      </c>
      <c r="X406" s="94" t="s">
        <v>267</v>
      </c>
    </row>
    <row r="407" spans="1:24" x14ac:dyDescent="0.25">
      <c r="A407">
        <v>457</v>
      </c>
      <c r="B407" s="77">
        <v>44909</v>
      </c>
      <c r="C407" s="14" t="s">
        <v>104</v>
      </c>
      <c r="D407" s="23" t="s">
        <v>206</v>
      </c>
      <c r="E407" s="23" t="s">
        <v>15</v>
      </c>
      <c r="F407" s="23">
        <v>-3350</v>
      </c>
      <c r="G407" s="23">
        <v>-59682427.0130805</v>
      </c>
      <c r="H407" s="23">
        <v>17815.649854650899</v>
      </c>
      <c r="I407" s="23">
        <v>0</v>
      </c>
      <c r="J407" s="23" t="s">
        <v>198</v>
      </c>
      <c r="K407" s="24">
        <v>44909</v>
      </c>
      <c r="L407" s="23">
        <v>1</v>
      </c>
      <c r="M407" s="23" t="s">
        <v>15</v>
      </c>
      <c r="N407" s="25">
        <v>0</v>
      </c>
      <c r="O407" s="26" t="str">
        <f t="shared" si="79"/>
        <v>COIN</v>
      </c>
      <c r="P407" s="26" t="str">
        <f t="shared" si="77"/>
        <v>SHORT</v>
      </c>
      <c r="Q407" s="26" t="str">
        <f t="shared" ref="Q407:Q417" si="80">O407&amp;" "&amp;P407</f>
        <v>COIN SHORT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6"/>
        <v>LEND</v>
      </c>
      <c r="W407" t="str">
        <f t="shared" si="78"/>
        <v>BTC COIN SHORT</v>
      </c>
      <c r="X407" s="94" t="s">
        <v>267</v>
      </c>
    </row>
    <row r="408" spans="1:24" x14ac:dyDescent="0.25">
      <c r="A408">
        <v>458</v>
      </c>
      <c r="B408" s="77">
        <v>44909</v>
      </c>
      <c r="C408" s="14" t="s">
        <v>104</v>
      </c>
      <c r="D408" s="23" t="s">
        <v>206</v>
      </c>
      <c r="E408" s="23" t="s">
        <v>24</v>
      </c>
      <c r="F408" s="23">
        <v>-4350822.18</v>
      </c>
      <c r="G408" s="23">
        <v>-4255196.9241885003</v>
      </c>
      <c r="H408" s="23">
        <v>0.97802133669101299</v>
      </c>
      <c r="I408" s="23">
        <v>0</v>
      </c>
      <c r="J408" s="23" t="s">
        <v>198</v>
      </c>
      <c r="K408" s="24">
        <v>44909</v>
      </c>
      <c r="L408" s="23">
        <v>1</v>
      </c>
      <c r="M408" s="23" t="s">
        <v>24</v>
      </c>
      <c r="N408" s="25">
        <v>0</v>
      </c>
      <c r="O408" s="26" t="str">
        <f t="shared" si="79"/>
        <v>COIN</v>
      </c>
      <c r="P408" s="26" t="str">
        <f t="shared" si="77"/>
        <v>SHORT</v>
      </c>
      <c r="Q408" s="26" t="str">
        <f t="shared" si="80"/>
        <v>COIN SHORT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6"/>
        <v>LEND</v>
      </c>
      <c r="W408" t="str">
        <f t="shared" si="78"/>
        <v>EOS COIN SHORT</v>
      </c>
      <c r="X408" s="94" t="s">
        <v>267</v>
      </c>
    </row>
    <row r="409" spans="1:24" x14ac:dyDescent="0.25">
      <c r="A409">
        <v>459</v>
      </c>
      <c r="B409" s="77">
        <v>44909</v>
      </c>
      <c r="C409" s="14" t="s">
        <v>104</v>
      </c>
      <c r="D409" s="23" t="s">
        <v>206</v>
      </c>
      <c r="E409" s="23" t="s">
        <v>16</v>
      </c>
      <c r="F409" s="23">
        <v>-6499.9949999999999</v>
      </c>
      <c r="G409" s="23">
        <v>-8510629.8534208704</v>
      </c>
      <c r="H409" s="23">
        <v>1309.32867693296</v>
      </c>
      <c r="I409" s="23">
        <v>0</v>
      </c>
      <c r="J409" s="23" t="s">
        <v>198</v>
      </c>
      <c r="K409" s="24">
        <v>44909</v>
      </c>
      <c r="L409" s="23">
        <v>1</v>
      </c>
      <c r="M409" s="23" t="s">
        <v>16</v>
      </c>
      <c r="N409" s="25">
        <v>0</v>
      </c>
      <c r="O409" s="26" t="str">
        <f t="shared" si="79"/>
        <v>COIN</v>
      </c>
      <c r="P409" s="26" t="str">
        <f t="shared" si="77"/>
        <v>SHORT</v>
      </c>
      <c r="Q409" s="26" t="str">
        <f t="shared" si="80"/>
        <v>COIN SHORT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6"/>
        <v>LEND</v>
      </c>
      <c r="W409" t="str">
        <f t="shared" si="78"/>
        <v>ETH COIN SHORT</v>
      </c>
      <c r="X409" s="94" t="s">
        <v>267</v>
      </c>
    </row>
    <row r="410" spans="1:24" x14ac:dyDescent="0.25">
      <c r="A410">
        <v>460</v>
      </c>
      <c r="B410" s="77">
        <v>44909</v>
      </c>
      <c r="C410" s="14" t="s">
        <v>173</v>
      </c>
      <c r="D410" s="23" t="s">
        <v>171</v>
      </c>
      <c r="E410" s="23" t="s">
        <v>15</v>
      </c>
      <c r="F410" s="23">
        <v>-1340.01684679</v>
      </c>
      <c r="G410" s="23">
        <v>-23873270.941744</v>
      </c>
      <c r="H410" s="23">
        <v>17815.649854650899</v>
      </c>
      <c r="I410" s="23">
        <v>0</v>
      </c>
      <c r="J410" s="23" t="s">
        <v>172</v>
      </c>
      <c r="K410" s="24">
        <v>44909</v>
      </c>
      <c r="L410" s="23">
        <v>1</v>
      </c>
      <c r="M410" s="23" t="s">
        <v>15</v>
      </c>
      <c r="N410" s="25">
        <v>0</v>
      </c>
      <c r="O410" s="26" t="str">
        <f t="shared" si="79"/>
        <v>COIN</v>
      </c>
      <c r="P410" s="26" t="str">
        <f t="shared" si="77"/>
        <v>SHORT</v>
      </c>
      <c r="Q410" s="26" t="str">
        <f t="shared" si="80"/>
        <v>COIN SHORT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6"/>
        <v>LEND</v>
      </c>
      <c r="W410" t="str">
        <f t="shared" si="78"/>
        <v>BTC COIN SHORT</v>
      </c>
      <c r="X410" s="94" t="s">
        <v>267</v>
      </c>
    </row>
    <row r="411" spans="1:24" x14ac:dyDescent="0.25">
      <c r="A411">
        <v>461</v>
      </c>
      <c r="B411" s="77">
        <v>44909</v>
      </c>
      <c r="C411" s="14" t="s">
        <v>173</v>
      </c>
      <c r="D411" s="23" t="s">
        <v>171</v>
      </c>
      <c r="E411" s="23" t="s">
        <v>16</v>
      </c>
      <c r="F411" s="23">
        <v>-25855</v>
      </c>
      <c r="G411" s="23">
        <v>-33852692.942101702</v>
      </c>
      <c r="H411" s="23">
        <v>1309.32867693296</v>
      </c>
      <c r="I411" s="23">
        <v>0</v>
      </c>
      <c r="J411" s="23" t="s">
        <v>172</v>
      </c>
      <c r="K411" s="24">
        <v>44909</v>
      </c>
      <c r="L411" s="23">
        <v>1</v>
      </c>
      <c r="M411" s="23" t="s">
        <v>16</v>
      </c>
      <c r="N411" s="25">
        <v>0</v>
      </c>
      <c r="O411" s="26" t="str">
        <f t="shared" si="79"/>
        <v>COIN</v>
      </c>
      <c r="P411" s="26" t="str">
        <f t="shared" si="77"/>
        <v>SHORT</v>
      </c>
      <c r="Q411" s="26" t="str">
        <f t="shared" si="80"/>
        <v>COIN SHORT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6"/>
        <v>LEND</v>
      </c>
      <c r="W411" t="str">
        <f t="shared" si="78"/>
        <v>ETH COIN SHORT</v>
      </c>
      <c r="X411" s="94" t="s">
        <v>267</v>
      </c>
    </row>
    <row r="412" spans="1:24" x14ac:dyDescent="0.25">
      <c r="A412">
        <v>462</v>
      </c>
      <c r="B412" s="77">
        <v>44909</v>
      </c>
      <c r="C412" s="14" t="s">
        <v>173</v>
      </c>
      <c r="D412" s="23" t="s">
        <v>171</v>
      </c>
      <c r="E412" s="23" t="s">
        <v>110</v>
      </c>
      <c r="F412" s="23">
        <v>-30000000</v>
      </c>
      <c r="G412" s="23">
        <v>-32048100</v>
      </c>
      <c r="H412" s="23">
        <v>1.0682700000000001</v>
      </c>
      <c r="I412" s="23">
        <v>0</v>
      </c>
      <c r="J412" s="23" t="s">
        <v>172</v>
      </c>
      <c r="K412" s="24">
        <v>44909</v>
      </c>
      <c r="L412" s="23">
        <v>1</v>
      </c>
      <c r="M412" s="23" t="s">
        <v>110</v>
      </c>
      <c r="N412" s="25">
        <v>0</v>
      </c>
      <c r="O412" s="26" t="str">
        <f t="shared" si="79"/>
        <v>CASH</v>
      </c>
      <c r="P412" s="26" t="str">
        <f t="shared" si="77"/>
        <v>SHORT</v>
      </c>
      <c r="Q412" s="26" t="str">
        <f t="shared" si="80"/>
        <v>CASH SHORT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6"/>
        <v>LEND</v>
      </c>
      <c r="W412" t="str">
        <f t="shared" si="78"/>
        <v>EUR CASH SHORT</v>
      </c>
      <c r="X412" s="94" t="s">
        <v>267</v>
      </c>
    </row>
    <row r="413" spans="1:24" x14ac:dyDescent="0.25">
      <c r="A413">
        <v>463</v>
      </c>
      <c r="B413" s="77">
        <v>44909</v>
      </c>
      <c r="C413" s="14" t="s">
        <v>173</v>
      </c>
      <c r="D413" s="23" t="s">
        <v>171</v>
      </c>
      <c r="E413" s="23" t="s">
        <v>261</v>
      </c>
      <c r="F413" s="23">
        <v>-15000000</v>
      </c>
      <c r="G413" s="23">
        <v>-16024971.6490518</v>
      </c>
      <c r="H413" s="23">
        <v>1.0683314432701201</v>
      </c>
      <c r="I413" s="23">
        <v>0</v>
      </c>
      <c r="J413" s="23" t="s">
        <v>172</v>
      </c>
      <c r="K413" s="24">
        <v>44909</v>
      </c>
      <c r="L413" s="23">
        <v>1</v>
      </c>
      <c r="M413" s="23" t="s">
        <v>261</v>
      </c>
      <c r="N413" s="25">
        <v>0</v>
      </c>
      <c r="O413" s="26" t="str">
        <f t="shared" si="79"/>
        <v>COIN</v>
      </c>
      <c r="P413" s="26" t="str">
        <f t="shared" si="77"/>
        <v>SHORT</v>
      </c>
      <c r="Q413" s="26" t="str">
        <f t="shared" si="80"/>
        <v>COIN SHORT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6"/>
        <v>LEND</v>
      </c>
      <c r="W413" t="str">
        <f t="shared" si="78"/>
        <v>EUROC COIN SHORT</v>
      </c>
      <c r="X413" s="94" t="s">
        <v>267</v>
      </c>
    </row>
    <row r="414" spans="1:24" x14ac:dyDescent="0.25">
      <c r="A414">
        <v>464</v>
      </c>
      <c r="B414" s="77">
        <v>44909</v>
      </c>
      <c r="C414" s="14" t="s">
        <v>173</v>
      </c>
      <c r="D414" s="23" t="s">
        <v>171</v>
      </c>
      <c r="E414" s="23" t="s">
        <v>98</v>
      </c>
      <c r="F414" s="23">
        <v>-42800000</v>
      </c>
      <c r="G414" s="23">
        <v>-42800000</v>
      </c>
      <c r="H414" s="23">
        <v>1</v>
      </c>
      <c r="I414" s="23">
        <v>0</v>
      </c>
      <c r="J414" s="23" t="s">
        <v>172</v>
      </c>
      <c r="K414" s="24">
        <v>44909</v>
      </c>
      <c r="L414" s="23">
        <v>1</v>
      </c>
      <c r="M414" s="23" t="s">
        <v>98</v>
      </c>
      <c r="N414" s="25">
        <v>0</v>
      </c>
      <c r="O414" s="26" t="str">
        <f t="shared" si="79"/>
        <v>CASH</v>
      </c>
      <c r="P414" s="26" t="str">
        <f t="shared" si="77"/>
        <v>SHORT</v>
      </c>
      <c r="Q414" s="26" t="str">
        <f t="shared" si="80"/>
        <v>CASH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6"/>
        <v>LEND</v>
      </c>
      <c r="W414" t="str">
        <f t="shared" si="78"/>
        <v>USD CASH SHORT</v>
      </c>
      <c r="X414" s="94" t="s">
        <v>267</v>
      </c>
    </row>
    <row r="415" spans="1:24" x14ac:dyDescent="0.25">
      <c r="A415">
        <v>465</v>
      </c>
      <c r="B415" s="77">
        <v>44909</v>
      </c>
      <c r="C415" s="14" t="s">
        <v>173</v>
      </c>
      <c r="D415" s="23" t="s">
        <v>171</v>
      </c>
      <c r="E415" s="23" t="s">
        <v>95</v>
      </c>
      <c r="F415" s="23">
        <v>-56500000</v>
      </c>
      <c r="G415" s="23">
        <v>-56498843.179700501</v>
      </c>
      <c r="H415" s="23">
        <v>0.99997952530443501</v>
      </c>
      <c r="I415" s="23">
        <v>0</v>
      </c>
      <c r="J415" s="23" t="s">
        <v>172</v>
      </c>
      <c r="K415" s="24">
        <v>44909</v>
      </c>
      <c r="L415" s="23">
        <v>1</v>
      </c>
      <c r="M415" s="23" t="s">
        <v>95</v>
      </c>
      <c r="N415" s="25">
        <v>0</v>
      </c>
      <c r="O415" s="26" t="str">
        <f t="shared" si="79"/>
        <v>COIN</v>
      </c>
      <c r="P415" s="26" t="str">
        <f t="shared" si="77"/>
        <v>SHORT</v>
      </c>
      <c r="Q415" s="26" t="str">
        <f t="shared" si="80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6"/>
        <v>LEND</v>
      </c>
      <c r="W415" t="str">
        <f t="shared" si="78"/>
        <v>USDC COIN SHORT</v>
      </c>
      <c r="X415" s="94" t="s">
        <v>267</v>
      </c>
    </row>
    <row r="416" spans="1:24" x14ac:dyDescent="0.25">
      <c r="A416">
        <v>466</v>
      </c>
      <c r="B416" s="77">
        <v>44909</v>
      </c>
      <c r="C416" s="14" t="s">
        <v>173</v>
      </c>
      <c r="D416" s="23" t="s">
        <v>171</v>
      </c>
      <c r="E416" s="23" t="s">
        <v>27</v>
      </c>
      <c r="F416" s="23">
        <v>-20000000</v>
      </c>
      <c r="G416" s="23">
        <v>-435807.45829612599</v>
      </c>
      <c r="H416" s="23">
        <v>2.1790372914806299E-2</v>
      </c>
      <c r="I416" s="23">
        <v>0</v>
      </c>
      <c r="J416" s="23" t="s">
        <v>172</v>
      </c>
      <c r="K416" s="24">
        <v>44909</v>
      </c>
      <c r="L416" s="23">
        <v>1</v>
      </c>
      <c r="M416" s="23" t="s">
        <v>27</v>
      </c>
      <c r="N416" s="25">
        <v>0</v>
      </c>
      <c r="O416" s="26" t="str">
        <f t="shared" si="79"/>
        <v>COIN</v>
      </c>
      <c r="P416" s="26" t="str">
        <f t="shared" si="77"/>
        <v>SHORT</v>
      </c>
      <c r="Q416" s="26" t="str">
        <f t="shared" si="80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6"/>
        <v>LEND</v>
      </c>
      <c r="W416" t="str">
        <f t="shared" si="78"/>
        <v>ZIL COIN SHORT</v>
      </c>
      <c r="X416" s="94" t="s">
        <v>267</v>
      </c>
    </row>
    <row r="417" spans="1:24" x14ac:dyDescent="0.25">
      <c r="A417">
        <v>467</v>
      </c>
      <c r="B417" s="77">
        <v>44909</v>
      </c>
      <c r="C417" s="14" t="s">
        <v>40</v>
      </c>
      <c r="D417" s="23" t="s">
        <v>207</v>
      </c>
      <c r="E417" s="23" t="s">
        <v>21</v>
      </c>
      <c r="F417" s="23">
        <v>-5000</v>
      </c>
      <c r="G417" s="23">
        <v>-545542.47976536397</v>
      </c>
      <c r="H417" s="23">
        <v>109.10849595307199</v>
      </c>
      <c r="I417" s="23">
        <v>0</v>
      </c>
      <c r="J417" s="23" t="s">
        <v>198</v>
      </c>
      <c r="K417" s="24">
        <v>44909</v>
      </c>
      <c r="L417" s="23">
        <v>1</v>
      </c>
      <c r="M417" s="23" t="s">
        <v>21</v>
      </c>
      <c r="N417" s="25">
        <v>0</v>
      </c>
      <c r="O417" s="26" t="str">
        <f t="shared" si="79"/>
        <v>COIN</v>
      </c>
      <c r="P417" s="26" t="str">
        <f t="shared" si="77"/>
        <v>SHORT</v>
      </c>
      <c r="Q417" s="26" t="str">
        <f t="shared" si="80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6"/>
        <v>LEND</v>
      </c>
      <c r="W417" t="str">
        <f t="shared" si="78"/>
        <v>BCH COIN SHORT</v>
      </c>
      <c r="X417" s="94" t="s">
        <v>267</v>
      </c>
    </row>
    <row r="418" spans="1:24" x14ac:dyDescent="0.25">
      <c r="A418">
        <v>468</v>
      </c>
      <c r="B418" s="77">
        <v>44909</v>
      </c>
      <c r="C418" s="14" t="s">
        <v>40</v>
      </c>
      <c r="D418" s="23" t="s">
        <v>207</v>
      </c>
      <c r="E418" s="23" t="s">
        <v>23</v>
      </c>
      <c r="F418" s="23">
        <v>-40000</v>
      </c>
      <c r="G418" s="23">
        <v>-208608.39003861701</v>
      </c>
      <c r="H418" s="23">
        <v>5.21520975096543</v>
      </c>
      <c r="I418" s="23">
        <v>0</v>
      </c>
      <c r="J418" s="23" t="s">
        <v>198</v>
      </c>
      <c r="K418" s="24">
        <v>44909</v>
      </c>
      <c r="L418" s="23">
        <v>1</v>
      </c>
      <c r="M418" s="23" t="s">
        <v>23</v>
      </c>
      <c r="N418" s="25">
        <v>0</v>
      </c>
      <c r="O418" s="26" t="str">
        <f t="shared" si="79"/>
        <v>COIN</v>
      </c>
      <c r="P418" s="26" t="str">
        <f t="shared" si="77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6"/>
        <v>LEND</v>
      </c>
      <c r="W418" t="str">
        <f t="shared" si="78"/>
        <v>DOT COIN SHORT</v>
      </c>
      <c r="X418" s="94" t="s">
        <v>267</v>
      </c>
    </row>
    <row r="419" spans="1:24" x14ac:dyDescent="0.25">
      <c r="A419">
        <v>469</v>
      </c>
      <c r="B419" s="77">
        <v>44909</v>
      </c>
      <c r="C419" s="14" t="s">
        <v>40</v>
      </c>
      <c r="D419" s="23" t="s">
        <v>207</v>
      </c>
      <c r="E419" s="23" t="s">
        <v>24</v>
      </c>
      <c r="F419" s="23">
        <v>-160000</v>
      </c>
      <c r="G419" s="23">
        <v>-156483.41387056201</v>
      </c>
      <c r="H419" s="23">
        <v>0.97802133669101299</v>
      </c>
      <c r="I419" s="23">
        <v>0</v>
      </c>
      <c r="J419" s="23" t="s">
        <v>198</v>
      </c>
      <c r="K419" s="24">
        <v>44909</v>
      </c>
      <c r="L419" s="23">
        <v>1</v>
      </c>
      <c r="M419" s="23" t="s">
        <v>24</v>
      </c>
      <c r="N419" s="25">
        <v>0</v>
      </c>
      <c r="O419" s="26" t="str">
        <f t="shared" si="79"/>
        <v>COIN</v>
      </c>
      <c r="P419" s="26" t="str">
        <f t="shared" si="77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6"/>
        <v>LEND</v>
      </c>
      <c r="W419" t="str">
        <f t="shared" si="78"/>
        <v>EOS COIN SHORT</v>
      </c>
      <c r="X419" s="94" t="s">
        <v>267</v>
      </c>
    </row>
    <row r="420" spans="1:24" x14ac:dyDescent="0.25">
      <c r="A420">
        <v>470</v>
      </c>
      <c r="B420" s="77">
        <v>44909</v>
      </c>
      <c r="C420" s="14" t="s">
        <v>40</v>
      </c>
      <c r="D420" s="23" t="s">
        <v>207</v>
      </c>
      <c r="E420" s="23" t="s">
        <v>30</v>
      </c>
      <c r="F420" s="23">
        <v>-108000</v>
      </c>
      <c r="G420" s="23">
        <v>-2029070.22066905</v>
      </c>
      <c r="H420" s="23">
        <v>18.787687228417099</v>
      </c>
      <c r="I420" s="23">
        <v>0</v>
      </c>
      <c r="J420" s="23" t="s">
        <v>198</v>
      </c>
      <c r="K420" s="24">
        <v>44909</v>
      </c>
      <c r="L420" s="23">
        <v>1</v>
      </c>
      <c r="M420" s="23" t="s">
        <v>30</v>
      </c>
      <c r="N420" s="25">
        <v>0</v>
      </c>
      <c r="O420" s="26" t="str">
        <f t="shared" si="79"/>
        <v>COIN</v>
      </c>
      <c r="P420" s="26" t="str">
        <f t="shared" si="77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6"/>
        <v>LEND</v>
      </c>
      <c r="W420" t="str">
        <f t="shared" si="78"/>
        <v>ETC COIN SHORT</v>
      </c>
      <c r="X420" s="94" t="s">
        <v>267</v>
      </c>
    </row>
    <row r="421" spans="1:24" x14ac:dyDescent="0.25">
      <c r="A421">
        <v>471</v>
      </c>
      <c r="B421" s="77">
        <v>44909</v>
      </c>
      <c r="C421" s="14" t="s">
        <v>40</v>
      </c>
      <c r="D421" s="23" t="s">
        <v>207</v>
      </c>
      <c r="E421" s="23" t="s">
        <v>16</v>
      </c>
      <c r="F421" s="23">
        <v>-4600</v>
      </c>
      <c r="G421" s="23">
        <v>-6022911.91389162</v>
      </c>
      <c r="H421" s="23">
        <v>1309.32867693296</v>
      </c>
      <c r="I421" s="23">
        <v>0</v>
      </c>
      <c r="J421" s="23" t="s">
        <v>198</v>
      </c>
      <c r="K421" s="24">
        <v>44909</v>
      </c>
      <c r="L421" s="23">
        <v>1</v>
      </c>
      <c r="M421" s="23" t="s">
        <v>16</v>
      </c>
      <c r="N421" s="25">
        <v>0</v>
      </c>
      <c r="O421" s="26" t="str">
        <f t="shared" si="79"/>
        <v>COIN</v>
      </c>
      <c r="P421" s="26" t="str">
        <f t="shared" si="77"/>
        <v>SHORT</v>
      </c>
      <c r="Q421" s="26" t="str">
        <f t="shared" ref="Q421:Q442" si="81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6"/>
        <v>LEND</v>
      </c>
      <c r="W421" t="str">
        <f t="shared" si="78"/>
        <v>ETH COIN SHORT</v>
      </c>
      <c r="X421" s="94" t="s">
        <v>267</v>
      </c>
    </row>
    <row r="422" spans="1:24" x14ac:dyDescent="0.25">
      <c r="A422">
        <v>472</v>
      </c>
      <c r="B422" s="77">
        <v>44909</v>
      </c>
      <c r="C422" s="14" t="s">
        <v>40</v>
      </c>
      <c r="D422" s="23" t="s">
        <v>207</v>
      </c>
      <c r="E422" s="23" t="s">
        <v>28</v>
      </c>
      <c r="F422" s="23">
        <v>-17000</v>
      </c>
      <c r="G422" s="23">
        <v>-114390.076979066</v>
      </c>
      <c r="H422" s="23">
        <v>6.72882805759214</v>
      </c>
      <c r="I422" s="23">
        <v>0</v>
      </c>
      <c r="J422" s="23" t="s">
        <v>198</v>
      </c>
      <c r="K422" s="24">
        <v>44909</v>
      </c>
      <c r="L422" s="23">
        <v>1</v>
      </c>
      <c r="M422" s="23" t="s">
        <v>28</v>
      </c>
      <c r="N422" s="25">
        <v>0</v>
      </c>
      <c r="O422" s="26" t="str">
        <f t="shared" si="79"/>
        <v>COIN</v>
      </c>
      <c r="P422" s="26" t="str">
        <f t="shared" si="77"/>
        <v>SHORT</v>
      </c>
      <c r="Q422" s="26" t="str">
        <f t="shared" si="81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6"/>
        <v>LEND</v>
      </c>
      <c r="W422" t="str">
        <f t="shared" si="78"/>
        <v>LINK COIN SHORT</v>
      </c>
      <c r="X422" s="94" t="s">
        <v>267</v>
      </c>
    </row>
    <row r="423" spans="1:24" x14ac:dyDescent="0.25">
      <c r="A423">
        <v>473</v>
      </c>
      <c r="B423" s="77">
        <v>44909</v>
      </c>
      <c r="C423" s="14" t="s">
        <v>40</v>
      </c>
      <c r="D423" s="23" t="s">
        <v>207</v>
      </c>
      <c r="E423" s="23" t="s">
        <v>25</v>
      </c>
      <c r="F423" s="23">
        <v>-11800</v>
      </c>
      <c r="G423" s="23">
        <v>-890615.19102439296</v>
      </c>
      <c r="H423" s="23">
        <v>75.475863646134997</v>
      </c>
      <c r="I423" s="23">
        <v>0</v>
      </c>
      <c r="J423" s="23" t="s">
        <v>198</v>
      </c>
      <c r="K423" s="24">
        <v>44909</v>
      </c>
      <c r="L423" s="23">
        <v>1</v>
      </c>
      <c r="M423" s="23" t="s">
        <v>25</v>
      </c>
      <c r="N423" s="25">
        <v>0</v>
      </c>
      <c r="O423" s="26" t="str">
        <f t="shared" si="79"/>
        <v>COIN</v>
      </c>
      <c r="P423" s="26" t="str">
        <f t="shared" si="77"/>
        <v>SHORT</v>
      </c>
      <c r="Q423" s="26" t="str">
        <f t="shared" si="81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6"/>
        <v>LEND</v>
      </c>
      <c r="W423" t="str">
        <f t="shared" si="78"/>
        <v>LTC COIN SHORT</v>
      </c>
      <c r="X423" s="94" t="s">
        <v>267</v>
      </c>
    </row>
    <row r="424" spans="1:24" x14ac:dyDescent="0.25">
      <c r="A424">
        <v>474</v>
      </c>
      <c r="B424" s="77">
        <v>44909</v>
      </c>
      <c r="C424" s="14" t="s">
        <v>212</v>
      </c>
      <c r="D424" s="23" t="s">
        <v>210</v>
      </c>
      <c r="E424" s="23" t="s">
        <v>92</v>
      </c>
      <c r="F424" s="23">
        <v>-2600208</v>
      </c>
      <c r="G424" s="23">
        <v>-211079.35056690499</v>
      </c>
      <c r="H424" s="23">
        <v>8.1177871372945895E-2</v>
      </c>
      <c r="I424" s="23">
        <v>0</v>
      </c>
      <c r="J424" s="23" t="s">
        <v>211</v>
      </c>
      <c r="K424" s="24">
        <v>44909</v>
      </c>
      <c r="L424" s="23">
        <v>1</v>
      </c>
      <c r="M424" s="23" t="s">
        <v>92</v>
      </c>
      <c r="N424" s="25">
        <v>0</v>
      </c>
      <c r="O424" s="26" t="str">
        <f t="shared" si="79"/>
        <v>COIN</v>
      </c>
      <c r="P424" s="26" t="str">
        <f t="shared" si="77"/>
        <v>SHORT</v>
      </c>
      <c r="Q424" s="26" t="str">
        <f t="shared" si="81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6"/>
        <v>LEND</v>
      </c>
      <c r="W424" t="str">
        <f t="shared" si="78"/>
        <v>OXT COIN SHORT</v>
      </c>
      <c r="X424" s="94" t="s">
        <v>267</v>
      </c>
    </row>
    <row r="425" spans="1:24" x14ac:dyDescent="0.25">
      <c r="A425">
        <v>475</v>
      </c>
      <c r="B425" s="77">
        <v>44909</v>
      </c>
      <c r="C425" s="14" t="s">
        <v>212</v>
      </c>
      <c r="D425" s="23" t="s">
        <v>210</v>
      </c>
      <c r="E425" s="23" t="s">
        <v>95</v>
      </c>
      <c r="F425" s="23">
        <v>-1000000</v>
      </c>
      <c r="G425" s="23">
        <v>-999979.52530443505</v>
      </c>
      <c r="H425" s="23">
        <v>0.99997952530443501</v>
      </c>
      <c r="I425" s="23">
        <v>0</v>
      </c>
      <c r="J425" s="23" t="s">
        <v>211</v>
      </c>
      <c r="K425" s="24">
        <v>44909</v>
      </c>
      <c r="L425" s="23">
        <v>1</v>
      </c>
      <c r="M425" s="23" t="s">
        <v>95</v>
      </c>
      <c r="N425" s="25">
        <v>0</v>
      </c>
      <c r="O425" s="26" t="str">
        <f t="shared" si="79"/>
        <v>COIN</v>
      </c>
      <c r="P425" s="26" t="str">
        <f t="shared" si="77"/>
        <v>SHORT</v>
      </c>
      <c r="Q425" s="26" t="str">
        <f t="shared" si="81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6"/>
        <v>LEND</v>
      </c>
      <c r="W425" t="str">
        <f t="shared" si="78"/>
        <v>USDC COIN SHORT</v>
      </c>
      <c r="X425" s="94" t="s">
        <v>267</v>
      </c>
    </row>
    <row r="426" spans="1:24" x14ac:dyDescent="0.25">
      <c r="A426">
        <v>476</v>
      </c>
      <c r="B426" s="77">
        <v>44909</v>
      </c>
      <c r="C426" s="14" t="s">
        <v>214</v>
      </c>
      <c r="D426" s="23" t="s">
        <v>213</v>
      </c>
      <c r="E426" s="23" t="s">
        <v>102</v>
      </c>
      <c r="F426" s="23">
        <v>-201.17</v>
      </c>
      <c r="G426" s="23">
        <v>-77.734847605534796</v>
      </c>
      <c r="H426" s="23">
        <v>0.38641371777866901</v>
      </c>
      <c r="I426" s="23">
        <v>0</v>
      </c>
      <c r="J426" s="23" t="s">
        <v>211</v>
      </c>
      <c r="K426" s="24">
        <v>44909</v>
      </c>
      <c r="L426" s="23">
        <v>1</v>
      </c>
      <c r="M426" s="23" t="s">
        <v>102</v>
      </c>
      <c r="N426" s="25">
        <v>0</v>
      </c>
      <c r="O426" s="26" t="str">
        <f t="shared" si="79"/>
        <v>COIN</v>
      </c>
      <c r="P426" s="26" t="str">
        <f t="shared" si="77"/>
        <v>SHORT</v>
      </c>
      <c r="Q426" s="26" t="str">
        <f t="shared" si="81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6"/>
        <v>LEND</v>
      </c>
      <c r="W426" t="str">
        <f t="shared" si="78"/>
        <v>XRP COIN SHORT</v>
      </c>
      <c r="X426" s="94" t="s">
        <v>267</v>
      </c>
    </row>
    <row r="427" spans="1:24" x14ac:dyDescent="0.25">
      <c r="A427">
        <v>477</v>
      </c>
      <c r="B427" s="77">
        <v>44910.000001273147</v>
      </c>
      <c r="C427" s="14" t="s">
        <v>46</v>
      </c>
      <c r="D427" s="23" t="s">
        <v>215</v>
      </c>
      <c r="E427" s="23" t="s">
        <v>39</v>
      </c>
      <c r="F427" s="23">
        <v>-22591.087326270001</v>
      </c>
      <c r="G427" s="23">
        <v>-22593.468660116701</v>
      </c>
      <c r="H427" s="23">
        <v>1.0001054103245299</v>
      </c>
      <c r="I427" s="23">
        <v>0</v>
      </c>
      <c r="J427" s="23" t="s">
        <v>266</v>
      </c>
      <c r="K427" s="24">
        <v>44910.000001273147</v>
      </c>
      <c r="L427" s="23">
        <v>1</v>
      </c>
      <c r="M427" s="23" t="s">
        <v>39</v>
      </c>
      <c r="N427" s="25">
        <v>0</v>
      </c>
      <c r="O427" s="26" t="str">
        <f t="shared" si="79"/>
        <v>COIN</v>
      </c>
      <c r="P427" s="26" t="str">
        <f t="shared" si="77"/>
        <v>SHORT</v>
      </c>
      <c r="Q427" s="26" t="str">
        <f t="shared" si="81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6"/>
        <v>OKEX</v>
      </c>
      <c r="W427" t="str">
        <f t="shared" si="78"/>
        <v>USDT COIN SHORT</v>
      </c>
      <c r="X427" s="94" t="s">
        <v>267</v>
      </c>
    </row>
    <row r="428" spans="1:24" x14ac:dyDescent="0.25">
      <c r="A428">
        <v>478</v>
      </c>
      <c r="B428" s="77">
        <v>44910.000003275461</v>
      </c>
      <c r="C428" s="14" t="s">
        <v>46</v>
      </c>
      <c r="D428" s="23" t="s">
        <v>216</v>
      </c>
      <c r="E428" s="23" t="s">
        <v>21</v>
      </c>
      <c r="F428" s="23">
        <v>-1.9866326700000001</v>
      </c>
      <c r="G428" s="23">
        <v>-216.758502634937</v>
      </c>
      <c r="H428" s="23">
        <v>109.10849595307199</v>
      </c>
      <c r="I428" s="23">
        <v>0</v>
      </c>
      <c r="J428" s="23" t="s">
        <v>266</v>
      </c>
      <c r="K428" s="24">
        <v>44910.000003275461</v>
      </c>
      <c r="L428" s="23">
        <v>1</v>
      </c>
      <c r="M428" s="23" t="s">
        <v>21</v>
      </c>
      <c r="N428" s="25">
        <v>0</v>
      </c>
      <c r="O428" s="26" t="str">
        <f t="shared" si="79"/>
        <v>COIN</v>
      </c>
      <c r="P428" s="26" t="str">
        <f t="shared" si="77"/>
        <v>SHORT</v>
      </c>
      <c r="Q428" s="26" t="str">
        <f t="shared" si="81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6"/>
        <v>OKEX</v>
      </c>
      <c r="W428" t="str">
        <f t="shared" si="78"/>
        <v>BCH COIN SHORT</v>
      </c>
      <c r="X428" s="94" t="s">
        <v>267</v>
      </c>
    </row>
    <row r="429" spans="1:24" x14ac:dyDescent="0.25">
      <c r="A429">
        <v>479</v>
      </c>
      <c r="B429" s="77">
        <v>44910.000003275461</v>
      </c>
      <c r="C429" s="14" t="s">
        <v>46</v>
      </c>
      <c r="D429" s="23" t="s">
        <v>216</v>
      </c>
      <c r="E429" s="23" t="s">
        <v>23</v>
      </c>
      <c r="F429" s="23">
        <v>-33.055893580000003</v>
      </c>
      <c r="G429" s="23">
        <v>-172.393418525291</v>
      </c>
      <c r="H429" s="23">
        <v>5.21520975096543</v>
      </c>
      <c r="I429" s="23">
        <v>0</v>
      </c>
      <c r="J429" s="23" t="s">
        <v>266</v>
      </c>
      <c r="K429" s="24">
        <v>44910.000003275461</v>
      </c>
      <c r="L429" s="23">
        <v>1</v>
      </c>
      <c r="M429" s="23" t="s">
        <v>23</v>
      </c>
      <c r="N429" s="25">
        <v>0</v>
      </c>
      <c r="O429" s="26" t="str">
        <f t="shared" si="79"/>
        <v>COIN</v>
      </c>
      <c r="P429" s="26" t="str">
        <f t="shared" si="77"/>
        <v>SHORT</v>
      </c>
      <c r="Q429" s="26" t="str">
        <f t="shared" si="81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6"/>
        <v>OKEX</v>
      </c>
      <c r="W429" t="str">
        <f t="shared" si="78"/>
        <v>DOT COIN SHORT</v>
      </c>
      <c r="X429" s="94" t="s">
        <v>267</v>
      </c>
    </row>
    <row r="430" spans="1:24" x14ac:dyDescent="0.25">
      <c r="A430">
        <v>480</v>
      </c>
      <c r="B430" s="77">
        <v>44910.000003275461</v>
      </c>
      <c r="C430" s="14" t="s">
        <v>46</v>
      </c>
      <c r="D430" s="23" t="s">
        <v>216</v>
      </c>
      <c r="E430" s="23" t="s">
        <v>30</v>
      </c>
      <c r="F430" s="23">
        <v>-0.40742539</v>
      </c>
      <c r="G430" s="23">
        <v>-7.6545807962358801</v>
      </c>
      <c r="H430" s="23">
        <v>18.787687228417099</v>
      </c>
      <c r="I430" s="23">
        <v>0</v>
      </c>
      <c r="J430" s="23" t="s">
        <v>266</v>
      </c>
      <c r="K430" s="24">
        <v>44910.000003275461</v>
      </c>
      <c r="L430" s="23">
        <v>1</v>
      </c>
      <c r="M430" s="23" t="s">
        <v>30</v>
      </c>
      <c r="N430" s="25">
        <v>0</v>
      </c>
      <c r="O430" s="26" t="str">
        <f t="shared" si="79"/>
        <v>COIN</v>
      </c>
      <c r="P430" s="26" t="str">
        <f t="shared" si="77"/>
        <v>SHORT</v>
      </c>
      <c r="Q430" s="26" t="str">
        <f t="shared" si="81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6"/>
        <v>OKEX</v>
      </c>
      <c r="W430" t="str">
        <f t="shared" si="78"/>
        <v>ETC COIN SHORT</v>
      </c>
      <c r="X430" s="94" t="s">
        <v>267</v>
      </c>
    </row>
    <row r="431" spans="1:24" x14ac:dyDescent="0.25">
      <c r="A431">
        <v>481</v>
      </c>
      <c r="B431" s="77">
        <v>44910.000003275461</v>
      </c>
      <c r="C431" s="14" t="s">
        <v>46</v>
      </c>
      <c r="D431" s="23" t="s">
        <v>216</v>
      </c>
      <c r="E431" s="23" t="s">
        <v>31</v>
      </c>
      <c r="F431" s="23">
        <v>-3.6931970000000001E-2</v>
      </c>
      <c r="G431" s="23">
        <v>-0.156225546246545</v>
      </c>
      <c r="H431" s="23">
        <v>4.2300897094453704</v>
      </c>
      <c r="I431" s="23">
        <v>0</v>
      </c>
      <c r="J431" s="23" t="s">
        <v>266</v>
      </c>
      <c r="K431" s="24">
        <v>44910.000003275461</v>
      </c>
      <c r="L431" s="23">
        <v>1</v>
      </c>
      <c r="M431" s="23" t="s">
        <v>31</v>
      </c>
      <c r="N431" s="25">
        <v>0</v>
      </c>
      <c r="O431" s="26" t="str">
        <f t="shared" si="79"/>
        <v>COIN</v>
      </c>
      <c r="P431" s="26" t="str">
        <f t="shared" si="77"/>
        <v>SHORT</v>
      </c>
      <c r="Q431" s="26" t="str">
        <f t="shared" si="81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6"/>
        <v>OKEX</v>
      </c>
      <c r="W431" t="str">
        <f t="shared" si="78"/>
        <v>FIL COIN SHORT</v>
      </c>
      <c r="X431" s="94" t="s">
        <v>267</v>
      </c>
    </row>
    <row r="432" spans="1:24" x14ac:dyDescent="0.25">
      <c r="A432">
        <v>482</v>
      </c>
      <c r="B432" s="77">
        <v>44910.000003275461</v>
      </c>
      <c r="C432" s="14" t="s">
        <v>46</v>
      </c>
      <c r="D432" s="23" t="s">
        <v>216</v>
      </c>
      <c r="E432" s="23" t="s">
        <v>38</v>
      </c>
      <c r="F432" s="23">
        <v>-10039049522.907801</v>
      </c>
      <c r="G432" s="23">
        <v>-90077.943553211197</v>
      </c>
      <c r="H432" s="23">
        <v>8.9727561705582505E-6</v>
      </c>
      <c r="I432" s="23">
        <v>0</v>
      </c>
      <c r="J432" s="23" t="s">
        <v>266</v>
      </c>
      <c r="K432" s="24">
        <v>44910.000003275461</v>
      </c>
      <c r="L432" s="23">
        <v>1</v>
      </c>
      <c r="M432" s="23" t="s">
        <v>38</v>
      </c>
      <c r="N432" s="25">
        <v>0</v>
      </c>
      <c r="O432" s="26" t="str">
        <f t="shared" si="79"/>
        <v>COIN</v>
      </c>
      <c r="P432" s="26" t="str">
        <f t="shared" si="77"/>
        <v>SHORT</v>
      </c>
      <c r="Q432" s="26" t="str">
        <f t="shared" si="81"/>
        <v>COIN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6"/>
        <v>OKEX</v>
      </c>
      <c r="W432" t="str">
        <f t="shared" si="78"/>
        <v>SHIB COIN SHORT</v>
      </c>
      <c r="X432" s="94" t="s">
        <v>267</v>
      </c>
    </row>
    <row r="433" spans="1:24" x14ac:dyDescent="0.25">
      <c r="A433">
        <v>483</v>
      </c>
      <c r="B433" s="77">
        <v>44910.000003275461</v>
      </c>
      <c r="C433" s="14" t="s">
        <v>46</v>
      </c>
      <c r="D433" s="23" t="s">
        <v>216</v>
      </c>
      <c r="E433" s="23" t="s">
        <v>95</v>
      </c>
      <c r="F433" s="23">
        <v>-66891.138748700003</v>
      </c>
      <c r="G433" s="23">
        <v>-66889.769172998102</v>
      </c>
      <c r="H433" s="23">
        <v>0.99997952530443501</v>
      </c>
      <c r="I433" s="23">
        <v>0</v>
      </c>
      <c r="J433" s="23" t="s">
        <v>266</v>
      </c>
      <c r="K433" s="24">
        <v>44910.000003275461</v>
      </c>
      <c r="L433" s="23">
        <v>1</v>
      </c>
      <c r="M433" s="23" t="s">
        <v>95</v>
      </c>
      <c r="N433" s="25">
        <v>0</v>
      </c>
      <c r="O433" s="26" t="str">
        <f t="shared" si="79"/>
        <v>COIN</v>
      </c>
      <c r="P433" s="26" t="str">
        <f t="shared" si="77"/>
        <v>SHORT</v>
      </c>
      <c r="Q433" s="26" t="str">
        <f t="shared" si="81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6"/>
        <v>OKEX</v>
      </c>
      <c r="W433" t="str">
        <f t="shared" si="78"/>
        <v>USDC COIN SHORT</v>
      </c>
      <c r="X433" s="94" t="s">
        <v>267</v>
      </c>
    </row>
    <row r="434" spans="1:24" x14ac:dyDescent="0.25">
      <c r="A434">
        <v>484</v>
      </c>
      <c r="B434" s="77">
        <v>44910.000003275461</v>
      </c>
      <c r="C434" s="14" t="s">
        <v>46</v>
      </c>
      <c r="D434" s="23" t="s">
        <v>216</v>
      </c>
      <c r="E434" s="23" t="s">
        <v>39</v>
      </c>
      <c r="F434" s="23">
        <v>-2453174.9918184001</v>
      </c>
      <c r="G434" s="23">
        <v>-2453433.58179043</v>
      </c>
      <c r="H434" s="23">
        <v>1.0001054103245299</v>
      </c>
      <c r="I434" s="23">
        <v>0</v>
      </c>
      <c r="J434" s="23" t="s">
        <v>266</v>
      </c>
      <c r="K434" s="24">
        <v>44910.000003275461</v>
      </c>
      <c r="L434" s="23">
        <v>1</v>
      </c>
      <c r="M434" s="23" t="s">
        <v>39</v>
      </c>
      <c r="N434" s="25">
        <v>0</v>
      </c>
      <c r="O434" s="26" t="str">
        <f t="shared" si="79"/>
        <v>COIN</v>
      </c>
      <c r="P434" s="26" t="str">
        <f t="shared" si="77"/>
        <v>SHORT</v>
      </c>
      <c r="Q434" s="26" t="str">
        <f t="shared" si="81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6"/>
        <v>OKEX</v>
      </c>
      <c r="W434" t="str">
        <f t="shared" si="78"/>
        <v>USDT COIN SHORT</v>
      </c>
      <c r="X434" s="94" t="s">
        <v>267</v>
      </c>
    </row>
    <row r="435" spans="1:24" x14ac:dyDescent="0.25">
      <c r="A435">
        <v>485</v>
      </c>
      <c r="B435" s="77">
        <v>44910.000001469911</v>
      </c>
      <c r="C435" s="14" t="s">
        <v>187</v>
      </c>
      <c r="D435" s="23" t="s">
        <v>217</v>
      </c>
      <c r="E435" s="23" t="s">
        <v>39</v>
      </c>
      <c r="F435" s="23">
        <v>-5926778.0706390496</v>
      </c>
      <c r="G435" s="23">
        <v>-5927402.8142389301</v>
      </c>
      <c r="H435" s="23">
        <v>1.0001054103245299</v>
      </c>
      <c r="I435" s="23">
        <v>0</v>
      </c>
      <c r="J435" s="23" t="s">
        <v>266</v>
      </c>
      <c r="K435" s="24">
        <v>44910.000001469911</v>
      </c>
      <c r="L435" s="23">
        <v>1</v>
      </c>
      <c r="M435" s="23" t="s">
        <v>39</v>
      </c>
      <c r="N435" s="25">
        <v>0</v>
      </c>
      <c r="O435" s="26" t="str">
        <f t="shared" si="79"/>
        <v>COIN</v>
      </c>
      <c r="P435" s="26" t="str">
        <f t="shared" si="77"/>
        <v>SHORT</v>
      </c>
      <c r="Q435" s="26" t="str">
        <f t="shared" si="81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6"/>
        <v>WOOX</v>
      </c>
      <c r="W435" t="str">
        <f t="shared" si="78"/>
        <v>USDT COIN SHORT</v>
      </c>
      <c r="X435" s="94" t="s">
        <v>267</v>
      </c>
    </row>
    <row r="436" spans="1:24" x14ac:dyDescent="0.25">
      <c r="A436">
        <v>486</v>
      </c>
      <c r="B436" s="77">
        <v>44910.000000081018</v>
      </c>
      <c r="C436" s="14" t="s">
        <v>713</v>
      </c>
      <c r="D436" s="23" t="s">
        <v>713</v>
      </c>
      <c r="E436" s="23" t="s">
        <v>98</v>
      </c>
      <c r="F436" s="23">
        <v>8579966.9199999999</v>
      </c>
      <c r="G436" s="23">
        <v>8579966.9199999999</v>
      </c>
      <c r="H436" s="23">
        <v>1</v>
      </c>
      <c r="I436" s="23">
        <v>0</v>
      </c>
      <c r="J436" s="23" t="s">
        <v>318</v>
      </c>
      <c r="K436" s="24">
        <v>44910.000000081018</v>
      </c>
      <c r="L436" s="23">
        <v>1</v>
      </c>
      <c r="M436" s="23" t="s">
        <v>98</v>
      </c>
      <c r="N436" s="25">
        <v>0</v>
      </c>
      <c r="O436" s="26" t="str">
        <f t="shared" si="79"/>
        <v>CASH</v>
      </c>
      <c r="P436" s="26" t="str">
        <f t="shared" si="77"/>
        <v>LONG</v>
      </c>
      <c r="Q436" s="26" t="str">
        <f t="shared" si="81"/>
        <v>CASH LONG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6"/>
        <v>WEDBUSH</v>
      </c>
      <c r="W436" t="str">
        <f t="shared" si="78"/>
        <v>USD CASH LONG</v>
      </c>
      <c r="X436" s="94" t="s">
        <v>267</v>
      </c>
    </row>
    <row r="437" spans="1:24" x14ac:dyDescent="0.25">
      <c r="A437">
        <v>487</v>
      </c>
      <c r="B437" s="77">
        <v>44910.000000081018</v>
      </c>
      <c r="C437" s="14" t="s">
        <v>262</v>
      </c>
      <c r="D437" s="23" t="s">
        <v>262</v>
      </c>
      <c r="E437" s="23" t="s">
        <v>98</v>
      </c>
      <c r="F437" s="23">
        <v>233100.16999999899</v>
      </c>
      <c r="G437" s="23">
        <v>233100.16999999899</v>
      </c>
      <c r="H437" s="23">
        <v>1</v>
      </c>
      <c r="I437" s="23">
        <v>0</v>
      </c>
      <c r="J437" s="23" t="s">
        <v>88</v>
      </c>
      <c r="K437" s="24">
        <v>44910.000000081018</v>
      </c>
      <c r="L437" s="23">
        <v>1</v>
      </c>
      <c r="M437" s="23" t="s">
        <v>98</v>
      </c>
      <c r="N437" s="25">
        <v>0</v>
      </c>
      <c r="O437" s="26" t="str">
        <f t="shared" si="79"/>
        <v>CASH</v>
      </c>
      <c r="P437" s="26" t="str">
        <f t="shared" si="77"/>
        <v>LONG</v>
      </c>
      <c r="Q437" s="26" t="str">
        <f t="shared" si="81"/>
        <v>CASH LONG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6"/>
        <v>CASH</v>
      </c>
      <c r="W437" t="str">
        <f t="shared" si="78"/>
        <v>USD CASH LONG</v>
      </c>
      <c r="X437" s="94" t="s">
        <v>267</v>
      </c>
    </row>
    <row r="438" spans="1:24" x14ac:dyDescent="0.25">
      <c r="A438">
        <v>488</v>
      </c>
      <c r="B438" s="77">
        <v>44910.000000081018</v>
      </c>
      <c r="C438" s="14" t="s">
        <v>268</v>
      </c>
      <c r="D438" s="23" t="s">
        <v>240</v>
      </c>
      <c r="E438" s="23" t="s">
        <v>98</v>
      </c>
      <c r="F438" s="23">
        <v>30714150.289999999</v>
      </c>
      <c r="G438" s="23">
        <v>30714150.289999999</v>
      </c>
      <c r="H438" s="23">
        <v>1</v>
      </c>
      <c r="I438" s="23">
        <v>0</v>
      </c>
      <c r="J438" s="23" t="s">
        <v>318</v>
      </c>
      <c r="K438" s="24">
        <v>44910.000000081018</v>
      </c>
      <c r="L438" s="23">
        <v>1</v>
      </c>
      <c r="M438" s="23" t="s">
        <v>98</v>
      </c>
      <c r="N438" s="25">
        <v>0</v>
      </c>
      <c r="O438" s="26" t="str">
        <f t="shared" si="79"/>
        <v>CASH</v>
      </c>
      <c r="P438" s="26" t="str">
        <f t="shared" si="77"/>
        <v>LONG</v>
      </c>
      <c r="Q438" s="26" t="str">
        <f t="shared" si="81"/>
        <v>CASH LONG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6"/>
        <v>ED&amp;F Man Capital</v>
      </c>
      <c r="W438" t="str">
        <f t="shared" si="78"/>
        <v>USD CASH LONG</v>
      </c>
      <c r="X438" s="94" t="s">
        <v>267</v>
      </c>
    </row>
    <row r="439" spans="1:24" x14ac:dyDescent="0.25">
      <c r="B439" s="77"/>
      <c r="C439" s="14"/>
      <c r="D439" s="23"/>
      <c r="E439" s="23"/>
      <c r="F439" s="23"/>
      <c r="G439" s="23"/>
      <c r="H439" s="23"/>
      <c r="I439" s="23"/>
      <c r="J439" s="23"/>
      <c r="K439" s="24"/>
      <c r="L439" s="23"/>
      <c r="M439" s="23"/>
      <c r="N439" s="25">
        <v>0</v>
      </c>
      <c r="O439" s="26" t="str">
        <f t="shared" si="79"/>
        <v/>
      </c>
      <c r="P439" s="26" t="str">
        <f t="shared" si="77"/>
        <v/>
      </c>
      <c r="Q439" s="26" t="str">
        <f t="shared" si="81"/>
        <v xml:space="preserve"> 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6"/>
        <v/>
      </c>
      <c r="W439" t="str">
        <f t="shared" si="78"/>
        <v/>
      </c>
      <c r="X439" s="94" t="s">
        <v>267</v>
      </c>
    </row>
    <row r="440" spans="1:24" x14ac:dyDescent="0.25">
      <c r="B440" s="77"/>
      <c r="C440" s="14"/>
      <c r="D440" s="23"/>
      <c r="E440" s="23"/>
      <c r="F440" s="23"/>
      <c r="G440" s="23"/>
      <c r="H440" s="23"/>
      <c r="I440" s="23"/>
      <c r="J440" s="23"/>
      <c r="K440" s="24"/>
      <c r="L440" s="23"/>
      <c r="M440" s="23"/>
      <c r="N440" s="25">
        <v>0</v>
      </c>
      <c r="O440" s="26" t="str">
        <f t="shared" si="79"/>
        <v/>
      </c>
      <c r="P440" s="26" t="str">
        <f t="shared" si="77"/>
        <v/>
      </c>
      <c r="Q440" s="26" t="str">
        <f t="shared" si="81"/>
        <v xml:space="preserve"> 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6"/>
        <v/>
      </c>
      <c r="W440" t="str">
        <f t="shared" si="78"/>
        <v/>
      </c>
      <c r="X440" s="94" t="s">
        <v>267</v>
      </c>
    </row>
    <row r="441" spans="1:24" x14ac:dyDescent="0.25">
      <c r="B441" s="77"/>
      <c r="C441" s="14"/>
      <c r="D441" s="23"/>
      <c r="E441" s="23"/>
      <c r="F441" s="23"/>
      <c r="G441" s="23"/>
      <c r="H441" s="23"/>
      <c r="I441" s="23"/>
      <c r="J441" s="23"/>
      <c r="K441" s="24"/>
      <c r="L441" s="23"/>
      <c r="M441" s="23"/>
      <c r="N441" s="25">
        <v>0</v>
      </c>
      <c r="O441" s="26" t="str">
        <f t="shared" si="79"/>
        <v/>
      </c>
      <c r="P441" s="26" t="str">
        <f t="shared" si="77"/>
        <v/>
      </c>
      <c r="Q441" s="26" t="str">
        <f t="shared" si="81"/>
        <v xml:space="preserve"> 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6"/>
        <v/>
      </c>
      <c r="W441" t="str">
        <f t="shared" si="78"/>
        <v/>
      </c>
      <c r="X441" s="94" t="s">
        <v>267</v>
      </c>
    </row>
    <row r="442" spans="1:24" x14ac:dyDescent="0.25">
      <c r="B442" s="77"/>
      <c r="C442" s="14"/>
      <c r="D442" s="23"/>
      <c r="E442" s="23"/>
      <c r="F442" s="23"/>
      <c r="G442" s="23"/>
      <c r="H442" s="23"/>
      <c r="I442" s="23"/>
      <c r="J442" s="23"/>
      <c r="K442" s="24"/>
      <c r="L442" s="23"/>
      <c r="M442" s="23"/>
      <c r="N442" s="25">
        <v>0</v>
      </c>
      <c r="O442" s="26" t="str">
        <f t="shared" si="79"/>
        <v/>
      </c>
      <c r="P442" s="26" t="str">
        <f t="shared" si="77"/>
        <v/>
      </c>
      <c r="Q442" s="26" t="str">
        <f t="shared" si="81"/>
        <v xml:space="preserve"> 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6"/>
        <v/>
      </c>
      <c r="W442" t="str">
        <f t="shared" si="78"/>
        <v/>
      </c>
      <c r="X442" s="94" t="s">
        <v>267</v>
      </c>
    </row>
    <row r="443" spans="1:24" x14ac:dyDescent="0.25">
      <c r="B443" s="77"/>
      <c r="C443" s="14"/>
      <c r="D443" s="23"/>
      <c r="E443" s="23"/>
      <c r="F443" s="23"/>
      <c r="G443" s="23"/>
      <c r="H443" s="23"/>
      <c r="I443" s="23"/>
      <c r="J443" s="23"/>
      <c r="K443" s="24"/>
      <c r="L443" s="23"/>
      <c r="M443" s="23"/>
      <c r="N443" s="25">
        <v>0</v>
      </c>
      <c r="O443" s="26" t="str">
        <f t="shared" si="79"/>
        <v/>
      </c>
      <c r="P443" s="26" t="str">
        <f t="shared" si="77"/>
        <v/>
      </c>
      <c r="Q443" s="26" t="str">
        <f t="shared" ref="Q443:Q499" si="82">O443&amp;" "&amp;P443</f>
        <v xml:space="preserve"> 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6"/>
        <v/>
      </c>
      <c r="W443" t="str">
        <f t="shared" si="78"/>
        <v/>
      </c>
      <c r="X443" s="94" t="s">
        <v>267</v>
      </c>
    </row>
    <row r="444" spans="1:24" x14ac:dyDescent="0.25">
      <c r="B444" s="77"/>
      <c r="C444" s="14"/>
      <c r="D444" s="23"/>
      <c r="E444" s="23"/>
      <c r="F444" s="23"/>
      <c r="G444" s="23"/>
      <c r="H444" s="23"/>
      <c r="I444" s="23"/>
      <c r="J444" s="23"/>
      <c r="K444" s="24"/>
      <c r="L444" s="23"/>
      <c r="M444" s="23"/>
      <c r="N444" s="25">
        <v>0</v>
      </c>
      <c r="O444" s="26" t="str">
        <f t="shared" si="79"/>
        <v/>
      </c>
      <c r="P444" s="26" t="str">
        <f t="shared" si="77"/>
        <v/>
      </c>
      <c r="Q444" s="26" t="str">
        <f t="shared" si="82"/>
        <v xml:space="preserve"> 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6"/>
        <v/>
      </c>
      <c r="W444" t="str">
        <f t="shared" si="78"/>
        <v/>
      </c>
      <c r="X444" s="94" t="s">
        <v>267</v>
      </c>
    </row>
    <row r="445" spans="1:24" x14ac:dyDescent="0.25">
      <c r="B445" s="77"/>
      <c r="C445" s="14"/>
      <c r="D445" s="23"/>
      <c r="E445" s="23"/>
      <c r="F445" s="23"/>
      <c r="G445" s="23"/>
      <c r="H445" s="23"/>
      <c r="I445" s="23"/>
      <c r="J445" s="23"/>
      <c r="K445" s="24"/>
      <c r="L445" s="23"/>
      <c r="M445" s="23"/>
      <c r="N445" s="25">
        <v>0</v>
      </c>
      <c r="O445" s="26" t="str">
        <f t="shared" si="79"/>
        <v/>
      </c>
      <c r="P445" s="26" t="str">
        <f t="shared" si="77"/>
        <v/>
      </c>
      <c r="Q445" s="26" t="str">
        <f t="shared" si="82"/>
        <v xml:space="preserve"> 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6"/>
        <v/>
      </c>
      <c r="W445" t="str">
        <f t="shared" si="78"/>
        <v/>
      </c>
      <c r="X445" s="94" t="s">
        <v>267</v>
      </c>
    </row>
    <row r="446" spans="1:24" x14ac:dyDescent="0.25">
      <c r="B446" s="77"/>
      <c r="C446" s="14"/>
      <c r="D446" s="23"/>
      <c r="E446" s="23"/>
      <c r="F446" s="23"/>
      <c r="G446" s="23"/>
      <c r="H446" s="23"/>
      <c r="I446" s="23"/>
      <c r="J446" s="23"/>
      <c r="K446" s="24"/>
      <c r="L446" s="23"/>
      <c r="M446" s="23"/>
      <c r="N446" s="25">
        <v>0</v>
      </c>
      <c r="O446" s="26" t="str">
        <f t="shared" si="79"/>
        <v/>
      </c>
      <c r="P446" s="26" t="str">
        <f t="shared" si="77"/>
        <v/>
      </c>
      <c r="Q446" s="26" t="str">
        <f t="shared" si="82"/>
        <v xml:space="preserve"> 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6"/>
        <v/>
      </c>
      <c r="W446" t="str">
        <f t="shared" si="78"/>
        <v/>
      </c>
      <c r="X446" s="94" t="s">
        <v>267</v>
      </c>
    </row>
    <row r="447" spans="1:24" x14ac:dyDescent="0.25">
      <c r="B447" s="77"/>
      <c r="C447" s="14"/>
      <c r="D447" s="23"/>
      <c r="E447" s="23"/>
      <c r="F447" s="23"/>
      <c r="G447" s="23"/>
      <c r="H447" s="23"/>
      <c r="I447" s="23"/>
      <c r="J447" s="23"/>
      <c r="K447" s="24"/>
      <c r="L447" s="23"/>
      <c r="M447" s="23"/>
      <c r="N447" s="25">
        <v>0</v>
      </c>
      <c r="O447" s="26" t="str">
        <f t="shared" si="79"/>
        <v/>
      </c>
      <c r="P447" s="26" t="str">
        <f t="shared" si="77"/>
        <v/>
      </c>
      <c r="Q447" s="26" t="str">
        <f t="shared" si="82"/>
        <v xml:space="preserve"> 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6"/>
        <v/>
      </c>
      <c r="W447" t="str">
        <f t="shared" si="78"/>
        <v/>
      </c>
      <c r="X447" s="94" t="s">
        <v>267</v>
      </c>
    </row>
    <row r="448" spans="1:24" x14ac:dyDescent="0.25">
      <c r="B448" s="77"/>
      <c r="C448" s="14"/>
      <c r="D448" s="23"/>
      <c r="E448" s="23"/>
      <c r="F448" s="23"/>
      <c r="G448" s="23"/>
      <c r="H448" s="23"/>
      <c r="I448" s="23"/>
      <c r="J448" s="23"/>
      <c r="K448" s="24"/>
      <c r="L448" s="23"/>
      <c r="M448" s="23"/>
      <c r="N448" s="25">
        <v>0</v>
      </c>
      <c r="O448" s="26" t="str">
        <f t="shared" si="79"/>
        <v/>
      </c>
      <c r="P448" s="26" t="str">
        <f t="shared" si="77"/>
        <v/>
      </c>
      <c r="Q448" s="26" t="str">
        <f t="shared" si="82"/>
        <v xml:space="preserve"> 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6"/>
        <v/>
      </c>
      <c r="W448" t="str">
        <f t="shared" si="78"/>
        <v/>
      </c>
      <c r="X448" s="94" t="s">
        <v>267</v>
      </c>
    </row>
    <row r="449" spans="2:24" x14ac:dyDescent="0.25">
      <c r="B449" s="77"/>
      <c r="C449" s="14"/>
      <c r="D449" s="23"/>
      <c r="E449" s="23"/>
      <c r="F449" s="23"/>
      <c r="G449" s="23"/>
      <c r="H449" s="23"/>
      <c r="I449" s="23"/>
      <c r="J449" s="23"/>
      <c r="K449" s="24"/>
      <c r="L449" s="23"/>
      <c r="M449" s="23"/>
      <c r="N449" s="25">
        <v>0</v>
      </c>
      <c r="O449" s="26" t="str">
        <f t="shared" si="79"/>
        <v/>
      </c>
      <c r="P449" s="26" t="str">
        <f t="shared" si="77"/>
        <v/>
      </c>
      <c r="Q449" s="26" t="str">
        <f t="shared" si="82"/>
        <v xml:space="preserve"> 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6"/>
        <v/>
      </c>
      <c r="W449" t="str">
        <f t="shared" si="78"/>
        <v/>
      </c>
      <c r="X449" s="94" t="s">
        <v>267</v>
      </c>
    </row>
    <row r="450" spans="2:24" x14ac:dyDescent="0.25">
      <c r="B450" s="77"/>
      <c r="C450" s="14"/>
      <c r="D450" s="23"/>
      <c r="E450" s="23"/>
      <c r="F450" s="23"/>
      <c r="G450" s="23"/>
      <c r="H450" s="23"/>
      <c r="I450" s="23"/>
      <c r="J450" s="23"/>
      <c r="K450" s="24"/>
      <c r="L450" s="23"/>
      <c r="M450" s="23"/>
      <c r="N450" s="25">
        <v>0</v>
      </c>
      <c r="O450" s="26" t="str">
        <f t="shared" si="79"/>
        <v/>
      </c>
      <c r="P450" s="26" t="str">
        <f t="shared" si="77"/>
        <v/>
      </c>
      <c r="Q450" s="26" t="str">
        <f t="shared" si="82"/>
        <v xml:space="preserve"> 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3">IF($C450="","",IF(ISERROR(SEARCH("-",$D450)),$D450,LEFT($D450,SEARCH("-",$D450)-1)))</f>
        <v/>
      </c>
      <c r="W450" t="str">
        <f t="shared" si="78"/>
        <v/>
      </c>
      <c r="X450" s="94" t="s">
        <v>267</v>
      </c>
    </row>
    <row r="451" spans="2:24" x14ac:dyDescent="0.25">
      <c r="B451" s="77"/>
      <c r="C451" s="14"/>
      <c r="D451" s="23"/>
      <c r="E451" s="23"/>
      <c r="F451" s="23"/>
      <c r="G451" s="23"/>
      <c r="H451" s="23"/>
      <c r="I451" s="23"/>
      <c r="J451" s="23"/>
      <c r="K451" s="24"/>
      <c r="L451" s="23"/>
      <c r="M451" s="23"/>
      <c r="N451" s="25">
        <v>0</v>
      </c>
      <c r="O451" s="26" t="str">
        <f t="shared" si="79"/>
        <v/>
      </c>
      <c r="P451" s="26" t="str">
        <f t="shared" ref="P451:P499" si="84">IF($C451="","",IF($J451="CME FUTURE","HEDGE",IF($G451&gt;0,"LONG","SHORT")))</f>
        <v/>
      </c>
      <c r="Q451" s="26" t="str">
        <f t="shared" si="82"/>
        <v xml:space="preserve"> 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3"/>
        <v/>
      </c>
      <c r="W451" t="str">
        <f t="shared" si="78"/>
        <v/>
      </c>
      <c r="X451" s="94" t="s">
        <v>267</v>
      </c>
    </row>
    <row r="452" spans="2:24" x14ac:dyDescent="0.25">
      <c r="B452" s="77"/>
      <c r="C452" s="14"/>
      <c r="D452" s="23"/>
      <c r="E452" s="23"/>
      <c r="F452" s="23"/>
      <c r="G452" s="23"/>
      <c r="H452" s="23"/>
      <c r="I452" s="23"/>
      <c r="J452" s="23"/>
      <c r="K452" s="24"/>
      <c r="L452" s="23"/>
      <c r="M452" s="23"/>
      <c r="N452" s="25">
        <v>0</v>
      </c>
      <c r="O452" s="26" t="str">
        <f t="shared" si="79"/>
        <v/>
      </c>
      <c r="P452" s="26" t="str">
        <f t="shared" si="84"/>
        <v/>
      </c>
      <c r="Q452" s="26" t="str">
        <f t="shared" si="82"/>
        <v xml:space="preserve"> 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3"/>
        <v/>
      </c>
      <c r="W452" t="str">
        <f t="shared" si="78"/>
        <v/>
      </c>
      <c r="X452" s="94" t="s">
        <v>267</v>
      </c>
    </row>
    <row r="453" spans="2:24" x14ac:dyDescent="0.25">
      <c r="B453" s="77"/>
      <c r="C453" s="14"/>
      <c r="D453" s="23"/>
      <c r="E453" s="23"/>
      <c r="F453" s="23"/>
      <c r="G453" s="23"/>
      <c r="H453" s="23"/>
      <c r="I453" s="23"/>
      <c r="J453" s="23"/>
      <c r="K453" s="24"/>
      <c r="L453" s="23"/>
      <c r="M453" s="23"/>
      <c r="N453" s="25">
        <v>0</v>
      </c>
      <c r="O453" s="26" t="str">
        <f t="shared" si="79"/>
        <v/>
      </c>
      <c r="P453" s="26" t="str">
        <f t="shared" si="84"/>
        <v/>
      </c>
      <c r="Q453" s="26" t="str">
        <f t="shared" si="82"/>
        <v xml:space="preserve"> 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3"/>
        <v/>
      </c>
      <c r="W453" t="str">
        <f t="shared" si="78"/>
        <v/>
      </c>
      <c r="X453" s="94" t="s">
        <v>267</v>
      </c>
    </row>
    <row r="454" spans="2:24" x14ac:dyDescent="0.25">
      <c r="B454" s="77"/>
      <c r="C454" s="14"/>
      <c r="D454" s="23"/>
      <c r="E454" s="23"/>
      <c r="F454" s="23"/>
      <c r="G454" s="23"/>
      <c r="H454" s="23"/>
      <c r="I454" s="23"/>
      <c r="J454" s="23"/>
      <c r="K454" s="24"/>
      <c r="L454" s="23"/>
      <c r="M454" s="23"/>
      <c r="N454" s="25">
        <v>0</v>
      </c>
      <c r="O454" s="26" t="str">
        <f t="shared" si="79"/>
        <v/>
      </c>
      <c r="P454" s="26" t="str">
        <f t="shared" si="84"/>
        <v/>
      </c>
      <c r="Q454" s="26" t="str">
        <f t="shared" si="82"/>
        <v xml:space="preserve"> 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3"/>
        <v/>
      </c>
      <c r="W454" t="str">
        <f t="shared" ref="W454:W499" si="85">IF($C454="","",$M454&amp;" "&amp;$Q454)</f>
        <v/>
      </c>
      <c r="X454" s="94" t="s">
        <v>267</v>
      </c>
    </row>
    <row r="455" spans="2:24" x14ac:dyDescent="0.25">
      <c r="B455" s="77"/>
      <c r="C455" s="14"/>
      <c r="D455" s="23"/>
      <c r="E455" s="23"/>
      <c r="F455" s="23"/>
      <c r="G455" s="23"/>
      <c r="H455" s="23"/>
      <c r="I455" s="23"/>
      <c r="J455" s="23"/>
      <c r="K455" s="24"/>
      <c r="L455" s="23"/>
      <c r="M455" s="23"/>
      <c r="N455" s="25">
        <v>0</v>
      </c>
      <c r="O455" s="26" t="str">
        <f t="shared" si="79"/>
        <v/>
      </c>
      <c r="P455" s="26" t="str">
        <f t="shared" si="84"/>
        <v/>
      </c>
      <c r="Q455" s="26" t="str">
        <f t="shared" si="82"/>
        <v xml:space="preserve"> 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3"/>
        <v/>
      </c>
      <c r="W455" t="str">
        <f t="shared" si="85"/>
        <v/>
      </c>
      <c r="X455" s="94" t="s">
        <v>267</v>
      </c>
    </row>
    <row r="456" spans="2:24" x14ac:dyDescent="0.25">
      <c r="B456" s="77"/>
      <c r="C456" s="14"/>
      <c r="D456" s="23"/>
      <c r="E456" s="23"/>
      <c r="F456" s="23"/>
      <c r="G456" s="23"/>
      <c r="H456" s="23"/>
      <c r="I456" s="23"/>
      <c r="J456" s="23"/>
      <c r="K456" s="24"/>
      <c r="L456" s="23"/>
      <c r="M456" s="23"/>
      <c r="N456" s="25">
        <v>0</v>
      </c>
      <c r="O456" s="26" t="str">
        <f t="shared" si="79"/>
        <v/>
      </c>
      <c r="P456" s="26" t="str">
        <f t="shared" si="84"/>
        <v/>
      </c>
      <c r="Q456" s="26" t="str">
        <f t="shared" si="82"/>
        <v xml:space="preserve"> 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3"/>
        <v/>
      </c>
      <c r="W456" t="str">
        <f t="shared" si="85"/>
        <v/>
      </c>
      <c r="X456" s="94" t="s">
        <v>267</v>
      </c>
    </row>
    <row r="457" spans="2:24" x14ac:dyDescent="0.25">
      <c r="B457" s="77"/>
      <c r="C457" s="14"/>
      <c r="D457" s="23"/>
      <c r="E457" s="23"/>
      <c r="F457" s="23"/>
      <c r="G457" s="23"/>
      <c r="H457" s="23"/>
      <c r="I457" s="23"/>
      <c r="J457" s="23"/>
      <c r="K457" s="24"/>
      <c r="L457" s="23"/>
      <c r="M457" s="23"/>
      <c r="N457" s="25">
        <v>0</v>
      </c>
      <c r="O457" s="26" t="str">
        <f t="shared" si="79"/>
        <v/>
      </c>
      <c r="P457" s="26" t="str">
        <f t="shared" si="84"/>
        <v/>
      </c>
      <c r="Q457" s="26" t="str">
        <f t="shared" si="82"/>
        <v xml:space="preserve"> 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3"/>
        <v/>
      </c>
      <c r="W457" t="str">
        <f t="shared" si="85"/>
        <v/>
      </c>
      <c r="X457" s="94" t="s">
        <v>267</v>
      </c>
    </row>
    <row r="458" spans="2:24" x14ac:dyDescent="0.25">
      <c r="B458" s="77"/>
      <c r="C458" s="14"/>
      <c r="D458" s="23"/>
      <c r="E458" s="23"/>
      <c r="F458" s="23"/>
      <c r="G458" s="23"/>
      <c r="H458" s="23"/>
      <c r="I458" s="23"/>
      <c r="J458" s="23"/>
      <c r="K458" s="24"/>
      <c r="L458" s="23"/>
      <c r="M458" s="23"/>
      <c r="N458" s="25">
        <v>0</v>
      </c>
      <c r="O458" s="26" t="str">
        <f t="shared" si="79"/>
        <v/>
      </c>
      <c r="P458" s="26" t="str">
        <f t="shared" si="84"/>
        <v/>
      </c>
      <c r="Q458" s="26" t="str">
        <f t="shared" si="82"/>
        <v xml:space="preserve"> 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3"/>
        <v/>
      </c>
      <c r="W458" t="str">
        <f t="shared" si="85"/>
        <v/>
      </c>
      <c r="X458" s="94" t="s">
        <v>267</v>
      </c>
    </row>
    <row r="459" spans="2:24" x14ac:dyDescent="0.25">
      <c r="B459" s="77"/>
      <c r="C459" s="14"/>
      <c r="D459" s="23"/>
      <c r="E459" s="23"/>
      <c r="F459" s="23"/>
      <c r="G459" s="23"/>
      <c r="H459" s="23"/>
      <c r="I459" s="23"/>
      <c r="J459" s="23"/>
      <c r="K459" s="24"/>
      <c r="L459" s="23"/>
      <c r="M459" s="23"/>
      <c r="N459" s="25">
        <v>0</v>
      </c>
      <c r="O459" s="26" t="str">
        <f t="shared" si="79"/>
        <v/>
      </c>
      <c r="P459" s="26" t="str">
        <f t="shared" si="84"/>
        <v/>
      </c>
      <c r="Q459" s="26" t="str">
        <f t="shared" si="82"/>
        <v xml:space="preserve"> 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3"/>
        <v/>
      </c>
      <c r="W459" t="str">
        <f t="shared" si="85"/>
        <v/>
      </c>
      <c r="X459" s="94" t="s">
        <v>267</v>
      </c>
    </row>
    <row r="460" spans="2:24" x14ac:dyDescent="0.25">
      <c r="B460" s="77"/>
      <c r="C460" s="14"/>
      <c r="D460" s="23"/>
      <c r="E460" s="23"/>
      <c r="F460" s="23"/>
      <c r="G460" s="23"/>
      <c r="H460" s="23"/>
      <c r="I460" s="23"/>
      <c r="J460" s="23"/>
      <c r="K460" s="24"/>
      <c r="L460" s="23"/>
      <c r="M460" s="23"/>
      <c r="N460" s="25">
        <v>0</v>
      </c>
      <c r="O460" s="26" t="str">
        <f t="shared" si="79"/>
        <v/>
      </c>
      <c r="P460" s="26" t="str">
        <f t="shared" si="84"/>
        <v/>
      </c>
      <c r="Q460" s="26" t="str">
        <f t="shared" si="82"/>
        <v xml:space="preserve"> 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3"/>
        <v/>
      </c>
      <c r="W460" t="str">
        <f t="shared" si="85"/>
        <v/>
      </c>
      <c r="X460" s="94" t="s">
        <v>267</v>
      </c>
    </row>
    <row r="461" spans="2:24" x14ac:dyDescent="0.25">
      <c r="B461" s="77"/>
      <c r="C461" s="14"/>
      <c r="D461" s="23"/>
      <c r="E461" s="23"/>
      <c r="F461" s="23"/>
      <c r="G461" s="23"/>
      <c r="H461" s="23"/>
      <c r="I461" s="23"/>
      <c r="J461" s="23"/>
      <c r="K461" s="24"/>
      <c r="L461" s="23"/>
      <c r="M461" s="23"/>
      <c r="N461" s="25">
        <v>0</v>
      </c>
      <c r="O461" s="26" t="str">
        <f t="shared" si="79"/>
        <v/>
      </c>
      <c r="P461" s="26" t="str">
        <f t="shared" si="84"/>
        <v/>
      </c>
      <c r="Q461" s="26" t="str">
        <f t="shared" si="82"/>
        <v xml:space="preserve"> 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3"/>
        <v/>
      </c>
      <c r="W461" t="str">
        <f t="shared" si="85"/>
        <v/>
      </c>
      <c r="X461" s="94" t="s">
        <v>267</v>
      </c>
    </row>
    <row r="462" spans="2:24" x14ac:dyDescent="0.25">
      <c r="B462" s="77"/>
      <c r="C462" s="14"/>
      <c r="D462" s="23"/>
      <c r="E462" s="23"/>
      <c r="F462" s="23"/>
      <c r="G462" s="23"/>
      <c r="H462" s="23"/>
      <c r="I462" s="23"/>
      <c r="J462" s="23"/>
      <c r="K462" s="24"/>
      <c r="L462" s="23"/>
      <c r="M462" s="23"/>
      <c r="N462" s="25">
        <v>0</v>
      </c>
      <c r="O462" s="26" t="str">
        <f t="shared" si="79"/>
        <v/>
      </c>
      <c r="P462" s="26" t="str">
        <f t="shared" si="84"/>
        <v/>
      </c>
      <c r="Q462" s="26" t="str">
        <f t="shared" si="82"/>
        <v xml:space="preserve"> 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3"/>
        <v/>
      </c>
      <c r="W462" t="str">
        <f t="shared" si="85"/>
        <v/>
      </c>
      <c r="X462" s="94" t="s">
        <v>267</v>
      </c>
    </row>
    <row r="463" spans="2:24" x14ac:dyDescent="0.25">
      <c r="B463" s="77"/>
      <c r="C463" s="14"/>
      <c r="D463" s="23"/>
      <c r="E463" s="23"/>
      <c r="F463" s="23"/>
      <c r="G463" s="23"/>
      <c r="H463" s="23"/>
      <c r="I463" s="23"/>
      <c r="J463" s="23"/>
      <c r="K463" s="24"/>
      <c r="L463" s="23"/>
      <c r="M463" s="23"/>
      <c r="N463" s="25">
        <v>0</v>
      </c>
      <c r="O463" s="26" t="str">
        <f t="shared" ref="O463:O499" si="86">IF($C463="","",IF(OR($E463="USD",$E463="EUR"),"CASH","COIN"))</f>
        <v/>
      </c>
      <c r="P463" s="26" t="str">
        <f t="shared" si="84"/>
        <v/>
      </c>
      <c r="Q463" s="26" t="str">
        <f t="shared" si="82"/>
        <v xml:space="preserve"> 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3"/>
        <v/>
      </c>
      <c r="W463" t="str">
        <f t="shared" si="85"/>
        <v/>
      </c>
      <c r="X463" s="94" t="s">
        <v>267</v>
      </c>
    </row>
    <row r="464" spans="2:24" x14ac:dyDescent="0.25">
      <c r="B464" s="77"/>
      <c r="C464" s="14"/>
      <c r="D464" s="23"/>
      <c r="E464" s="23"/>
      <c r="F464" s="23"/>
      <c r="G464" s="23"/>
      <c r="H464" s="23"/>
      <c r="I464" s="23"/>
      <c r="J464" s="23"/>
      <c r="K464" s="24"/>
      <c r="L464" s="23"/>
      <c r="M464" s="23"/>
      <c r="N464" s="25">
        <v>0</v>
      </c>
      <c r="O464" s="26" t="str">
        <f t="shared" si="86"/>
        <v/>
      </c>
      <c r="P464" s="26" t="str">
        <f t="shared" si="84"/>
        <v/>
      </c>
      <c r="Q464" s="26" t="str">
        <f t="shared" si="82"/>
        <v xml:space="preserve"> 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3"/>
        <v/>
      </c>
      <c r="W464" t="str">
        <f t="shared" si="85"/>
        <v/>
      </c>
      <c r="X464" s="94" t="s">
        <v>267</v>
      </c>
    </row>
    <row r="465" spans="2:24" x14ac:dyDescent="0.25">
      <c r="B465" s="77"/>
      <c r="C465" s="14"/>
      <c r="D465" s="23"/>
      <c r="E465" s="23"/>
      <c r="F465" s="23"/>
      <c r="G465" s="23"/>
      <c r="H465" s="23"/>
      <c r="I465" s="23"/>
      <c r="J465" s="23"/>
      <c r="K465" s="24"/>
      <c r="L465" s="23"/>
      <c r="M465" s="23"/>
      <c r="N465" s="25">
        <v>0</v>
      </c>
      <c r="O465" s="26" t="str">
        <f t="shared" si="86"/>
        <v/>
      </c>
      <c r="P465" s="26" t="str">
        <f t="shared" si="84"/>
        <v/>
      </c>
      <c r="Q465" s="26" t="str">
        <f t="shared" si="82"/>
        <v xml:space="preserve"> 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3"/>
        <v/>
      </c>
      <c r="W465" t="str">
        <f t="shared" si="85"/>
        <v/>
      </c>
      <c r="X465" s="94" t="s">
        <v>267</v>
      </c>
    </row>
    <row r="466" spans="2:24" x14ac:dyDescent="0.25">
      <c r="B466" s="77"/>
      <c r="C466" s="14"/>
      <c r="D466" s="23"/>
      <c r="E466" s="23"/>
      <c r="F466" s="23"/>
      <c r="G466" s="23"/>
      <c r="H466" s="23"/>
      <c r="I466" s="23"/>
      <c r="J466" s="23"/>
      <c r="K466" s="24"/>
      <c r="L466" s="23"/>
      <c r="M466" s="23"/>
      <c r="N466" s="25">
        <v>0</v>
      </c>
      <c r="O466" s="26" t="str">
        <f t="shared" si="86"/>
        <v/>
      </c>
      <c r="P466" s="26" t="str">
        <f t="shared" si="84"/>
        <v/>
      </c>
      <c r="Q466" s="26" t="str">
        <f t="shared" si="82"/>
        <v xml:space="preserve"> 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3"/>
        <v/>
      </c>
      <c r="W466" t="str">
        <f t="shared" si="85"/>
        <v/>
      </c>
      <c r="X466" s="94" t="s">
        <v>267</v>
      </c>
    </row>
    <row r="467" spans="2:24" x14ac:dyDescent="0.25">
      <c r="B467" s="77"/>
      <c r="C467" s="14"/>
      <c r="D467" s="23"/>
      <c r="E467" s="23"/>
      <c r="F467" s="23"/>
      <c r="G467" s="23"/>
      <c r="H467" s="23"/>
      <c r="I467" s="23"/>
      <c r="J467" s="23"/>
      <c r="K467" s="24"/>
      <c r="L467" s="23"/>
      <c r="M467" s="23"/>
      <c r="N467" s="25">
        <v>0</v>
      </c>
      <c r="O467" s="26" t="str">
        <f t="shared" si="86"/>
        <v/>
      </c>
      <c r="P467" s="26" t="str">
        <f t="shared" si="84"/>
        <v/>
      </c>
      <c r="Q467" s="26" t="str">
        <f t="shared" si="82"/>
        <v xml:space="preserve"> 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3"/>
        <v/>
      </c>
      <c r="W467" t="str">
        <f t="shared" si="85"/>
        <v/>
      </c>
      <c r="X467" s="94" t="s">
        <v>267</v>
      </c>
    </row>
    <row r="468" spans="2:24" x14ac:dyDescent="0.25">
      <c r="B468" s="77"/>
      <c r="C468" s="14"/>
      <c r="D468" s="23"/>
      <c r="E468" s="23"/>
      <c r="F468" s="23"/>
      <c r="G468" s="23"/>
      <c r="H468" s="23"/>
      <c r="I468" s="23"/>
      <c r="J468" s="23"/>
      <c r="K468" s="24"/>
      <c r="L468" s="23"/>
      <c r="M468" s="23"/>
      <c r="N468" s="25">
        <v>0</v>
      </c>
      <c r="O468" s="26" t="str">
        <f t="shared" si="86"/>
        <v/>
      </c>
      <c r="P468" s="26" t="str">
        <f t="shared" si="84"/>
        <v/>
      </c>
      <c r="Q468" s="26" t="str">
        <f t="shared" si="82"/>
        <v xml:space="preserve"> 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3"/>
        <v/>
      </c>
      <c r="W468" t="str">
        <f t="shared" si="85"/>
        <v/>
      </c>
      <c r="X468" s="94" t="s">
        <v>267</v>
      </c>
    </row>
    <row r="469" spans="2:24" x14ac:dyDescent="0.25">
      <c r="B469" s="77"/>
      <c r="C469" s="14"/>
      <c r="D469" s="23"/>
      <c r="E469" s="23"/>
      <c r="F469" s="23"/>
      <c r="G469" s="23"/>
      <c r="H469" s="23"/>
      <c r="I469" s="23"/>
      <c r="J469" s="23"/>
      <c r="K469" s="24"/>
      <c r="L469" s="23"/>
      <c r="M469" s="23"/>
      <c r="N469" s="25">
        <v>0</v>
      </c>
      <c r="O469" s="26" t="str">
        <f t="shared" si="86"/>
        <v/>
      </c>
      <c r="P469" s="26" t="str">
        <f t="shared" si="84"/>
        <v/>
      </c>
      <c r="Q469" s="26" t="str">
        <f t="shared" si="82"/>
        <v xml:space="preserve"> 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3"/>
        <v/>
      </c>
      <c r="W469" t="str">
        <f t="shared" si="85"/>
        <v/>
      </c>
      <c r="X469" s="94" t="s">
        <v>267</v>
      </c>
    </row>
    <row r="470" spans="2:24" x14ac:dyDescent="0.25">
      <c r="B470" s="77"/>
      <c r="C470" s="14"/>
      <c r="D470" s="23"/>
      <c r="E470" s="23"/>
      <c r="F470" s="23"/>
      <c r="G470" s="23"/>
      <c r="H470" s="23"/>
      <c r="I470" s="23"/>
      <c r="J470" s="23"/>
      <c r="K470" s="24"/>
      <c r="L470" s="23"/>
      <c r="M470" s="23"/>
      <c r="N470" s="25">
        <v>0</v>
      </c>
      <c r="O470" s="26" t="str">
        <f t="shared" si="86"/>
        <v/>
      </c>
      <c r="P470" s="26" t="str">
        <f t="shared" si="84"/>
        <v/>
      </c>
      <c r="Q470" s="26" t="str">
        <f t="shared" si="82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3"/>
        <v/>
      </c>
      <c r="W470" t="str">
        <f t="shared" si="85"/>
        <v/>
      </c>
      <c r="X470" s="94" t="s">
        <v>267</v>
      </c>
    </row>
    <row r="471" spans="2:24" x14ac:dyDescent="0.25">
      <c r="B471" s="77"/>
      <c r="C471" s="14"/>
      <c r="D471" s="23"/>
      <c r="E471" s="23"/>
      <c r="F471" s="23"/>
      <c r="G471" s="23"/>
      <c r="H471" s="23"/>
      <c r="I471" s="23"/>
      <c r="J471" s="23"/>
      <c r="K471" s="24"/>
      <c r="L471" s="23"/>
      <c r="M471" s="23"/>
      <c r="N471" s="25">
        <v>0</v>
      </c>
      <c r="O471" s="26" t="str">
        <f t="shared" si="86"/>
        <v/>
      </c>
      <c r="P471" s="26" t="str">
        <f t="shared" si="84"/>
        <v/>
      </c>
      <c r="Q471" s="26" t="str">
        <f t="shared" si="82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3"/>
        <v/>
      </c>
      <c r="W471" t="str">
        <f t="shared" si="85"/>
        <v/>
      </c>
      <c r="X471" s="94" t="s">
        <v>267</v>
      </c>
    </row>
    <row r="472" spans="2:24" x14ac:dyDescent="0.25">
      <c r="B472" s="77"/>
      <c r="C472" s="14"/>
      <c r="D472" s="23"/>
      <c r="E472" s="23"/>
      <c r="F472" s="23"/>
      <c r="G472" s="23"/>
      <c r="H472" s="23"/>
      <c r="I472" s="23"/>
      <c r="J472" s="23"/>
      <c r="K472" s="24"/>
      <c r="L472" s="23"/>
      <c r="M472" s="23"/>
      <c r="N472" s="25">
        <v>0</v>
      </c>
      <c r="O472" s="26" t="str">
        <f t="shared" si="86"/>
        <v/>
      </c>
      <c r="P472" s="26" t="str">
        <f t="shared" si="84"/>
        <v/>
      </c>
      <c r="Q472" s="26" t="str">
        <f t="shared" si="82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3"/>
        <v/>
      </c>
      <c r="W472" t="str">
        <f t="shared" si="85"/>
        <v/>
      </c>
      <c r="X472" s="94" t="s">
        <v>267</v>
      </c>
    </row>
    <row r="473" spans="2:24" x14ac:dyDescent="0.25">
      <c r="B473" s="77"/>
      <c r="C473" s="14"/>
      <c r="D473" s="23"/>
      <c r="E473" s="23"/>
      <c r="F473" s="23"/>
      <c r="G473" s="23"/>
      <c r="H473" s="23"/>
      <c r="I473" s="23"/>
      <c r="J473" s="23"/>
      <c r="K473" s="24"/>
      <c r="L473" s="23"/>
      <c r="M473" s="23"/>
      <c r="N473" s="25">
        <v>0</v>
      </c>
      <c r="O473" s="26" t="str">
        <f t="shared" si="86"/>
        <v/>
      </c>
      <c r="P473" s="26" t="str">
        <f t="shared" si="84"/>
        <v/>
      </c>
      <c r="Q473" s="26" t="str">
        <f t="shared" si="82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3"/>
        <v/>
      </c>
      <c r="W473" t="str">
        <f t="shared" si="85"/>
        <v/>
      </c>
      <c r="X473" s="94" t="s">
        <v>267</v>
      </c>
    </row>
    <row r="474" spans="2:24" x14ac:dyDescent="0.25">
      <c r="B474" s="77"/>
      <c r="C474" s="14"/>
      <c r="D474" s="23"/>
      <c r="E474" s="23"/>
      <c r="F474" s="23"/>
      <c r="G474" s="23"/>
      <c r="H474" s="23"/>
      <c r="I474" s="23"/>
      <c r="J474" s="23"/>
      <c r="K474" s="24"/>
      <c r="L474" s="23"/>
      <c r="M474" s="23"/>
      <c r="N474" s="25">
        <v>0</v>
      </c>
      <c r="O474" s="26" t="str">
        <f t="shared" si="86"/>
        <v/>
      </c>
      <c r="P474" s="26" t="str">
        <f t="shared" si="84"/>
        <v/>
      </c>
      <c r="Q474" s="26" t="str">
        <f t="shared" si="82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3"/>
        <v/>
      </c>
      <c r="W474" t="str">
        <f t="shared" si="85"/>
        <v/>
      </c>
      <c r="X474" s="94" t="s">
        <v>267</v>
      </c>
    </row>
    <row r="475" spans="2:24" x14ac:dyDescent="0.25">
      <c r="B475" s="77"/>
      <c r="C475" s="14"/>
      <c r="D475" s="23"/>
      <c r="E475" s="23"/>
      <c r="F475" s="23"/>
      <c r="G475" s="23"/>
      <c r="H475" s="23"/>
      <c r="I475" s="23"/>
      <c r="J475" s="23"/>
      <c r="K475" s="24"/>
      <c r="L475" s="23"/>
      <c r="M475" s="23"/>
      <c r="N475" s="25">
        <v>0</v>
      </c>
      <c r="O475" s="26" t="str">
        <f t="shared" si="86"/>
        <v/>
      </c>
      <c r="P475" s="26" t="str">
        <f t="shared" si="84"/>
        <v/>
      </c>
      <c r="Q475" s="26" t="str">
        <f t="shared" si="82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3"/>
        <v/>
      </c>
      <c r="W475" t="str">
        <f t="shared" si="85"/>
        <v/>
      </c>
      <c r="X475" s="94" t="s">
        <v>267</v>
      </c>
    </row>
    <row r="476" spans="2:24" x14ac:dyDescent="0.25">
      <c r="B476" s="77"/>
      <c r="C476" s="14"/>
      <c r="D476" s="23"/>
      <c r="E476" s="23"/>
      <c r="F476" s="23"/>
      <c r="G476" s="23"/>
      <c r="H476" s="23"/>
      <c r="I476" s="23"/>
      <c r="J476" s="23"/>
      <c r="K476" s="24"/>
      <c r="L476" s="23"/>
      <c r="M476" s="23"/>
      <c r="N476" s="25">
        <v>0</v>
      </c>
      <c r="O476" s="26" t="str">
        <f t="shared" si="86"/>
        <v/>
      </c>
      <c r="P476" s="26" t="str">
        <f t="shared" si="84"/>
        <v/>
      </c>
      <c r="Q476" s="26" t="str">
        <f t="shared" si="82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3"/>
        <v/>
      </c>
      <c r="W476" t="str">
        <f t="shared" si="85"/>
        <v/>
      </c>
      <c r="X476" s="94" t="s">
        <v>267</v>
      </c>
    </row>
    <row r="477" spans="2:24" x14ac:dyDescent="0.25">
      <c r="B477" s="77"/>
      <c r="C477" s="14"/>
      <c r="D477" s="23"/>
      <c r="E477" s="23"/>
      <c r="F477" s="23"/>
      <c r="G477" s="23"/>
      <c r="H477" s="23"/>
      <c r="I477" s="23"/>
      <c r="J477" s="23"/>
      <c r="K477" s="24"/>
      <c r="L477" s="23"/>
      <c r="M477" s="23"/>
      <c r="N477" s="25">
        <v>0</v>
      </c>
      <c r="O477" s="26" t="str">
        <f t="shared" si="86"/>
        <v/>
      </c>
      <c r="P477" s="26" t="str">
        <f t="shared" si="84"/>
        <v/>
      </c>
      <c r="Q477" s="26" t="str">
        <f t="shared" si="82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3"/>
        <v/>
      </c>
      <c r="W477" t="str">
        <f t="shared" si="85"/>
        <v/>
      </c>
      <c r="X477" s="94" t="s">
        <v>267</v>
      </c>
    </row>
    <row r="478" spans="2:24" x14ac:dyDescent="0.25">
      <c r="B478" s="77"/>
      <c r="C478" s="14"/>
      <c r="D478" s="23"/>
      <c r="E478" s="23"/>
      <c r="F478" s="23"/>
      <c r="G478" s="23"/>
      <c r="H478" s="23"/>
      <c r="I478" s="23"/>
      <c r="J478" s="23"/>
      <c r="K478" s="24"/>
      <c r="L478" s="23"/>
      <c r="M478" s="23"/>
      <c r="N478" s="25">
        <v>0</v>
      </c>
      <c r="O478" s="26" t="str">
        <f t="shared" si="86"/>
        <v/>
      </c>
      <c r="P478" s="26" t="str">
        <f t="shared" si="84"/>
        <v/>
      </c>
      <c r="Q478" s="26" t="str">
        <f t="shared" si="82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3"/>
        <v/>
      </c>
      <c r="W478" t="str">
        <f t="shared" si="85"/>
        <v/>
      </c>
      <c r="X478" s="94" t="s">
        <v>267</v>
      </c>
    </row>
    <row r="479" spans="2:24" x14ac:dyDescent="0.25">
      <c r="B479" s="77"/>
      <c r="C479" s="14"/>
      <c r="D479" s="23"/>
      <c r="E479" s="23"/>
      <c r="F479" s="23"/>
      <c r="G479" s="23"/>
      <c r="H479" s="23"/>
      <c r="I479" s="23"/>
      <c r="J479" s="23"/>
      <c r="K479" s="24"/>
      <c r="L479" s="23"/>
      <c r="M479" s="23"/>
      <c r="N479" s="25">
        <v>0</v>
      </c>
      <c r="O479" s="26" t="str">
        <f t="shared" si="86"/>
        <v/>
      </c>
      <c r="P479" s="26" t="str">
        <f t="shared" si="84"/>
        <v/>
      </c>
      <c r="Q479" s="26" t="str">
        <f t="shared" si="82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3"/>
        <v/>
      </c>
      <c r="W479" t="str">
        <f t="shared" si="85"/>
        <v/>
      </c>
      <c r="X479" s="94" t="s">
        <v>267</v>
      </c>
    </row>
    <row r="480" spans="2:24" x14ac:dyDescent="0.25">
      <c r="B480" s="77"/>
      <c r="C480" s="14"/>
      <c r="D480" s="23"/>
      <c r="E480" s="23"/>
      <c r="F480" s="23"/>
      <c r="G480" s="23"/>
      <c r="H480" s="23"/>
      <c r="I480" s="23"/>
      <c r="J480" s="23"/>
      <c r="K480" s="24"/>
      <c r="L480" s="23"/>
      <c r="M480" s="23"/>
      <c r="N480" s="25">
        <v>0</v>
      </c>
      <c r="O480" s="26" t="str">
        <f t="shared" si="86"/>
        <v/>
      </c>
      <c r="P480" s="26" t="str">
        <f t="shared" si="84"/>
        <v/>
      </c>
      <c r="Q480" s="26" t="str">
        <f t="shared" si="82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3"/>
        <v/>
      </c>
      <c r="W480" t="str">
        <f t="shared" si="85"/>
        <v/>
      </c>
      <c r="X480" s="94" t="s">
        <v>267</v>
      </c>
    </row>
    <row r="481" spans="2:24" x14ac:dyDescent="0.25">
      <c r="B481" s="77"/>
      <c r="C481" s="14"/>
      <c r="D481" s="23"/>
      <c r="E481" s="23"/>
      <c r="F481" s="23"/>
      <c r="G481" s="23"/>
      <c r="H481" s="23"/>
      <c r="I481" s="23"/>
      <c r="J481" s="23"/>
      <c r="K481" s="24"/>
      <c r="L481" s="23"/>
      <c r="M481" s="23"/>
      <c r="N481" s="25">
        <v>0</v>
      </c>
      <c r="O481" s="26" t="str">
        <f t="shared" si="86"/>
        <v/>
      </c>
      <c r="P481" s="26" t="str">
        <f t="shared" si="84"/>
        <v/>
      </c>
      <c r="Q481" s="26" t="str">
        <f t="shared" si="82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3"/>
        <v/>
      </c>
      <c r="W481" t="str">
        <f t="shared" si="85"/>
        <v/>
      </c>
      <c r="X481" s="94" t="s">
        <v>267</v>
      </c>
    </row>
    <row r="482" spans="2:24" x14ac:dyDescent="0.25">
      <c r="B482" s="77"/>
      <c r="C482" s="14"/>
      <c r="D482" s="23"/>
      <c r="E482" s="23"/>
      <c r="F482" s="23"/>
      <c r="G482" s="23"/>
      <c r="H482" s="23"/>
      <c r="I482" s="23"/>
      <c r="J482" s="23"/>
      <c r="K482" s="24"/>
      <c r="L482" s="23"/>
      <c r="M482" s="23"/>
      <c r="N482" s="25">
        <v>0</v>
      </c>
      <c r="O482" s="26" t="str">
        <f t="shared" si="86"/>
        <v/>
      </c>
      <c r="P482" s="26" t="str">
        <f t="shared" si="84"/>
        <v/>
      </c>
      <c r="Q482" s="26" t="str">
        <f t="shared" si="82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3"/>
        <v/>
      </c>
      <c r="W482" t="str">
        <f t="shared" si="85"/>
        <v/>
      </c>
      <c r="X482" s="94" t="s">
        <v>267</v>
      </c>
    </row>
    <row r="483" spans="2:24" x14ac:dyDescent="0.25">
      <c r="B483" s="77"/>
      <c r="C483" s="14"/>
      <c r="D483" s="23"/>
      <c r="E483" s="23"/>
      <c r="F483" s="23"/>
      <c r="G483" s="23"/>
      <c r="H483" s="23"/>
      <c r="I483" s="23"/>
      <c r="J483" s="23"/>
      <c r="K483" s="24"/>
      <c r="L483" s="23"/>
      <c r="M483" s="23"/>
      <c r="N483" s="25">
        <v>0</v>
      </c>
      <c r="O483" s="26" t="str">
        <f t="shared" si="86"/>
        <v/>
      </c>
      <c r="P483" s="26" t="str">
        <f t="shared" si="84"/>
        <v/>
      </c>
      <c r="Q483" s="26" t="str">
        <f t="shared" si="82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3"/>
        <v/>
      </c>
      <c r="W483" t="str">
        <f t="shared" si="85"/>
        <v/>
      </c>
      <c r="X483" s="94" t="s">
        <v>267</v>
      </c>
    </row>
    <row r="484" spans="2:24" x14ac:dyDescent="0.25">
      <c r="B484" s="77"/>
      <c r="C484" s="14"/>
      <c r="D484" s="23"/>
      <c r="E484" s="23"/>
      <c r="F484" s="23"/>
      <c r="G484" s="23"/>
      <c r="H484" s="23"/>
      <c r="I484" s="23"/>
      <c r="J484" s="23"/>
      <c r="K484" s="24"/>
      <c r="L484" s="23"/>
      <c r="M484" s="23"/>
      <c r="N484" s="25">
        <v>0</v>
      </c>
      <c r="O484" s="26" t="str">
        <f t="shared" si="86"/>
        <v/>
      </c>
      <c r="P484" s="26" t="str">
        <f t="shared" si="84"/>
        <v/>
      </c>
      <c r="Q484" s="26" t="str">
        <f t="shared" si="82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3"/>
        <v/>
      </c>
      <c r="W484" t="str">
        <f t="shared" si="85"/>
        <v/>
      </c>
      <c r="X484" s="94" t="s">
        <v>267</v>
      </c>
    </row>
    <row r="485" spans="2:24" x14ac:dyDescent="0.25">
      <c r="B485" s="77"/>
      <c r="C485" s="14"/>
      <c r="D485" s="23"/>
      <c r="E485" s="23"/>
      <c r="F485" s="23"/>
      <c r="G485" s="23"/>
      <c r="H485" s="23"/>
      <c r="I485" s="23"/>
      <c r="J485" s="23"/>
      <c r="K485" s="24"/>
      <c r="L485" s="23"/>
      <c r="M485" s="23"/>
      <c r="N485" s="25">
        <v>0</v>
      </c>
      <c r="O485" s="26" t="str">
        <f t="shared" si="86"/>
        <v/>
      </c>
      <c r="P485" s="26" t="str">
        <f t="shared" si="84"/>
        <v/>
      </c>
      <c r="Q485" s="26" t="str">
        <f t="shared" si="82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3"/>
        <v/>
      </c>
      <c r="W485" t="str">
        <f t="shared" si="85"/>
        <v/>
      </c>
      <c r="X485" s="94" t="s">
        <v>267</v>
      </c>
    </row>
    <row r="486" spans="2:24" x14ac:dyDescent="0.25">
      <c r="B486" s="77"/>
      <c r="C486" s="14"/>
      <c r="D486" s="23"/>
      <c r="E486" s="23"/>
      <c r="F486" s="23"/>
      <c r="G486" s="23"/>
      <c r="H486" s="23"/>
      <c r="I486" s="23"/>
      <c r="J486" s="23"/>
      <c r="K486" s="24"/>
      <c r="L486" s="23"/>
      <c r="M486" s="23"/>
      <c r="N486" s="25">
        <v>0</v>
      </c>
      <c r="O486" s="26" t="str">
        <f t="shared" si="86"/>
        <v/>
      </c>
      <c r="P486" s="26" t="str">
        <f t="shared" si="84"/>
        <v/>
      </c>
      <c r="Q486" s="26" t="str">
        <f t="shared" si="82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3"/>
        <v/>
      </c>
      <c r="W486" t="str">
        <f t="shared" si="85"/>
        <v/>
      </c>
      <c r="X486" s="94" t="s">
        <v>267</v>
      </c>
    </row>
    <row r="487" spans="2:24" x14ac:dyDescent="0.25">
      <c r="B487" s="77"/>
      <c r="C487" s="14"/>
      <c r="D487" s="23"/>
      <c r="E487" s="23"/>
      <c r="F487" s="23"/>
      <c r="G487" s="23"/>
      <c r="H487" s="23"/>
      <c r="I487" s="23"/>
      <c r="J487" s="23"/>
      <c r="K487" s="24"/>
      <c r="L487" s="23"/>
      <c r="M487" s="23"/>
      <c r="N487" s="25">
        <v>0</v>
      </c>
      <c r="O487" s="26" t="str">
        <f t="shared" si="86"/>
        <v/>
      </c>
      <c r="P487" s="26" t="str">
        <f t="shared" si="84"/>
        <v/>
      </c>
      <c r="Q487" s="26" t="str">
        <f t="shared" si="82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3"/>
        <v/>
      </c>
      <c r="W487" t="str">
        <f t="shared" si="85"/>
        <v/>
      </c>
      <c r="X487" s="94" t="s">
        <v>267</v>
      </c>
    </row>
    <row r="488" spans="2:24" x14ac:dyDescent="0.25">
      <c r="B488" s="77"/>
      <c r="C488" s="14"/>
      <c r="D488" s="23"/>
      <c r="E488" s="23"/>
      <c r="F488" s="23"/>
      <c r="G488" s="23"/>
      <c r="H488" s="23"/>
      <c r="I488" s="23"/>
      <c r="J488" s="23"/>
      <c r="K488" s="24"/>
      <c r="L488" s="23"/>
      <c r="M488" s="23"/>
      <c r="N488" s="25">
        <v>0</v>
      </c>
      <c r="O488" s="26" t="str">
        <f t="shared" si="86"/>
        <v/>
      </c>
      <c r="P488" s="26" t="str">
        <f t="shared" si="84"/>
        <v/>
      </c>
      <c r="Q488" s="26" t="str">
        <f t="shared" si="82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3"/>
        <v/>
      </c>
      <c r="W488" t="str">
        <f t="shared" si="85"/>
        <v/>
      </c>
      <c r="X488" s="94" t="s">
        <v>267</v>
      </c>
    </row>
    <row r="489" spans="2:24" x14ac:dyDescent="0.25">
      <c r="B489" s="77"/>
      <c r="C489" s="14"/>
      <c r="D489" s="23"/>
      <c r="E489" s="23"/>
      <c r="F489" s="23"/>
      <c r="G489" s="23"/>
      <c r="H489" s="23"/>
      <c r="I489" s="23"/>
      <c r="J489" s="23"/>
      <c r="K489" s="24"/>
      <c r="L489" s="23"/>
      <c r="M489" s="23"/>
      <c r="N489" s="25">
        <v>0</v>
      </c>
      <c r="O489" s="26" t="str">
        <f t="shared" si="86"/>
        <v/>
      </c>
      <c r="P489" s="26" t="str">
        <f t="shared" si="84"/>
        <v/>
      </c>
      <c r="Q489" s="26" t="str">
        <f t="shared" si="82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3"/>
        <v/>
      </c>
      <c r="W489" t="str">
        <f t="shared" si="85"/>
        <v/>
      </c>
      <c r="X489" s="94" t="s">
        <v>267</v>
      </c>
    </row>
    <row r="490" spans="2:24" x14ac:dyDescent="0.25">
      <c r="B490" s="77"/>
      <c r="C490" s="14"/>
      <c r="D490" s="23"/>
      <c r="E490" s="23"/>
      <c r="F490" s="23"/>
      <c r="G490" s="23"/>
      <c r="H490" s="23"/>
      <c r="I490" s="23"/>
      <c r="J490" s="23"/>
      <c r="K490" s="24"/>
      <c r="L490" s="23"/>
      <c r="M490" s="23"/>
      <c r="N490" s="25">
        <v>0</v>
      </c>
      <c r="O490" s="26" t="str">
        <f t="shared" si="86"/>
        <v/>
      </c>
      <c r="P490" s="26" t="str">
        <f t="shared" si="84"/>
        <v/>
      </c>
      <c r="Q490" s="26" t="str">
        <f t="shared" si="82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3"/>
        <v/>
      </c>
      <c r="W490" t="str">
        <f t="shared" si="85"/>
        <v/>
      </c>
      <c r="X490" s="94" t="s">
        <v>267</v>
      </c>
    </row>
    <row r="491" spans="2:24" x14ac:dyDescent="0.25">
      <c r="B491" s="77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25">
        <v>0</v>
      </c>
      <c r="O491" s="26" t="str">
        <f t="shared" si="86"/>
        <v/>
      </c>
      <c r="P491" s="26" t="str">
        <f t="shared" si="84"/>
        <v/>
      </c>
      <c r="Q491" s="26" t="str">
        <f t="shared" si="82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3"/>
        <v/>
      </c>
      <c r="W491" t="str">
        <f t="shared" si="85"/>
        <v/>
      </c>
      <c r="X491" s="94" t="s">
        <v>267</v>
      </c>
    </row>
    <row r="492" spans="2:24" x14ac:dyDescent="0.25">
      <c r="B492" s="77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25">
        <v>0</v>
      </c>
      <c r="O492" s="26" t="str">
        <f t="shared" si="86"/>
        <v/>
      </c>
      <c r="P492" s="26" t="str">
        <f t="shared" si="84"/>
        <v/>
      </c>
      <c r="Q492" s="26" t="str">
        <f t="shared" si="82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3"/>
        <v/>
      </c>
      <c r="W492" t="str">
        <f t="shared" si="85"/>
        <v/>
      </c>
      <c r="X492" s="94" t="s">
        <v>267</v>
      </c>
    </row>
    <row r="493" spans="2:24" x14ac:dyDescent="0.25">
      <c r="B493" s="77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25">
        <v>0</v>
      </c>
      <c r="O493" s="26" t="str">
        <f t="shared" si="86"/>
        <v/>
      </c>
      <c r="P493" s="26" t="str">
        <f t="shared" si="84"/>
        <v/>
      </c>
      <c r="Q493" s="26" t="str">
        <f t="shared" si="82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3"/>
        <v/>
      </c>
      <c r="W493" t="str">
        <f t="shared" si="85"/>
        <v/>
      </c>
      <c r="X493" s="94" t="s">
        <v>267</v>
      </c>
    </row>
    <row r="494" spans="2:24" x14ac:dyDescent="0.25">
      <c r="B494" s="77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25">
        <v>0</v>
      </c>
      <c r="O494" s="26" t="str">
        <f t="shared" si="86"/>
        <v/>
      </c>
      <c r="P494" s="26" t="str">
        <f t="shared" si="84"/>
        <v/>
      </c>
      <c r="Q494" s="26" t="str">
        <f t="shared" si="82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3"/>
        <v/>
      </c>
      <c r="W494" t="str">
        <f t="shared" si="85"/>
        <v/>
      </c>
      <c r="X494" s="94" t="s">
        <v>267</v>
      </c>
    </row>
    <row r="495" spans="2:24" x14ac:dyDescent="0.25">
      <c r="B495" s="77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25">
        <v>0</v>
      </c>
      <c r="O495" s="26" t="str">
        <f t="shared" si="86"/>
        <v/>
      </c>
      <c r="P495" s="26" t="str">
        <f t="shared" si="84"/>
        <v/>
      </c>
      <c r="Q495" s="26" t="str">
        <f t="shared" si="82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3"/>
        <v/>
      </c>
      <c r="W495" t="str">
        <f t="shared" si="85"/>
        <v/>
      </c>
      <c r="X495" s="94" t="s">
        <v>267</v>
      </c>
    </row>
    <row r="496" spans="2:24" x14ac:dyDescent="0.25">
      <c r="B496" s="77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25">
        <v>0</v>
      </c>
      <c r="O496" s="26" t="str">
        <f t="shared" si="86"/>
        <v/>
      </c>
      <c r="P496" s="26" t="str">
        <f t="shared" si="84"/>
        <v/>
      </c>
      <c r="Q496" s="26" t="str">
        <f t="shared" si="82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3"/>
        <v/>
      </c>
      <c r="W496" t="str">
        <f t="shared" si="85"/>
        <v/>
      </c>
      <c r="X496" s="94" t="s">
        <v>267</v>
      </c>
    </row>
    <row r="497" spans="2:24" x14ac:dyDescent="0.25">
      <c r="B497" s="77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25">
        <v>0</v>
      </c>
      <c r="O497" s="26" t="str">
        <f t="shared" si="86"/>
        <v/>
      </c>
      <c r="P497" s="26" t="str">
        <f t="shared" si="84"/>
        <v/>
      </c>
      <c r="Q497" s="26" t="str">
        <f t="shared" si="82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3"/>
        <v/>
      </c>
      <c r="W497" t="str">
        <f t="shared" si="85"/>
        <v/>
      </c>
      <c r="X497" s="94" t="s">
        <v>267</v>
      </c>
    </row>
    <row r="498" spans="2:24" x14ac:dyDescent="0.25">
      <c r="B498" s="77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25">
        <v>0</v>
      </c>
      <c r="O498" s="26" t="str">
        <f t="shared" si="86"/>
        <v/>
      </c>
      <c r="P498" s="26" t="str">
        <f t="shared" si="84"/>
        <v/>
      </c>
      <c r="Q498" s="26" t="str">
        <f t="shared" si="82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3"/>
        <v/>
      </c>
      <c r="W498" t="str">
        <f t="shared" si="85"/>
        <v/>
      </c>
      <c r="X498" s="94" t="s">
        <v>267</v>
      </c>
    </row>
    <row r="499" spans="2:24" x14ac:dyDescent="0.25">
      <c r="B499" s="77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25">
        <v>0</v>
      </c>
      <c r="O499" s="26" t="str">
        <f t="shared" si="86"/>
        <v/>
      </c>
      <c r="P499" s="26" t="str">
        <f t="shared" si="84"/>
        <v/>
      </c>
      <c r="Q499" s="26" t="str">
        <f t="shared" si="82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3"/>
        <v/>
      </c>
      <c r="W499" t="str">
        <f t="shared" si="85"/>
        <v/>
      </c>
      <c r="X499" s="94" t="s">
        <v>267</v>
      </c>
    </row>
    <row r="500" spans="2:24" x14ac:dyDescent="0.25">
      <c r="N500" t="s">
        <v>267</v>
      </c>
      <c r="P500" t="str">
        <f t="shared" ref="P500:P513" si="87">IF($C500="","",IF($G500&gt;0,"LONG","SHORT"))</f>
        <v/>
      </c>
      <c r="Q500" t="s">
        <v>267</v>
      </c>
      <c r="R500" t="s">
        <v>267</v>
      </c>
      <c r="S500" t="s">
        <v>267</v>
      </c>
      <c r="T500" t="s">
        <v>267</v>
      </c>
      <c r="U500" t="s">
        <v>267</v>
      </c>
      <c r="V500" t="s">
        <v>267</v>
      </c>
      <c r="W500" t="str">
        <f t="shared" ref="W500:W517" si="88">IF($C500="","",$M500&amp;" "&amp;$Q500)</f>
        <v/>
      </c>
    </row>
    <row r="501" spans="2:24" x14ac:dyDescent="0.25">
      <c r="N501" t="s">
        <v>267</v>
      </c>
      <c r="P501" t="str">
        <f t="shared" si="87"/>
        <v/>
      </c>
      <c r="Q501" t="s">
        <v>267</v>
      </c>
      <c r="R501" t="s">
        <v>267</v>
      </c>
      <c r="S501" t="s">
        <v>267</v>
      </c>
      <c r="T501" t="s">
        <v>267</v>
      </c>
      <c r="U501" t="s">
        <v>267</v>
      </c>
      <c r="V501" t="s">
        <v>267</v>
      </c>
      <c r="W501" t="str">
        <f t="shared" si="88"/>
        <v/>
      </c>
    </row>
    <row r="502" spans="2:24" x14ac:dyDescent="0.25">
      <c r="N502" t="s">
        <v>267</v>
      </c>
      <c r="P502" t="str">
        <f t="shared" si="87"/>
        <v/>
      </c>
      <c r="Q502" t="s">
        <v>267</v>
      </c>
      <c r="R502" t="s">
        <v>267</v>
      </c>
      <c r="S502" t="s">
        <v>267</v>
      </c>
      <c r="T502" t="s">
        <v>267</v>
      </c>
      <c r="U502" t="s">
        <v>267</v>
      </c>
      <c r="V502" t="s">
        <v>267</v>
      </c>
      <c r="W502" t="str">
        <f t="shared" si="88"/>
        <v/>
      </c>
    </row>
    <row r="503" spans="2:24" x14ac:dyDescent="0.25">
      <c r="N503" t="s">
        <v>267</v>
      </c>
      <c r="P503" t="str">
        <f t="shared" si="87"/>
        <v/>
      </c>
      <c r="Q503" t="s">
        <v>267</v>
      </c>
      <c r="R503" t="s">
        <v>267</v>
      </c>
      <c r="S503" t="s">
        <v>267</v>
      </c>
      <c r="T503" t="s">
        <v>267</v>
      </c>
      <c r="U503" t="s">
        <v>267</v>
      </c>
      <c r="V503" t="s">
        <v>267</v>
      </c>
      <c r="W503" t="str">
        <f t="shared" si="88"/>
        <v/>
      </c>
    </row>
    <row r="504" spans="2:24" x14ac:dyDescent="0.25">
      <c r="N504" t="s">
        <v>267</v>
      </c>
      <c r="P504" t="str">
        <f t="shared" si="87"/>
        <v/>
      </c>
      <c r="Q504" t="s">
        <v>267</v>
      </c>
      <c r="R504" t="s">
        <v>267</v>
      </c>
      <c r="S504" t="s">
        <v>267</v>
      </c>
      <c r="T504" t="s">
        <v>267</v>
      </c>
      <c r="U504" t="s">
        <v>267</v>
      </c>
      <c r="V504" t="s">
        <v>267</v>
      </c>
      <c r="W504" t="str">
        <f t="shared" si="88"/>
        <v/>
      </c>
    </row>
    <row r="505" spans="2:24" x14ac:dyDescent="0.25">
      <c r="N505" t="s">
        <v>267</v>
      </c>
      <c r="P505" t="str">
        <f t="shared" si="87"/>
        <v/>
      </c>
      <c r="Q505" t="s">
        <v>267</v>
      </c>
      <c r="R505" t="s">
        <v>267</v>
      </c>
      <c r="S505" t="s">
        <v>267</v>
      </c>
      <c r="T505" t="s">
        <v>267</v>
      </c>
      <c r="U505" t="s">
        <v>267</v>
      </c>
      <c r="V505" t="s">
        <v>267</v>
      </c>
      <c r="W505" t="str">
        <f t="shared" si="88"/>
        <v/>
      </c>
    </row>
    <row r="506" spans="2:24" x14ac:dyDescent="0.25">
      <c r="N506" t="s">
        <v>267</v>
      </c>
      <c r="P506" t="str">
        <f t="shared" si="87"/>
        <v/>
      </c>
      <c r="Q506" t="s">
        <v>267</v>
      </c>
      <c r="R506" t="s">
        <v>267</v>
      </c>
      <c r="S506" t="s">
        <v>267</v>
      </c>
      <c r="T506" t="s">
        <v>267</v>
      </c>
      <c r="U506" t="s">
        <v>267</v>
      </c>
      <c r="V506" t="s">
        <v>267</v>
      </c>
      <c r="W506" t="str">
        <f t="shared" si="88"/>
        <v/>
      </c>
    </row>
    <row r="507" spans="2:24" x14ac:dyDescent="0.25">
      <c r="N507" t="s">
        <v>267</v>
      </c>
      <c r="P507" t="str">
        <f t="shared" si="87"/>
        <v/>
      </c>
      <c r="Q507" t="s">
        <v>267</v>
      </c>
      <c r="R507" t="s">
        <v>267</v>
      </c>
      <c r="S507" t="s">
        <v>267</v>
      </c>
      <c r="T507" t="s">
        <v>267</v>
      </c>
      <c r="U507" t="s">
        <v>267</v>
      </c>
      <c r="V507" t="s">
        <v>267</v>
      </c>
      <c r="W507" t="str">
        <f t="shared" si="88"/>
        <v/>
      </c>
    </row>
    <row r="508" spans="2:24" x14ac:dyDescent="0.25">
      <c r="N508" t="s">
        <v>267</v>
      </c>
      <c r="P508" t="str">
        <f t="shared" si="87"/>
        <v/>
      </c>
      <c r="Q508" t="s">
        <v>267</v>
      </c>
      <c r="R508" t="s">
        <v>267</v>
      </c>
      <c r="S508" t="s">
        <v>267</v>
      </c>
      <c r="T508" t="s">
        <v>267</v>
      </c>
      <c r="U508" t="s">
        <v>267</v>
      </c>
      <c r="V508" t="s">
        <v>267</v>
      </c>
      <c r="W508" t="str">
        <f t="shared" si="88"/>
        <v/>
      </c>
    </row>
    <row r="509" spans="2:24" x14ac:dyDescent="0.25">
      <c r="N509" t="s">
        <v>267</v>
      </c>
      <c r="P509" t="str">
        <f t="shared" si="87"/>
        <v/>
      </c>
      <c r="Q509" t="s">
        <v>267</v>
      </c>
      <c r="R509" t="s">
        <v>267</v>
      </c>
      <c r="S509" t="s">
        <v>267</v>
      </c>
      <c r="T509" t="s">
        <v>267</v>
      </c>
      <c r="U509" t="s">
        <v>267</v>
      </c>
      <c r="V509" t="s">
        <v>267</v>
      </c>
      <c r="W509" t="str">
        <f t="shared" si="88"/>
        <v/>
      </c>
    </row>
    <row r="510" spans="2:24" x14ac:dyDescent="0.25">
      <c r="N510" t="s">
        <v>267</v>
      </c>
      <c r="P510" t="str">
        <f t="shared" si="87"/>
        <v/>
      </c>
      <c r="Q510" t="s">
        <v>267</v>
      </c>
      <c r="R510" t="s">
        <v>267</v>
      </c>
      <c r="S510" t="s">
        <v>267</v>
      </c>
      <c r="T510" t="s">
        <v>267</v>
      </c>
      <c r="U510" t="s">
        <v>267</v>
      </c>
      <c r="V510" t="s">
        <v>267</v>
      </c>
      <c r="W510" t="str">
        <f t="shared" si="88"/>
        <v/>
      </c>
    </row>
    <row r="511" spans="2:24" x14ac:dyDescent="0.25">
      <c r="N511" t="s">
        <v>267</v>
      </c>
      <c r="P511" t="str">
        <f t="shared" si="87"/>
        <v/>
      </c>
      <c r="Q511" t="s">
        <v>267</v>
      </c>
      <c r="R511" t="s">
        <v>267</v>
      </c>
      <c r="S511" t="s">
        <v>267</v>
      </c>
      <c r="T511" t="s">
        <v>267</v>
      </c>
      <c r="U511" t="s">
        <v>267</v>
      </c>
      <c r="V511" t="s">
        <v>267</v>
      </c>
      <c r="W511" t="str">
        <f t="shared" si="88"/>
        <v/>
      </c>
    </row>
    <row r="512" spans="2:24" x14ac:dyDescent="0.25">
      <c r="N512" t="s">
        <v>267</v>
      </c>
      <c r="P512" t="str">
        <f t="shared" si="87"/>
        <v/>
      </c>
      <c r="Q512" t="s">
        <v>267</v>
      </c>
      <c r="R512" t="s">
        <v>267</v>
      </c>
      <c r="S512" t="s">
        <v>267</v>
      </c>
      <c r="T512" t="s">
        <v>267</v>
      </c>
      <c r="U512" t="s">
        <v>267</v>
      </c>
      <c r="V512" t="s">
        <v>267</v>
      </c>
      <c r="W512" t="str">
        <f t="shared" si="88"/>
        <v/>
      </c>
    </row>
    <row r="513" spans="14:23" x14ac:dyDescent="0.25">
      <c r="N513" t="s">
        <v>267</v>
      </c>
      <c r="P513" t="str">
        <f t="shared" si="87"/>
        <v/>
      </c>
      <c r="Q513" t="s">
        <v>267</v>
      </c>
      <c r="R513" t="s">
        <v>267</v>
      </c>
      <c r="S513" t="s">
        <v>267</v>
      </c>
      <c r="T513" t="s">
        <v>267</v>
      </c>
      <c r="U513" t="s">
        <v>267</v>
      </c>
      <c r="V513" t="s">
        <v>267</v>
      </c>
      <c r="W513" t="str">
        <f t="shared" si="88"/>
        <v/>
      </c>
    </row>
    <row r="514" spans="14:23" x14ac:dyDescent="0.25">
      <c r="N514" t="s">
        <v>267</v>
      </c>
      <c r="P514" t="str">
        <f t="shared" ref="P514:P577" si="89">IF($C514="","",IF($G514&gt;0,"LONG","SHORT"))</f>
        <v/>
      </c>
      <c r="Q514" t="s">
        <v>267</v>
      </c>
      <c r="R514" t="s">
        <v>267</v>
      </c>
      <c r="S514" t="s">
        <v>267</v>
      </c>
      <c r="T514" t="s">
        <v>267</v>
      </c>
      <c r="U514" t="s">
        <v>267</v>
      </c>
      <c r="V514" t="s">
        <v>267</v>
      </c>
      <c r="W514" t="str">
        <f t="shared" si="88"/>
        <v/>
      </c>
    </row>
    <row r="515" spans="14:23" x14ac:dyDescent="0.25">
      <c r="N515" t="s">
        <v>267</v>
      </c>
      <c r="P515" t="str">
        <f t="shared" si="89"/>
        <v/>
      </c>
      <c r="Q515" t="s">
        <v>267</v>
      </c>
      <c r="R515" t="s">
        <v>267</v>
      </c>
      <c r="S515" t="s">
        <v>267</v>
      </c>
      <c r="T515" t="s">
        <v>267</v>
      </c>
      <c r="U515" t="s">
        <v>267</v>
      </c>
      <c r="V515" t="s">
        <v>267</v>
      </c>
      <c r="W515" t="str">
        <f t="shared" si="88"/>
        <v/>
      </c>
    </row>
    <row r="516" spans="14:23" x14ac:dyDescent="0.25">
      <c r="N516" t="s">
        <v>267</v>
      </c>
      <c r="P516" t="str">
        <f t="shared" si="89"/>
        <v/>
      </c>
      <c r="Q516" t="s">
        <v>267</v>
      </c>
      <c r="R516" t="s">
        <v>267</v>
      </c>
      <c r="S516" t="s">
        <v>267</v>
      </c>
      <c r="T516" t="s">
        <v>267</v>
      </c>
      <c r="U516" t="s">
        <v>267</v>
      </c>
      <c r="V516" t="s">
        <v>267</v>
      </c>
      <c r="W516" t="str">
        <f t="shared" si="88"/>
        <v/>
      </c>
    </row>
    <row r="517" spans="14:23" x14ac:dyDescent="0.25">
      <c r="N517" t="s">
        <v>267</v>
      </c>
      <c r="P517" t="str">
        <f t="shared" si="89"/>
        <v/>
      </c>
      <c r="Q517" t="s">
        <v>267</v>
      </c>
      <c r="R517" t="s">
        <v>267</v>
      </c>
      <c r="S517" t="s">
        <v>267</v>
      </c>
      <c r="T517" t="s">
        <v>267</v>
      </c>
      <c r="U517" t="s">
        <v>267</v>
      </c>
      <c r="V517" t="s">
        <v>267</v>
      </c>
      <c r="W517" t="str">
        <f t="shared" si="88"/>
        <v/>
      </c>
    </row>
    <row r="518" spans="14:23" x14ac:dyDescent="0.25">
      <c r="N518" t="s">
        <v>267</v>
      </c>
      <c r="P518" t="str">
        <f t="shared" si="89"/>
        <v/>
      </c>
      <c r="Q518" t="s">
        <v>267</v>
      </c>
      <c r="R518" t="s">
        <v>267</v>
      </c>
      <c r="S518" t="s">
        <v>267</v>
      </c>
      <c r="T518" t="s">
        <v>267</v>
      </c>
      <c r="U518" t="s">
        <v>267</v>
      </c>
      <c r="V518" t="s">
        <v>267</v>
      </c>
      <c r="W518" t="str">
        <f t="shared" ref="W518:W581" si="90">IF($C518="","",$M518&amp;" "&amp;$Q518)</f>
        <v/>
      </c>
    </row>
    <row r="519" spans="14:23" x14ac:dyDescent="0.25">
      <c r="N519" t="s">
        <v>267</v>
      </c>
      <c r="P519" t="str">
        <f t="shared" si="89"/>
        <v/>
      </c>
      <c r="Q519" t="s">
        <v>267</v>
      </c>
      <c r="R519" t="s">
        <v>267</v>
      </c>
      <c r="S519" t="s">
        <v>267</v>
      </c>
      <c r="T519" t="s">
        <v>267</v>
      </c>
      <c r="U519" t="s">
        <v>267</v>
      </c>
      <c r="V519" t="s">
        <v>267</v>
      </c>
      <c r="W519" t="str">
        <f t="shared" si="90"/>
        <v/>
      </c>
    </row>
    <row r="520" spans="14:23" x14ac:dyDescent="0.25">
      <c r="N520" t="s">
        <v>267</v>
      </c>
      <c r="P520" t="str">
        <f t="shared" si="89"/>
        <v/>
      </c>
      <c r="Q520" t="s">
        <v>267</v>
      </c>
      <c r="R520" t="s">
        <v>267</v>
      </c>
      <c r="S520" t="s">
        <v>267</v>
      </c>
      <c r="T520" t="s">
        <v>267</v>
      </c>
      <c r="U520" t="s">
        <v>267</v>
      </c>
      <c r="V520" t="s">
        <v>267</v>
      </c>
      <c r="W520" t="str">
        <f t="shared" si="90"/>
        <v/>
      </c>
    </row>
    <row r="521" spans="14:23" x14ac:dyDescent="0.25">
      <c r="N521" t="s">
        <v>267</v>
      </c>
      <c r="P521" t="str">
        <f t="shared" si="89"/>
        <v/>
      </c>
      <c r="Q521" t="s">
        <v>267</v>
      </c>
      <c r="R521" t="s">
        <v>267</v>
      </c>
      <c r="S521" t="s">
        <v>267</v>
      </c>
      <c r="T521" t="s">
        <v>267</v>
      </c>
      <c r="U521" t="s">
        <v>267</v>
      </c>
      <c r="V521" t="s">
        <v>267</v>
      </c>
      <c r="W521" t="str">
        <f t="shared" si="90"/>
        <v/>
      </c>
    </row>
    <row r="522" spans="14:23" x14ac:dyDescent="0.25">
      <c r="N522" t="s">
        <v>267</v>
      </c>
      <c r="P522" t="str">
        <f t="shared" si="89"/>
        <v/>
      </c>
      <c r="Q522" t="s">
        <v>267</v>
      </c>
      <c r="R522" t="s">
        <v>267</v>
      </c>
      <c r="S522" t="s">
        <v>267</v>
      </c>
      <c r="T522" t="s">
        <v>267</v>
      </c>
      <c r="U522" t="s">
        <v>267</v>
      </c>
      <c r="V522" t="s">
        <v>267</v>
      </c>
      <c r="W522" t="str">
        <f t="shared" si="90"/>
        <v/>
      </c>
    </row>
    <row r="523" spans="14:23" x14ac:dyDescent="0.25">
      <c r="N523" t="s">
        <v>267</v>
      </c>
      <c r="P523" t="str">
        <f t="shared" si="89"/>
        <v/>
      </c>
      <c r="Q523" t="s">
        <v>267</v>
      </c>
      <c r="R523" t="s">
        <v>267</v>
      </c>
      <c r="S523" t="s">
        <v>267</v>
      </c>
      <c r="T523" t="s">
        <v>267</v>
      </c>
      <c r="U523" t="s">
        <v>267</v>
      </c>
      <c r="V523" t="s">
        <v>267</v>
      </c>
      <c r="W523" t="str">
        <f t="shared" si="90"/>
        <v/>
      </c>
    </row>
    <row r="524" spans="14:23" x14ac:dyDescent="0.25">
      <c r="N524" t="s">
        <v>267</v>
      </c>
      <c r="P524" t="str">
        <f t="shared" si="89"/>
        <v/>
      </c>
      <c r="Q524" t="s">
        <v>267</v>
      </c>
      <c r="R524" t="s">
        <v>267</v>
      </c>
      <c r="S524" t="s">
        <v>267</v>
      </c>
      <c r="T524" t="s">
        <v>267</v>
      </c>
      <c r="U524" t="s">
        <v>267</v>
      </c>
      <c r="V524" t="s">
        <v>267</v>
      </c>
      <c r="W524" t="str">
        <f t="shared" si="90"/>
        <v/>
      </c>
    </row>
    <row r="525" spans="14:23" x14ac:dyDescent="0.25">
      <c r="N525" t="s">
        <v>267</v>
      </c>
      <c r="P525" t="str">
        <f t="shared" si="89"/>
        <v/>
      </c>
      <c r="Q525" t="s">
        <v>267</v>
      </c>
      <c r="R525" t="s">
        <v>267</v>
      </c>
      <c r="S525" t="s">
        <v>267</v>
      </c>
      <c r="T525" t="s">
        <v>267</v>
      </c>
      <c r="U525" t="s">
        <v>267</v>
      </c>
      <c r="V525" t="s">
        <v>267</v>
      </c>
      <c r="W525" t="str">
        <f t="shared" si="90"/>
        <v/>
      </c>
    </row>
    <row r="526" spans="14:23" x14ac:dyDescent="0.25">
      <c r="N526" t="s">
        <v>267</v>
      </c>
      <c r="P526" t="str">
        <f t="shared" si="89"/>
        <v/>
      </c>
      <c r="Q526" t="s">
        <v>267</v>
      </c>
      <c r="R526" t="s">
        <v>267</v>
      </c>
      <c r="S526" t="s">
        <v>267</v>
      </c>
      <c r="T526" t="s">
        <v>267</v>
      </c>
      <c r="U526" t="s">
        <v>267</v>
      </c>
      <c r="V526" t="s">
        <v>267</v>
      </c>
      <c r="W526" t="str">
        <f t="shared" si="90"/>
        <v/>
      </c>
    </row>
    <row r="527" spans="14:23" x14ac:dyDescent="0.25">
      <c r="N527" t="s">
        <v>267</v>
      </c>
      <c r="P527" t="str">
        <f t="shared" si="89"/>
        <v/>
      </c>
      <c r="Q527" t="s">
        <v>267</v>
      </c>
      <c r="R527" t="s">
        <v>267</v>
      </c>
      <c r="S527" t="s">
        <v>267</v>
      </c>
      <c r="T527" t="s">
        <v>267</v>
      </c>
      <c r="U527" t="s">
        <v>267</v>
      </c>
      <c r="V527" t="s">
        <v>267</v>
      </c>
      <c r="W527" t="str">
        <f t="shared" si="90"/>
        <v/>
      </c>
    </row>
    <row r="528" spans="14:23" x14ac:dyDescent="0.25">
      <c r="N528" t="s">
        <v>267</v>
      </c>
      <c r="P528" t="str">
        <f t="shared" si="89"/>
        <v/>
      </c>
      <c r="Q528" t="s">
        <v>267</v>
      </c>
      <c r="R528" t="s">
        <v>267</v>
      </c>
      <c r="S528" t="s">
        <v>267</v>
      </c>
      <c r="T528" t="s">
        <v>267</v>
      </c>
      <c r="U528" t="s">
        <v>267</v>
      </c>
      <c r="V528" t="s">
        <v>267</v>
      </c>
      <c r="W528" t="str">
        <f t="shared" si="90"/>
        <v/>
      </c>
    </row>
    <row r="529" spans="14:23" x14ac:dyDescent="0.25">
      <c r="N529" t="s">
        <v>267</v>
      </c>
      <c r="P529" t="str">
        <f t="shared" si="89"/>
        <v/>
      </c>
      <c r="Q529" t="s">
        <v>267</v>
      </c>
      <c r="R529" t="s">
        <v>267</v>
      </c>
      <c r="S529" t="s">
        <v>267</v>
      </c>
      <c r="T529" t="s">
        <v>267</v>
      </c>
      <c r="U529" t="s">
        <v>267</v>
      </c>
      <c r="V529" t="s">
        <v>267</v>
      </c>
      <c r="W529" t="str">
        <f t="shared" si="90"/>
        <v/>
      </c>
    </row>
    <row r="530" spans="14:23" x14ac:dyDescent="0.25">
      <c r="N530" t="s">
        <v>267</v>
      </c>
      <c r="P530" t="str">
        <f t="shared" si="89"/>
        <v/>
      </c>
      <c r="Q530" t="s">
        <v>267</v>
      </c>
      <c r="R530" t="s">
        <v>267</v>
      </c>
      <c r="S530" t="s">
        <v>267</v>
      </c>
      <c r="T530" t="s">
        <v>267</v>
      </c>
      <c r="U530" t="s">
        <v>267</v>
      </c>
      <c r="V530" t="s">
        <v>267</v>
      </c>
      <c r="W530" t="str">
        <f t="shared" si="90"/>
        <v/>
      </c>
    </row>
    <row r="531" spans="14:23" x14ac:dyDescent="0.25">
      <c r="N531" t="s">
        <v>267</v>
      </c>
      <c r="P531" t="str">
        <f t="shared" si="89"/>
        <v/>
      </c>
      <c r="Q531" t="s">
        <v>267</v>
      </c>
      <c r="R531" t="s">
        <v>267</v>
      </c>
      <c r="S531" t="s">
        <v>267</v>
      </c>
      <c r="T531" t="s">
        <v>267</v>
      </c>
      <c r="U531" t="s">
        <v>267</v>
      </c>
      <c r="V531" t="s">
        <v>267</v>
      </c>
      <c r="W531" t="str">
        <f t="shared" si="90"/>
        <v/>
      </c>
    </row>
    <row r="532" spans="14:23" x14ac:dyDescent="0.25">
      <c r="N532" t="s">
        <v>267</v>
      </c>
      <c r="P532" t="str">
        <f t="shared" si="89"/>
        <v/>
      </c>
      <c r="Q532" t="s">
        <v>267</v>
      </c>
      <c r="R532" t="s">
        <v>267</v>
      </c>
      <c r="S532" t="s">
        <v>267</v>
      </c>
      <c r="T532" t="s">
        <v>267</v>
      </c>
      <c r="U532" t="s">
        <v>267</v>
      </c>
      <c r="V532" t="s">
        <v>267</v>
      </c>
      <c r="W532" t="str">
        <f t="shared" si="90"/>
        <v/>
      </c>
    </row>
    <row r="533" spans="14:23" x14ac:dyDescent="0.25">
      <c r="N533" t="s">
        <v>267</v>
      </c>
      <c r="P533" t="str">
        <f t="shared" si="89"/>
        <v/>
      </c>
      <c r="Q533" t="s">
        <v>267</v>
      </c>
      <c r="R533" t="s">
        <v>267</v>
      </c>
      <c r="S533" t="s">
        <v>267</v>
      </c>
      <c r="T533" t="s">
        <v>267</v>
      </c>
      <c r="U533" t="s">
        <v>267</v>
      </c>
      <c r="V533" t="s">
        <v>267</v>
      </c>
      <c r="W533" t="str">
        <f t="shared" si="90"/>
        <v/>
      </c>
    </row>
    <row r="534" spans="14:23" x14ac:dyDescent="0.25">
      <c r="N534" t="s">
        <v>267</v>
      </c>
      <c r="P534" t="str">
        <f t="shared" si="89"/>
        <v/>
      </c>
      <c r="Q534" t="s">
        <v>267</v>
      </c>
      <c r="R534" t="s">
        <v>267</v>
      </c>
      <c r="S534" t="s">
        <v>267</v>
      </c>
      <c r="T534" t="s">
        <v>267</v>
      </c>
      <c r="U534" t="s">
        <v>267</v>
      </c>
      <c r="V534" t="s">
        <v>267</v>
      </c>
      <c r="W534" t="str">
        <f t="shared" si="90"/>
        <v/>
      </c>
    </row>
    <row r="535" spans="14:23" x14ac:dyDescent="0.25">
      <c r="N535" t="s">
        <v>267</v>
      </c>
      <c r="P535" t="str">
        <f t="shared" si="89"/>
        <v/>
      </c>
      <c r="Q535" t="s">
        <v>267</v>
      </c>
      <c r="R535" t="s">
        <v>267</v>
      </c>
      <c r="S535" t="s">
        <v>267</v>
      </c>
      <c r="T535" t="s">
        <v>267</v>
      </c>
      <c r="U535" t="s">
        <v>267</v>
      </c>
      <c r="V535" t="s">
        <v>267</v>
      </c>
      <c r="W535" t="str">
        <f t="shared" si="90"/>
        <v/>
      </c>
    </row>
    <row r="536" spans="14:23" x14ac:dyDescent="0.25">
      <c r="N536" t="s">
        <v>267</v>
      </c>
      <c r="P536" t="str">
        <f t="shared" si="89"/>
        <v/>
      </c>
      <c r="Q536" t="s">
        <v>267</v>
      </c>
      <c r="R536" t="s">
        <v>267</v>
      </c>
      <c r="S536" t="s">
        <v>267</v>
      </c>
      <c r="T536" t="s">
        <v>267</v>
      </c>
      <c r="U536" t="s">
        <v>267</v>
      </c>
      <c r="V536" t="s">
        <v>267</v>
      </c>
      <c r="W536" t="str">
        <f t="shared" si="90"/>
        <v/>
      </c>
    </row>
    <row r="537" spans="14:23" x14ac:dyDescent="0.25">
      <c r="N537" t="s">
        <v>267</v>
      </c>
      <c r="P537" t="str">
        <f t="shared" si="89"/>
        <v/>
      </c>
      <c r="Q537" t="s">
        <v>267</v>
      </c>
      <c r="R537" t="s">
        <v>267</v>
      </c>
      <c r="S537" t="s">
        <v>267</v>
      </c>
      <c r="T537" t="s">
        <v>267</v>
      </c>
      <c r="U537" t="s">
        <v>267</v>
      </c>
      <c r="V537" t="s">
        <v>267</v>
      </c>
      <c r="W537" t="str">
        <f t="shared" si="90"/>
        <v/>
      </c>
    </row>
    <row r="538" spans="14:23" x14ac:dyDescent="0.25">
      <c r="N538" t="s">
        <v>267</v>
      </c>
      <c r="P538" t="str">
        <f t="shared" si="89"/>
        <v/>
      </c>
      <c r="Q538" t="s">
        <v>267</v>
      </c>
      <c r="R538" t="s">
        <v>267</v>
      </c>
      <c r="S538" t="s">
        <v>267</v>
      </c>
      <c r="T538" t="s">
        <v>267</v>
      </c>
      <c r="U538" t="s">
        <v>267</v>
      </c>
      <c r="V538" t="s">
        <v>267</v>
      </c>
      <c r="W538" t="str">
        <f t="shared" si="90"/>
        <v/>
      </c>
    </row>
    <row r="539" spans="14:23" x14ac:dyDescent="0.25">
      <c r="N539" t="s">
        <v>267</v>
      </c>
      <c r="P539" t="str">
        <f t="shared" si="89"/>
        <v/>
      </c>
      <c r="Q539" t="s">
        <v>267</v>
      </c>
      <c r="R539" t="s">
        <v>267</v>
      </c>
      <c r="S539" t="s">
        <v>267</v>
      </c>
      <c r="T539" t="s">
        <v>267</v>
      </c>
      <c r="U539" t="s">
        <v>267</v>
      </c>
      <c r="V539" t="s">
        <v>267</v>
      </c>
      <c r="W539" t="str">
        <f t="shared" si="90"/>
        <v/>
      </c>
    </row>
    <row r="540" spans="14:23" x14ac:dyDescent="0.25">
      <c r="N540" t="s">
        <v>267</v>
      </c>
      <c r="P540" t="str">
        <f t="shared" si="89"/>
        <v/>
      </c>
      <c r="Q540" t="s">
        <v>267</v>
      </c>
      <c r="R540" t="s">
        <v>267</v>
      </c>
      <c r="S540" t="s">
        <v>267</v>
      </c>
      <c r="T540" t="s">
        <v>267</v>
      </c>
      <c r="U540" t="s">
        <v>267</v>
      </c>
      <c r="V540" t="s">
        <v>267</v>
      </c>
      <c r="W540" t="str">
        <f t="shared" si="90"/>
        <v/>
      </c>
    </row>
    <row r="541" spans="14:23" x14ac:dyDescent="0.25">
      <c r="N541" t="s">
        <v>267</v>
      </c>
      <c r="P541" t="str">
        <f t="shared" si="89"/>
        <v/>
      </c>
      <c r="Q541" t="s">
        <v>267</v>
      </c>
      <c r="R541" t="s">
        <v>267</v>
      </c>
      <c r="S541" t="s">
        <v>267</v>
      </c>
      <c r="T541" t="s">
        <v>267</v>
      </c>
      <c r="U541" t="s">
        <v>267</v>
      </c>
      <c r="V541" t="s">
        <v>267</v>
      </c>
      <c r="W541" t="str">
        <f t="shared" si="90"/>
        <v/>
      </c>
    </row>
    <row r="542" spans="14:23" x14ac:dyDescent="0.25">
      <c r="N542" t="s">
        <v>267</v>
      </c>
      <c r="P542" t="str">
        <f t="shared" si="89"/>
        <v/>
      </c>
      <c r="Q542" t="s">
        <v>267</v>
      </c>
      <c r="R542" t="s">
        <v>267</v>
      </c>
      <c r="S542" t="s">
        <v>267</v>
      </c>
      <c r="T542" t="s">
        <v>267</v>
      </c>
      <c r="U542" t="s">
        <v>267</v>
      </c>
      <c r="V542" t="s">
        <v>267</v>
      </c>
      <c r="W542" t="str">
        <f t="shared" si="90"/>
        <v/>
      </c>
    </row>
    <row r="543" spans="14:23" x14ac:dyDescent="0.25">
      <c r="N543" t="s">
        <v>267</v>
      </c>
      <c r="P543" t="str">
        <f t="shared" si="89"/>
        <v/>
      </c>
      <c r="Q543" t="s">
        <v>267</v>
      </c>
      <c r="R543" t="s">
        <v>267</v>
      </c>
      <c r="S543" t="s">
        <v>267</v>
      </c>
      <c r="T543" t="s">
        <v>267</v>
      </c>
      <c r="U543" t="s">
        <v>267</v>
      </c>
      <c r="V543" t="s">
        <v>267</v>
      </c>
      <c r="W543" t="str">
        <f t="shared" si="90"/>
        <v/>
      </c>
    </row>
    <row r="544" spans="14:23" x14ac:dyDescent="0.25">
      <c r="N544" t="s">
        <v>267</v>
      </c>
      <c r="P544" t="str">
        <f t="shared" si="89"/>
        <v/>
      </c>
      <c r="Q544" t="s">
        <v>267</v>
      </c>
      <c r="R544" t="s">
        <v>267</v>
      </c>
      <c r="S544" t="s">
        <v>267</v>
      </c>
      <c r="T544" t="s">
        <v>267</v>
      </c>
      <c r="U544" t="s">
        <v>267</v>
      </c>
      <c r="V544" t="s">
        <v>267</v>
      </c>
      <c r="W544" t="str">
        <f t="shared" si="90"/>
        <v/>
      </c>
    </row>
    <row r="545" spans="14:23" x14ac:dyDescent="0.25">
      <c r="N545" t="s">
        <v>267</v>
      </c>
      <c r="P545" t="str">
        <f t="shared" si="89"/>
        <v/>
      </c>
      <c r="Q545" t="s">
        <v>267</v>
      </c>
      <c r="R545" t="s">
        <v>267</v>
      </c>
      <c r="S545" t="s">
        <v>267</v>
      </c>
      <c r="T545" t="s">
        <v>267</v>
      </c>
      <c r="U545" t="s">
        <v>267</v>
      </c>
      <c r="V545" t="s">
        <v>267</v>
      </c>
      <c r="W545" t="str">
        <f t="shared" si="90"/>
        <v/>
      </c>
    </row>
    <row r="546" spans="14:23" x14ac:dyDescent="0.25">
      <c r="N546" t="s">
        <v>267</v>
      </c>
      <c r="P546" t="str">
        <f t="shared" si="89"/>
        <v/>
      </c>
      <c r="Q546" t="s">
        <v>267</v>
      </c>
      <c r="R546" t="s">
        <v>267</v>
      </c>
      <c r="S546" t="s">
        <v>267</v>
      </c>
      <c r="T546" t="s">
        <v>267</v>
      </c>
      <c r="U546" t="s">
        <v>267</v>
      </c>
      <c r="V546" t="s">
        <v>267</v>
      </c>
      <c r="W546" t="str">
        <f t="shared" si="90"/>
        <v/>
      </c>
    </row>
    <row r="547" spans="14:23" x14ac:dyDescent="0.25">
      <c r="N547" t="s">
        <v>267</v>
      </c>
      <c r="P547" t="str">
        <f t="shared" si="89"/>
        <v/>
      </c>
      <c r="Q547" t="s">
        <v>267</v>
      </c>
      <c r="R547" t="s">
        <v>267</v>
      </c>
      <c r="S547" t="s">
        <v>267</v>
      </c>
      <c r="T547" t="s">
        <v>267</v>
      </c>
      <c r="U547" t="s">
        <v>267</v>
      </c>
      <c r="V547" t="s">
        <v>267</v>
      </c>
      <c r="W547" t="str">
        <f t="shared" si="90"/>
        <v/>
      </c>
    </row>
    <row r="548" spans="14:23" x14ac:dyDescent="0.25">
      <c r="N548" t="s">
        <v>267</v>
      </c>
      <c r="P548" t="str">
        <f t="shared" si="89"/>
        <v/>
      </c>
      <c r="Q548" t="s">
        <v>267</v>
      </c>
      <c r="R548" t="s">
        <v>267</v>
      </c>
      <c r="S548" t="s">
        <v>267</v>
      </c>
      <c r="T548" t="s">
        <v>267</v>
      </c>
      <c r="U548" t="s">
        <v>267</v>
      </c>
      <c r="V548" t="s">
        <v>267</v>
      </c>
      <c r="W548" t="str">
        <f t="shared" si="90"/>
        <v/>
      </c>
    </row>
    <row r="549" spans="14:23" x14ac:dyDescent="0.25">
      <c r="N549" t="s">
        <v>267</v>
      </c>
      <c r="P549" t="str">
        <f t="shared" si="89"/>
        <v/>
      </c>
      <c r="Q549" t="s">
        <v>267</v>
      </c>
      <c r="R549" t="s">
        <v>267</v>
      </c>
      <c r="S549" t="s">
        <v>267</v>
      </c>
      <c r="T549" t="s">
        <v>267</v>
      </c>
      <c r="U549" t="s">
        <v>267</v>
      </c>
      <c r="V549" t="s">
        <v>267</v>
      </c>
      <c r="W549" t="str">
        <f t="shared" si="90"/>
        <v/>
      </c>
    </row>
    <row r="550" spans="14:23" x14ac:dyDescent="0.25">
      <c r="N550" t="s">
        <v>267</v>
      </c>
      <c r="P550" t="str">
        <f t="shared" si="89"/>
        <v/>
      </c>
      <c r="Q550" t="s">
        <v>267</v>
      </c>
      <c r="R550" t="s">
        <v>267</v>
      </c>
      <c r="S550" t="s">
        <v>267</v>
      </c>
      <c r="T550" t="s">
        <v>267</v>
      </c>
      <c r="U550" t="s">
        <v>267</v>
      </c>
      <c r="V550" t="s">
        <v>267</v>
      </c>
      <c r="W550" t="str">
        <f t="shared" si="90"/>
        <v/>
      </c>
    </row>
    <row r="551" spans="14:23" x14ac:dyDescent="0.25">
      <c r="N551" t="s">
        <v>267</v>
      </c>
      <c r="P551" t="str">
        <f t="shared" si="89"/>
        <v/>
      </c>
      <c r="Q551" t="s">
        <v>267</v>
      </c>
      <c r="R551" t="s">
        <v>267</v>
      </c>
      <c r="S551" t="s">
        <v>267</v>
      </c>
      <c r="T551" t="s">
        <v>267</v>
      </c>
      <c r="U551" t="s">
        <v>267</v>
      </c>
      <c r="V551" t="s">
        <v>267</v>
      </c>
      <c r="W551" t="str">
        <f t="shared" si="90"/>
        <v/>
      </c>
    </row>
    <row r="552" spans="14:23" x14ac:dyDescent="0.25">
      <c r="N552" t="s">
        <v>267</v>
      </c>
      <c r="P552" t="str">
        <f t="shared" si="89"/>
        <v/>
      </c>
      <c r="Q552" t="s">
        <v>267</v>
      </c>
      <c r="R552" t="s">
        <v>267</v>
      </c>
      <c r="S552" t="s">
        <v>267</v>
      </c>
      <c r="T552" t="s">
        <v>267</v>
      </c>
      <c r="U552" t="s">
        <v>267</v>
      </c>
      <c r="V552" t="s">
        <v>267</v>
      </c>
      <c r="W552" t="str">
        <f t="shared" si="90"/>
        <v/>
      </c>
    </row>
    <row r="553" spans="14:23" x14ac:dyDescent="0.25">
      <c r="N553" t="s">
        <v>267</v>
      </c>
      <c r="P553" t="str">
        <f t="shared" si="89"/>
        <v/>
      </c>
      <c r="Q553" t="s">
        <v>267</v>
      </c>
      <c r="R553" t="s">
        <v>267</v>
      </c>
      <c r="S553" t="s">
        <v>267</v>
      </c>
      <c r="T553" t="s">
        <v>267</v>
      </c>
      <c r="U553" t="s">
        <v>267</v>
      </c>
      <c r="V553" t="s">
        <v>267</v>
      </c>
      <c r="W553" t="str">
        <f t="shared" si="90"/>
        <v/>
      </c>
    </row>
    <row r="554" spans="14:23" x14ac:dyDescent="0.25">
      <c r="N554" t="s">
        <v>267</v>
      </c>
      <c r="P554" t="str">
        <f t="shared" si="89"/>
        <v/>
      </c>
      <c r="Q554" t="s">
        <v>267</v>
      </c>
      <c r="R554" t="s">
        <v>267</v>
      </c>
      <c r="S554" t="s">
        <v>267</v>
      </c>
      <c r="T554" t="s">
        <v>267</v>
      </c>
      <c r="U554" t="s">
        <v>267</v>
      </c>
      <c r="V554" t="s">
        <v>267</v>
      </c>
      <c r="W554" t="str">
        <f t="shared" si="90"/>
        <v/>
      </c>
    </row>
    <row r="555" spans="14:23" x14ac:dyDescent="0.25">
      <c r="N555" t="s">
        <v>267</v>
      </c>
      <c r="P555" t="str">
        <f t="shared" si="89"/>
        <v/>
      </c>
      <c r="Q555" t="s">
        <v>267</v>
      </c>
      <c r="R555" t="s">
        <v>267</v>
      </c>
      <c r="S555" t="s">
        <v>267</v>
      </c>
      <c r="T555" t="s">
        <v>267</v>
      </c>
      <c r="U555" t="s">
        <v>267</v>
      </c>
      <c r="V555" t="s">
        <v>267</v>
      </c>
      <c r="W555" t="str">
        <f t="shared" si="90"/>
        <v/>
      </c>
    </row>
    <row r="556" spans="14:23" x14ac:dyDescent="0.25">
      <c r="N556" t="s">
        <v>267</v>
      </c>
      <c r="P556" t="str">
        <f t="shared" si="89"/>
        <v/>
      </c>
      <c r="Q556" t="s">
        <v>267</v>
      </c>
      <c r="R556" t="s">
        <v>267</v>
      </c>
      <c r="S556" t="s">
        <v>267</v>
      </c>
      <c r="T556" t="s">
        <v>267</v>
      </c>
      <c r="U556" t="s">
        <v>267</v>
      </c>
      <c r="V556" t="s">
        <v>267</v>
      </c>
      <c r="W556" t="str">
        <f t="shared" si="90"/>
        <v/>
      </c>
    </row>
    <row r="557" spans="14:23" x14ac:dyDescent="0.25">
      <c r="N557" t="s">
        <v>267</v>
      </c>
      <c r="P557" t="str">
        <f t="shared" si="89"/>
        <v/>
      </c>
      <c r="Q557" t="s">
        <v>267</v>
      </c>
      <c r="R557" t="s">
        <v>267</v>
      </c>
      <c r="S557" t="s">
        <v>267</v>
      </c>
      <c r="T557" t="s">
        <v>267</v>
      </c>
      <c r="U557" t="s">
        <v>267</v>
      </c>
      <c r="V557" t="s">
        <v>267</v>
      </c>
      <c r="W557" t="str">
        <f t="shared" si="90"/>
        <v/>
      </c>
    </row>
    <row r="558" spans="14:23" x14ac:dyDescent="0.25">
      <c r="N558" t="s">
        <v>267</v>
      </c>
      <c r="P558" t="str">
        <f t="shared" si="89"/>
        <v/>
      </c>
      <c r="Q558" t="s">
        <v>267</v>
      </c>
      <c r="R558" t="s">
        <v>267</v>
      </c>
      <c r="S558" t="s">
        <v>267</v>
      </c>
      <c r="T558" t="s">
        <v>267</v>
      </c>
      <c r="U558" t="s">
        <v>267</v>
      </c>
      <c r="V558" t="s">
        <v>267</v>
      </c>
      <c r="W558" t="str">
        <f t="shared" si="90"/>
        <v/>
      </c>
    </row>
    <row r="559" spans="14:23" x14ac:dyDescent="0.25">
      <c r="P559" t="str">
        <f t="shared" si="89"/>
        <v/>
      </c>
      <c r="W559" t="str">
        <f t="shared" si="90"/>
        <v/>
      </c>
    </row>
    <row r="560" spans="14:23" x14ac:dyDescent="0.25">
      <c r="P560" t="str">
        <f t="shared" si="89"/>
        <v/>
      </c>
      <c r="W560" t="str">
        <f t="shared" si="90"/>
        <v/>
      </c>
    </row>
    <row r="561" spans="16:23" x14ac:dyDescent="0.25">
      <c r="P561" t="str">
        <f t="shared" si="89"/>
        <v/>
      </c>
      <c r="W561" t="str">
        <f t="shared" si="90"/>
        <v/>
      </c>
    </row>
    <row r="562" spans="16:23" x14ac:dyDescent="0.25">
      <c r="P562" t="str">
        <f t="shared" si="89"/>
        <v/>
      </c>
      <c r="W562" t="str">
        <f t="shared" si="90"/>
        <v/>
      </c>
    </row>
    <row r="563" spans="16:23" x14ac:dyDescent="0.25">
      <c r="P563" t="str">
        <f t="shared" si="89"/>
        <v/>
      </c>
      <c r="W563" t="str">
        <f t="shared" si="90"/>
        <v/>
      </c>
    </row>
    <row r="564" spans="16:23" x14ac:dyDescent="0.25">
      <c r="P564" t="str">
        <f t="shared" si="89"/>
        <v/>
      </c>
      <c r="W564" t="str">
        <f t="shared" si="90"/>
        <v/>
      </c>
    </row>
    <row r="565" spans="16:23" x14ac:dyDescent="0.25">
      <c r="P565" t="str">
        <f t="shared" si="89"/>
        <v/>
      </c>
      <c r="W565" t="str">
        <f t="shared" si="90"/>
        <v/>
      </c>
    </row>
    <row r="566" spans="16:23" x14ac:dyDescent="0.25">
      <c r="P566" t="str">
        <f t="shared" si="89"/>
        <v/>
      </c>
      <c r="W566" t="str">
        <f t="shared" si="90"/>
        <v/>
      </c>
    </row>
    <row r="567" spans="16:23" x14ac:dyDescent="0.25">
      <c r="P567" t="str">
        <f t="shared" si="89"/>
        <v/>
      </c>
      <c r="W567" t="str">
        <f t="shared" si="90"/>
        <v/>
      </c>
    </row>
    <row r="568" spans="16:23" x14ac:dyDescent="0.25">
      <c r="P568" t="str">
        <f t="shared" si="89"/>
        <v/>
      </c>
      <c r="W568" t="str">
        <f t="shared" si="90"/>
        <v/>
      </c>
    </row>
    <row r="569" spans="16:23" x14ac:dyDescent="0.25">
      <c r="P569" t="str">
        <f t="shared" si="89"/>
        <v/>
      </c>
      <c r="W569" t="str">
        <f t="shared" si="90"/>
        <v/>
      </c>
    </row>
    <row r="570" spans="16:23" x14ac:dyDescent="0.25">
      <c r="P570" t="str">
        <f t="shared" si="89"/>
        <v/>
      </c>
      <c r="W570" t="str">
        <f t="shared" si="90"/>
        <v/>
      </c>
    </row>
    <row r="571" spans="16:23" x14ac:dyDescent="0.25">
      <c r="P571" t="str">
        <f t="shared" si="89"/>
        <v/>
      </c>
      <c r="W571" t="str">
        <f t="shared" si="90"/>
        <v/>
      </c>
    </row>
    <row r="572" spans="16:23" x14ac:dyDescent="0.25">
      <c r="P572" t="str">
        <f t="shared" si="89"/>
        <v/>
      </c>
      <c r="W572" t="str">
        <f t="shared" si="90"/>
        <v/>
      </c>
    </row>
    <row r="573" spans="16:23" x14ac:dyDescent="0.25">
      <c r="P573" t="str">
        <f t="shared" si="89"/>
        <v/>
      </c>
      <c r="W573" t="str">
        <f t="shared" si="90"/>
        <v/>
      </c>
    </row>
    <row r="574" spans="16:23" x14ac:dyDescent="0.25">
      <c r="P574" t="str">
        <f t="shared" si="89"/>
        <v/>
      </c>
      <c r="W574" t="str">
        <f t="shared" si="90"/>
        <v/>
      </c>
    </row>
    <row r="575" spans="16:23" x14ac:dyDescent="0.25">
      <c r="P575" t="str">
        <f t="shared" si="89"/>
        <v/>
      </c>
      <c r="W575" t="str">
        <f t="shared" si="90"/>
        <v/>
      </c>
    </row>
    <row r="576" spans="16:23" x14ac:dyDescent="0.25">
      <c r="P576" t="str">
        <f t="shared" si="89"/>
        <v/>
      </c>
      <c r="W576" t="str">
        <f t="shared" si="90"/>
        <v/>
      </c>
    </row>
    <row r="577" spans="16:23" x14ac:dyDescent="0.25">
      <c r="P577" t="str">
        <f t="shared" si="89"/>
        <v/>
      </c>
      <c r="W577" t="str">
        <f t="shared" si="90"/>
        <v/>
      </c>
    </row>
    <row r="578" spans="16:23" x14ac:dyDescent="0.25">
      <c r="P578" t="str">
        <f>IF($C578="","",IF($G578&gt;0,"LONG","SHORT"))</f>
        <v/>
      </c>
      <c r="W578" t="str">
        <f t="shared" si="90"/>
        <v/>
      </c>
    </row>
    <row r="579" spans="16:23" x14ac:dyDescent="0.25">
      <c r="P579" t="str">
        <f>IF($C579="","",IF($G579&gt;0,"LONG","SHORT"))</f>
        <v/>
      </c>
      <c r="W579" t="str">
        <f t="shared" si="90"/>
        <v/>
      </c>
    </row>
    <row r="580" spans="16:23" x14ac:dyDescent="0.25">
      <c r="P580" t="str">
        <f>IF($C580="","",IF($G580&gt;0,"LONG","SHORT"))</f>
        <v/>
      </c>
      <c r="W580" t="str">
        <f t="shared" si="90"/>
        <v/>
      </c>
    </row>
    <row r="581" spans="16:23" x14ac:dyDescent="0.25">
      <c r="P581" t="str">
        <f>IF($C581="","",IF($G581&gt;0,"LONG","SHORT"))</f>
        <v/>
      </c>
      <c r="W581" t="str">
        <f t="shared" si="9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3"/>
  <sheetViews>
    <sheetView topLeftCell="A4" zoomScale="86" zoomScaleNormal="86" workbookViewId="0">
      <selection activeCell="M24" sqref="M24"/>
    </sheetView>
  </sheetViews>
  <sheetFormatPr defaultRowHeight="15" x14ac:dyDescent="0.25"/>
  <cols>
    <col min="1" max="1" width="15.5703125" bestFit="1" customWidth="1"/>
    <col min="2" max="2" width="16.85546875" bestFit="1" customWidth="1"/>
    <col min="3" max="3" width="10.5703125" bestFit="1" customWidth="1"/>
    <col min="4" max="4" width="12.7109375" bestFit="1" customWidth="1"/>
    <col min="5" max="5" width="13.42578125" bestFit="1" customWidth="1"/>
    <col min="6" max="6" width="14" bestFit="1" customWidth="1"/>
    <col min="7" max="7" width="14.5703125" bestFit="1" customWidth="1"/>
    <col min="8" max="8" width="12.7109375" bestFit="1" customWidth="1"/>
    <col min="9" max="9" width="15.5703125" bestFit="1" customWidth="1"/>
    <col min="10" max="10" width="16.85546875" bestFit="1" customWidth="1"/>
    <col min="11" max="11" width="14.5703125" bestFit="1" customWidth="1"/>
    <col min="12" max="12" width="12.7109375" bestFit="1" customWidth="1"/>
    <col min="13" max="13" width="14.28515625" bestFit="1" customWidth="1"/>
    <col min="14" max="15" width="14.5703125" bestFit="1" customWidth="1"/>
    <col min="16" max="16" width="14" bestFit="1" customWidth="1"/>
    <col min="17" max="17" width="14.5703125" bestFit="1" customWidth="1"/>
    <col min="18" max="18" width="14" bestFit="1" customWidth="1"/>
    <col min="19" max="19" width="16.85546875" bestFit="1" customWidth="1"/>
    <col min="20" max="21" width="10.42578125" bestFit="1" customWidth="1"/>
    <col min="22" max="23" width="11.7109375" bestFit="1" customWidth="1"/>
    <col min="25" max="25" width="7.28515625" bestFit="1" customWidth="1"/>
  </cols>
  <sheetData>
    <row r="1" spans="1:22" x14ac:dyDescent="0.25">
      <c r="I1" s="2" t="s">
        <v>0</v>
      </c>
      <c r="J1" t="s">
        <v>68</v>
      </c>
      <c r="R1" s="10" t="s">
        <v>69</v>
      </c>
    </row>
    <row r="3" spans="1:22" x14ac:dyDescent="0.25">
      <c r="I3" s="2" t="s">
        <v>61</v>
      </c>
      <c r="J3" s="2" t="s">
        <v>57</v>
      </c>
    </row>
    <row r="4" spans="1:22" x14ac:dyDescent="0.25">
      <c r="A4" s="2" t="s">
        <v>61</v>
      </c>
      <c r="B4" s="2" t="s">
        <v>57</v>
      </c>
      <c r="J4" t="s">
        <v>18</v>
      </c>
      <c r="K4" t="s">
        <v>14</v>
      </c>
      <c r="M4" t="s">
        <v>286</v>
      </c>
      <c r="N4" t="s">
        <v>59</v>
      </c>
      <c r="R4" s="2" t="s">
        <v>69</v>
      </c>
      <c r="S4" s="2" t="s">
        <v>57</v>
      </c>
    </row>
    <row r="5" spans="1:22" x14ac:dyDescent="0.25">
      <c r="A5" s="2" t="s">
        <v>60</v>
      </c>
      <c r="B5" t="s">
        <v>11</v>
      </c>
      <c r="C5" t="s">
        <v>33</v>
      </c>
      <c r="D5" t="s">
        <v>40</v>
      </c>
      <c r="E5" t="s">
        <v>46</v>
      </c>
      <c r="F5" t="s">
        <v>268</v>
      </c>
      <c r="G5" t="s">
        <v>59</v>
      </c>
      <c r="I5" s="2" t="s">
        <v>60</v>
      </c>
      <c r="J5" t="s">
        <v>58</v>
      </c>
      <c r="K5" t="s">
        <v>282</v>
      </c>
      <c r="L5" t="s">
        <v>283</v>
      </c>
      <c r="M5" t="s">
        <v>319</v>
      </c>
      <c r="R5" s="2" t="s">
        <v>60</v>
      </c>
      <c r="S5" t="s">
        <v>58</v>
      </c>
      <c r="T5" t="s">
        <v>282</v>
      </c>
      <c r="U5" t="s">
        <v>283</v>
      </c>
      <c r="V5" t="s">
        <v>319</v>
      </c>
    </row>
    <row r="6" spans="1:22" x14ac:dyDescent="0.25">
      <c r="A6" s="3" t="s">
        <v>24</v>
      </c>
      <c r="B6" s="8">
        <v>648274.20236335997</v>
      </c>
      <c r="C6" s="8"/>
      <c r="D6" s="8"/>
      <c r="E6" s="8">
        <v>2328.8159999999998</v>
      </c>
      <c r="F6" s="8"/>
      <c r="G6" s="8">
        <v>650603.01836335997</v>
      </c>
      <c r="I6" s="3" t="s">
        <v>36</v>
      </c>
      <c r="J6" s="8">
        <v>-4213.2295194629996</v>
      </c>
      <c r="K6" s="8"/>
      <c r="L6" s="8"/>
      <c r="M6" s="8"/>
      <c r="N6" s="8">
        <v>-4213.2295194629996</v>
      </c>
      <c r="R6" s="3" t="s">
        <v>36</v>
      </c>
      <c r="S6" s="6">
        <v>9.8762998579999994</v>
      </c>
      <c r="T6" s="6"/>
      <c r="U6" s="6"/>
      <c r="V6" s="6"/>
    </row>
    <row r="7" spans="1:22" x14ac:dyDescent="0.25">
      <c r="A7" s="3" t="s">
        <v>20</v>
      </c>
      <c r="B7" s="8">
        <v>47406</v>
      </c>
      <c r="C7" s="8"/>
      <c r="D7" s="8"/>
      <c r="E7" s="8">
        <v>13777.600205302</v>
      </c>
      <c r="F7" s="8"/>
      <c r="G7" s="8">
        <v>61183.600205301998</v>
      </c>
      <c r="I7" s="3" t="s">
        <v>20</v>
      </c>
      <c r="J7" s="8">
        <v>61183.600205301998</v>
      </c>
      <c r="K7" s="8"/>
      <c r="L7" s="8"/>
      <c r="M7" s="8"/>
      <c r="N7" s="8">
        <v>61183.600205301998</v>
      </c>
      <c r="R7" s="3" t="s">
        <v>20</v>
      </c>
      <c r="S7" s="6">
        <v>7.9005000000000001</v>
      </c>
      <c r="T7" s="6"/>
      <c r="U7" s="6"/>
      <c r="V7" s="6"/>
    </row>
    <row r="8" spans="1:22" x14ac:dyDescent="0.25">
      <c r="A8" s="3" t="s">
        <v>30</v>
      </c>
      <c r="B8" s="8">
        <v>-165.24083404000001</v>
      </c>
      <c r="C8" s="8"/>
      <c r="D8" s="8"/>
      <c r="E8" s="8"/>
      <c r="F8" s="8"/>
      <c r="G8" s="8">
        <v>-165.24083404000001</v>
      </c>
      <c r="I8" s="3" t="s">
        <v>21</v>
      </c>
      <c r="J8" s="8">
        <v>-149229.287109072</v>
      </c>
      <c r="K8" s="8"/>
      <c r="L8" s="8"/>
      <c r="M8" s="8"/>
      <c r="N8" s="8">
        <v>-149229.287109072</v>
      </c>
      <c r="R8" s="3" t="s">
        <v>21</v>
      </c>
      <c r="S8" s="6">
        <v>109.80500000000001</v>
      </c>
      <c r="T8" s="6"/>
      <c r="U8" s="6"/>
      <c r="V8" s="6"/>
    </row>
    <row r="9" spans="1:22" x14ac:dyDescent="0.25">
      <c r="A9" s="3" t="s">
        <v>36</v>
      </c>
      <c r="B9" s="8"/>
      <c r="C9" s="8">
        <v>-4213.2295194629996</v>
      </c>
      <c r="D9" s="8"/>
      <c r="E9" s="8"/>
      <c r="F9" s="8"/>
      <c r="G9" s="8">
        <v>-4213.2295194629996</v>
      </c>
      <c r="I9" s="3" t="s">
        <v>15</v>
      </c>
      <c r="J9" s="8">
        <v>245116.32499745037</v>
      </c>
      <c r="K9" s="8">
        <v>-23037222.113716349</v>
      </c>
      <c r="L9" s="8">
        <v>400600</v>
      </c>
      <c r="M9" s="8">
        <v>10143150</v>
      </c>
      <c r="N9" s="8">
        <v>-12248355.788718898</v>
      </c>
      <c r="R9" s="3" t="s">
        <v>15</v>
      </c>
      <c r="S9" s="6">
        <v>18082.032590530998</v>
      </c>
      <c r="T9" s="6">
        <v>18104.87863245</v>
      </c>
      <c r="U9" s="6">
        <v>18200.03058545</v>
      </c>
      <c r="V9" s="6">
        <v>17795</v>
      </c>
    </row>
    <row r="10" spans="1:22" x14ac:dyDescent="0.25">
      <c r="A10" s="3" t="s">
        <v>32</v>
      </c>
      <c r="B10" s="8">
        <v>-7992.9348300000001</v>
      </c>
      <c r="C10" s="8"/>
      <c r="D10" s="8"/>
      <c r="E10" s="8"/>
      <c r="F10" s="8"/>
      <c r="G10" s="8">
        <v>-7992.9348300000001</v>
      </c>
      <c r="I10" s="3" t="s">
        <v>32</v>
      </c>
      <c r="J10" s="8">
        <v>-7992.9348300000001</v>
      </c>
      <c r="K10" s="8"/>
      <c r="L10" s="8"/>
      <c r="M10" s="8"/>
      <c r="N10" s="8">
        <v>-7992.9348300000001</v>
      </c>
      <c r="R10" s="3" t="s">
        <v>32</v>
      </c>
      <c r="S10" s="6">
        <v>39.770000000000003</v>
      </c>
      <c r="T10" s="6"/>
      <c r="U10" s="6"/>
      <c r="V10" s="6"/>
    </row>
    <row r="11" spans="1:22" x14ac:dyDescent="0.25">
      <c r="A11" s="3" t="s">
        <v>27</v>
      </c>
      <c r="B11" s="8">
        <v>-18559.9548</v>
      </c>
      <c r="C11" s="8"/>
      <c r="D11" s="8"/>
      <c r="E11" s="8"/>
      <c r="F11" s="8"/>
      <c r="G11" s="8">
        <v>-18559.9548</v>
      </c>
      <c r="I11" s="3" t="s">
        <v>24</v>
      </c>
      <c r="J11" s="8">
        <v>650603.01836335997</v>
      </c>
      <c r="K11" s="8"/>
      <c r="L11" s="8"/>
      <c r="M11" s="8"/>
      <c r="N11" s="8">
        <v>650603.01836335997</v>
      </c>
      <c r="R11" s="3" t="s">
        <v>24</v>
      </c>
      <c r="S11" s="6">
        <v>1.0042042</v>
      </c>
      <c r="T11" s="6"/>
      <c r="U11" s="6"/>
      <c r="V11" s="6"/>
    </row>
    <row r="12" spans="1:22" x14ac:dyDescent="0.25">
      <c r="A12" s="3" t="s">
        <v>153</v>
      </c>
      <c r="B12" s="8">
        <v>-28573.161840000001</v>
      </c>
      <c r="C12" s="8"/>
      <c r="D12" s="8"/>
      <c r="E12" s="8"/>
      <c r="F12" s="8"/>
      <c r="G12" s="8">
        <v>-28573.161840000001</v>
      </c>
      <c r="I12" s="3" t="s">
        <v>30</v>
      </c>
      <c r="J12" s="8">
        <v>-165.24083404000001</v>
      </c>
      <c r="K12" s="8"/>
      <c r="L12" s="8"/>
      <c r="M12" s="8"/>
      <c r="N12" s="8">
        <v>-165.24083404000001</v>
      </c>
      <c r="R12" s="3" t="s">
        <v>30</v>
      </c>
      <c r="S12" s="6">
        <v>19.371727320000002</v>
      </c>
      <c r="T12" s="6"/>
      <c r="U12" s="6"/>
      <c r="V12" s="6"/>
    </row>
    <row r="13" spans="1:22" x14ac:dyDescent="0.25">
      <c r="A13" s="3" t="s">
        <v>21</v>
      </c>
      <c r="B13" s="8">
        <v>-188214.71169</v>
      </c>
      <c r="C13" s="8"/>
      <c r="D13" s="8"/>
      <c r="E13" s="8">
        <v>38985.424580927996</v>
      </c>
      <c r="F13" s="8"/>
      <c r="G13" s="8">
        <v>-149229.287109072</v>
      </c>
      <c r="I13" s="3" t="s">
        <v>16</v>
      </c>
      <c r="J13" s="8">
        <v>-37942104.266331166</v>
      </c>
      <c r="K13" s="8">
        <v>-5592908.6543772835</v>
      </c>
      <c r="L13" s="8">
        <v>619873.66923683695</v>
      </c>
      <c r="M13" s="8">
        <v>24852000</v>
      </c>
      <c r="N13" s="8">
        <v>-18063139.251471609</v>
      </c>
      <c r="R13" s="3" t="s">
        <v>16</v>
      </c>
      <c r="S13" s="6">
        <v>1340.2452190987501</v>
      </c>
      <c r="T13" s="6">
        <v>1340.1485297085712</v>
      </c>
      <c r="U13" s="6">
        <v>1338.82</v>
      </c>
      <c r="V13" s="6">
        <v>1308</v>
      </c>
    </row>
    <row r="14" spans="1:22" x14ac:dyDescent="0.25">
      <c r="A14" s="3" t="s">
        <v>25</v>
      </c>
      <c r="B14" s="8">
        <v>-267344.75753834698</v>
      </c>
      <c r="C14" s="8"/>
      <c r="D14" s="8"/>
      <c r="E14" s="8">
        <v>-34514.400000000001</v>
      </c>
      <c r="F14" s="8"/>
      <c r="G14" s="8">
        <v>-301859.157538347</v>
      </c>
      <c r="I14" s="3" t="s">
        <v>28</v>
      </c>
      <c r="J14" s="8">
        <v>-682853.75465999998</v>
      </c>
      <c r="K14" s="8"/>
      <c r="L14" s="8"/>
      <c r="M14" s="8"/>
      <c r="N14" s="8">
        <v>-682853.75465999998</v>
      </c>
      <c r="R14" s="3" t="s">
        <v>28</v>
      </c>
      <c r="S14" s="6">
        <v>6.8879999999999999</v>
      </c>
      <c r="T14" s="6"/>
      <c r="U14" s="6"/>
      <c r="V14" s="6"/>
    </row>
    <row r="15" spans="1:22" x14ac:dyDescent="0.25">
      <c r="A15" s="3" t="s">
        <v>28</v>
      </c>
      <c r="B15" s="8">
        <v>-454962.92466000002</v>
      </c>
      <c r="C15" s="8"/>
      <c r="D15" s="8"/>
      <c r="E15" s="8">
        <v>-227890.83</v>
      </c>
      <c r="F15" s="8"/>
      <c r="G15" s="8">
        <v>-682853.75465999998</v>
      </c>
      <c r="I15" s="3" t="s">
        <v>25</v>
      </c>
      <c r="J15" s="8">
        <v>-301859.157538347</v>
      </c>
      <c r="K15" s="8"/>
      <c r="L15" s="8"/>
      <c r="M15" s="8"/>
      <c r="N15" s="8">
        <v>-301859.157538347</v>
      </c>
      <c r="R15" s="3" t="s">
        <v>25</v>
      </c>
      <c r="S15" s="6">
        <v>78.804610604999993</v>
      </c>
      <c r="T15" s="6"/>
      <c r="U15" s="6"/>
      <c r="V15" s="6"/>
    </row>
    <row r="16" spans="1:22" x14ac:dyDescent="0.25">
      <c r="A16" s="3" t="s">
        <v>38</v>
      </c>
      <c r="B16" s="8"/>
      <c r="C16" s="8"/>
      <c r="D16" s="8"/>
      <c r="E16" s="8">
        <v>-815505.64</v>
      </c>
      <c r="F16" s="8"/>
      <c r="G16" s="8">
        <v>-815505.64</v>
      </c>
      <c r="I16" s="3" t="s">
        <v>38</v>
      </c>
      <c r="J16" s="8">
        <v>-815505.64</v>
      </c>
      <c r="K16" s="8"/>
      <c r="L16" s="8"/>
      <c r="M16" s="8"/>
      <c r="N16" s="8">
        <v>-815505.64</v>
      </c>
      <c r="R16" s="3" t="s">
        <v>38</v>
      </c>
      <c r="S16" s="6">
        <v>9.1600000000000004E-6</v>
      </c>
      <c r="T16" s="6"/>
      <c r="U16" s="6"/>
      <c r="V16" s="6"/>
    </row>
    <row r="17" spans="1:22" x14ac:dyDescent="0.25">
      <c r="A17" s="3" t="s">
        <v>15</v>
      </c>
      <c r="B17" s="8">
        <v>-25215274.642350562</v>
      </c>
      <c r="C17" s="8">
        <v>-25522.980780859001</v>
      </c>
      <c r="D17" s="8">
        <v>1998101.5064000001</v>
      </c>
      <c r="E17" s="8">
        <v>851190.32801252394</v>
      </c>
      <c r="F17" s="8">
        <v>10143150</v>
      </c>
      <c r="G17" s="8">
        <v>-12248355.788718898</v>
      </c>
      <c r="I17" s="3" t="s">
        <v>27</v>
      </c>
      <c r="J17" s="8">
        <v>-18559.9548</v>
      </c>
      <c r="K17" s="8"/>
      <c r="L17" s="8"/>
      <c r="M17" s="8"/>
      <c r="N17" s="8">
        <v>-18559.9548</v>
      </c>
      <c r="R17" s="3" t="s">
        <v>27</v>
      </c>
      <c r="S17" s="6">
        <v>2.2200000000000001E-2</v>
      </c>
      <c r="T17" s="6"/>
      <c r="U17" s="6"/>
      <c r="V17" s="6"/>
    </row>
    <row r="18" spans="1:22" x14ac:dyDescent="0.25">
      <c r="A18" s="3" t="s">
        <v>16</v>
      </c>
      <c r="B18" s="8">
        <v>-39814814.018517233</v>
      </c>
      <c r="C18" s="8"/>
      <c r="D18" s="8">
        <v>71707.212700000004</v>
      </c>
      <c r="E18" s="8">
        <v>-3172032.4456543829</v>
      </c>
      <c r="F18" s="8">
        <v>24852000</v>
      </c>
      <c r="G18" s="8">
        <v>-18063139.251471616</v>
      </c>
      <c r="I18" s="3" t="s">
        <v>59</v>
      </c>
      <c r="J18" s="8">
        <v>-38965580.522055984</v>
      </c>
      <c r="K18" s="8">
        <v>-28630130.768093631</v>
      </c>
      <c r="L18" s="8">
        <v>1020473.669236837</v>
      </c>
      <c r="M18" s="8">
        <v>34995150</v>
      </c>
      <c r="N18" s="8">
        <v>-31580087.620912768</v>
      </c>
      <c r="R18" s="3" t="s">
        <v>153</v>
      </c>
      <c r="S18" s="6">
        <v>1.1905484099999999</v>
      </c>
      <c r="T18" s="6"/>
      <c r="U18" s="6"/>
      <c r="V18" s="6"/>
    </row>
    <row r="19" spans="1:22" x14ac:dyDescent="0.25">
      <c r="A19" s="3" t="s">
        <v>59</v>
      </c>
      <c r="B19" s="8">
        <v>-65300222.144696817</v>
      </c>
      <c r="C19" s="8">
        <v>-29736.210300322</v>
      </c>
      <c r="D19" s="8">
        <v>2069808.7191000001</v>
      </c>
      <c r="E19" s="8">
        <v>-3343661.146855629</v>
      </c>
      <c r="F19" s="8">
        <v>34995150</v>
      </c>
      <c r="G19" s="8">
        <v>-31608660.782752775</v>
      </c>
    </row>
    <row r="27" spans="1:22" x14ac:dyDescent="0.25">
      <c r="I27" s="2" t="s">
        <v>0</v>
      </c>
      <c r="J27" t="s">
        <v>68</v>
      </c>
      <c r="S27" s="7"/>
      <c r="T27" s="7"/>
      <c r="U27" s="7"/>
    </row>
    <row r="28" spans="1:22" x14ac:dyDescent="0.25">
      <c r="S28" s="7"/>
      <c r="T28" s="7"/>
      <c r="U28" s="7"/>
    </row>
    <row r="29" spans="1:22" x14ac:dyDescent="0.25">
      <c r="A29" s="2" t="s">
        <v>61</v>
      </c>
      <c r="B29" s="2" t="s">
        <v>57</v>
      </c>
      <c r="I29" s="2" t="s">
        <v>61</v>
      </c>
      <c r="J29" s="2" t="s">
        <v>57</v>
      </c>
      <c r="U29" s="7"/>
    </row>
    <row r="30" spans="1:22" x14ac:dyDescent="0.25">
      <c r="A30" s="2" t="s">
        <v>60</v>
      </c>
      <c r="B30" t="s">
        <v>11</v>
      </c>
      <c r="C30" t="s">
        <v>33</v>
      </c>
      <c r="D30" t="s">
        <v>40</v>
      </c>
      <c r="E30" t="s">
        <v>46</v>
      </c>
      <c r="F30" t="s">
        <v>268</v>
      </c>
      <c r="G30" t="s">
        <v>59</v>
      </c>
      <c r="I30" s="2" t="s">
        <v>60</v>
      </c>
      <c r="J30" t="s">
        <v>58</v>
      </c>
      <c r="K30" t="s">
        <v>282</v>
      </c>
      <c r="L30" t="s">
        <v>283</v>
      </c>
      <c r="M30" t="s">
        <v>319</v>
      </c>
      <c r="N30" t="s">
        <v>59</v>
      </c>
      <c r="U30" s="7"/>
    </row>
    <row r="31" spans="1:22" x14ac:dyDescent="0.25">
      <c r="A31" s="3" t="s">
        <v>24</v>
      </c>
      <c r="B31" s="8">
        <v>648274.20236335997</v>
      </c>
      <c r="C31" s="8"/>
      <c r="D31" s="8"/>
      <c r="E31" s="8">
        <v>2328.8159999999998</v>
      </c>
      <c r="F31" s="8"/>
      <c r="G31" s="8">
        <v>650603.01836335997</v>
      </c>
      <c r="I31" s="3" t="s">
        <v>24</v>
      </c>
      <c r="J31" s="8">
        <v>650603.01836335997</v>
      </c>
      <c r="K31" s="8"/>
      <c r="L31" s="8"/>
      <c r="M31" s="8"/>
      <c r="N31" s="8">
        <v>650603.01836335997</v>
      </c>
      <c r="U31" s="7"/>
    </row>
    <row r="32" spans="1:22" x14ac:dyDescent="0.25">
      <c r="A32" s="3" t="s">
        <v>20</v>
      </c>
      <c r="B32" s="8">
        <v>47406</v>
      </c>
      <c r="C32" s="8"/>
      <c r="D32" s="8"/>
      <c r="E32" s="8">
        <v>13777.600205302</v>
      </c>
      <c r="F32" s="8"/>
      <c r="G32" s="8">
        <v>61183.600205301998</v>
      </c>
      <c r="I32" s="3" t="s">
        <v>20</v>
      </c>
      <c r="J32" s="8">
        <v>61183.600205301998</v>
      </c>
      <c r="K32" s="8"/>
      <c r="L32" s="8"/>
      <c r="M32" s="8"/>
      <c r="N32" s="8">
        <v>61183.600205301998</v>
      </c>
      <c r="U32" s="7"/>
    </row>
    <row r="33" spans="1:21" x14ac:dyDescent="0.25">
      <c r="A33" s="3" t="s">
        <v>30</v>
      </c>
      <c r="B33" s="8">
        <v>-165.24083404000001</v>
      </c>
      <c r="C33" s="8"/>
      <c r="D33" s="8"/>
      <c r="E33" s="8"/>
      <c r="F33" s="8"/>
      <c r="G33" s="8">
        <v>-165.24083404000001</v>
      </c>
      <c r="I33" s="3" t="s">
        <v>30</v>
      </c>
      <c r="J33" s="8">
        <v>-165.24083404000001</v>
      </c>
      <c r="K33" s="8"/>
      <c r="L33" s="8"/>
      <c r="M33" s="8"/>
      <c r="N33" s="8">
        <v>-165.24083404000001</v>
      </c>
      <c r="U33" s="7"/>
    </row>
    <row r="34" spans="1:21" x14ac:dyDescent="0.25">
      <c r="A34" s="3" t="s">
        <v>36</v>
      </c>
      <c r="B34" s="8"/>
      <c r="C34" s="8">
        <v>-4213.2295194629996</v>
      </c>
      <c r="D34" s="8"/>
      <c r="E34" s="8"/>
      <c r="F34" s="8"/>
      <c r="G34" s="8">
        <v>-4213.2295194629996</v>
      </c>
      <c r="I34" s="3" t="s">
        <v>36</v>
      </c>
      <c r="J34" s="8">
        <v>-4213.2295194629996</v>
      </c>
      <c r="K34" s="8"/>
      <c r="L34" s="8"/>
      <c r="M34" s="8"/>
      <c r="N34" s="8">
        <v>-4213.2295194629996</v>
      </c>
      <c r="U34" s="7"/>
    </row>
    <row r="35" spans="1:21" x14ac:dyDescent="0.25">
      <c r="A35" s="3" t="s">
        <v>32</v>
      </c>
      <c r="B35" s="8">
        <v>-7992.9348300000001</v>
      </c>
      <c r="C35" s="8"/>
      <c r="D35" s="8"/>
      <c r="E35" s="8"/>
      <c r="F35" s="8"/>
      <c r="G35" s="8">
        <v>-7992.9348300000001</v>
      </c>
      <c r="I35" s="3" t="s">
        <v>32</v>
      </c>
      <c r="J35" s="8">
        <v>-7992.9348300000001</v>
      </c>
      <c r="K35" s="8"/>
      <c r="L35" s="8"/>
      <c r="M35" s="8"/>
      <c r="N35" s="8">
        <v>-7992.9348300000001</v>
      </c>
      <c r="U35" s="7"/>
    </row>
    <row r="36" spans="1:21" x14ac:dyDescent="0.25">
      <c r="A36" s="3" t="s">
        <v>27</v>
      </c>
      <c r="B36" s="8">
        <v>-18559.9548</v>
      </c>
      <c r="C36" s="8"/>
      <c r="D36" s="8"/>
      <c r="E36" s="8"/>
      <c r="F36" s="8"/>
      <c r="G36" s="8">
        <v>-18559.9548</v>
      </c>
      <c r="I36" s="3" t="s">
        <v>27</v>
      </c>
      <c r="J36" s="8">
        <v>-18559.9548</v>
      </c>
      <c r="K36" s="8"/>
      <c r="L36" s="8"/>
      <c r="M36" s="8"/>
      <c r="N36" s="8">
        <v>-18559.9548</v>
      </c>
      <c r="U36" s="7"/>
    </row>
    <row r="37" spans="1:21" x14ac:dyDescent="0.25">
      <c r="A37" s="3" t="s">
        <v>153</v>
      </c>
      <c r="B37" s="8">
        <v>-28573.161840000001</v>
      </c>
      <c r="C37" s="8"/>
      <c r="D37" s="8"/>
      <c r="E37" s="8"/>
      <c r="F37" s="8"/>
      <c r="G37" s="8">
        <v>-28573.161840000001</v>
      </c>
      <c r="I37" s="3" t="s">
        <v>153</v>
      </c>
      <c r="J37" s="8">
        <v>-28573.161840000001</v>
      </c>
      <c r="K37" s="8"/>
      <c r="L37" s="8"/>
      <c r="M37" s="8"/>
      <c r="N37" s="8">
        <v>-28573.161840000001</v>
      </c>
      <c r="U37" s="7"/>
    </row>
    <row r="38" spans="1:21" x14ac:dyDescent="0.25">
      <c r="A38" s="4" t="s">
        <v>18</v>
      </c>
      <c r="B38" s="8">
        <v>-28573.161840000001</v>
      </c>
      <c r="C38" s="8"/>
      <c r="D38" s="8"/>
      <c r="E38" s="8"/>
      <c r="F38" s="8"/>
      <c r="G38" s="8">
        <v>-28573.161840000001</v>
      </c>
      <c r="I38" s="4" t="s">
        <v>18</v>
      </c>
      <c r="J38" s="8"/>
      <c r="K38" s="8"/>
      <c r="L38" s="8"/>
      <c r="M38" s="8"/>
      <c r="N38" s="8"/>
      <c r="U38" s="7"/>
    </row>
    <row r="39" spans="1:21" x14ac:dyDescent="0.25">
      <c r="A39" s="3" t="s">
        <v>21</v>
      </c>
      <c r="B39" s="8">
        <v>-188214.71169</v>
      </c>
      <c r="C39" s="8"/>
      <c r="D39" s="8"/>
      <c r="E39" s="8">
        <v>38985.424580927996</v>
      </c>
      <c r="F39" s="8"/>
      <c r="G39" s="8">
        <v>-149229.287109072</v>
      </c>
      <c r="I39" s="27" t="s">
        <v>1170</v>
      </c>
      <c r="J39" s="8">
        <v>-28573.161840000001</v>
      </c>
      <c r="K39" s="8"/>
      <c r="L39" s="8"/>
      <c r="M39" s="8"/>
      <c r="N39" s="8">
        <v>-28573.161840000001</v>
      </c>
      <c r="U39" s="7"/>
    </row>
    <row r="40" spans="1:21" x14ac:dyDescent="0.25">
      <c r="A40" s="3" t="s">
        <v>25</v>
      </c>
      <c r="B40" s="8">
        <v>-267344.75753834698</v>
      </c>
      <c r="C40" s="8"/>
      <c r="D40" s="8"/>
      <c r="E40" s="8">
        <v>-34514.400000000001</v>
      </c>
      <c r="F40" s="8"/>
      <c r="G40" s="8">
        <v>-301859.157538347</v>
      </c>
      <c r="I40" s="3" t="s">
        <v>21</v>
      </c>
      <c r="J40" s="8">
        <v>-149229.287109072</v>
      </c>
      <c r="K40" s="8"/>
      <c r="L40" s="8"/>
      <c r="M40" s="8"/>
      <c r="N40" s="8">
        <v>-149229.287109072</v>
      </c>
      <c r="U40" s="7"/>
    </row>
    <row r="41" spans="1:21" x14ac:dyDescent="0.25">
      <c r="A41" s="3" t="s">
        <v>28</v>
      </c>
      <c r="B41" s="8">
        <v>-454962.92466000002</v>
      </c>
      <c r="C41" s="8"/>
      <c r="D41" s="8"/>
      <c r="E41" s="8">
        <v>-227890.83</v>
      </c>
      <c r="F41" s="8"/>
      <c r="G41" s="8">
        <v>-682853.75465999998</v>
      </c>
      <c r="I41" s="3" t="s">
        <v>25</v>
      </c>
      <c r="J41" s="8">
        <v>-301859.157538347</v>
      </c>
      <c r="K41" s="8"/>
      <c r="L41" s="8"/>
      <c r="M41" s="8"/>
      <c r="N41" s="8">
        <v>-301859.157538347</v>
      </c>
      <c r="U41" s="7"/>
    </row>
    <row r="42" spans="1:21" x14ac:dyDescent="0.25">
      <c r="A42" s="3" t="s">
        <v>38</v>
      </c>
      <c r="B42" s="8"/>
      <c r="C42" s="8"/>
      <c r="D42" s="8"/>
      <c r="E42" s="8">
        <v>-815505.64</v>
      </c>
      <c r="F42" s="8"/>
      <c r="G42" s="8">
        <v>-815505.64</v>
      </c>
      <c r="I42" s="3" t="s">
        <v>28</v>
      </c>
      <c r="J42" s="8">
        <v>-682853.75465999998</v>
      </c>
      <c r="K42" s="8"/>
      <c r="L42" s="8"/>
      <c r="M42" s="8"/>
      <c r="N42" s="8">
        <v>-682853.75465999998</v>
      </c>
      <c r="U42" s="7"/>
    </row>
    <row r="43" spans="1:21" x14ac:dyDescent="0.25">
      <c r="A43" s="3" t="s">
        <v>15</v>
      </c>
      <c r="B43" s="8">
        <v>-25215274.642350562</v>
      </c>
      <c r="C43" s="8">
        <v>-25522.980780859001</v>
      </c>
      <c r="D43" s="8">
        <v>1998101.5064000001</v>
      </c>
      <c r="E43" s="8">
        <v>851190.32801252371</v>
      </c>
      <c r="F43" s="8">
        <v>10143150</v>
      </c>
      <c r="G43" s="8">
        <v>-12248355.788718898</v>
      </c>
      <c r="I43" s="3" t="s">
        <v>38</v>
      </c>
      <c r="J43" s="8">
        <v>-815505.64</v>
      </c>
      <c r="K43" s="8"/>
      <c r="L43" s="8"/>
      <c r="M43" s="8"/>
      <c r="N43" s="8">
        <v>-815505.64</v>
      </c>
      <c r="U43" s="7"/>
    </row>
    <row r="44" spans="1:21" x14ac:dyDescent="0.25">
      <c r="A44" s="4" t="s">
        <v>286</v>
      </c>
      <c r="B44" s="8"/>
      <c r="C44" s="8"/>
      <c r="D44" s="8"/>
      <c r="E44" s="8"/>
      <c r="F44" s="8">
        <v>10143150</v>
      </c>
      <c r="G44" s="8">
        <v>10143150</v>
      </c>
      <c r="I44" s="3" t="s">
        <v>15</v>
      </c>
      <c r="J44" s="8">
        <v>245116.32499744929</v>
      </c>
      <c r="K44" s="8">
        <v>-23037222.113716349</v>
      </c>
      <c r="L44" s="8">
        <v>400600</v>
      </c>
      <c r="M44" s="8">
        <v>10143150</v>
      </c>
      <c r="N44" s="8">
        <v>-12248355.788718902</v>
      </c>
      <c r="U44" s="7"/>
    </row>
    <row r="45" spans="1:21" x14ac:dyDescent="0.25">
      <c r="A45" s="4" t="s">
        <v>14</v>
      </c>
      <c r="B45" s="8">
        <v>-18691685.862644982</v>
      </c>
      <c r="C45" s="8"/>
      <c r="D45" s="8">
        <v>212700</v>
      </c>
      <c r="E45" s="8">
        <v>-4157636.2510713669</v>
      </c>
      <c r="F45" s="8"/>
      <c r="G45" s="8">
        <v>-22636622.113716349</v>
      </c>
      <c r="I45" s="4" t="s">
        <v>286</v>
      </c>
      <c r="J45" s="8"/>
      <c r="K45" s="8"/>
      <c r="L45" s="8"/>
      <c r="M45" s="8"/>
      <c r="N45" s="8"/>
      <c r="U45" s="7"/>
    </row>
    <row r="46" spans="1:21" x14ac:dyDescent="0.25">
      <c r="A46" s="4" t="s">
        <v>18</v>
      </c>
      <c r="B46" s="8">
        <v>-6523588.7797055822</v>
      </c>
      <c r="C46" s="8">
        <v>-25522.980780859001</v>
      </c>
      <c r="D46" s="8">
        <v>1785401.5064000001</v>
      </c>
      <c r="E46" s="8">
        <v>5008826.5790838907</v>
      </c>
      <c r="F46" s="8"/>
      <c r="G46" s="8">
        <v>245116.32499745023</v>
      </c>
      <c r="I46" s="27" t="s">
        <v>317</v>
      </c>
      <c r="J46" s="8"/>
      <c r="K46" s="8"/>
      <c r="L46" s="8"/>
      <c r="M46" s="8">
        <v>10143150</v>
      </c>
      <c r="N46" s="8">
        <v>10143150</v>
      </c>
    </row>
    <row r="47" spans="1:21" x14ac:dyDescent="0.25">
      <c r="A47" s="3" t="s">
        <v>16</v>
      </c>
      <c r="B47" s="8">
        <v>-39814814.018517233</v>
      </c>
      <c r="C47" s="8"/>
      <c r="D47" s="8">
        <v>71707.212700000033</v>
      </c>
      <c r="E47" s="8">
        <v>-3172032.4456543829</v>
      </c>
      <c r="F47" s="8">
        <v>24852000</v>
      </c>
      <c r="G47" s="8">
        <v>-18063139.251471613</v>
      </c>
      <c r="I47" s="4" t="s">
        <v>14</v>
      </c>
      <c r="J47" s="8"/>
      <c r="K47" s="8"/>
      <c r="L47" s="8"/>
      <c r="M47" s="8"/>
      <c r="N47" s="8"/>
    </row>
    <row r="48" spans="1:21" x14ac:dyDescent="0.25">
      <c r="A48" s="4" t="s">
        <v>286</v>
      </c>
      <c r="B48" s="8"/>
      <c r="C48" s="8"/>
      <c r="D48" s="8"/>
      <c r="E48" s="8"/>
      <c r="F48" s="8">
        <v>24852000</v>
      </c>
      <c r="G48" s="8">
        <v>24852000</v>
      </c>
      <c r="I48" s="27" t="s">
        <v>13</v>
      </c>
      <c r="J48" s="8"/>
      <c r="K48" s="8">
        <v>-16037400</v>
      </c>
      <c r="L48" s="8"/>
      <c r="M48" s="8"/>
      <c r="N48" s="8">
        <v>-16037400</v>
      </c>
    </row>
    <row r="49" spans="1:14" x14ac:dyDescent="0.25">
      <c r="A49" s="4" t="s">
        <v>14</v>
      </c>
      <c r="B49" s="8">
        <v>-7343263.0777968336</v>
      </c>
      <c r="C49" s="8"/>
      <c r="D49" s="8">
        <v>647700</v>
      </c>
      <c r="E49" s="8">
        <v>1722528.092656387</v>
      </c>
      <c r="F49" s="8"/>
      <c r="G49" s="8">
        <v>-4973034.9851404466</v>
      </c>
      <c r="I49" s="27" t="s">
        <v>316</v>
      </c>
      <c r="J49" s="8"/>
      <c r="K49" s="8"/>
      <c r="L49" s="8">
        <v>400600</v>
      </c>
      <c r="M49" s="8"/>
      <c r="N49" s="8">
        <v>400600</v>
      </c>
    </row>
    <row r="50" spans="1:14" x14ac:dyDescent="0.25">
      <c r="A50" s="4" t="s">
        <v>18</v>
      </c>
      <c r="B50" s="8">
        <v>-32471550.940720402</v>
      </c>
      <c r="C50" s="8"/>
      <c r="D50" s="8">
        <v>-575992.78729999997</v>
      </c>
      <c r="E50" s="8">
        <v>-4894560.5383107699</v>
      </c>
      <c r="F50" s="8"/>
      <c r="G50" s="8">
        <v>-37942104.266331166</v>
      </c>
      <c r="I50" s="27" t="s">
        <v>287</v>
      </c>
      <c r="J50" s="8"/>
      <c r="K50" s="8">
        <v>-3054885.8626449802</v>
      </c>
      <c r="L50" s="8"/>
      <c r="M50" s="8"/>
      <c r="N50" s="8">
        <v>-3054885.8626449802</v>
      </c>
    </row>
    <row r="51" spans="1:14" x14ac:dyDescent="0.25">
      <c r="A51" s="3" t="s">
        <v>59</v>
      </c>
      <c r="B51" s="8">
        <v>-65300222.144696832</v>
      </c>
      <c r="C51" s="8">
        <v>-29736.210300322</v>
      </c>
      <c r="D51" s="8">
        <v>2069808.7191000003</v>
      </c>
      <c r="E51" s="8">
        <v>-3343661.1468556295</v>
      </c>
      <c r="F51" s="8">
        <v>34995150</v>
      </c>
      <c r="G51" s="8">
        <v>-31608660.782752767</v>
      </c>
      <c r="I51" s="27" t="s">
        <v>276</v>
      </c>
      <c r="J51" s="8"/>
      <c r="K51" s="8">
        <v>212700</v>
      </c>
      <c r="L51" s="8"/>
      <c r="M51" s="8"/>
      <c r="N51" s="8">
        <v>212700</v>
      </c>
    </row>
    <row r="52" spans="1:14" x14ac:dyDescent="0.25">
      <c r="I52" s="27" t="s">
        <v>51</v>
      </c>
      <c r="J52" s="8"/>
      <c r="K52" s="8">
        <v>-1163300</v>
      </c>
      <c r="L52" s="8"/>
      <c r="M52" s="8"/>
      <c r="N52" s="8">
        <v>-1163300</v>
      </c>
    </row>
    <row r="53" spans="1:14" x14ac:dyDescent="0.25">
      <c r="I53" s="27" t="s">
        <v>48</v>
      </c>
      <c r="J53" s="8"/>
      <c r="K53" s="8">
        <v>-2994336.2510713669</v>
      </c>
      <c r="L53" s="8"/>
      <c r="M53" s="8"/>
      <c r="N53" s="8">
        <v>-2994336.2510713669</v>
      </c>
    </row>
    <row r="54" spans="1:14" x14ac:dyDescent="0.25">
      <c r="I54" s="4" t="s">
        <v>18</v>
      </c>
      <c r="J54" s="8"/>
      <c r="K54" s="8"/>
      <c r="L54" s="8"/>
      <c r="M54" s="8"/>
      <c r="N54" s="8"/>
    </row>
    <row r="55" spans="1:14" x14ac:dyDescent="0.25">
      <c r="I55" s="27" t="s">
        <v>17</v>
      </c>
      <c r="J55" s="8">
        <v>-6774900</v>
      </c>
      <c r="K55" s="8"/>
      <c r="L55" s="8"/>
      <c r="M55" s="8"/>
      <c r="N55" s="8">
        <v>-6774900</v>
      </c>
    </row>
    <row r="56" spans="1:14" x14ac:dyDescent="0.25">
      <c r="I56" s="27" t="s">
        <v>22</v>
      </c>
      <c r="J56" s="8">
        <v>251311.220294417</v>
      </c>
      <c r="K56" s="8"/>
      <c r="L56" s="8"/>
      <c r="M56" s="8"/>
      <c r="N56" s="8">
        <v>251311.220294417</v>
      </c>
    </row>
    <row r="57" spans="1:14" x14ac:dyDescent="0.25">
      <c r="I57" s="27" t="s">
        <v>35</v>
      </c>
      <c r="J57" s="8">
        <v>-25522.980780859001</v>
      </c>
      <c r="K57" s="8"/>
      <c r="L57" s="8"/>
      <c r="M57" s="8"/>
      <c r="N57" s="8">
        <v>-25522.980780859001</v>
      </c>
    </row>
    <row r="58" spans="1:14" x14ac:dyDescent="0.25">
      <c r="I58" s="27" t="s">
        <v>719</v>
      </c>
      <c r="J58" s="8">
        <v>1473200</v>
      </c>
      <c r="K58" s="8"/>
      <c r="L58" s="8"/>
      <c r="M58" s="8"/>
      <c r="N58" s="8">
        <v>1473200</v>
      </c>
    </row>
    <row r="59" spans="1:14" x14ac:dyDescent="0.25">
      <c r="I59" s="27" t="s">
        <v>722</v>
      </c>
      <c r="J59" s="8">
        <v>312201.50640000001</v>
      </c>
      <c r="K59" s="8"/>
      <c r="L59" s="8"/>
      <c r="M59" s="8"/>
      <c r="N59" s="8">
        <v>312201.50640000001</v>
      </c>
    </row>
    <row r="60" spans="1:14" x14ac:dyDescent="0.25">
      <c r="I60" s="27" t="s">
        <v>52</v>
      </c>
      <c r="J60" s="8">
        <v>-893000</v>
      </c>
      <c r="K60" s="8"/>
      <c r="L60" s="8"/>
      <c r="M60" s="8"/>
      <c r="N60" s="8">
        <v>-893000</v>
      </c>
    </row>
    <row r="61" spans="1:14" x14ac:dyDescent="0.25">
      <c r="I61" s="27" t="s">
        <v>49</v>
      </c>
      <c r="J61" s="8">
        <v>5901826.5790838907</v>
      </c>
      <c r="K61" s="8"/>
      <c r="L61" s="8"/>
      <c r="M61" s="8"/>
      <c r="N61" s="8">
        <v>5901826.5790838907</v>
      </c>
    </row>
    <row r="62" spans="1:14" x14ac:dyDescent="0.25">
      <c r="I62" s="3" t="s">
        <v>16</v>
      </c>
      <c r="J62" s="8">
        <v>-37942104.266331166</v>
      </c>
      <c r="K62" s="8">
        <v>-5592908.6543772835</v>
      </c>
      <c r="L62" s="8">
        <v>619873.66923683695</v>
      </c>
      <c r="M62" s="8">
        <v>24852000</v>
      </c>
      <c r="N62" s="8">
        <v>-18063139.251471609</v>
      </c>
    </row>
    <row r="63" spans="1:14" x14ac:dyDescent="0.25">
      <c r="I63" s="3" t="s">
        <v>59</v>
      </c>
      <c r="J63" s="8">
        <v>-38994153.683895983</v>
      </c>
      <c r="K63" s="8">
        <v>-28630130.768093631</v>
      </c>
      <c r="L63" s="8">
        <v>1020473.669236837</v>
      </c>
      <c r="M63" s="8">
        <v>34995150</v>
      </c>
      <c r="N63" s="8">
        <v>-31608660.782752767</v>
      </c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X167"/>
  <sheetViews>
    <sheetView tabSelected="1" zoomScale="80" zoomScaleNormal="80" workbookViewId="0">
      <selection activeCell="O6" sqref="O6:AA6"/>
    </sheetView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6" width="14.28515625" bestFit="1" customWidth="1"/>
    <col min="7" max="7" width="13.42578125" bestFit="1" customWidth="1"/>
    <col min="8" max="8" width="14.5703125" bestFit="1" customWidth="1"/>
    <col min="9" max="9" width="12.7109375" bestFit="1" customWidth="1"/>
    <col min="10" max="11" width="14.28515625" bestFit="1" customWidth="1"/>
    <col min="12" max="12" width="13.42578125" bestFit="1" customWidth="1"/>
    <col min="13" max="13" width="15.28515625" bestFit="1" customWidth="1"/>
    <col min="14" max="14" width="4.85546875" customWidth="1"/>
    <col min="15" max="16" width="12" customWidth="1"/>
    <col min="17" max="23" width="16.42578125" customWidth="1"/>
    <col min="24" max="24" width="13" bestFit="1" customWidth="1"/>
    <col min="25" max="25" width="14.28515625" bestFit="1" customWidth="1"/>
    <col min="26" max="26" width="13.42578125" bestFit="1" customWidth="1"/>
    <col min="27" max="27" width="14.28515625" bestFit="1" customWidth="1"/>
    <col min="28" max="28" width="11.7109375" bestFit="1" customWidth="1"/>
    <col min="29" max="29" width="22.140625" bestFit="1" customWidth="1"/>
    <col min="30" max="30" width="20.28515625" bestFit="1" customWidth="1"/>
    <col min="31" max="31" width="20.5703125" bestFit="1" customWidth="1"/>
    <col min="32" max="32" width="21.5703125" bestFit="1" customWidth="1"/>
    <col min="33" max="33" width="21.7109375" bestFit="1" customWidth="1"/>
    <col min="34" max="34" width="20.28515625" bestFit="1" customWidth="1"/>
    <col min="35" max="35" width="21.42578125" bestFit="1" customWidth="1"/>
    <col min="36" max="36" width="22" bestFit="1" customWidth="1"/>
    <col min="37" max="37" width="21.5703125" bestFit="1" customWidth="1"/>
    <col min="38" max="38" width="20.5703125" bestFit="1" customWidth="1"/>
    <col min="39" max="39" width="21.5703125" bestFit="1" customWidth="1"/>
    <col min="40" max="40" width="22.140625" bestFit="1" customWidth="1"/>
    <col min="41" max="41" width="21" bestFit="1" customWidth="1"/>
    <col min="42" max="42" width="22.28515625" bestFit="1" customWidth="1"/>
    <col min="43" max="44" width="14.28515625" bestFit="1" customWidth="1"/>
    <col min="45" max="45" width="10.28515625" bestFit="1" customWidth="1"/>
    <col min="46" max="46" width="10.7109375" bestFit="1" customWidth="1"/>
    <col min="47" max="47" width="17.85546875" bestFit="1" customWidth="1"/>
    <col min="48" max="48" width="9.140625" bestFit="1" customWidth="1"/>
    <col min="49" max="49" width="12.42578125" bestFit="1" customWidth="1"/>
    <col min="50" max="50" width="15.28515625" bestFit="1" customWidth="1"/>
    <col min="51" max="51" width="9.140625" bestFit="1" customWidth="1"/>
    <col min="52" max="52" width="12.42578125" bestFit="1" customWidth="1"/>
    <col min="53" max="53" width="15.28515625" bestFit="1" customWidth="1"/>
    <col min="54" max="54" width="21.5703125" bestFit="1" customWidth="1"/>
    <col min="55" max="55" width="22.140625" bestFit="1" customWidth="1"/>
    <col min="56" max="56" width="21" bestFit="1" customWidth="1"/>
    <col min="57" max="57" width="22.28515625" bestFit="1" customWidth="1"/>
    <col min="58" max="59" width="14.28515625" bestFit="1" customWidth="1"/>
    <col min="60" max="60" width="10.28515625" bestFit="1" customWidth="1"/>
    <col min="61" max="61" width="10.7109375" bestFit="1" customWidth="1"/>
    <col min="62" max="62" width="17.85546875" bestFit="1" customWidth="1"/>
    <col min="63" max="63" width="9.140625" bestFit="1" customWidth="1"/>
    <col min="64" max="64" width="12.42578125" bestFit="1" customWidth="1"/>
    <col min="65" max="65" width="15.28515625" bestFit="1" customWidth="1"/>
    <col min="66" max="66" width="14.28515625" bestFit="1" customWidth="1"/>
    <col min="67" max="67" width="10.28515625" bestFit="1" customWidth="1"/>
    <col min="68" max="68" width="10.7109375" bestFit="1" customWidth="1"/>
    <col min="69" max="69" width="17.85546875" bestFit="1" customWidth="1"/>
    <col min="70" max="70" width="9.140625" bestFit="1" customWidth="1"/>
    <col min="71" max="71" width="12.42578125" bestFit="1" customWidth="1"/>
    <col min="72" max="72" width="15.28515625" bestFit="1" customWidth="1"/>
    <col min="73" max="73" width="22.140625" bestFit="1" customWidth="1"/>
    <col min="74" max="74" width="21" bestFit="1" customWidth="1"/>
    <col min="75" max="75" width="22.28515625" bestFit="1" customWidth="1"/>
    <col min="76" max="77" width="14.28515625" bestFit="1" customWidth="1"/>
    <col min="78" max="78" width="10.28515625" bestFit="1" customWidth="1"/>
    <col min="79" max="79" width="10.7109375" bestFit="1" customWidth="1"/>
    <col min="80" max="80" width="17.85546875" bestFit="1" customWidth="1"/>
    <col min="81" max="81" width="9.140625" bestFit="1" customWidth="1"/>
    <col min="82" max="82" width="12.42578125" bestFit="1" customWidth="1"/>
    <col min="83" max="84" width="15.28515625" bestFit="1" customWidth="1"/>
    <col min="85" max="85" width="12.42578125" bestFit="1" customWidth="1"/>
    <col min="86" max="86" width="15.28515625" bestFit="1" customWidth="1"/>
    <col min="87" max="87" width="10.5703125" bestFit="1" customWidth="1"/>
    <col min="88" max="88" width="13.7109375" bestFit="1" customWidth="1"/>
    <col min="89" max="89" width="10.5703125" bestFit="1" customWidth="1"/>
    <col min="90" max="92" width="13.7109375" bestFit="1" customWidth="1"/>
    <col min="93" max="94" width="21.5703125" bestFit="1" customWidth="1"/>
    <col min="95" max="95" width="22.7109375" bestFit="1" customWidth="1"/>
    <col min="96" max="96" width="21.7109375" bestFit="1" customWidth="1"/>
    <col min="97" max="97" width="22.85546875" bestFit="1" customWidth="1"/>
    <col min="98" max="98" width="11" bestFit="1" customWidth="1"/>
    <col min="99" max="99" width="11.28515625" bestFit="1" customWidth="1"/>
    <col min="100" max="100" width="21.7109375" bestFit="1" customWidth="1"/>
    <col min="101" max="101" width="22.85546875" bestFit="1" customWidth="1"/>
    <col min="102" max="102" width="22" bestFit="1" customWidth="1"/>
    <col min="103" max="104" width="23.140625" bestFit="1" customWidth="1"/>
    <col min="105" max="105" width="13.7109375" bestFit="1" customWidth="1"/>
    <col min="106" max="106" width="12.7109375" bestFit="1" customWidth="1"/>
    <col min="107" max="109" width="13.7109375" bestFit="1" customWidth="1"/>
    <col min="110" max="110" width="15.7109375" bestFit="1" customWidth="1"/>
    <col min="111" max="115" width="13.7109375" bestFit="1" customWidth="1"/>
    <col min="116" max="116" width="11.5703125" bestFit="1" customWidth="1"/>
    <col min="117" max="121" width="13.7109375" bestFit="1" customWidth="1"/>
    <col min="122" max="122" width="12.7109375" bestFit="1" customWidth="1"/>
    <col min="123" max="139" width="13.7109375" bestFit="1" customWidth="1"/>
    <col min="140" max="140" width="19.28515625" bestFit="1" customWidth="1"/>
    <col min="141" max="141" width="20.140625" bestFit="1" customWidth="1"/>
    <col min="142" max="142" width="20.28515625" bestFit="1" customWidth="1"/>
    <col min="143" max="145" width="13" bestFit="1" customWidth="1"/>
    <col min="146" max="146" width="13.7109375" bestFit="1" customWidth="1"/>
    <col min="147" max="147" width="13" bestFit="1" customWidth="1"/>
    <col min="148" max="148" width="11.5703125" bestFit="1" customWidth="1"/>
    <col min="149" max="149" width="13" bestFit="1" customWidth="1"/>
    <col min="150" max="151" width="13.7109375" bestFit="1" customWidth="1"/>
    <col min="152" max="152" width="12.7109375" bestFit="1" customWidth="1"/>
    <col min="153" max="154" width="13.7109375" bestFit="1" customWidth="1"/>
    <col min="155" max="155" width="13" bestFit="1" customWidth="1"/>
    <col min="156" max="156" width="13.7109375" bestFit="1" customWidth="1"/>
    <col min="157" max="157" width="24.42578125" bestFit="1" customWidth="1"/>
    <col min="158" max="158" width="22.140625" bestFit="1" customWidth="1"/>
    <col min="159" max="159" width="20.28515625" bestFit="1" customWidth="1"/>
    <col min="160" max="160" width="20.5703125" bestFit="1" customWidth="1"/>
    <col min="161" max="161" width="21.5703125" bestFit="1" customWidth="1"/>
    <col min="162" max="162" width="21.7109375" bestFit="1" customWidth="1"/>
    <col min="163" max="163" width="20.28515625" bestFit="1" customWidth="1"/>
    <col min="164" max="164" width="21.42578125" bestFit="1" customWidth="1"/>
    <col min="165" max="165" width="22" bestFit="1" customWidth="1"/>
    <col min="166" max="166" width="21.5703125" bestFit="1" customWidth="1"/>
    <col min="167" max="167" width="20.5703125" bestFit="1" customWidth="1"/>
    <col min="168" max="168" width="21.5703125" bestFit="1" customWidth="1"/>
    <col min="169" max="169" width="22.140625" bestFit="1" customWidth="1"/>
    <col min="170" max="170" width="21" bestFit="1" customWidth="1"/>
    <col min="171" max="171" width="22.28515625" bestFit="1" customWidth="1"/>
    <col min="172" max="172" width="13.7109375" bestFit="1" customWidth="1"/>
    <col min="173" max="173" width="14.28515625" bestFit="1" customWidth="1"/>
    <col min="174" max="175" width="13.7109375" bestFit="1" customWidth="1"/>
    <col min="176" max="176" width="17.85546875" bestFit="1" customWidth="1"/>
    <col min="178" max="178" width="12.42578125" bestFit="1" customWidth="1"/>
    <col min="179" max="179" width="13.7109375" bestFit="1" customWidth="1"/>
  </cols>
  <sheetData>
    <row r="1" spans="1:179" ht="15.75" x14ac:dyDescent="0.25">
      <c r="A1" s="67"/>
      <c r="B1" s="67"/>
      <c r="C1" s="104" t="s">
        <v>709</v>
      </c>
      <c r="D1" s="105"/>
      <c r="E1" s="105"/>
      <c r="F1" s="105"/>
      <c r="G1" s="105"/>
      <c r="H1" s="105"/>
      <c r="I1" s="106"/>
      <c r="Q1" s="104" t="s">
        <v>709</v>
      </c>
      <c r="R1" s="105"/>
      <c r="S1" s="105"/>
      <c r="T1" s="105"/>
      <c r="U1" s="105"/>
      <c r="V1" s="105"/>
      <c r="W1" s="106"/>
    </row>
    <row r="2" spans="1:179" ht="15.75" x14ac:dyDescent="0.25">
      <c r="A2" s="68"/>
      <c r="B2" s="68"/>
      <c r="C2" s="66" t="s">
        <v>710</v>
      </c>
      <c r="D2" s="66" t="s">
        <v>252</v>
      </c>
      <c r="E2" s="107" t="s">
        <v>707</v>
      </c>
      <c r="F2" s="108"/>
      <c r="G2" s="104" t="s">
        <v>708</v>
      </c>
      <c r="H2" s="105"/>
      <c r="I2" s="106"/>
      <c r="Q2" s="66" t="s">
        <v>1175</v>
      </c>
      <c r="R2" s="66" t="s">
        <v>252</v>
      </c>
      <c r="S2" s="107" t="s">
        <v>707</v>
      </c>
      <c r="T2" s="108"/>
      <c r="U2" s="104" t="s">
        <v>708</v>
      </c>
      <c r="V2" s="105"/>
      <c r="W2" s="106"/>
    </row>
    <row r="4" spans="1:179" x14ac:dyDescent="0.25">
      <c r="A4" s="67" t="s">
        <v>265</v>
      </c>
      <c r="B4" s="67"/>
      <c r="C4" s="33" t="s">
        <v>172</v>
      </c>
      <c r="D4" s="33" t="s">
        <v>211</v>
      </c>
      <c r="E4" s="33" t="s">
        <v>266</v>
      </c>
      <c r="F4" s="33" t="s">
        <v>198</v>
      </c>
      <c r="G4" s="33" t="s">
        <v>318</v>
      </c>
      <c r="H4" s="33" t="s">
        <v>88</v>
      </c>
      <c r="I4" s="33" t="s">
        <v>256</v>
      </c>
      <c r="J4" s="33" t="s">
        <v>14</v>
      </c>
      <c r="K4" s="33" t="s">
        <v>18</v>
      </c>
      <c r="L4" s="33" t="s">
        <v>286</v>
      </c>
      <c r="M4" s="33" t="s">
        <v>59</v>
      </c>
      <c r="O4" s="67" t="s">
        <v>265</v>
      </c>
      <c r="P4" s="67"/>
      <c r="Q4" s="33" t="s">
        <v>172</v>
      </c>
      <c r="R4" s="33" t="s">
        <v>211</v>
      </c>
      <c r="S4" s="33" t="s">
        <v>266</v>
      </c>
      <c r="T4" s="33" t="s">
        <v>198</v>
      </c>
      <c r="U4" s="33" t="s">
        <v>318</v>
      </c>
      <c r="V4" s="33" t="s">
        <v>88</v>
      </c>
      <c r="W4" s="33" t="s">
        <v>256</v>
      </c>
      <c r="X4" s="33" t="s">
        <v>14</v>
      </c>
      <c r="Y4" s="33" t="s">
        <v>18</v>
      </c>
      <c r="Z4" s="33" t="s">
        <v>286</v>
      </c>
      <c r="AA4" s="33" t="s">
        <v>59</v>
      </c>
    </row>
    <row r="5" spans="1:179" x14ac:dyDescent="0.25">
      <c r="A5" s="99">
        <f t="array" ref="A5:M5">LatestGrandTotal</f>
        <v>44909.916666666664</v>
      </c>
      <c r="B5" s="99" t="str">
        <v>Grand Total</v>
      </c>
      <c r="C5" s="98">
        <v>-205533686.17089412</v>
      </c>
      <c r="D5" s="98">
        <v>-1211136.6107189455</v>
      </c>
      <c r="E5" s="98">
        <v>-19164466.01251927</v>
      </c>
      <c r="F5" s="98">
        <v>-82415875.476928547</v>
      </c>
      <c r="G5" s="98">
        <v>39294117.210000001</v>
      </c>
      <c r="H5" s="98">
        <v>308434154.32850277</v>
      </c>
      <c r="I5" s="98">
        <v>384801.37466881482</v>
      </c>
      <c r="J5" s="98">
        <v>-27609657.098856796</v>
      </c>
      <c r="K5" s="98">
        <v>-38994153.683895983</v>
      </c>
      <c r="L5" s="98">
        <v>34995150</v>
      </c>
      <c r="M5" s="98">
        <v>8179247.8593579754</v>
      </c>
      <c r="O5" s="99">
        <f>A12</f>
        <v>44909.916666666664</v>
      </c>
      <c r="P5" s="99" t="s">
        <v>59</v>
      </c>
      <c r="Q5" s="98">
        <f>VLOOKUP("Grand Total",'Exchange-Positions'!$A:$M,MATCH(Q$4,'Exchange-Positions'!$8:$8,0),FALSE)</f>
        <v>-205533686.17089412</v>
      </c>
      <c r="R5" s="98">
        <f>VLOOKUP("Grand Total",'Exchange-Positions'!$A:$M,MATCH(R$4,'Exchange-Positions'!$8:$8,0),FALSE)</f>
        <v>-1211136.6107189455</v>
      </c>
      <c r="S5" s="98">
        <f>VLOOKUP("Grand Total",'Exchange-Positions'!$A:$M,MATCH(S$4,'Exchange-Positions'!$8:$8,0),FALSE)</f>
        <v>-19164466.01251927</v>
      </c>
      <c r="T5" s="98">
        <f>VLOOKUP("Grand Total",'Exchange-Positions'!$A:$M,MATCH(T$4,'Exchange-Positions'!$8:$8,0),FALSE)</f>
        <v>-82415875.476928547</v>
      </c>
      <c r="U5" s="98">
        <f>VLOOKUP("Grand Total",'Exchange-Positions'!$A:$M,MATCH(U$4,'Exchange-Positions'!$8:$8,0),FALSE)</f>
        <v>39294117.210000001</v>
      </c>
      <c r="V5" s="98">
        <f>VLOOKUP("Grand Total",'Exchange-Positions'!$A:$M,MATCH(V$4,'Exchange-Positions'!$8:$8,0),FALSE)</f>
        <v>308434154.32850277</v>
      </c>
      <c r="W5" s="98">
        <f>VLOOKUP("Grand Total",'Exchange-Positions'!$A:$M,MATCH(W$4,'Exchange-Positions'!$8:$8,0),FALSE)</f>
        <v>384801.37466881482</v>
      </c>
      <c r="X5" s="98">
        <f>VLOOKUP("Grand Total",'Exchange-Positions'!$A:$M,MATCH(X$4,'Exchange-Positions'!$8:$8,0),FALSE)</f>
        <v>-27609657.098856796</v>
      </c>
      <c r="Y5" s="98">
        <f>VLOOKUP("Grand Total",'Exchange-Positions'!$A:$M,MATCH(Y$4,'Exchange-Positions'!$8:$8,0),FALSE)</f>
        <v>-38994153.683895983</v>
      </c>
      <c r="Z5" s="98">
        <f>VLOOKUP("Grand Total",'Exchange-Positions'!$A:$M,MATCH(Z$4,'Exchange-Positions'!$8:$8,0),FALSE)</f>
        <v>34995150</v>
      </c>
      <c r="AA5" s="98">
        <f>VLOOKUP("Grand Total",'Exchange-Positions'!$A:$M,MATCH(AA$4,'Exchange-Positions'!$8:$8,0),FALSE)</f>
        <v>8179247.8593579754</v>
      </c>
    </row>
    <row r="6" spans="1:179" x14ac:dyDescent="0.25">
      <c r="A6" s="99" cm="1">
        <f t="array" aca="1" ref="A6:M6" ca="1">OFFSET(LatestGrandTotal,1,0)</f>
        <v>44908.916666666664</v>
      </c>
      <c r="B6" s="99" t="str">
        <f ca="1"/>
        <v>Grand Total</v>
      </c>
      <c r="C6" s="98">
        <f ca="1"/>
        <v>-205575718.13812998</v>
      </c>
      <c r="D6" s="98">
        <f ca="1"/>
        <v>-1211220.0197529485</v>
      </c>
      <c r="E6" s="98">
        <f ca="1"/>
        <v>-12546273.550818056</v>
      </c>
      <c r="F6" s="98">
        <f ca="1"/>
        <v>-82600334.935782343</v>
      </c>
      <c r="G6" s="98">
        <f ca="1"/>
        <v>38795796.609999999</v>
      </c>
      <c r="H6" s="98">
        <f ca="1"/>
        <v>301094328.16071886</v>
      </c>
      <c r="I6" s="98">
        <f ca="1"/>
        <v>79609.727003996493</v>
      </c>
      <c r="J6" s="98">
        <f ca="1"/>
        <v>-8105791.828279526</v>
      </c>
      <c r="K6" s="98">
        <f ca="1"/>
        <v>-34850778.339258939</v>
      </c>
      <c r="L6" s="98">
        <f ca="1"/>
        <v>48108900</v>
      </c>
      <c r="M6" s="98">
        <f ca="1"/>
        <v>43188517.685701013</v>
      </c>
      <c r="O6" s="99">
        <v>44908.916666666664</v>
      </c>
      <c r="P6" s="99" t="s">
        <v>59</v>
      </c>
      <c r="Q6" s="98">
        <v>-205575718.13812998</v>
      </c>
      <c r="R6" s="98">
        <v>-1211220.0197529485</v>
      </c>
      <c r="S6" s="98">
        <v>-12546273.550818056</v>
      </c>
      <c r="T6" s="98">
        <v>-82600334.935782343</v>
      </c>
      <c r="U6" s="98">
        <v>38795796.609999999</v>
      </c>
      <c r="V6" s="98">
        <v>301094328.16071886</v>
      </c>
      <c r="W6" s="98">
        <v>79609.727003996493</v>
      </c>
      <c r="X6" s="98">
        <v>-8105791.828279526</v>
      </c>
      <c r="Y6" s="98">
        <v>-34850778.339258939</v>
      </c>
      <c r="Z6" s="98">
        <v>48108900</v>
      </c>
      <c r="AA6" s="98">
        <v>43188517.685701013</v>
      </c>
      <c r="FW6" s="8"/>
    </row>
    <row r="7" spans="1:179" x14ac:dyDescent="0.25">
      <c r="A7" s="100"/>
      <c r="B7" s="100" t="s">
        <v>752</v>
      </c>
      <c r="C7" s="101">
        <f ca="1">C5-C6</f>
        <v>42031.967235863209</v>
      </c>
      <c r="D7" s="101">
        <f t="shared" ref="D7:M7" ca="1" si="0">D5-D6</f>
        <v>83.409034003037959</v>
      </c>
      <c r="E7" s="101">
        <f t="shared" ca="1" si="0"/>
        <v>-6618192.4617012143</v>
      </c>
      <c r="F7" s="101">
        <f t="shared" ca="1" si="0"/>
        <v>184459.45885379612</v>
      </c>
      <c r="G7" s="101">
        <f t="shared" ca="1" si="0"/>
        <v>498320.60000000149</v>
      </c>
      <c r="H7" s="101">
        <f t="shared" ca="1" si="0"/>
        <v>7339826.167783916</v>
      </c>
      <c r="I7" s="101">
        <f t="shared" ca="1" si="0"/>
        <v>305191.64766481833</v>
      </c>
      <c r="J7" s="101">
        <f t="shared" ca="1" si="0"/>
        <v>-19503865.270577271</v>
      </c>
      <c r="K7" s="101">
        <f t="shared" ca="1" si="0"/>
        <v>-4143375.3446370438</v>
      </c>
      <c r="L7" s="101">
        <f t="shared" ca="1" si="0"/>
        <v>-13113750</v>
      </c>
      <c r="M7" s="101">
        <f t="shared" ca="1" si="0"/>
        <v>-35009269.826343037</v>
      </c>
      <c r="O7" s="99">
        <v>44907.916666666664</v>
      </c>
      <c r="P7" s="99" t="s">
        <v>59</v>
      </c>
      <c r="Q7" s="98">
        <v>-203141628.3371948</v>
      </c>
      <c r="R7" s="98">
        <v>-1210834.3776766146</v>
      </c>
      <c r="S7" s="98">
        <v>-6782233.4027501633</v>
      </c>
      <c r="T7" s="98">
        <v>-79968654.262516797</v>
      </c>
      <c r="U7" s="98">
        <v>39348094.210000001</v>
      </c>
      <c r="V7" s="98">
        <v>289948812.37464052</v>
      </c>
      <c r="W7" s="98">
        <v>89940.650064125075</v>
      </c>
      <c r="X7" s="98">
        <v>1317001.5178749133</v>
      </c>
      <c r="Y7" s="98">
        <v>-19821321.270394642</v>
      </c>
      <c r="Z7" s="98">
        <v>31814250</v>
      </c>
      <c r="AA7" s="98">
        <v>51593427.102046505</v>
      </c>
      <c r="FW7" s="8"/>
    </row>
    <row r="8" spans="1:179" x14ac:dyDescent="0.25">
      <c r="O8" s="99">
        <v>44906.916666666664</v>
      </c>
      <c r="P8" s="99" t="s">
        <v>59</v>
      </c>
      <c r="Q8" s="98">
        <v>-202727436.72694242</v>
      </c>
      <c r="R8" s="98">
        <v>-1216412.3077018466</v>
      </c>
      <c r="S8" s="98">
        <v>-6254286.9976810208</v>
      </c>
      <c r="T8" s="98">
        <v>-79654294.047785729</v>
      </c>
      <c r="U8" s="98">
        <v>39171081.07</v>
      </c>
      <c r="V8" s="98">
        <v>288179074.87580818</v>
      </c>
      <c r="W8" s="98">
        <v>413259.32959217764</v>
      </c>
      <c r="X8" s="98">
        <v>2218187.5022644708</v>
      </c>
      <c r="Y8" s="98">
        <v>-30578302.405809734</v>
      </c>
      <c r="Z8" s="98">
        <v>44307200</v>
      </c>
      <c r="AA8" s="98">
        <v>53858070.291744135</v>
      </c>
      <c r="FW8" s="8"/>
    </row>
    <row r="9" spans="1:179" x14ac:dyDescent="0.25">
      <c r="O9" s="99">
        <v>44905.916666666664</v>
      </c>
      <c r="P9" s="99" t="s">
        <v>59</v>
      </c>
      <c r="Q9" s="98">
        <v>-202829124.61346349</v>
      </c>
      <c r="R9" s="98">
        <v>-1216842.9253521571</v>
      </c>
      <c r="S9" s="98">
        <v>-7021698.6218052749</v>
      </c>
      <c r="T9" s="98">
        <v>-79935060.856568977</v>
      </c>
      <c r="U9" s="98">
        <v>39171081.07</v>
      </c>
      <c r="V9" s="98">
        <v>289704691.99659151</v>
      </c>
      <c r="W9" s="98">
        <v>393418.10164619109</v>
      </c>
      <c r="X9" s="98">
        <v>1973107.5220439797</v>
      </c>
      <c r="Y9" s="98">
        <v>-34287671.676241741</v>
      </c>
      <c r="Z9" s="98">
        <v>44307200</v>
      </c>
      <c r="AA9" s="98">
        <v>50259099.996850081</v>
      </c>
      <c r="FW9" s="8"/>
    </row>
    <row r="10" spans="1:179" x14ac:dyDescent="0.25">
      <c r="O10" s="99">
        <v>44904.916666666664</v>
      </c>
      <c r="P10" s="99" t="s">
        <v>59</v>
      </c>
      <c r="Q10" s="98">
        <v>-202777378.44364104</v>
      </c>
      <c r="R10" s="98">
        <v>-1217934.5620066565</v>
      </c>
      <c r="S10" s="98">
        <v>-7274245.1437977217</v>
      </c>
      <c r="T10" s="98">
        <v>-79928640.827797428</v>
      </c>
      <c r="U10" s="98">
        <v>39171081.07</v>
      </c>
      <c r="V10" s="98">
        <v>289890994.7134369</v>
      </c>
      <c r="W10" s="98">
        <v>408369.69462038192</v>
      </c>
      <c r="X10" s="98">
        <v>2659435.2150975252</v>
      </c>
      <c r="Y10" s="98">
        <v>-19797634.917358965</v>
      </c>
      <c r="Z10" s="98">
        <v>44307200</v>
      </c>
      <c r="AA10" s="98">
        <v>65441246.798552968</v>
      </c>
      <c r="FW10" s="8"/>
    </row>
    <row r="11" spans="1:179" x14ac:dyDescent="0.25">
      <c r="A11" s="103" t="s">
        <v>265</v>
      </c>
      <c r="B11" s="2" t="s">
        <v>751</v>
      </c>
      <c r="C11" s="2" t="s">
        <v>57</v>
      </c>
      <c r="O11" s="99">
        <v>44903.916666666664</v>
      </c>
      <c r="P11" s="99" t="s">
        <v>59</v>
      </c>
      <c r="Q11" s="98">
        <v>-203445799.34103248</v>
      </c>
      <c r="R11" s="98">
        <v>-1217048.3013517286</v>
      </c>
      <c r="S11" s="98">
        <v>-8136600.424700561</v>
      </c>
      <c r="T11" s="98">
        <v>-80330536.42277585</v>
      </c>
      <c r="U11" s="98">
        <v>39527509.210000001</v>
      </c>
      <c r="V11" s="98">
        <v>311978679.10464066</v>
      </c>
      <c r="W11" s="98">
        <v>127154.95208777933</v>
      </c>
      <c r="X11" s="98">
        <v>5605901.9716402302</v>
      </c>
      <c r="Y11" s="98">
        <v>-27139757.066696502</v>
      </c>
      <c r="Z11" s="98">
        <v>19916725</v>
      </c>
      <c r="AA11" s="98">
        <v>56886228.681811541</v>
      </c>
      <c r="FW11" s="8"/>
    </row>
    <row r="12" spans="1:179" x14ac:dyDescent="0.25">
      <c r="A12" s="68">
        <f>'asset_&amp;_open_positions'!$B$2</f>
        <v>44909.916666666664</v>
      </c>
      <c r="B12" s="2" t="s">
        <v>273</v>
      </c>
      <c r="C12" t="s">
        <v>172</v>
      </c>
      <c r="D12" t="s">
        <v>211</v>
      </c>
      <c r="E12" t="s">
        <v>266</v>
      </c>
      <c r="F12" t="s">
        <v>198</v>
      </c>
      <c r="G12" t="s">
        <v>318</v>
      </c>
      <c r="H12" t="s">
        <v>88</v>
      </c>
      <c r="I12" t="s">
        <v>256</v>
      </c>
      <c r="J12" t="s">
        <v>14</v>
      </c>
      <c r="K12" t="s">
        <v>18</v>
      </c>
      <c r="L12" t="s">
        <v>286</v>
      </c>
      <c r="M12" t="s">
        <v>59</v>
      </c>
      <c r="FW12" s="8"/>
    </row>
    <row r="13" spans="1:179" x14ac:dyDescent="0.25">
      <c r="B13" s="102" t="s">
        <v>11</v>
      </c>
      <c r="C13" s="8"/>
      <c r="D13" s="8"/>
      <c r="E13" s="8">
        <v>-9482144.4723072238</v>
      </c>
      <c r="F13" s="8"/>
      <c r="G13" s="8"/>
      <c r="H13" s="8">
        <v>93785878.66478388</v>
      </c>
      <c r="I13" s="8">
        <v>232090.06891012122</v>
      </c>
      <c r="J13" s="8">
        <v>-26034948.940441817</v>
      </c>
      <c r="K13" s="8">
        <v>-39265273.204255015</v>
      </c>
      <c r="L13" s="8"/>
      <c r="M13" s="8">
        <v>19235602.11668995</v>
      </c>
      <c r="FW13" s="8"/>
    </row>
    <row r="14" spans="1:179" x14ac:dyDescent="0.25">
      <c r="B14" s="102" t="s">
        <v>220</v>
      </c>
      <c r="C14" s="8"/>
      <c r="D14" s="8"/>
      <c r="E14" s="8"/>
      <c r="F14" s="8"/>
      <c r="G14" s="8"/>
      <c r="H14" s="8">
        <v>168.80301102930915</v>
      </c>
      <c r="I14" s="8"/>
      <c r="J14" s="8"/>
      <c r="K14" s="8"/>
      <c r="L14" s="8"/>
      <c r="M14" s="8">
        <v>168.80301102930915</v>
      </c>
      <c r="FW14" s="8"/>
    </row>
    <row r="15" spans="1:179" x14ac:dyDescent="0.25">
      <c r="B15" s="102" t="s">
        <v>100</v>
      </c>
      <c r="C15" s="8"/>
      <c r="D15" s="8"/>
      <c r="E15" s="8"/>
      <c r="F15" s="8"/>
      <c r="G15" s="8"/>
      <c r="H15" s="8">
        <v>162093.87297839232</v>
      </c>
      <c r="I15" s="8"/>
      <c r="J15" s="8"/>
      <c r="K15" s="8"/>
      <c r="L15" s="8"/>
      <c r="M15" s="8">
        <v>162093.87297839232</v>
      </c>
      <c r="FW15" s="8"/>
    </row>
    <row r="16" spans="1:179" x14ac:dyDescent="0.25">
      <c r="B16" s="102" t="s">
        <v>104</v>
      </c>
      <c r="C16" s="8"/>
      <c r="D16" s="8"/>
      <c r="E16" s="8"/>
      <c r="F16" s="8">
        <v>-72448253.790689871</v>
      </c>
      <c r="G16" s="8"/>
      <c r="H16" s="8">
        <v>136321502.19633532</v>
      </c>
      <c r="I16" s="8"/>
      <c r="J16" s="8"/>
      <c r="K16" s="8"/>
      <c r="L16" s="8"/>
      <c r="M16" s="8">
        <v>63873248.405645445</v>
      </c>
      <c r="FW16" s="8"/>
    </row>
    <row r="17" spans="2:179" x14ac:dyDescent="0.25">
      <c r="B17" s="102" t="s">
        <v>262</v>
      </c>
      <c r="C17" s="8"/>
      <c r="D17" s="8"/>
      <c r="E17" s="8"/>
      <c r="F17" s="8"/>
      <c r="G17" s="8"/>
      <c r="H17" s="8">
        <v>233100.16999999899</v>
      </c>
      <c r="I17" s="8"/>
      <c r="J17" s="8"/>
      <c r="K17" s="8"/>
      <c r="L17" s="8"/>
      <c r="M17" s="8">
        <v>233100.16999999899</v>
      </c>
      <c r="FW17" s="8"/>
    </row>
    <row r="18" spans="2:179" x14ac:dyDescent="0.25">
      <c r="B18" s="102" t="s">
        <v>301</v>
      </c>
      <c r="C18" s="8"/>
      <c r="D18" s="8"/>
      <c r="E18" s="8"/>
      <c r="F18" s="8"/>
      <c r="G18" s="8"/>
      <c r="H18" s="8">
        <v>4295583.9781380678</v>
      </c>
      <c r="I18" s="8"/>
      <c r="J18" s="8"/>
      <c r="K18" s="8"/>
      <c r="L18" s="8"/>
      <c r="M18" s="8">
        <v>4295583.9781380678</v>
      </c>
      <c r="FW18" s="8"/>
    </row>
    <row r="19" spans="2:179" x14ac:dyDescent="0.25">
      <c r="B19" s="102" t="s">
        <v>33</v>
      </c>
      <c r="C19" s="8"/>
      <c r="D19" s="8"/>
      <c r="E19" s="8"/>
      <c r="F19" s="8"/>
      <c r="G19" s="8"/>
      <c r="H19" s="8">
        <v>172495.82137125701</v>
      </c>
      <c r="I19" s="8"/>
      <c r="J19" s="8"/>
      <c r="K19" s="8">
        <v>-29736.210300322</v>
      </c>
      <c r="L19" s="8"/>
      <c r="M19" s="8">
        <v>142759.611070935</v>
      </c>
      <c r="FW19" s="8"/>
    </row>
    <row r="20" spans="2:179" x14ac:dyDescent="0.25">
      <c r="B20" s="102" t="s">
        <v>268</v>
      </c>
      <c r="C20" s="8"/>
      <c r="D20" s="8"/>
      <c r="E20" s="8"/>
      <c r="F20" s="8"/>
      <c r="G20" s="8">
        <v>30714150.289999999</v>
      </c>
      <c r="H20" s="8"/>
      <c r="I20" s="8"/>
      <c r="J20" s="8"/>
      <c r="K20" s="8"/>
      <c r="L20" s="8">
        <v>34995150</v>
      </c>
      <c r="M20" s="8">
        <v>65709300.289999999</v>
      </c>
      <c r="FW20" s="8"/>
    </row>
    <row r="21" spans="2:179" x14ac:dyDescent="0.25">
      <c r="B21" s="102" t="s">
        <v>189</v>
      </c>
      <c r="C21" s="8"/>
      <c r="D21" s="8"/>
      <c r="E21" s="8"/>
      <c r="F21" s="8"/>
      <c r="G21" s="8"/>
      <c r="H21" s="8">
        <v>20668562.895670999</v>
      </c>
      <c r="I21" s="8"/>
      <c r="J21" s="8"/>
      <c r="K21" s="8"/>
      <c r="L21" s="8"/>
      <c r="M21" s="8">
        <v>20668562.895670999</v>
      </c>
      <c r="FW21" s="8"/>
    </row>
    <row r="22" spans="2:179" x14ac:dyDescent="0.25">
      <c r="B22" s="102" t="s">
        <v>173</v>
      </c>
      <c r="C22" s="8">
        <v>-205533686.17089412</v>
      </c>
      <c r="D22" s="8"/>
      <c r="E22" s="8"/>
      <c r="F22" s="8"/>
      <c r="G22" s="8"/>
      <c r="H22" s="8">
        <v>4328352.4552781619</v>
      </c>
      <c r="I22" s="8"/>
      <c r="J22" s="8"/>
      <c r="K22" s="8"/>
      <c r="L22" s="8"/>
      <c r="M22" s="8">
        <v>-201205333.71561596</v>
      </c>
      <c r="FW22" s="8"/>
    </row>
    <row r="23" spans="2:179" x14ac:dyDescent="0.25">
      <c r="B23" s="102" t="s">
        <v>302</v>
      </c>
      <c r="C23" s="8"/>
      <c r="D23" s="8"/>
      <c r="E23" s="8"/>
      <c r="F23" s="8"/>
      <c r="G23" s="8"/>
      <c r="H23" s="8">
        <v>20674.511024597377</v>
      </c>
      <c r="I23" s="8"/>
      <c r="J23" s="8"/>
      <c r="K23" s="8"/>
      <c r="L23" s="8"/>
      <c r="M23" s="8">
        <v>20674.511024597377</v>
      </c>
      <c r="FW23" s="8"/>
    </row>
    <row r="24" spans="2:179" x14ac:dyDescent="0.25">
      <c r="B24" s="102" t="s">
        <v>40</v>
      </c>
      <c r="C24" s="8"/>
      <c r="D24" s="8"/>
      <c r="E24" s="8">
        <v>-1121527.0000688597</v>
      </c>
      <c r="F24" s="8">
        <v>-9967621.6862386707</v>
      </c>
      <c r="G24" s="8"/>
      <c r="H24" s="8">
        <v>21308259.331399832</v>
      </c>
      <c r="I24" s="8">
        <v>-34006.364436938667</v>
      </c>
      <c r="J24" s="8">
        <v>860400</v>
      </c>
      <c r="K24" s="8">
        <v>1209408.7191000001</v>
      </c>
      <c r="L24" s="8"/>
      <c r="M24" s="8">
        <v>12254912.999755362</v>
      </c>
      <c r="FW24" s="8"/>
    </row>
    <row r="25" spans="2:179" x14ac:dyDescent="0.25">
      <c r="B25" s="102" t="s">
        <v>170</v>
      </c>
      <c r="C25" s="8"/>
      <c r="D25" s="8"/>
      <c r="E25" s="8"/>
      <c r="F25" s="8"/>
      <c r="G25" s="8"/>
      <c r="H25" s="8">
        <v>185028.27481855749</v>
      </c>
      <c r="I25" s="8"/>
      <c r="J25" s="8"/>
      <c r="K25" s="8"/>
      <c r="L25" s="8"/>
      <c r="M25" s="8">
        <v>185028.27481855749</v>
      </c>
      <c r="FW25" s="8"/>
    </row>
    <row r="26" spans="2:179" x14ac:dyDescent="0.25">
      <c r="B26" s="102" t="s">
        <v>175</v>
      </c>
      <c r="C26" s="8"/>
      <c r="D26" s="8"/>
      <c r="E26" s="8"/>
      <c r="F26" s="8"/>
      <c r="G26" s="8"/>
      <c r="H26" s="8">
        <v>0.657294338466481</v>
      </c>
      <c r="I26" s="8"/>
      <c r="J26" s="8"/>
      <c r="K26" s="8"/>
      <c r="L26" s="8"/>
      <c r="M26" s="8">
        <v>0.657294338466481</v>
      </c>
      <c r="FW26" s="8"/>
    </row>
    <row r="27" spans="2:179" x14ac:dyDescent="0.25">
      <c r="B27" s="102" t="s">
        <v>176</v>
      </c>
      <c r="C27" s="8"/>
      <c r="D27" s="8"/>
      <c r="E27" s="8"/>
      <c r="F27" s="8"/>
      <c r="G27" s="8"/>
      <c r="H27" s="8">
        <v>10137.885630000001</v>
      </c>
      <c r="I27" s="8"/>
      <c r="J27" s="8"/>
      <c r="K27" s="8"/>
      <c r="L27" s="8"/>
      <c r="M27" s="8">
        <v>10137.885630000001</v>
      </c>
      <c r="FW27" s="8"/>
    </row>
    <row r="28" spans="2:179" x14ac:dyDescent="0.25">
      <c r="B28" s="102" t="s">
        <v>46</v>
      </c>
      <c r="C28" s="8"/>
      <c r="D28" s="8"/>
      <c r="E28" s="8">
        <v>-2633391.7259042589</v>
      </c>
      <c r="F28" s="8"/>
      <c r="G28" s="8"/>
      <c r="H28" s="8">
        <v>17709922.804787185</v>
      </c>
      <c r="I28" s="8">
        <v>186717.67019563229</v>
      </c>
      <c r="J28" s="8">
        <v>-2435108.1584149799</v>
      </c>
      <c r="K28" s="8">
        <v>-908552.98844064982</v>
      </c>
      <c r="L28" s="8"/>
      <c r="M28" s="8">
        <v>11919587.602222927</v>
      </c>
      <c r="FW28" s="8"/>
    </row>
    <row r="29" spans="2:179" x14ac:dyDescent="0.25">
      <c r="B29" s="102" t="s">
        <v>212</v>
      </c>
      <c r="C29" s="8"/>
      <c r="D29" s="8">
        <v>-1211058.87587134</v>
      </c>
      <c r="E29" s="8"/>
      <c r="F29" s="8"/>
      <c r="G29" s="8"/>
      <c r="H29" s="8"/>
      <c r="I29" s="8"/>
      <c r="J29" s="8"/>
      <c r="K29" s="8"/>
      <c r="L29" s="8"/>
      <c r="M29" s="8">
        <v>-1211058.87587134</v>
      </c>
      <c r="FW29" s="8"/>
    </row>
    <row r="30" spans="2:179" x14ac:dyDescent="0.25">
      <c r="B30" s="102" t="s">
        <v>179</v>
      </c>
      <c r="C30" s="8"/>
      <c r="D30" s="8"/>
      <c r="E30" s="8"/>
      <c r="F30" s="8"/>
      <c r="G30" s="8"/>
      <c r="H30" s="8">
        <v>0.97088725360490191</v>
      </c>
      <c r="I30" s="8"/>
      <c r="J30" s="8"/>
      <c r="K30" s="8"/>
      <c r="L30" s="8"/>
      <c r="M30" s="8">
        <v>0.97088725360490191</v>
      </c>
      <c r="FW30" s="8"/>
    </row>
    <row r="31" spans="2:179" x14ac:dyDescent="0.25">
      <c r="B31" s="102" t="s">
        <v>214</v>
      </c>
      <c r="C31" s="8"/>
      <c r="D31" s="8">
        <v>-77.734847605534796</v>
      </c>
      <c r="E31" s="8"/>
      <c r="F31" s="8"/>
      <c r="G31" s="8"/>
      <c r="H31" s="8"/>
      <c r="I31" s="8"/>
      <c r="J31" s="8"/>
      <c r="K31" s="8"/>
      <c r="L31" s="8"/>
      <c r="M31" s="8">
        <v>-77.734847605534796</v>
      </c>
      <c r="FW31" s="8"/>
    </row>
    <row r="32" spans="2:179" x14ac:dyDescent="0.25">
      <c r="B32" s="102" t="s">
        <v>185</v>
      </c>
      <c r="C32" s="8"/>
      <c r="D32" s="8"/>
      <c r="E32" s="8"/>
      <c r="F32" s="8"/>
      <c r="G32" s="8"/>
      <c r="H32" s="8">
        <v>31408.321681189798</v>
      </c>
      <c r="I32" s="8"/>
      <c r="J32" s="8"/>
      <c r="K32" s="8"/>
      <c r="L32" s="8"/>
      <c r="M32" s="8">
        <v>31408.321681189798</v>
      </c>
      <c r="FW32" s="8"/>
    </row>
    <row r="33" spans="1:179" x14ac:dyDescent="0.25">
      <c r="B33" s="102" t="s">
        <v>187</v>
      </c>
      <c r="C33" s="8"/>
      <c r="D33" s="8"/>
      <c r="E33" s="8">
        <v>-5927402.8142389301</v>
      </c>
      <c r="F33" s="8"/>
      <c r="G33" s="8"/>
      <c r="H33" s="8">
        <v>9200982.7134127431</v>
      </c>
      <c r="I33" s="8"/>
      <c r="J33" s="8"/>
      <c r="K33" s="8"/>
      <c r="L33" s="8"/>
      <c r="M33" s="8">
        <v>3273579.8991738129</v>
      </c>
      <c r="FW33" s="8"/>
    </row>
    <row r="34" spans="1:179" x14ac:dyDescent="0.25">
      <c r="B34" s="102" t="s">
        <v>713</v>
      </c>
      <c r="C34" s="8"/>
      <c r="D34" s="8"/>
      <c r="E34" s="8"/>
      <c r="F34" s="8"/>
      <c r="G34" s="8">
        <v>8579966.9199999999</v>
      </c>
      <c r="H34" s="8"/>
      <c r="I34" s="8"/>
      <c r="J34" s="8"/>
      <c r="K34" s="8"/>
      <c r="L34" s="8"/>
      <c r="M34" s="8">
        <v>8579966.9199999999</v>
      </c>
      <c r="FW34" s="8"/>
    </row>
    <row r="35" spans="1:179" x14ac:dyDescent="0.25">
      <c r="B35" s="102" t="s">
        <v>59</v>
      </c>
      <c r="C35" s="8">
        <v>-205533686.17089412</v>
      </c>
      <c r="D35" s="8">
        <v>-1211136.6107189455</v>
      </c>
      <c r="E35" s="8">
        <v>-19164466.01251927</v>
      </c>
      <c r="F35" s="8">
        <v>-82415875.476928547</v>
      </c>
      <c r="G35" s="8">
        <v>39294117.210000001</v>
      </c>
      <c r="H35" s="8">
        <v>308434154.32850277</v>
      </c>
      <c r="I35" s="8">
        <v>384801.37466881482</v>
      </c>
      <c r="J35" s="8">
        <v>-27609657.098856796</v>
      </c>
      <c r="K35" s="8">
        <v>-38994153.683895983</v>
      </c>
      <c r="L35" s="8">
        <v>34995150</v>
      </c>
      <c r="M35" s="8">
        <v>8179247.8593579754</v>
      </c>
      <c r="FW35" s="8"/>
    </row>
    <row r="36" spans="1:179" x14ac:dyDescent="0.25">
      <c r="FW36" s="8"/>
    </row>
    <row r="37" spans="1:179" x14ac:dyDescent="0.25">
      <c r="FW37" s="8"/>
    </row>
    <row r="38" spans="1:179" x14ac:dyDescent="0.25">
      <c r="FW38" s="8"/>
    </row>
    <row r="39" spans="1:179" x14ac:dyDescent="0.25">
      <c r="A39" s="103" t="s">
        <v>265</v>
      </c>
      <c r="B39" s="95" t="s">
        <v>751</v>
      </c>
      <c r="C39" s="95" t="s">
        <v>57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FW39" s="8"/>
    </row>
    <row r="40" spans="1:179" x14ac:dyDescent="0.25">
      <c r="A40" s="68">
        <v>44908.916666666664</v>
      </c>
      <c r="B40" s="33" t="s">
        <v>273</v>
      </c>
      <c r="C40" s="33" t="s">
        <v>172</v>
      </c>
      <c r="D40" s="33" t="s">
        <v>211</v>
      </c>
      <c r="E40" s="33" t="s">
        <v>266</v>
      </c>
      <c r="F40" s="33" t="s">
        <v>198</v>
      </c>
      <c r="G40" s="33" t="s">
        <v>318</v>
      </c>
      <c r="H40" s="33" t="s">
        <v>88</v>
      </c>
      <c r="I40" s="33" t="s">
        <v>256</v>
      </c>
      <c r="J40" s="33" t="s">
        <v>14</v>
      </c>
      <c r="K40" s="33" t="s">
        <v>18</v>
      </c>
      <c r="L40" s="33" t="s">
        <v>286</v>
      </c>
      <c r="M40" s="33" t="s">
        <v>59</v>
      </c>
      <c r="FW40" s="8"/>
    </row>
    <row r="41" spans="1:179" x14ac:dyDescent="0.25">
      <c r="B41" s="102" t="s">
        <v>11</v>
      </c>
      <c r="C41" s="8"/>
      <c r="D41" s="8"/>
      <c r="E41" s="8">
        <v>-4696280.3599689761</v>
      </c>
      <c r="F41" s="8"/>
      <c r="G41" s="8"/>
      <c r="H41" s="8">
        <v>87528672.133926079</v>
      </c>
      <c r="I41" s="8">
        <v>-127737.95864007363</v>
      </c>
      <c r="J41" s="8">
        <v>-9744665.8134965878</v>
      </c>
      <c r="K41" s="8">
        <v>-28084924.838083107</v>
      </c>
      <c r="L41" s="8"/>
      <c r="M41" s="8">
        <v>44875063.163737342</v>
      </c>
      <c r="FW41" s="8"/>
    </row>
    <row r="42" spans="1:179" x14ac:dyDescent="0.25">
      <c r="B42" s="102" t="s">
        <v>220</v>
      </c>
      <c r="C42" s="8"/>
      <c r="D42" s="8"/>
      <c r="E42" s="8"/>
      <c r="F42" s="8"/>
      <c r="G42" s="8"/>
      <c r="H42" s="8">
        <v>168.7545336659278</v>
      </c>
      <c r="I42" s="8"/>
      <c r="J42" s="8"/>
      <c r="K42" s="8"/>
      <c r="L42" s="8"/>
      <c r="M42" s="8">
        <v>168.7545336659278</v>
      </c>
      <c r="FW42" s="8"/>
    </row>
    <row r="43" spans="1:179" x14ac:dyDescent="0.25">
      <c r="B43" s="102" t="s">
        <v>100</v>
      </c>
      <c r="C43" s="8"/>
      <c r="D43" s="8"/>
      <c r="E43" s="8"/>
      <c r="F43" s="8"/>
      <c r="G43" s="8"/>
      <c r="H43" s="8">
        <v>163116.25522569579</v>
      </c>
      <c r="I43" s="8"/>
      <c r="J43" s="8"/>
      <c r="K43" s="8"/>
      <c r="L43" s="8"/>
      <c r="M43" s="8">
        <v>163116.25522569579</v>
      </c>
      <c r="FW43" s="8"/>
    </row>
    <row r="44" spans="1:179" x14ac:dyDescent="0.25">
      <c r="B44" s="102" t="s">
        <v>104</v>
      </c>
      <c r="C44" s="8"/>
      <c r="D44" s="8"/>
      <c r="E44" s="8"/>
      <c r="F44" s="8">
        <v>-72495304.320327953</v>
      </c>
      <c r="G44" s="8"/>
      <c r="H44" s="8">
        <v>136560727.57240009</v>
      </c>
      <c r="I44" s="8"/>
      <c r="J44" s="8"/>
      <c r="K44" s="8"/>
      <c r="L44" s="8"/>
      <c r="M44" s="8">
        <v>64065423.252072141</v>
      </c>
      <c r="FW44" s="8"/>
    </row>
    <row r="45" spans="1:179" x14ac:dyDescent="0.25">
      <c r="B45" s="102" t="s">
        <v>262</v>
      </c>
      <c r="C45" s="8"/>
      <c r="D45" s="8"/>
      <c r="E45" s="8"/>
      <c r="F45" s="8"/>
      <c r="G45" s="8"/>
      <c r="H45" s="8">
        <v>257107.02999999901</v>
      </c>
      <c r="I45" s="8"/>
      <c r="J45" s="8"/>
      <c r="K45" s="8"/>
      <c r="L45" s="8"/>
      <c r="M45" s="8">
        <v>257107.02999999901</v>
      </c>
      <c r="FW45" s="8"/>
    </row>
    <row r="46" spans="1:179" x14ac:dyDescent="0.25">
      <c r="B46" s="102" t="s">
        <v>301</v>
      </c>
      <c r="C46" s="8"/>
      <c r="D46" s="8"/>
      <c r="E46" s="8"/>
      <c r="F46" s="8"/>
      <c r="G46" s="8"/>
      <c r="H46" s="8">
        <v>3301332.8005999653</v>
      </c>
      <c r="I46" s="8"/>
      <c r="J46" s="8"/>
      <c r="K46" s="8"/>
      <c r="L46" s="8"/>
      <c r="M46" s="8">
        <v>3301332.8005999653</v>
      </c>
      <c r="FW46" s="8"/>
    </row>
    <row r="47" spans="1:179" x14ac:dyDescent="0.25">
      <c r="B47" s="102" t="s">
        <v>33</v>
      </c>
      <c r="C47" s="8"/>
      <c r="D47" s="8"/>
      <c r="E47" s="8"/>
      <c r="F47" s="8"/>
      <c r="G47" s="8"/>
      <c r="H47" s="8">
        <v>172510.70613168299</v>
      </c>
      <c r="I47" s="8"/>
      <c r="J47" s="8"/>
      <c r="K47" s="8">
        <v>-29234.147373667998</v>
      </c>
      <c r="L47" s="8"/>
      <c r="M47" s="8">
        <v>143276.55875801499</v>
      </c>
      <c r="FW47" s="8"/>
    </row>
    <row r="48" spans="1:179" x14ac:dyDescent="0.25">
      <c r="B48" s="102" t="s">
        <v>268</v>
      </c>
      <c r="C48" s="8"/>
      <c r="D48" s="8"/>
      <c r="E48" s="8"/>
      <c r="F48" s="8"/>
      <c r="G48" s="8">
        <v>30215829.690000001</v>
      </c>
      <c r="H48" s="8"/>
      <c r="I48" s="8"/>
      <c r="J48" s="8"/>
      <c r="K48" s="8"/>
      <c r="L48" s="8">
        <v>48108900</v>
      </c>
      <c r="M48" s="8">
        <v>78324729.689999998</v>
      </c>
      <c r="FW48" s="8"/>
    </row>
    <row r="49" spans="2:180" x14ac:dyDescent="0.25">
      <c r="B49" s="102" t="s">
        <v>189</v>
      </c>
      <c r="C49" s="8"/>
      <c r="D49" s="8"/>
      <c r="E49" s="8"/>
      <c r="F49" s="8"/>
      <c r="G49" s="8"/>
      <c r="H49" s="8">
        <v>21966791.722732544</v>
      </c>
      <c r="I49" s="8"/>
      <c r="J49" s="8"/>
      <c r="K49" s="8"/>
      <c r="L49" s="8"/>
      <c r="M49" s="8">
        <v>21966791.722732544</v>
      </c>
      <c r="FW49" s="8"/>
    </row>
    <row r="50" spans="2:180" x14ac:dyDescent="0.25">
      <c r="B50" s="102" t="s">
        <v>173</v>
      </c>
      <c r="C50" s="8">
        <v>-205575718.13812998</v>
      </c>
      <c r="D50" s="8"/>
      <c r="E50" s="8"/>
      <c r="F50" s="8"/>
      <c r="G50" s="8"/>
      <c r="H50" s="8">
        <v>4414140.1535259215</v>
      </c>
      <c r="I50" s="8"/>
      <c r="J50" s="8"/>
      <c r="K50" s="8"/>
      <c r="L50" s="8"/>
      <c r="M50" s="8">
        <v>-201161577.98460406</v>
      </c>
      <c r="FW50" s="8"/>
    </row>
    <row r="51" spans="2:180" x14ac:dyDescent="0.25">
      <c r="B51" s="102" t="s">
        <v>302</v>
      </c>
      <c r="C51" s="8"/>
      <c r="D51" s="8"/>
      <c r="E51" s="8"/>
      <c r="F51" s="8"/>
      <c r="G51" s="8"/>
      <c r="H51" s="8">
        <v>20672.068917845481</v>
      </c>
      <c r="I51" s="8"/>
      <c r="J51" s="8"/>
      <c r="K51" s="8"/>
      <c r="L51" s="8"/>
      <c r="M51" s="8">
        <v>20672.068917845481</v>
      </c>
      <c r="FX51" s="8"/>
    </row>
    <row r="52" spans="2:180" x14ac:dyDescent="0.25">
      <c r="B52" s="102" t="s">
        <v>40</v>
      </c>
      <c r="C52" s="8"/>
      <c r="D52" s="8"/>
      <c r="E52" s="8">
        <v>-1142652.0401439015</v>
      </c>
      <c r="F52" s="8">
        <v>-10105030.615454391</v>
      </c>
      <c r="G52" s="8"/>
      <c r="H52" s="8">
        <v>21373993.096233498</v>
      </c>
      <c r="I52" s="8">
        <v>44961.036633337055</v>
      </c>
      <c r="J52" s="8">
        <v>887130</v>
      </c>
      <c r="K52" s="8">
        <v>1107008.9521000001</v>
      </c>
      <c r="L52" s="8"/>
      <c r="M52" s="8">
        <v>12165410.429368543</v>
      </c>
      <c r="FX52" s="8"/>
    </row>
    <row r="53" spans="2:180" x14ac:dyDescent="0.25">
      <c r="B53" s="102" t="s">
        <v>170</v>
      </c>
      <c r="C53" s="8"/>
      <c r="D53" s="8"/>
      <c r="E53" s="8"/>
      <c r="F53" s="8"/>
      <c r="G53" s="8"/>
      <c r="H53" s="8">
        <v>185033.07832535505</v>
      </c>
      <c r="I53" s="8"/>
      <c r="J53" s="8"/>
      <c r="K53" s="8"/>
      <c r="L53" s="8"/>
      <c r="M53" s="8">
        <v>185033.07832535505</v>
      </c>
      <c r="FX53" s="8"/>
    </row>
    <row r="54" spans="2:180" x14ac:dyDescent="0.25">
      <c r="B54" s="102" t="s">
        <v>175</v>
      </c>
      <c r="C54" s="8"/>
      <c r="D54" s="8"/>
      <c r="E54" s="8"/>
      <c r="F54" s="8"/>
      <c r="G54" s="8"/>
      <c r="H54" s="8">
        <v>0.66290461881386398</v>
      </c>
      <c r="I54" s="8"/>
      <c r="J54" s="8"/>
      <c r="K54" s="8"/>
      <c r="L54" s="8"/>
      <c r="M54" s="8">
        <v>0.66290461881386398</v>
      </c>
      <c r="FX54" s="8"/>
    </row>
    <row r="55" spans="2:180" x14ac:dyDescent="0.25">
      <c r="B55" s="102" t="s">
        <v>176</v>
      </c>
      <c r="C55" s="8"/>
      <c r="D55" s="8"/>
      <c r="E55" s="8"/>
      <c r="F55" s="8"/>
      <c r="G55" s="8"/>
      <c r="H55" s="8">
        <v>10137.645630000001</v>
      </c>
      <c r="I55" s="8"/>
      <c r="J55" s="8"/>
      <c r="K55" s="8"/>
      <c r="L55" s="8"/>
      <c r="M55" s="8">
        <v>10137.645630000001</v>
      </c>
      <c r="FX55" s="8"/>
    </row>
    <row r="56" spans="2:180" x14ac:dyDescent="0.25">
      <c r="B56" s="102" t="s">
        <v>46</v>
      </c>
      <c r="C56" s="8"/>
      <c r="D56" s="8"/>
      <c r="E56" s="8">
        <v>-882973.94516375975</v>
      </c>
      <c r="F56" s="8"/>
      <c r="G56" s="8"/>
      <c r="H56" s="8">
        <v>15999838.661033722</v>
      </c>
      <c r="I56" s="8">
        <v>162386.64901073306</v>
      </c>
      <c r="J56" s="8">
        <v>751743.98521706159</v>
      </c>
      <c r="K56" s="8">
        <v>-7843628.3059021663</v>
      </c>
      <c r="L56" s="8"/>
      <c r="M56" s="8">
        <v>8187367.0441955887</v>
      </c>
      <c r="FX56" s="8"/>
    </row>
    <row r="57" spans="2:180" x14ac:dyDescent="0.25">
      <c r="B57" s="102" t="s">
        <v>212</v>
      </c>
      <c r="C57" s="8"/>
      <c r="D57" s="8">
        <v>-1211140.5370159049</v>
      </c>
      <c r="E57" s="8"/>
      <c r="F57" s="8"/>
      <c r="G57" s="8"/>
      <c r="H57" s="8"/>
      <c r="I57" s="8"/>
      <c r="J57" s="8"/>
      <c r="K57" s="8"/>
      <c r="L57" s="8"/>
      <c r="M57" s="8">
        <v>-1211140.5370159049</v>
      </c>
      <c r="FX57" s="8"/>
    </row>
    <row r="58" spans="2:180" x14ac:dyDescent="0.25">
      <c r="B58" s="102" t="s">
        <v>179</v>
      </c>
      <c r="C58" s="8"/>
      <c r="D58" s="8"/>
      <c r="E58" s="8"/>
      <c r="F58" s="8"/>
      <c r="G58" s="8"/>
      <c r="H58" s="8">
        <v>0.97879496885518369</v>
      </c>
      <c r="I58" s="8"/>
      <c r="J58" s="8"/>
      <c r="K58" s="8"/>
      <c r="L58" s="8"/>
      <c r="M58" s="8">
        <v>0.97879496885518369</v>
      </c>
      <c r="FX58" s="8"/>
    </row>
    <row r="59" spans="2:180" x14ac:dyDescent="0.25">
      <c r="B59" s="102" t="s">
        <v>214</v>
      </c>
      <c r="C59" s="8"/>
      <c r="D59" s="8">
        <v>-79.482737043568406</v>
      </c>
      <c r="E59" s="8"/>
      <c r="F59" s="8"/>
      <c r="G59" s="8"/>
      <c r="H59" s="8"/>
      <c r="I59" s="8"/>
      <c r="J59" s="8"/>
      <c r="K59" s="8"/>
      <c r="L59" s="8"/>
      <c r="M59" s="8">
        <v>-79.482737043568406</v>
      </c>
      <c r="FX59" s="8"/>
    </row>
    <row r="60" spans="2:180" x14ac:dyDescent="0.25">
      <c r="B60" s="102" t="s">
        <v>185</v>
      </c>
      <c r="C60" s="8"/>
      <c r="D60" s="8"/>
      <c r="E60" s="8"/>
      <c r="F60" s="8"/>
      <c r="G60" s="8"/>
      <c r="H60" s="8">
        <v>32605.692936694599</v>
      </c>
      <c r="I60" s="8"/>
      <c r="J60" s="8"/>
      <c r="K60" s="8"/>
      <c r="L60" s="8"/>
      <c r="M60" s="8">
        <v>32605.692936694599</v>
      </c>
      <c r="FX60" s="8"/>
    </row>
    <row r="61" spans="2:180" x14ac:dyDescent="0.25">
      <c r="B61" s="102" t="s">
        <v>187</v>
      </c>
      <c r="C61" s="8"/>
      <c r="D61" s="8"/>
      <c r="E61" s="8">
        <v>-5824367.2055414198</v>
      </c>
      <c r="F61" s="8"/>
      <c r="G61" s="8"/>
      <c r="H61" s="8">
        <v>9107479.1468664445</v>
      </c>
      <c r="I61" s="8"/>
      <c r="J61" s="8"/>
      <c r="K61" s="8"/>
      <c r="L61" s="8"/>
      <c r="M61" s="8">
        <v>3283111.9413250247</v>
      </c>
      <c r="FX61" s="8"/>
    </row>
    <row r="62" spans="2:180" x14ac:dyDescent="0.25">
      <c r="B62" s="102" t="s">
        <v>713</v>
      </c>
      <c r="C62" s="8"/>
      <c r="D62" s="8"/>
      <c r="E62" s="8"/>
      <c r="F62" s="8"/>
      <c r="G62" s="8">
        <v>8579966.9199999999</v>
      </c>
      <c r="H62" s="8"/>
      <c r="I62" s="8"/>
      <c r="J62" s="8"/>
      <c r="K62" s="8"/>
      <c r="L62" s="8"/>
      <c r="M62" s="8">
        <v>8579966.9199999999</v>
      </c>
      <c r="FX62" s="8"/>
    </row>
    <row r="63" spans="2:180" x14ac:dyDescent="0.25">
      <c r="B63" s="96" t="s">
        <v>59</v>
      </c>
      <c r="C63" s="97">
        <v>-205575718.13812998</v>
      </c>
      <c r="D63" s="97">
        <v>-1211220.0197529485</v>
      </c>
      <c r="E63" s="97">
        <v>-12546273.550818056</v>
      </c>
      <c r="F63" s="97">
        <v>-82600334.935782343</v>
      </c>
      <c r="G63" s="97">
        <v>38795796.609999999</v>
      </c>
      <c r="H63" s="97">
        <v>301094328.16071886</v>
      </c>
      <c r="I63" s="97">
        <v>79609.727003996493</v>
      </c>
      <c r="J63" s="97">
        <v>-8105791.828279526</v>
      </c>
      <c r="K63" s="97">
        <v>-34850778.339258939</v>
      </c>
      <c r="L63" s="97">
        <v>48108900</v>
      </c>
      <c r="M63" s="97">
        <v>43188517.685701013</v>
      </c>
      <c r="FX63" s="8"/>
    </row>
    <row r="64" spans="2:180" x14ac:dyDescent="0.25">
      <c r="FX64" s="8"/>
    </row>
    <row r="65" spans="28:180" x14ac:dyDescent="0.25">
      <c r="FX65" s="8"/>
    </row>
    <row r="66" spans="28:180" x14ac:dyDescent="0.25">
      <c r="FX66" s="8"/>
    </row>
    <row r="67" spans="28:180" x14ac:dyDescent="0.25">
      <c r="FX67" s="8"/>
    </row>
    <row r="68" spans="28:180" x14ac:dyDescent="0.25">
      <c r="FX68" s="8"/>
    </row>
    <row r="69" spans="28:180" x14ac:dyDescent="0.25">
      <c r="FX69" s="8"/>
    </row>
    <row r="70" spans="28:180" x14ac:dyDescent="0.25">
      <c r="FX70" s="8"/>
    </row>
    <row r="71" spans="28:180" x14ac:dyDescent="0.25">
      <c r="FX71" s="8"/>
    </row>
    <row r="72" spans="28:180" x14ac:dyDescent="0.25">
      <c r="FX72" s="8"/>
    </row>
    <row r="73" spans="28:180" x14ac:dyDescent="0.25">
      <c r="FX73" s="8"/>
    </row>
    <row r="74" spans="28:180" x14ac:dyDescent="0.25">
      <c r="FX74" s="8"/>
    </row>
    <row r="75" spans="28:180" x14ac:dyDescent="0.25">
      <c r="FX75" s="8"/>
    </row>
    <row r="76" spans="28:180" x14ac:dyDescent="0.25">
      <c r="FX76" s="8"/>
    </row>
    <row r="77" spans="28:180" x14ac:dyDescent="0.25">
      <c r="AB77" s="8"/>
      <c r="FX77" s="8"/>
    </row>
    <row r="78" spans="28:180" x14ac:dyDescent="0.25"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</row>
    <row r="79" spans="28:180" x14ac:dyDescent="0.25"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</row>
    <row r="80" spans="28:180" x14ac:dyDescent="0.25"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</row>
    <row r="81" spans="15:180" x14ac:dyDescent="0.25"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</row>
    <row r="82" spans="15:180" x14ac:dyDescent="0.25"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</row>
    <row r="83" spans="15:180" x14ac:dyDescent="0.25"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</row>
    <row r="84" spans="15:180" x14ac:dyDescent="0.25"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</row>
    <row r="85" spans="15:180" x14ac:dyDescent="0.25"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</row>
    <row r="86" spans="15:180" x14ac:dyDescent="0.25"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</row>
    <row r="87" spans="15:180" x14ac:dyDescent="0.25"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</row>
    <row r="88" spans="15:180" x14ac:dyDescent="0.25"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</row>
    <row r="89" spans="15:180" x14ac:dyDescent="0.25"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</row>
    <row r="90" spans="15:180" x14ac:dyDescent="0.25"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</row>
    <row r="91" spans="15:180" x14ac:dyDescent="0.25"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</row>
    <row r="92" spans="15:180" x14ac:dyDescent="0.25"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</row>
    <row r="93" spans="15:180" x14ac:dyDescent="0.25"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</row>
    <row r="94" spans="15:180" x14ac:dyDescent="0.25"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</row>
    <row r="95" spans="15:180" x14ac:dyDescent="0.25"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</row>
    <row r="96" spans="15:180" x14ac:dyDescent="0.25"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</row>
    <row r="97" spans="15:180" x14ac:dyDescent="0.25"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</row>
    <row r="98" spans="15:180" x14ac:dyDescent="0.25"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</row>
    <row r="99" spans="15:180" x14ac:dyDescent="0.25"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</row>
    <row r="100" spans="15:180" x14ac:dyDescent="0.25"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</row>
    <row r="101" spans="15:180" x14ac:dyDescent="0.25"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</row>
    <row r="102" spans="15:180" x14ac:dyDescent="0.25"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</row>
    <row r="103" spans="15:180" x14ac:dyDescent="0.25"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</row>
    <row r="104" spans="15:180" x14ac:dyDescent="0.25"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</row>
    <row r="105" spans="15:180" x14ac:dyDescent="0.25"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</row>
    <row r="106" spans="15:180" x14ac:dyDescent="0.25"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</row>
    <row r="107" spans="15:180" x14ac:dyDescent="0.25"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</row>
    <row r="108" spans="15:180" x14ac:dyDescent="0.25"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</row>
    <row r="109" spans="15:180" x14ac:dyDescent="0.25"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</row>
    <row r="110" spans="15:180" x14ac:dyDescent="0.25"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</row>
    <row r="111" spans="15:180" x14ac:dyDescent="0.25"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</row>
    <row r="112" spans="15:180" x14ac:dyDescent="0.25"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</row>
    <row r="113" spans="15:180" x14ac:dyDescent="0.25"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</row>
    <row r="114" spans="15:180" x14ac:dyDescent="0.25"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</row>
    <row r="115" spans="15:180" x14ac:dyDescent="0.25"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</row>
    <row r="116" spans="15:180" x14ac:dyDescent="0.25"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</row>
    <row r="117" spans="15:180" x14ac:dyDescent="0.25"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</row>
    <row r="118" spans="15:180" x14ac:dyDescent="0.25"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</row>
    <row r="119" spans="15:180" x14ac:dyDescent="0.25"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</row>
    <row r="120" spans="15:180" x14ac:dyDescent="0.25"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</row>
    <row r="121" spans="15:180" x14ac:dyDescent="0.25"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</row>
    <row r="122" spans="15:180" x14ac:dyDescent="0.25"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</row>
    <row r="123" spans="15:180" x14ac:dyDescent="0.25"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</row>
    <row r="124" spans="15:180" x14ac:dyDescent="0.25"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</row>
    <row r="125" spans="15:180" x14ac:dyDescent="0.25"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</row>
    <row r="126" spans="15:180" x14ac:dyDescent="0.25"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</row>
    <row r="127" spans="15:180" x14ac:dyDescent="0.25"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</row>
    <row r="128" spans="15:180" x14ac:dyDescent="0.25"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</row>
    <row r="129" spans="15:180" x14ac:dyDescent="0.25"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</row>
    <row r="130" spans="15:180" x14ac:dyDescent="0.25"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</row>
    <row r="131" spans="15:180" x14ac:dyDescent="0.25"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</row>
    <row r="132" spans="15:180" x14ac:dyDescent="0.25"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</row>
    <row r="133" spans="15:180" x14ac:dyDescent="0.25"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</row>
    <row r="134" spans="15:180" x14ac:dyDescent="0.25"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</row>
    <row r="135" spans="15:180" x14ac:dyDescent="0.25"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</row>
    <row r="136" spans="15:180" x14ac:dyDescent="0.25"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</row>
    <row r="137" spans="15:180" x14ac:dyDescent="0.25"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</row>
    <row r="138" spans="15:180" x14ac:dyDescent="0.25"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</row>
    <row r="139" spans="15:180" x14ac:dyDescent="0.25"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</row>
    <row r="140" spans="15:180" x14ac:dyDescent="0.25"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</row>
    <row r="141" spans="15:180" x14ac:dyDescent="0.25"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</row>
    <row r="142" spans="15:180" x14ac:dyDescent="0.25"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</row>
    <row r="143" spans="15:180" x14ac:dyDescent="0.25"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</row>
    <row r="144" spans="15:180" x14ac:dyDescent="0.25"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</row>
    <row r="145" spans="15:180" x14ac:dyDescent="0.25"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</row>
    <row r="146" spans="15:180" x14ac:dyDescent="0.25"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</row>
    <row r="147" spans="15:180" x14ac:dyDescent="0.25"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</row>
    <row r="148" spans="15:180" x14ac:dyDescent="0.25"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</row>
    <row r="149" spans="15:180" x14ac:dyDescent="0.25"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</row>
    <row r="150" spans="15:180" x14ac:dyDescent="0.25"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</row>
    <row r="151" spans="15:180" x14ac:dyDescent="0.25"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</row>
    <row r="152" spans="15:180" x14ac:dyDescent="0.25"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</row>
    <row r="153" spans="15:180" x14ac:dyDescent="0.25"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</row>
    <row r="154" spans="15:180" x14ac:dyDescent="0.25"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</row>
    <row r="155" spans="15:180" x14ac:dyDescent="0.25"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</row>
    <row r="156" spans="15:180" x14ac:dyDescent="0.25"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</row>
    <row r="157" spans="15:180" x14ac:dyDescent="0.25"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</row>
    <row r="158" spans="15:180" x14ac:dyDescent="0.25"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</row>
    <row r="159" spans="15:180" x14ac:dyDescent="0.25"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</row>
    <row r="160" spans="15:180" x14ac:dyDescent="0.25"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</row>
    <row r="161" spans="15:180" x14ac:dyDescent="0.25"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</row>
    <row r="162" spans="15:180" x14ac:dyDescent="0.25"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</row>
    <row r="163" spans="15:180" x14ac:dyDescent="0.25"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</row>
    <row r="164" spans="15:180" x14ac:dyDescent="0.25"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</row>
    <row r="165" spans="15:180" x14ac:dyDescent="0.25"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</row>
    <row r="166" spans="15:180" x14ac:dyDescent="0.25"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</row>
    <row r="167" spans="15:180" x14ac:dyDescent="0.25"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</row>
  </sheetData>
  <mergeCells count="6">
    <mergeCell ref="C1:I1"/>
    <mergeCell ref="E2:F2"/>
    <mergeCell ref="G2:I2"/>
    <mergeCell ref="Q1:W1"/>
    <mergeCell ref="S2:T2"/>
    <mergeCell ref="U2:W2"/>
  </mergeCell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162"/>
  <sheetViews>
    <sheetView zoomScale="80" zoomScaleNormal="80" workbookViewId="0">
      <selection activeCell="E21" sqref="E21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5" width="14.28515625" bestFit="1" customWidth="1"/>
    <col min="6" max="6" width="13.42578125" bestFit="1" customWidth="1"/>
    <col min="7" max="7" width="14.5703125" bestFit="1" customWidth="1"/>
    <col min="8" max="8" width="12.7109375" bestFit="1" customWidth="1"/>
    <col min="9" max="10" width="14.28515625" bestFit="1" customWidth="1"/>
    <col min="11" max="11" width="13.42578125" bestFit="1" customWidth="1"/>
    <col min="12" max="12" width="15.28515625" bestFit="1" customWidth="1"/>
    <col min="13" max="13" width="14.42578125" bestFit="1" customWidth="1"/>
    <col min="14" max="14" width="39.5703125" bestFit="1" customWidth="1"/>
    <col min="15" max="15" width="16.7109375" bestFit="1" customWidth="1"/>
    <col min="16" max="16" width="13" bestFit="1" customWidth="1"/>
    <col min="17" max="18" width="14.28515625" bestFit="1" customWidth="1"/>
    <col min="19" max="19" width="13.42578125" bestFit="1" customWidth="1"/>
    <col min="20" max="20" width="14.5703125" bestFit="1" customWidth="1"/>
    <col min="21" max="21" width="12.7109375" bestFit="1" customWidth="1"/>
    <col min="22" max="23" width="14.28515625" bestFit="1" customWidth="1"/>
    <col min="24" max="24" width="13.42578125" bestFit="1" customWidth="1"/>
    <col min="25" max="25" width="14.28515625" bestFit="1" customWidth="1"/>
    <col min="26" max="26" width="4.140625" customWidth="1"/>
    <col min="27" max="27" width="5.5703125" customWidth="1"/>
    <col min="28" max="28" width="29.7109375" bestFit="1" customWidth="1"/>
    <col min="29" max="29" width="16.7109375" bestFit="1" customWidth="1"/>
    <col min="30" max="30" width="14.5703125" bestFit="1" customWidth="1"/>
    <col min="31" max="31" width="13.85546875" bestFit="1" customWidth="1"/>
    <col min="32" max="32" width="14.28515625" bestFit="1" customWidth="1"/>
    <col min="33" max="33" width="15.28515625" bestFit="1" customWidth="1"/>
    <col min="34" max="34" width="14.28515625" bestFit="1" customWidth="1"/>
    <col min="35" max="35" width="13" bestFit="1" customWidth="1"/>
    <col min="36" max="36" width="15.7109375" bestFit="1" customWidth="1"/>
    <col min="37" max="38" width="14.28515625" bestFit="1" customWidth="1"/>
    <col min="39" max="39" width="15.28515625" bestFit="1" customWidth="1"/>
    <col min="40" max="40" width="12.42578125" bestFit="1" customWidth="1"/>
    <col min="41" max="41" width="15.28515625" bestFit="1" customWidth="1"/>
    <col min="42" max="42" width="9.140625" bestFit="1" customWidth="1"/>
    <col min="43" max="43" width="12.42578125" bestFit="1" customWidth="1"/>
    <col min="44" max="44" width="15.28515625" bestFit="1" customWidth="1"/>
    <col min="45" max="45" width="11" bestFit="1" customWidth="1"/>
    <col min="46" max="46" width="10.7109375" bestFit="1" customWidth="1"/>
    <col min="47" max="47" width="13" bestFit="1" customWidth="1"/>
    <col min="48" max="48" width="10.28515625" bestFit="1" customWidth="1"/>
    <col min="49" max="49" width="11.5703125" bestFit="1" customWidth="1"/>
    <col min="50" max="50" width="10.5703125" bestFit="1" customWidth="1"/>
    <col min="51" max="51" width="11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7" t="s">
        <v>265</v>
      </c>
      <c r="B1" s="104" t="s">
        <v>709</v>
      </c>
      <c r="C1" s="105"/>
      <c r="D1" s="105"/>
      <c r="E1" s="105"/>
      <c r="F1" s="105"/>
      <c r="G1" s="105"/>
      <c r="H1" s="106"/>
    </row>
    <row r="2" spans="1:235" ht="15.75" x14ac:dyDescent="0.25">
      <c r="A2" s="68">
        <f>'asset_&amp;_open_positions'!$B$2</f>
        <v>44909.916666666664</v>
      </c>
      <c r="B2" s="66" t="s">
        <v>710</v>
      </c>
      <c r="C2" s="66" t="s">
        <v>252</v>
      </c>
      <c r="D2" s="107" t="s">
        <v>707</v>
      </c>
      <c r="E2" s="108"/>
      <c r="F2" s="104" t="s">
        <v>708</v>
      </c>
      <c r="G2" s="105"/>
      <c r="H2" s="106"/>
    </row>
    <row r="3" spans="1:235" x14ac:dyDescent="0.25">
      <c r="AB3" s="2" t="s">
        <v>61</v>
      </c>
      <c r="AC3" s="2" t="s">
        <v>57</v>
      </c>
    </row>
    <row r="4" spans="1:235" x14ac:dyDescent="0.25">
      <c r="A4" s="2" t="s">
        <v>1</v>
      </c>
      <c r="B4" t="s">
        <v>68</v>
      </c>
      <c r="N4" s="2" t="s">
        <v>1</v>
      </c>
      <c r="O4" t="s">
        <v>68</v>
      </c>
      <c r="AC4" t="s">
        <v>88</v>
      </c>
      <c r="AD4" t="s">
        <v>286</v>
      </c>
      <c r="AE4" t="s">
        <v>318</v>
      </c>
      <c r="AF4" t="s">
        <v>198</v>
      </c>
      <c r="AG4" t="s">
        <v>172</v>
      </c>
      <c r="AH4" t="s">
        <v>14</v>
      </c>
      <c r="AI4" t="s">
        <v>211</v>
      </c>
      <c r="AJ4" t="s">
        <v>266</v>
      </c>
      <c r="AK4" t="s">
        <v>18</v>
      </c>
      <c r="AL4" t="s">
        <v>256</v>
      </c>
      <c r="AM4" t="s">
        <v>59</v>
      </c>
    </row>
    <row r="5" spans="1:235" x14ac:dyDescent="0.25">
      <c r="A5" s="2" t="s">
        <v>65</v>
      </c>
      <c r="B5" t="s">
        <v>68</v>
      </c>
      <c r="N5" s="2" t="s">
        <v>65</v>
      </c>
      <c r="O5" t="s">
        <v>68</v>
      </c>
      <c r="AB5" s="2" t="s">
        <v>60</v>
      </c>
    </row>
    <row r="6" spans="1:235" x14ac:dyDescent="0.25">
      <c r="AB6" s="3" t="s">
        <v>11</v>
      </c>
      <c r="AC6" s="8">
        <v>93785878.66478388</v>
      </c>
      <c r="AD6" s="8"/>
      <c r="AE6" s="8"/>
      <c r="AF6" s="8"/>
      <c r="AG6" s="8"/>
      <c r="AH6" s="8">
        <v>-26034948.940441813</v>
      </c>
      <c r="AI6" s="8"/>
      <c r="AJ6" s="8">
        <v>-9482144.4723072238</v>
      </c>
      <c r="AK6" s="8">
        <v>-39265273.204255015</v>
      </c>
      <c r="AL6" s="8">
        <v>232090.06891012122</v>
      </c>
      <c r="AM6" s="8">
        <v>19235602.116689958</v>
      </c>
      <c r="IA6" s="8"/>
    </row>
    <row r="7" spans="1:235" x14ac:dyDescent="0.25">
      <c r="A7" s="2" t="s">
        <v>61</v>
      </c>
      <c r="B7" s="2" t="s">
        <v>57</v>
      </c>
      <c r="N7" s="2" t="s">
        <v>61</v>
      </c>
      <c r="O7" s="2" t="s">
        <v>57</v>
      </c>
      <c r="AB7" s="4" t="s">
        <v>86</v>
      </c>
      <c r="AC7" s="8">
        <v>3688128.2142670378</v>
      </c>
      <c r="AD7" s="8"/>
      <c r="AE7" s="8"/>
      <c r="AF7" s="8"/>
      <c r="AG7" s="8"/>
      <c r="AH7" s="8"/>
      <c r="AI7" s="8"/>
      <c r="AJ7" s="8"/>
      <c r="AK7" s="8"/>
      <c r="AL7" s="8"/>
      <c r="AM7" s="8">
        <v>3688128.2142670378</v>
      </c>
      <c r="IA7" s="8"/>
    </row>
    <row r="8" spans="1:235" x14ac:dyDescent="0.25">
      <c r="A8" s="2" t="s">
        <v>60</v>
      </c>
      <c r="B8" t="s">
        <v>172</v>
      </c>
      <c r="C8" t="s">
        <v>211</v>
      </c>
      <c r="D8" t="s">
        <v>266</v>
      </c>
      <c r="E8" t="s">
        <v>198</v>
      </c>
      <c r="F8" t="s">
        <v>318</v>
      </c>
      <c r="G8" t="s">
        <v>88</v>
      </c>
      <c r="H8" t="s">
        <v>256</v>
      </c>
      <c r="I8" t="s">
        <v>14</v>
      </c>
      <c r="J8" t="s">
        <v>18</v>
      </c>
      <c r="K8" t="s">
        <v>286</v>
      </c>
      <c r="L8" t="s">
        <v>59</v>
      </c>
      <c r="N8" s="2" t="s">
        <v>60</v>
      </c>
      <c r="O8" t="s">
        <v>172</v>
      </c>
      <c r="P8" t="s">
        <v>211</v>
      </c>
      <c r="Q8" t="s">
        <v>266</v>
      </c>
      <c r="R8" t="s">
        <v>198</v>
      </c>
      <c r="S8" t="s">
        <v>318</v>
      </c>
      <c r="T8" t="s">
        <v>88</v>
      </c>
      <c r="U8" t="s">
        <v>256</v>
      </c>
      <c r="V8" t="s">
        <v>14</v>
      </c>
      <c r="W8" t="s">
        <v>18</v>
      </c>
      <c r="X8" t="s">
        <v>286</v>
      </c>
      <c r="Y8" t="s">
        <v>59</v>
      </c>
      <c r="AB8" s="4" t="s">
        <v>12</v>
      </c>
      <c r="AC8" s="8">
        <v>21568084.499530219</v>
      </c>
      <c r="AD8" s="8"/>
      <c r="AE8" s="8"/>
      <c r="AF8" s="8"/>
      <c r="AG8" s="8"/>
      <c r="AH8" s="8">
        <v>-22461030</v>
      </c>
      <c r="AI8" s="8"/>
      <c r="AJ8" s="8"/>
      <c r="AK8" s="8">
        <v>-11266640</v>
      </c>
      <c r="AL8" s="8">
        <v>35405.750938427896</v>
      </c>
      <c r="AM8" s="8">
        <v>-12124179.749531353</v>
      </c>
      <c r="IA8" s="8"/>
    </row>
    <row r="9" spans="1:235" x14ac:dyDescent="0.25">
      <c r="A9" s="3" t="s">
        <v>11</v>
      </c>
      <c r="B9" s="8"/>
      <c r="C9" s="8"/>
      <c r="D9" s="8">
        <v>-9482144.4723072238</v>
      </c>
      <c r="E9" s="8"/>
      <c r="F9" s="8"/>
      <c r="G9" s="8">
        <v>93785878.66478388</v>
      </c>
      <c r="H9" s="8">
        <v>232090.06891012122</v>
      </c>
      <c r="I9" s="8">
        <v>-26034948.940441817</v>
      </c>
      <c r="J9" s="8">
        <v>-39265273.204255015</v>
      </c>
      <c r="K9" s="8"/>
      <c r="L9" s="8">
        <v>19235602.11668995</v>
      </c>
      <c r="N9" s="3" t="s">
        <v>124</v>
      </c>
      <c r="O9" s="8"/>
      <c r="P9" s="8"/>
      <c r="Q9" s="8"/>
      <c r="R9" s="8"/>
      <c r="S9" s="8"/>
      <c r="T9" s="8">
        <v>0.11125551983738501</v>
      </c>
      <c r="U9" s="8"/>
      <c r="V9" s="8"/>
      <c r="W9" s="8"/>
      <c r="X9" s="8"/>
      <c r="Y9" s="8">
        <v>0.11125551983738501</v>
      </c>
      <c r="AB9" s="4" t="s">
        <v>94</v>
      </c>
      <c r="AC9" s="8">
        <v>25940372.818588436</v>
      </c>
      <c r="AD9" s="8"/>
      <c r="AE9" s="8"/>
      <c r="AF9" s="8"/>
      <c r="AG9" s="8"/>
      <c r="AH9" s="8"/>
      <c r="AI9" s="8"/>
      <c r="AJ9" s="8"/>
      <c r="AK9" s="8"/>
      <c r="AL9" s="8"/>
      <c r="AM9" s="8">
        <v>25940372.818588436</v>
      </c>
      <c r="IA9" s="8"/>
    </row>
    <row r="10" spans="1:235" x14ac:dyDescent="0.25">
      <c r="A10" s="3" t="s">
        <v>220</v>
      </c>
      <c r="B10" s="8"/>
      <c r="C10" s="8"/>
      <c r="D10" s="8"/>
      <c r="E10" s="8"/>
      <c r="F10" s="8"/>
      <c r="G10" s="8">
        <v>168.80301102930915</v>
      </c>
      <c r="H10" s="8"/>
      <c r="I10" s="8"/>
      <c r="J10" s="8"/>
      <c r="K10" s="8"/>
      <c r="L10" s="8">
        <v>168.80301102930915</v>
      </c>
      <c r="N10" s="3" t="s">
        <v>119</v>
      </c>
      <c r="O10" s="8"/>
      <c r="P10" s="8"/>
      <c r="Q10" s="8">
        <v>-37537.734375852298</v>
      </c>
      <c r="R10" s="8"/>
      <c r="S10" s="8"/>
      <c r="T10" s="8">
        <v>49281.72671661411</v>
      </c>
      <c r="U10" s="8"/>
      <c r="V10" s="8"/>
      <c r="W10" s="8"/>
      <c r="X10" s="8"/>
      <c r="Y10" s="8">
        <v>11743.992340761812</v>
      </c>
      <c r="AB10" s="4" t="s">
        <v>197</v>
      </c>
      <c r="AC10" s="8"/>
      <c r="AD10" s="8"/>
      <c r="AE10" s="8"/>
      <c r="AF10" s="8"/>
      <c r="AG10" s="8"/>
      <c r="AH10" s="8"/>
      <c r="AI10" s="8"/>
      <c r="AJ10" s="8">
        <v>-9482144.4723072238</v>
      </c>
      <c r="AK10" s="8"/>
      <c r="AL10" s="8"/>
      <c r="AM10" s="8">
        <v>-9482144.4723072238</v>
      </c>
      <c r="IA10" s="8"/>
    </row>
    <row r="11" spans="1:235" x14ac:dyDescent="0.25">
      <c r="A11" s="3" t="s">
        <v>100</v>
      </c>
      <c r="B11" s="8"/>
      <c r="C11" s="8"/>
      <c r="D11" s="8"/>
      <c r="E11" s="8"/>
      <c r="F11" s="8"/>
      <c r="G11" s="8">
        <v>162093.87297839232</v>
      </c>
      <c r="H11" s="8"/>
      <c r="I11" s="8"/>
      <c r="J11" s="8"/>
      <c r="K11" s="8"/>
      <c r="L11" s="8">
        <v>162093.87297839232</v>
      </c>
      <c r="N11" s="3" t="s">
        <v>87</v>
      </c>
      <c r="O11" s="8"/>
      <c r="P11" s="8"/>
      <c r="Q11" s="8">
        <v>-92440.275584082498</v>
      </c>
      <c r="R11" s="8"/>
      <c r="S11" s="8"/>
      <c r="T11" s="8">
        <v>92844.332010699349</v>
      </c>
      <c r="U11" s="8"/>
      <c r="V11" s="8"/>
      <c r="W11" s="8"/>
      <c r="X11" s="8"/>
      <c r="Y11" s="8">
        <v>404.05642661685124</v>
      </c>
      <c r="AB11" s="4" t="s">
        <v>19</v>
      </c>
      <c r="AC11" s="8">
        <v>40506030.345069304</v>
      </c>
      <c r="AD11" s="8"/>
      <c r="AE11" s="8"/>
      <c r="AF11" s="8"/>
      <c r="AG11" s="8"/>
      <c r="AH11" s="8">
        <v>-3573918.9404418143</v>
      </c>
      <c r="AI11" s="8"/>
      <c r="AJ11" s="8"/>
      <c r="AK11" s="8">
        <v>-28790608.466949429</v>
      </c>
      <c r="AL11" s="8">
        <v>198875.37750727701</v>
      </c>
      <c r="AM11" s="8">
        <v>8340378.3151853345</v>
      </c>
      <c r="IA11" s="8"/>
    </row>
    <row r="12" spans="1:235" x14ac:dyDescent="0.25">
      <c r="A12" s="3" t="s">
        <v>104</v>
      </c>
      <c r="B12" s="8"/>
      <c r="C12" s="8"/>
      <c r="D12" s="8"/>
      <c r="E12" s="8">
        <v>-72448253.790689871</v>
      </c>
      <c r="F12" s="8"/>
      <c r="G12" s="8">
        <v>136321502.19633532</v>
      </c>
      <c r="H12" s="8"/>
      <c r="I12" s="8"/>
      <c r="J12" s="8"/>
      <c r="K12" s="8"/>
      <c r="L12" s="8">
        <v>63873248.405645445</v>
      </c>
      <c r="N12" s="3" t="s">
        <v>125</v>
      </c>
      <c r="O12" s="8"/>
      <c r="P12" s="8"/>
      <c r="Q12" s="8">
        <v>-30928.212987364099</v>
      </c>
      <c r="R12" s="8"/>
      <c r="S12" s="8"/>
      <c r="T12" s="8">
        <v>32062.502894581296</v>
      </c>
      <c r="U12" s="8"/>
      <c r="V12" s="8"/>
      <c r="W12" s="8"/>
      <c r="X12" s="8"/>
      <c r="Y12" s="8">
        <v>1134.2899072171967</v>
      </c>
      <c r="AB12" s="4" t="s">
        <v>306</v>
      </c>
      <c r="AC12" s="8">
        <v>2083262.7873288901</v>
      </c>
      <c r="AD12" s="8"/>
      <c r="AE12" s="8"/>
      <c r="AF12" s="8"/>
      <c r="AG12" s="8"/>
      <c r="AH12" s="8"/>
      <c r="AI12" s="8"/>
      <c r="AJ12" s="8"/>
      <c r="AK12" s="8">
        <v>791975.26269441703</v>
      </c>
      <c r="AL12" s="8">
        <v>-2191.0595355836899</v>
      </c>
      <c r="AM12" s="8">
        <v>2873046.9904877236</v>
      </c>
      <c r="IA12" s="8"/>
    </row>
    <row r="13" spans="1:235" x14ac:dyDescent="0.25">
      <c r="A13" s="3" t="s">
        <v>262</v>
      </c>
      <c r="B13" s="8"/>
      <c r="C13" s="8"/>
      <c r="D13" s="8"/>
      <c r="E13" s="8"/>
      <c r="F13" s="8"/>
      <c r="G13" s="8">
        <v>233100.16999999899</v>
      </c>
      <c r="H13" s="8"/>
      <c r="I13" s="8"/>
      <c r="J13" s="8"/>
      <c r="K13" s="8"/>
      <c r="L13" s="8">
        <v>233100.16999999899</v>
      </c>
      <c r="N13" s="3" t="s">
        <v>126</v>
      </c>
      <c r="O13" s="8"/>
      <c r="P13" s="8"/>
      <c r="Q13" s="8"/>
      <c r="R13" s="8"/>
      <c r="S13" s="8"/>
      <c r="T13" s="8">
        <v>1.5597477765298099E-2</v>
      </c>
      <c r="U13" s="8"/>
      <c r="V13" s="8"/>
      <c r="W13" s="8"/>
      <c r="X13" s="8"/>
      <c r="Y13" s="8">
        <v>1.5597477765298099E-2</v>
      </c>
      <c r="AB13" s="3" t="s">
        <v>220</v>
      </c>
      <c r="AC13" s="8">
        <v>168.80301102930915</v>
      </c>
      <c r="AD13" s="8"/>
      <c r="AE13" s="8"/>
      <c r="AF13" s="8"/>
      <c r="AG13" s="8"/>
      <c r="AH13" s="8"/>
      <c r="AI13" s="8"/>
      <c r="AJ13" s="8"/>
      <c r="AK13" s="8"/>
      <c r="AL13" s="8"/>
      <c r="AM13" s="8">
        <v>168.80301102930915</v>
      </c>
      <c r="IA13" s="8"/>
    </row>
    <row r="14" spans="1:235" x14ac:dyDescent="0.25">
      <c r="A14" s="3" t="s">
        <v>301</v>
      </c>
      <c r="B14" s="8"/>
      <c r="C14" s="8"/>
      <c r="D14" s="8"/>
      <c r="E14" s="8"/>
      <c r="F14" s="8"/>
      <c r="G14" s="8">
        <v>4295583.9781380678</v>
      </c>
      <c r="H14" s="8"/>
      <c r="I14" s="8"/>
      <c r="J14" s="8"/>
      <c r="K14" s="8"/>
      <c r="L14" s="8">
        <v>4295583.9781380678</v>
      </c>
      <c r="N14" s="3" t="s">
        <v>36</v>
      </c>
      <c r="O14" s="8"/>
      <c r="P14" s="8"/>
      <c r="Q14" s="8"/>
      <c r="R14" s="8"/>
      <c r="S14" s="8"/>
      <c r="T14" s="8">
        <v>3.646229221163833</v>
      </c>
      <c r="U14" s="8"/>
      <c r="V14" s="8"/>
      <c r="W14" s="8">
        <v>-4213.2295194629996</v>
      </c>
      <c r="X14" s="8"/>
      <c r="Y14" s="8">
        <v>-4209.583290241836</v>
      </c>
      <c r="AB14" s="4" t="s">
        <v>96</v>
      </c>
      <c r="AC14" s="8">
        <v>168.80301102930915</v>
      </c>
      <c r="AD14" s="8"/>
      <c r="AE14" s="8"/>
      <c r="AF14" s="8"/>
      <c r="AG14" s="8"/>
      <c r="AH14" s="8"/>
      <c r="AI14" s="8"/>
      <c r="AJ14" s="8"/>
      <c r="AK14" s="8"/>
      <c r="AL14" s="8"/>
      <c r="AM14" s="8">
        <v>168.80301102930915</v>
      </c>
      <c r="IA14" s="8"/>
    </row>
    <row r="15" spans="1:235" x14ac:dyDescent="0.25">
      <c r="A15" s="3" t="s">
        <v>33</v>
      </c>
      <c r="B15" s="8"/>
      <c r="C15" s="8"/>
      <c r="D15" s="8"/>
      <c r="E15" s="8"/>
      <c r="F15" s="8"/>
      <c r="G15" s="8">
        <v>172495.82137125701</v>
      </c>
      <c r="H15" s="8"/>
      <c r="I15" s="8"/>
      <c r="J15" s="8">
        <v>-29736.210300322</v>
      </c>
      <c r="K15" s="8"/>
      <c r="L15" s="8">
        <v>142759.611070935</v>
      </c>
      <c r="N15" s="3" t="s">
        <v>313</v>
      </c>
      <c r="O15" s="8"/>
      <c r="P15" s="8"/>
      <c r="Q15" s="8"/>
      <c r="R15" s="8"/>
      <c r="S15" s="8"/>
      <c r="T15" s="8">
        <v>26.842364961398999</v>
      </c>
      <c r="U15" s="8"/>
      <c r="V15" s="8"/>
      <c r="W15" s="8"/>
      <c r="X15" s="8"/>
      <c r="Y15" s="8">
        <v>26.842364961398999</v>
      </c>
      <c r="AB15" s="3" t="s">
        <v>100</v>
      </c>
      <c r="AC15" s="8">
        <v>162093.87297839232</v>
      </c>
      <c r="AD15" s="8"/>
      <c r="AE15" s="8"/>
      <c r="AF15" s="8"/>
      <c r="AG15" s="8"/>
      <c r="AH15" s="8"/>
      <c r="AI15" s="8"/>
      <c r="AJ15" s="8"/>
      <c r="AK15" s="8"/>
      <c r="AL15" s="8"/>
      <c r="AM15" s="8">
        <v>162093.87297839232</v>
      </c>
      <c r="IA15" s="8"/>
    </row>
    <row r="16" spans="1:235" x14ac:dyDescent="0.25">
      <c r="A16" s="3" t="s">
        <v>268</v>
      </c>
      <c r="B16" s="8"/>
      <c r="C16" s="8"/>
      <c r="D16" s="8"/>
      <c r="E16" s="8"/>
      <c r="F16" s="8">
        <v>30714150.289999999</v>
      </c>
      <c r="G16" s="8"/>
      <c r="H16" s="8"/>
      <c r="I16" s="8"/>
      <c r="J16" s="8"/>
      <c r="K16" s="8">
        <v>34995150</v>
      </c>
      <c r="L16" s="8">
        <v>65709300.289999999</v>
      </c>
      <c r="N16" s="3" t="s">
        <v>190</v>
      </c>
      <c r="O16" s="8"/>
      <c r="P16" s="8"/>
      <c r="Q16" s="8">
        <v>-41182.678736759</v>
      </c>
      <c r="R16" s="8"/>
      <c r="S16" s="8"/>
      <c r="T16" s="8">
        <v>40195.905935316827</v>
      </c>
      <c r="U16" s="8"/>
      <c r="V16" s="8"/>
      <c r="W16" s="8"/>
      <c r="X16" s="8"/>
      <c r="Y16" s="8">
        <v>-986.77280144217366</v>
      </c>
      <c r="AB16" s="4" t="s">
        <v>100</v>
      </c>
      <c r="AC16" s="8">
        <v>162093.87297839232</v>
      </c>
      <c r="AD16" s="8"/>
      <c r="AE16" s="8"/>
      <c r="AF16" s="8"/>
      <c r="AG16" s="8"/>
      <c r="AH16" s="8"/>
      <c r="AI16" s="8"/>
      <c r="AJ16" s="8"/>
      <c r="AK16" s="8"/>
      <c r="AL16" s="8"/>
      <c r="AM16" s="8">
        <v>162093.87297839232</v>
      </c>
      <c r="IA16" s="8"/>
    </row>
    <row r="17" spans="1:235" x14ac:dyDescent="0.25">
      <c r="A17" s="3" t="s">
        <v>189</v>
      </c>
      <c r="B17" s="8"/>
      <c r="C17" s="8"/>
      <c r="D17" s="8"/>
      <c r="E17" s="8"/>
      <c r="F17" s="8"/>
      <c r="G17" s="8">
        <v>20668562.895670999</v>
      </c>
      <c r="H17" s="8"/>
      <c r="I17" s="8"/>
      <c r="J17" s="8"/>
      <c r="K17" s="8"/>
      <c r="L17" s="8">
        <v>20668562.895670999</v>
      </c>
      <c r="N17" s="3" t="s">
        <v>20</v>
      </c>
      <c r="O17" s="8"/>
      <c r="P17" s="8"/>
      <c r="Q17" s="8"/>
      <c r="R17" s="8"/>
      <c r="S17" s="8"/>
      <c r="T17" s="8"/>
      <c r="U17" s="8"/>
      <c r="V17" s="8"/>
      <c r="W17" s="8">
        <v>61183.600205301998</v>
      </c>
      <c r="X17" s="8"/>
      <c r="Y17" s="8">
        <v>61183.600205301998</v>
      </c>
      <c r="AB17" s="3" t="s">
        <v>104</v>
      </c>
      <c r="AC17" s="8">
        <v>136321502.19633535</v>
      </c>
      <c r="AD17" s="8"/>
      <c r="AE17" s="8"/>
      <c r="AF17" s="8">
        <v>-72448253.790689871</v>
      </c>
      <c r="AG17" s="8"/>
      <c r="AH17" s="8"/>
      <c r="AI17" s="8"/>
      <c r="AJ17" s="8"/>
      <c r="AK17" s="8"/>
      <c r="AL17" s="8"/>
      <c r="AM17" s="8">
        <v>63873248.405645475</v>
      </c>
      <c r="IA17" s="8"/>
    </row>
    <row r="18" spans="1:235" x14ac:dyDescent="0.25">
      <c r="A18" s="3" t="s">
        <v>173</v>
      </c>
      <c r="B18" s="8">
        <v>-205533686.17089412</v>
      </c>
      <c r="C18" s="8"/>
      <c r="D18" s="8"/>
      <c r="E18" s="8"/>
      <c r="F18" s="8"/>
      <c r="G18" s="8">
        <v>4328352.4552781619</v>
      </c>
      <c r="H18" s="8"/>
      <c r="I18" s="8"/>
      <c r="J18" s="8"/>
      <c r="K18" s="8"/>
      <c r="L18" s="8">
        <v>-201205333.71561596</v>
      </c>
      <c r="N18" s="3" t="s">
        <v>314</v>
      </c>
      <c r="O18" s="8"/>
      <c r="P18" s="8"/>
      <c r="Q18" s="8"/>
      <c r="R18" s="8"/>
      <c r="S18" s="8"/>
      <c r="T18" s="8">
        <v>787.63144938300502</v>
      </c>
      <c r="U18" s="8"/>
      <c r="V18" s="8"/>
      <c r="W18" s="8"/>
      <c r="X18" s="8"/>
      <c r="Y18" s="8">
        <v>787.63144938300502</v>
      </c>
      <c r="AB18" s="4" t="s">
        <v>103</v>
      </c>
      <c r="AC18" s="8">
        <v>94322134.323806062</v>
      </c>
      <c r="AD18" s="8"/>
      <c r="AE18" s="8"/>
      <c r="AF18" s="8"/>
      <c r="AG18" s="8"/>
      <c r="AH18" s="8"/>
      <c r="AI18" s="8"/>
      <c r="AJ18" s="8"/>
      <c r="AK18" s="8"/>
      <c r="AL18" s="8"/>
      <c r="AM18" s="8">
        <v>94322134.323806062</v>
      </c>
      <c r="IA18" s="8"/>
    </row>
    <row r="19" spans="1:235" x14ac:dyDescent="0.25">
      <c r="A19" s="3" t="s">
        <v>302</v>
      </c>
      <c r="B19" s="8"/>
      <c r="C19" s="8"/>
      <c r="D19" s="8"/>
      <c r="E19" s="8"/>
      <c r="F19" s="8"/>
      <c r="G19" s="8">
        <v>20674.511024597377</v>
      </c>
      <c r="H19" s="8"/>
      <c r="I19" s="8"/>
      <c r="J19" s="8"/>
      <c r="K19" s="8"/>
      <c r="L19" s="8">
        <v>20674.511024597377</v>
      </c>
      <c r="N19" s="3" t="s">
        <v>127</v>
      </c>
      <c r="O19" s="8"/>
      <c r="P19" s="8"/>
      <c r="Q19" s="8">
        <v>-22396.135615953099</v>
      </c>
      <c r="R19" s="8"/>
      <c r="S19" s="8"/>
      <c r="T19" s="8">
        <v>22341.933346141646</v>
      </c>
      <c r="U19" s="8"/>
      <c r="V19" s="8"/>
      <c r="W19" s="8"/>
      <c r="X19" s="8"/>
      <c r="Y19" s="8">
        <v>-54.202269811452425</v>
      </c>
      <c r="AB19" s="4" t="s">
        <v>105</v>
      </c>
      <c r="AC19" s="8">
        <v>9108401.781716492</v>
      </c>
      <c r="AD19" s="8"/>
      <c r="AE19" s="8"/>
      <c r="AF19" s="8"/>
      <c r="AG19" s="8"/>
      <c r="AH19" s="8"/>
      <c r="AI19" s="8"/>
      <c r="AJ19" s="8"/>
      <c r="AK19" s="8"/>
      <c r="AL19" s="8"/>
      <c r="AM19" s="8">
        <v>9108401.781716492</v>
      </c>
      <c r="IA19" s="8"/>
    </row>
    <row r="20" spans="1:235" x14ac:dyDescent="0.25">
      <c r="A20" s="3" t="s">
        <v>40</v>
      </c>
      <c r="B20" s="8"/>
      <c r="C20" s="8"/>
      <c r="D20" s="8">
        <v>-1121527.0000688597</v>
      </c>
      <c r="E20" s="8">
        <v>-9967621.6862386707</v>
      </c>
      <c r="F20" s="8"/>
      <c r="G20" s="8">
        <v>21308259.331399832</v>
      </c>
      <c r="H20" s="8">
        <v>-34006.364436938667</v>
      </c>
      <c r="I20" s="8">
        <v>860400</v>
      </c>
      <c r="J20" s="8">
        <v>1209408.7191000001</v>
      </c>
      <c r="K20" s="8"/>
      <c r="L20" s="8">
        <v>12254912.999755362</v>
      </c>
      <c r="N20" s="3" t="s">
        <v>21</v>
      </c>
      <c r="O20" s="8"/>
      <c r="P20" s="8"/>
      <c r="Q20" s="8">
        <v>-10036.523138411498</v>
      </c>
      <c r="R20" s="8">
        <v>-545542.47976536397</v>
      </c>
      <c r="S20" s="8"/>
      <c r="T20" s="8">
        <v>722296.45098336833</v>
      </c>
      <c r="U20" s="8"/>
      <c r="V20" s="8"/>
      <c r="W20" s="8">
        <v>-149229.287109072</v>
      </c>
      <c r="X20" s="8"/>
      <c r="Y20" s="8">
        <v>17488.160970520898</v>
      </c>
      <c r="AB20" s="4" t="s">
        <v>107</v>
      </c>
      <c r="AC20" s="8">
        <v>30285126.0953472</v>
      </c>
      <c r="AD20" s="8"/>
      <c r="AE20" s="8"/>
      <c r="AF20" s="8"/>
      <c r="AG20" s="8"/>
      <c r="AH20" s="8"/>
      <c r="AI20" s="8"/>
      <c r="AJ20" s="8"/>
      <c r="AK20" s="8"/>
      <c r="AL20" s="8"/>
      <c r="AM20" s="8">
        <v>30285126.0953472</v>
      </c>
      <c r="IA20" s="8"/>
    </row>
    <row r="21" spans="1:235" x14ac:dyDescent="0.25">
      <c r="A21" s="3" t="s">
        <v>170</v>
      </c>
      <c r="B21" s="8"/>
      <c r="C21" s="8"/>
      <c r="D21" s="8"/>
      <c r="E21" s="8"/>
      <c r="F21" s="8"/>
      <c r="G21" s="8">
        <v>185028.27481855749</v>
      </c>
      <c r="H21" s="8"/>
      <c r="I21" s="8"/>
      <c r="J21" s="8"/>
      <c r="K21" s="8"/>
      <c r="L21" s="8">
        <v>185028.27481855749</v>
      </c>
      <c r="N21" s="3" t="s">
        <v>128</v>
      </c>
      <c r="O21" s="8"/>
      <c r="P21" s="8"/>
      <c r="Q21" s="8"/>
      <c r="R21" s="8"/>
      <c r="S21" s="8"/>
      <c r="T21" s="8">
        <v>1.9953523672060501E-4</v>
      </c>
      <c r="U21" s="8"/>
      <c r="V21" s="8"/>
      <c r="W21" s="8"/>
      <c r="X21" s="8"/>
      <c r="Y21" s="8">
        <v>1.9953523672060501E-4</v>
      </c>
      <c r="AB21" s="4" t="s">
        <v>108</v>
      </c>
      <c r="AC21" s="8">
        <v>2605839.9954655799</v>
      </c>
      <c r="AD21" s="8"/>
      <c r="AE21" s="8"/>
      <c r="AF21" s="8"/>
      <c r="AG21" s="8"/>
      <c r="AH21" s="8"/>
      <c r="AI21" s="8"/>
      <c r="AJ21" s="8"/>
      <c r="AK21" s="8"/>
      <c r="AL21" s="8"/>
      <c r="AM21" s="8">
        <v>2605839.9954655799</v>
      </c>
      <c r="IA21" s="8"/>
    </row>
    <row r="22" spans="1:235" x14ac:dyDescent="0.25">
      <c r="A22" s="3" t="s">
        <v>175</v>
      </c>
      <c r="B22" s="8"/>
      <c r="C22" s="8"/>
      <c r="D22" s="8"/>
      <c r="E22" s="8"/>
      <c r="F22" s="8"/>
      <c r="G22" s="8">
        <v>0.657294338466481</v>
      </c>
      <c r="H22" s="8"/>
      <c r="I22" s="8"/>
      <c r="J22" s="8"/>
      <c r="K22" s="8"/>
      <c r="L22" s="8">
        <v>0.657294338466481</v>
      </c>
      <c r="N22" s="3" t="s">
        <v>129</v>
      </c>
      <c r="O22" s="8"/>
      <c r="P22" s="8"/>
      <c r="Q22" s="8"/>
      <c r="R22" s="8"/>
      <c r="S22" s="8"/>
      <c r="T22" s="8">
        <v>7.2493053638472196</v>
      </c>
      <c r="U22" s="8"/>
      <c r="V22" s="8"/>
      <c r="W22" s="8"/>
      <c r="X22" s="8"/>
      <c r="Y22" s="8">
        <v>7.2493053638472196</v>
      </c>
      <c r="AB22" s="4" t="s">
        <v>206</v>
      </c>
      <c r="AC22" s="8"/>
      <c r="AD22" s="8"/>
      <c r="AE22" s="8"/>
      <c r="AF22" s="8">
        <v>-72448253.790689871</v>
      </c>
      <c r="AG22" s="8"/>
      <c r="AH22" s="8"/>
      <c r="AI22" s="8"/>
      <c r="AJ22" s="8"/>
      <c r="AK22" s="8"/>
      <c r="AL22" s="8"/>
      <c r="AM22" s="8">
        <v>-72448253.790689871</v>
      </c>
      <c r="IA22" s="8"/>
    </row>
    <row r="23" spans="1:235" x14ac:dyDescent="0.25">
      <c r="A23" s="3" t="s">
        <v>176</v>
      </c>
      <c r="B23" s="8"/>
      <c r="C23" s="8"/>
      <c r="D23" s="8"/>
      <c r="E23" s="8"/>
      <c r="F23" s="8"/>
      <c r="G23" s="8">
        <v>10137.885630000001</v>
      </c>
      <c r="H23" s="8"/>
      <c r="I23" s="8"/>
      <c r="J23" s="8"/>
      <c r="K23" s="8"/>
      <c r="L23" s="8">
        <v>10137.885630000001</v>
      </c>
      <c r="N23" s="3" t="s">
        <v>90</v>
      </c>
      <c r="O23" s="8"/>
      <c r="P23" s="8"/>
      <c r="Q23" s="8"/>
      <c r="R23" s="8"/>
      <c r="S23" s="8"/>
      <c r="T23" s="8">
        <v>707332.77448328258</v>
      </c>
      <c r="U23" s="8"/>
      <c r="V23" s="8"/>
      <c r="W23" s="8"/>
      <c r="X23" s="8"/>
      <c r="Y23" s="8">
        <v>707332.77448328258</v>
      </c>
      <c r="AB23" s="3" t="s">
        <v>262</v>
      </c>
      <c r="AC23" s="8">
        <v>233100.16999999899</v>
      </c>
      <c r="AD23" s="8"/>
      <c r="AE23" s="8"/>
      <c r="AF23" s="8"/>
      <c r="AG23" s="8"/>
      <c r="AH23" s="8"/>
      <c r="AI23" s="8"/>
      <c r="AJ23" s="8"/>
      <c r="AK23" s="8"/>
      <c r="AL23" s="8"/>
      <c r="AM23" s="8">
        <v>233100.16999999899</v>
      </c>
      <c r="IA23" s="8"/>
    </row>
    <row r="24" spans="1:235" x14ac:dyDescent="0.25">
      <c r="A24" s="3" t="s">
        <v>46</v>
      </c>
      <c r="B24" s="8"/>
      <c r="C24" s="8"/>
      <c r="D24" s="8">
        <v>-2633391.7259042589</v>
      </c>
      <c r="E24" s="8"/>
      <c r="F24" s="8"/>
      <c r="G24" s="8">
        <v>17709922.804787185</v>
      </c>
      <c r="H24" s="8">
        <v>186717.67019563229</v>
      </c>
      <c r="I24" s="8">
        <v>-2435108.1584149799</v>
      </c>
      <c r="J24" s="8">
        <v>-908552.98844064982</v>
      </c>
      <c r="K24" s="8"/>
      <c r="L24" s="8">
        <v>11919587.602222927</v>
      </c>
      <c r="N24" s="3" t="s">
        <v>130</v>
      </c>
      <c r="O24" s="8"/>
      <c r="P24" s="8"/>
      <c r="Q24" s="8"/>
      <c r="R24" s="8"/>
      <c r="S24" s="8"/>
      <c r="T24" s="8">
        <v>3.0301948775707701</v>
      </c>
      <c r="U24" s="8"/>
      <c r="V24" s="8"/>
      <c r="W24" s="8"/>
      <c r="X24" s="8"/>
      <c r="Y24" s="8">
        <v>3.0301948775707701</v>
      </c>
      <c r="AB24" s="4" t="s">
        <v>262</v>
      </c>
      <c r="AC24" s="8">
        <v>233100.16999999899</v>
      </c>
      <c r="AD24" s="8"/>
      <c r="AE24" s="8"/>
      <c r="AF24" s="8"/>
      <c r="AG24" s="8"/>
      <c r="AH24" s="8"/>
      <c r="AI24" s="8"/>
      <c r="AJ24" s="8"/>
      <c r="AK24" s="8"/>
      <c r="AL24" s="8"/>
      <c r="AM24" s="8">
        <v>233100.16999999899</v>
      </c>
      <c r="IA24" s="8"/>
    </row>
    <row r="25" spans="1:235" x14ac:dyDescent="0.25">
      <c r="A25" s="3" t="s">
        <v>212</v>
      </c>
      <c r="B25" s="8"/>
      <c r="C25" s="8">
        <v>-1211058.87587134</v>
      </c>
      <c r="D25" s="8"/>
      <c r="E25" s="8"/>
      <c r="F25" s="8"/>
      <c r="G25" s="8"/>
      <c r="H25" s="8"/>
      <c r="I25" s="8"/>
      <c r="J25" s="8"/>
      <c r="K25" s="8"/>
      <c r="L25" s="8">
        <v>-1211058.87587134</v>
      </c>
      <c r="N25" s="3" t="s">
        <v>116</v>
      </c>
      <c r="O25" s="8"/>
      <c r="P25" s="8"/>
      <c r="Q25" s="8"/>
      <c r="R25" s="8"/>
      <c r="S25" s="8"/>
      <c r="T25" s="8">
        <v>66.204787084674365</v>
      </c>
      <c r="U25" s="8"/>
      <c r="V25" s="8"/>
      <c r="W25" s="8"/>
      <c r="X25" s="8"/>
      <c r="Y25" s="8">
        <v>66.204787084674365</v>
      </c>
      <c r="AB25" s="3" t="s">
        <v>301</v>
      </c>
      <c r="AC25" s="8">
        <v>4295583.9781380678</v>
      </c>
      <c r="AD25" s="8"/>
      <c r="AE25" s="8"/>
      <c r="AF25" s="8"/>
      <c r="AG25" s="8"/>
      <c r="AH25" s="8"/>
      <c r="AI25" s="8"/>
      <c r="AJ25" s="8"/>
      <c r="AK25" s="8"/>
      <c r="AL25" s="8"/>
      <c r="AM25" s="8">
        <v>4295583.9781380678</v>
      </c>
      <c r="IA25" s="8"/>
    </row>
    <row r="26" spans="1:235" x14ac:dyDescent="0.25">
      <c r="A26" s="3" t="s">
        <v>179</v>
      </c>
      <c r="B26" s="8"/>
      <c r="C26" s="8"/>
      <c r="D26" s="8"/>
      <c r="E26" s="8"/>
      <c r="F26" s="8"/>
      <c r="G26" s="8">
        <v>0.97088725360490191</v>
      </c>
      <c r="H26" s="8"/>
      <c r="I26" s="8"/>
      <c r="J26" s="8"/>
      <c r="K26" s="8"/>
      <c r="L26" s="8">
        <v>0.97088725360490191</v>
      </c>
      <c r="N26" s="3" t="s">
        <v>15</v>
      </c>
      <c r="O26" s="8">
        <v>-23873270.941744</v>
      </c>
      <c r="P26" s="8"/>
      <c r="Q26" s="8"/>
      <c r="R26" s="8">
        <v>-59682427.0130805</v>
      </c>
      <c r="S26" s="8"/>
      <c r="T26" s="8">
        <v>98927577.326271683</v>
      </c>
      <c r="U26" s="8">
        <v>-24815.918767834613</v>
      </c>
      <c r="V26" s="8">
        <v>-22636622.113716349</v>
      </c>
      <c r="W26" s="8">
        <v>245116.32499745037</v>
      </c>
      <c r="X26" s="8">
        <v>10143150</v>
      </c>
      <c r="Y26" s="8">
        <v>3098707.6639604429</v>
      </c>
      <c r="AB26" s="4" t="s">
        <v>292</v>
      </c>
      <c r="AC26" s="8">
        <v>18784.570428423511</v>
      </c>
      <c r="AD26" s="8"/>
      <c r="AE26" s="8"/>
      <c r="AF26" s="8"/>
      <c r="AG26" s="8"/>
      <c r="AH26" s="8"/>
      <c r="AI26" s="8"/>
      <c r="AJ26" s="8"/>
      <c r="AK26" s="8"/>
      <c r="AL26" s="8"/>
      <c r="AM26" s="8">
        <v>18784.570428423511</v>
      </c>
      <c r="IA26" s="8"/>
    </row>
    <row r="27" spans="1:235" x14ac:dyDescent="0.25">
      <c r="A27" s="3" t="s">
        <v>214</v>
      </c>
      <c r="B27" s="8"/>
      <c r="C27" s="8">
        <v>-77.734847605534796</v>
      </c>
      <c r="D27" s="8"/>
      <c r="E27" s="8"/>
      <c r="F27" s="8"/>
      <c r="G27" s="8"/>
      <c r="H27" s="8"/>
      <c r="I27" s="8"/>
      <c r="J27" s="8"/>
      <c r="K27" s="8"/>
      <c r="L27" s="8">
        <v>-77.734847605534796</v>
      </c>
      <c r="N27" s="3" t="s">
        <v>131</v>
      </c>
      <c r="O27" s="8"/>
      <c r="P27" s="8"/>
      <c r="Q27" s="8"/>
      <c r="R27" s="8"/>
      <c r="S27" s="8"/>
      <c r="T27" s="8">
        <v>4.5998341691350798E-3</v>
      </c>
      <c r="U27" s="8"/>
      <c r="V27" s="8"/>
      <c r="W27" s="8"/>
      <c r="X27" s="8"/>
      <c r="Y27" s="8">
        <v>4.5998341691350798E-3</v>
      </c>
      <c r="AB27" s="4" t="s">
        <v>307</v>
      </c>
      <c r="AC27" s="8">
        <v>299228.47427091264</v>
      </c>
      <c r="AD27" s="8"/>
      <c r="AE27" s="8"/>
      <c r="AF27" s="8"/>
      <c r="AG27" s="8"/>
      <c r="AH27" s="8"/>
      <c r="AI27" s="8"/>
      <c r="AJ27" s="8"/>
      <c r="AK27" s="8"/>
      <c r="AL27" s="8"/>
      <c r="AM27" s="8">
        <v>299228.47427091264</v>
      </c>
      <c r="IA27" s="8"/>
    </row>
    <row r="28" spans="1:235" x14ac:dyDescent="0.25">
      <c r="A28" s="3" t="s">
        <v>185</v>
      </c>
      <c r="B28" s="8"/>
      <c r="C28" s="8"/>
      <c r="D28" s="8"/>
      <c r="E28" s="8"/>
      <c r="F28" s="8"/>
      <c r="G28" s="8">
        <v>31408.321681189798</v>
      </c>
      <c r="H28" s="8"/>
      <c r="I28" s="8"/>
      <c r="J28" s="8"/>
      <c r="K28" s="8"/>
      <c r="L28" s="8">
        <v>31408.321681189798</v>
      </c>
      <c r="N28" s="3" t="s">
        <v>132</v>
      </c>
      <c r="O28" s="8"/>
      <c r="P28" s="8"/>
      <c r="Q28" s="8"/>
      <c r="R28" s="8"/>
      <c r="S28" s="8"/>
      <c r="T28" s="8">
        <v>926.78176959022505</v>
      </c>
      <c r="U28" s="8"/>
      <c r="V28" s="8"/>
      <c r="W28" s="8"/>
      <c r="X28" s="8"/>
      <c r="Y28" s="8">
        <v>926.78176959022505</v>
      </c>
      <c r="AB28" s="4" t="s">
        <v>311</v>
      </c>
      <c r="AC28" s="8">
        <v>2011342.4433998247</v>
      </c>
      <c r="AD28" s="8"/>
      <c r="AE28" s="8"/>
      <c r="AF28" s="8"/>
      <c r="AG28" s="8"/>
      <c r="AH28" s="8"/>
      <c r="AI28" s="8"/>
      <c r="AJ28" s="8"/>
      <c r="AK28" s="8"/>
      <c r="AL28" s="8"/>
      <c r="AM28" s="8">
        <v>2011342.4433998247</v>
      </c>
      <c r="IA28" s="8"/>
    </row>
    <row r="29" spans="1:235" x14ac:dyDescent="0.25">
      <c r="A29" s="3" t="s">
        <v>187</v>
      </c>
      <c r="B29" s="8"/>
      <c r="C29" s="8"/>
      <c r="D29" s="8">
        <v>-5927402.8142389301</v>
      </c>
      <c r="E29" s="8"/>
      <c r="F29" s="8"/>
      <c r="G29" s="8">
        <v>9200982.7134127431</v>
      </c>
      <c r="H29" s="8"/>
      <c r="I29" s="8"/>
      <c r="J29" s="8"/>
      <c r="K29" s="8"/>
      <c r="L29" s="8">
        <v>3273579.8991738129</v>
      </c>
      <c r="N29" s="3" t="s">
        <v>91</v>
      </c>
      <c r="O29" s="8"/>
      <c r="P29" s="8"/>
      <c r="Q29" s="8">
        <v>-3678725.90524658</v>
      </c>
      <c r="R29" s="8"/>
      <c r="S29" s="8"/>
      <c r="T29" s="8">
        <v>24403025.044200182</v>
      </c>
      <c r="U29" s="8"/>
      <c r="V29" s="8"/>
      <c r="W29" s="8"/>
      <c r="X29" s="8"/>
      <c r="Y29" s="8">
        <v>20724299.138953604</v>
      </c>
      <c r="AB29" s="4" t="s">
        <v>312</v>
      </c>
      <c r="AC29" s="8">
        <v>1309171.9384364777</v>
      </c>
      <c r="AD29" s="8"/>
      <c r="AE29" s="8"/>
      <c r="AF29" s="8"/>
      <c r="AG29" s="8"/>
      <c r="AH29" s="8"/>
      <c r="AI29" s="8"/>
      <c r="AJ29" s="8"/>
      <c r="AK29" s="8"/>
      <c r="AL29" s="8"/>
      <c r="AM29" s="8">
        <v>1309171.9384364777</v>
      </c>
      <c r="IA29" s="8"/>
    </row>
    <row r="30" spans="1:235" x14ac:dyDescent="0.25">
      <c r="A30" s="3" t="s">
        <v>713</v>
      </c>
      <c r="B30" s="8"/>
      <c r="C30" s="8"/>
      <c r="D30" s="8"/>
      <c r="E30" s="8"/>
      <c r="F30" s="8">
        <v>8579966.9199999999</v>
      </c>
      <c r="G30" s="8"/>
      <c r="H30" s="8"/>
      <c r="I30" s="8"/>
      <c r="J30" s="8"/>
      <c r="K30" s="8"/>
      <c r="L30" s="8">
        <v>8579966.9199999999</v>
      </c>
      <c r="N30" s="3" t="s">
        <v>133</v>
      </c>
      <c r="O30" s="8"/>
      <c r="P30" s="8"/>
      <c r="Q30" s="8"/>
      <c r="R30" s="8"/>
      <c r="S30" s="8"/>
      <c r="T30" s="8">
        <v>6.6804407083560597E-3</v>
      </c>
      <c r="U30" s="8"/>
      <c r="V30" s="8"/>
      <c r="W30" s="8"/>
      <c r="X30" s="8"/>
      <c r="Y30" s="8">
        <v>6.6804407083560597E-3</v>
      </c>
      <c r="AB30" s="4" t="s">
        <v>726</v>
      </c>
      <c r="AC30" s="8">
        <v>129.33425593848099</v>
      </c>
      <c r="AD30" s="8"/>
      <c r="AE30" s="8"/>
      <c r="AF30" s="8"/>
      <c r="AG30" s="8"/>
      <c r="AH30" s="8"/>
      <c r="AI30" s="8"/>
      <c r="AJ30" s="8"/>
      <c r="AK30" s="8"/>
      <c r="AL30" s="8"/>
      <c r="AM30" s="8">
        <v>129.33425593848099</v>
      </c>
      <c r="IA30" s="8"/>
    </row>
    <row r="31" spans="1:235" x14ac:dyDescent="0.25">
      <c r="A31" s="3" t="s">
        <v>59</v>
      </c>
      <c r="B31" s="8">
        <v>-205533686.17089412</v>
      </c>
      <c r="C31" s="8">
        <v>-1211136.6107189455</v>
      </c>
      <c r="D31" s="8">
        <v>-19164466.01251927</v>
      </c>
      <c r="E31" s="8">
        <v>-82415875.476928547</v>
      </c>
      <c r="F31" s="8">
        <v>39294117.210000001</v>
      </c>
      <c r="G31" s="8">
        <v>308434154.32850277</v>
      </c>
      <c r="H31" s="8">
        <v>384801.37466881482</v>
      </c>
      <c r="I31" s="8">
        <v>-27609657.098856796</v>
      </c>
      <c r="J31" s="8">
        <v>-38994153.683895983</v>
      </c>
      <c r="K31" s="8">
        <v>34995150</v>
      </c>
      <c r="L31" s="8">
        <v>8179247.8593579754</v>
      </c>
      <c r="N31" s="3" t="s">
        <v>32</v>
      </c>
      <c r="O31" s="8"/>
      <c r="P31" s="8"/>
      <c r="Q31" s="8">
        <v>-188895.54782079899</v>
      </c>
      <c r="R31" s="8"/>
      <c r="S31" s="8"/>
      <c r="T31" s="8">
        <v>201023.09781906899</v>
      </c>
      <c r="U31" s="8"/>
      <c r="V31" s="8"/>
      <c r="W31" s="8">
        <v>-7992.9348300000001</v>
      </c>
      <c r="X31" s="8"/>
      <c r="Y31" s="8">
        <v>4134.6151682699983</v>
      </c>
      <c r="AB31" s="4" t="s">
        <v>727</v>
      </c>
      <c r="AC31" s="8">
        <v>656927.21734649094</v>
      </c>
      <c r="AD31" s="8"/>
      <c r="AE31" s="8"/>
      <c r="AF31" s="8"/>
      <c r="AG31" s="8"/>
      <c r="AH31" s="8"/>
      <c r="AI31" s="8"/>
      <c r="AJ31" s="8"/>
      <c r="AK31" s="8"/>
      <c r="AL31" s="8"/>
      <c r="AM31" s="8">
        <v>656927.21734649094</v>
      </c>
      <c r="IA31" s="8"/>
    </row>
    <row r="32" spans="1:235" x14ac:dyDescent="0.25">
      <c r="N32" s="3" t="s">
        <v>134</v>
      </c>
      <c r="O32" s="8"/>
      <c r="P32" s="8"/>
      <c r="Q32" s="8"/>
      <c r="R32" s="8"/>
      <c r="S32" s="8"/>
      <c r="T32" s="8">
        <v>1.9071477542135899E-2</v>
      </c>
      <c r="U32" s="8"/>
      <c r="V32" s="8"/>
      <c r="W32" s="8"/>
      <c r="X32" s="8"/>
      <c r="Y32" s="8">
        <v>1.9071477542135899E-2</v>
      </c>
      <c r="AB32" s="3" t="s">
        <v>33</v>
      </c>
      <c r="AC32" s="8">
        <v>172495.82137125701</v>
      </c>
      <c r="AD32" s="8"/>
      <c r="AE32" s="8"/>
      <c r="AF32" s="8"/>
      <c r="AG32" s="8"/>
      <c r="AH32" s="8"/>
      <c r="AI32" s="8"/>
      <c r="AJ32" s="8"/>
      <c r="AK32" s="8">
        <v>-29736.210300322</v>
      </c>
      <c r="AL32" s="8"/>
      <c r="AM32" s="8">
        <v>142759.611070935</v>
      </c>
      <c r="IA32" s="8"/>
    </row>
    <row r="33" spans="14:235" x14ac:dyDescent="0.25">
      <c r="N33" s="3" t="s">
        <v>191</v>
      </c>
      <c r="O33" s="8"/>
      <c r="P33" s="8"/>
      <c r="Q33" s="8"/>
      <c r="R33" s="8"/>
      <c r="S33" s="8"/>
      <c r="T33" s="8">
        <v>68.075135133439971</v>
      </c>
      <c r="U33" s="8"/>
      <c r="V33" s="8"/>
      <c r="W33" s="8"/>
      <c r="X33" s="8"/>
      <c r="Y33" s="8">
        <v>68.075135133439971</v>
      </c>
      <c r="AB33" s="4" t="s">
        <v>34</v>
      </c>
      <c r="AC33" s="8">
        <v>172495.82137125701</v>
      </c>
      <c r="AD33" s="8"/>
      <c r="AE33" s="8"/>
      <c r="AF33" s="8"/>
      <c r="AG33" s="8"/>
      <c r="AH33" s="8"/>
      <c r="AI33" s="8"/>
      <c r="AJ33" s="8"/>
      <c r="AK33" s="8">
        <v>-29736.210300322</v>
      </c>
      <c r="AL33" s="8"/>
      <c r="AM33" s="8">
        <v>142759.611070935</v>
      </c>
      <c r="IA33" s="8"/>
    </row>
    <row r="34" spans="14:235" x14ac:dyDescent="0.25">
      <c r="N34" s="3" t="s">
        <v>192</v>
      </c>
      <c r="O34" s="8"/>
      <c r="P34" s="8"/>
      <c r="Q34" s="8"/>
      <c r="R34" s="8"/>
      <c r="S34" s="8"/>
      <c r="T34" s="8">
        <v>13.530926361579093</v>
      </c>
      <c r="U34" s="8"/>
      <c r="V34" s="8"/>
      <c r="W34" s="8"/>
      <c r="X34" s="8"/>
      <c r="Y34" s="8">
        <v>13.530926361579093</v>
      </c>
      <c r="AB34" s="3" t="s">
        <v>268</v>
      </c>
      <c r="AC34" s="8"/>
      <c r="AD34" s="8">
        <v>34995150</v>
      </c>
      <c r="AE34" s="8">
        <v>30714150.289999999</v>
      </c>
      <c r="AF34" s="8"/>
      <c r="AG34" s="8"/>
      <c r="AH34" s="8"/>
      <c r="AI34" s="8"/>
      <c r="AJ34" s="8"/>
      <c r="AK34" s="8"/>
      <c r="AL34" s="8"/>
      <c r="AM34" s="8">
        <v>65709300.289999999</v>
      </c>
      <c r="IA34" s="8"/>
    </row>
    <row r="35" spans="14:235" x14ac:dyDescent="0.25">
      <c r="N35" s="3" t="s">
        <v>670</v>
      </c>
      <c r="O35" s="8"/>
      <c r="P35" s="8"/>
      <c r="Q35" s="8"/>
      <c r="R35" s="8"/>
      <c r="S35" s="8"/>
      <c r="T35" s="8">
        <v>168275.44119131</v>
      </c>
      <c r="U35" s="8"/>
      <c r="V35" s="8"/>
      <c r="W35" s="8"/>
      <c r="X35" s="8"/>
      <c r="Y35" s="8">
        <v>168275.44119131</v>
      </c>
      <c r="AB35" s="4" t="s">
        <v>240</v>
      </c>
      <c r="AC35" s="8"/>
      <c r="AD35" s="8"/>
      <c r="AE35" s="8">
        <v>30714150.289999999</v>
      </c>
      <c r="AF35" s="8"/>
      <c r="AG35" s="8"/>
      <c r="AH35" s="8"/>
      <c r="AI35" s="8"/>
      <c r="AJ35" s="8"/>
      <c r="AK35" s="8"/>
      <c r="AL35" s="8"/>
      <c r="AM35" s="8">
        <v>30714150.289999999</v>
      </c>
      <c r="IA35" s="8"/>
    </row>
    <row r="36" spans="14:235" x14ac:dyDescent="0.25">
      <c r="N36" s="3" t="s">
        <v>135</v>
      </c>
      <c r="O36" s="8"/>
      <c r="P36" s="8"/>
      <c r="Q36" s="8">
        <v>-24421.793583386701</v>
      </c>
      <c r="R36" s="8"/>
      <c r="S36" s="8"/>
      <c r="T36" s="8">
        <v>24416.74385982129</v>
      </c>
      <c r="U36" s="8"/>
      <c r="V36" s="8"/>
      <c r="W36" s="8"/>
      <c r="X36" s="8"/>
      <c r="Y36" s="8">
        <v>-5.0497235654111137</v>
      </c>
      <c r="AB36" s="4" t="s">
        <v>303</v>
      </c>
      <c r="AC36" s="8"/>
      <c r="AD36" s="8">
        <v>34995150</v>
      </c>
      <c r="AE36" s="8"/>
      <c r="AF36" s="8"/>
      <c r="AG36" s="8"/>
      <c r="AH36" s="8"/>
      <c r="AI36" s="8"/>
      <c r="AJ36" s="8"/>
      <c r="AK36" s="8"/>
      <c r="AL36" s="8"/>
      <c r="AM36" s="8">
        <v>34995150</v>
      </c>
      <c r="IA36" s="8"/>
    </row>
    <row r="37" spans="14:235" x14ac:dyDescent="0.25">
      <c r="N37" s="3" t="s">
        <v>193</v>
      </c>
      <c r="O37" s="8"/>
      <c r="P37" s="8"/>
      <c r="Q37" s="8">
        <v>-44257.196356007596</v>
      </c>
      <c r="R37" s="8"/>
      <c r="S37" s="8"/>
      <c r="T37" s="8">
        <v>54043.419253691325</v>
      </c>
      <c r="U37" s="8"/>
      <c r="V37" s="8"/>
      <c r="W37" s="8"/>
      <c r="X37" s="8"/>
      <c r="Y37" s="8">
        <v>9786.2228976837287</v>
      </c>
      <c r="AB37" s="3" t="s">
        <v>189</v>
      </c>
      <c r="AC37" s="8">
        <v>20668562.895670999</v>
      </c>
      <c r="AD37" s="8"/>
      <c r="AE37" s="8"/>
      <c r="AF37" s="8"/>
      <c r="AG37" s="8"/>
      <c r="AH37" s="8"/>
      <c r="AI37" s="8"/>
      <c r="AJ37" s="8"/>
      <c r="AK37" s="8"/>
      <c r="AL37" s="8"/>
      <c r="AM37" s="8">
        <v>20668562.895670999</v>
      </c>
      <c r="IA37" s="8"/>
    </row>
    <row r="38" spans="14:235" x14ac:dyDescent="0.25">
      <c r="N38" s="3" t="s">
        <v>136</v>
      </c>
      <c r="O38" s="8"/>
      <c r="P38" s="8"/>
      <c r="Q38" s="8"/>
      <c r="R38" s="8"/>
      <c r="S38" s="8"/>
      <c r="T38" s="8">
        <v>2.9903151768703602E-6</v>
      </c>
      <c r="U38" s="8"/>
      <c r="V38" s="8"/>
      <c r="W38" s="8"/>
      <c r="X38" s="8"/>
      <c r="Y38" s="8">
        <v>2.9903151768703602E-6</v>
      </c>
      <c r="AB38" s="4" t="s">
        <v>189</v>
      </c>
      <c r="AC38" s="8">
        <v>20668562.895670999</v>
      </c>
      <c r="AD38" s="8"/>
      <c r="AE38" s="8"/>
      <c r="AF38" s="8"/>
      <c r="AG38" s="8"/>
      <c r="AH38" s="8"/>
      <c r="AI38" s="8"/>
      <c r="AJ38" s="8"/>
      <c r="AK38" s="8"/>
      <c r="AL38" s="8"/>
      <c r="AM38" s="8">
        <v>20668562.895670999</v>
      </c>
      <c r="IA38" s="8"/>
    </row>
    <row r="39" spans="14:235" x14ac:dyDescent="0.25">
      <c r="N39" s="3" t="s">
        <v>23</v>
      </c>
      <c r="O39" s="8"/>
      <c r="P39" s="8"/>
      <c r="Q39" s="8">
        <v>-26248.442173352392</v>
      </c>
      <c r="R39" s="8">
        <v>-208608.39003861701</v>
      </c>
      <c r="S39" s="8"/>
      <c r="T39" s="8">
        <v>235396.03076143967</v>
      </c>
      <c r="U39" s="8"/>
      <c r="V39" s="8"/>
      <c r="W39" s="8"/>
      <c r="X39" s="8"/>
      <c r="Y39" s="8">
        <v>539.19854947025306</v>
      </c>
      <c r="AB39" s="3" t="s">
        <v>173</v>
      </c>
      <c r="AC39" s="8">
        <v>4328352.4552781619</v>
      </c>
      <c r="AD39" s="8"/>
      <c r="AE39" s="8"/>
      <c r="AF39" s="8"/>
      <c r="AG39" s="8">
        <v>-205533686.17089412</v>
      </c>
      <c r="AH39" s="8"/>
      <c r="AI39" s="8"/>
      <c r="AJ39" s="8"/>
      <c r="AK39" s="8"/>
      <c r="AL39" s="8"/>
      <c r="AM39" s="8">
        <v>-201205333.71561596</v>
      </c>
      <c r="IA39" s="8"/>
    </row>
    <row r="40" spans="14:235" x14ac:dyDescent="0.25">
      <c r="N40" s="3" t="s">
        <v>29</v>
      </c>
      <c r="O40" s="8"/>
      <c r="P40" s="8"/>
      <c r="Q40" s="8">
        <v>-9007.9206163302297</v>
      </c>
      <c r="R40" s="8"/>
      <c r="S40" s="8"/>
      <c r="T40" s="8">
        <v>9308.684951387444</v>
      </c>
      <c r="U40" s="8"/>
      <c r="V40" s="8"/>
      <c r="W40" s="8"/>
      <c r="X40" s="8"/>
      <c r="Y40" s="8">
        <v>300.76433505721434</v>
      </c>
      <c r="AB40" s="4" t="s">
        <v>171</v>
      </c>
      <c r="AC40" s="8">
        <v>4328352.4552781619</v>
      </c>
      <c r="AD40" s="8"/>
      <c r="AE40" s="8"/>
      <c r="AF40" s="8"/>
      <c r="AG40" s="8">
        <v>-205533686.17089412</v>
      </c>
      <c r="AH40" s="8"/>
      <c r="AI40" s="8"/>
      <c r="AJ40" s="8"/>
      <c r="AK40" s="8"/>
      <c r="AL40" s="8"/>
      <c r="AM40" s="8">
        <v>-201205333.71561596</v>
      </c>
      <c r="IA40" s="8"/>
    </row>
    <row r="41" spans="14:235" x14ac:dyDescent="0.25">
      <c r="N41" s="3" t="s">
        <v>24</v>
      </c>
      <c r="O41" s="8"/>
      <c r="P41" s="8"/>
      <c r="Q41" s="8">
        <v>-447154.28919914103</v>
      </c>
      <c r="R41" s="8">
        <v>-4411680.3380590621</v>
      </c>
      <c r="S41" s="8"/>
      <c r="T41" s="8">
        <v>4108237.0741256201</v>
      </c>
      <c r="U41" s="8"/>
      <c r="V41" s="8"/>
      <c r="W41" s="8">
        <v>650603.01836335997</v>
      </c>
      <c r="X41" s="8"/>
      <c r="Y41" s="8">
        <v>-99994.534769222955</v>
      </c>
      <c r="AB41" s="3" t="s">
        <v>302</v>
      </c>
      <c r="AC41" s="8">
        <v>20674.511024597377</v>
      </c>
      <c r="AD41" s="8"/>
      <c r="AE41" s="8"/>
      <c r="AF41" s="8"/>
      <c r="AG41" s="8"/>
      <c r="AH41" s="8"/>
      <c r="AI41" s="8"/>
      <c r="AJ41" s="8"/>
      <c r="AK41" s="8"/>
      <c r="AL41" s="8"/>
      <c r="AM41" s="8">
        <v>20674.511024597377</v>
      </c>
      <c r="IA41" s="8"/>
    </row>
    <row r="42" spans="14:235" x14ac:dyDescent="0.25">
      <c r="N42" s="3" t="s">
        <v>30</v>
      </c>
      <c r="O42" s="8"/>
      <c r="P42" s="8"/>
      <c r="Q42" s="8">
        <v>-7.6545807962358801</v>
      </c>
      <c r="R42" s="8">
        <v>-2029070.22066905</v>
      </c>
      <c r="S42" s="8"/>
      <c r="T42" s="8">
        <v>2022058.6652583878</v>
      </c>
      <c r="U42" s="8"/>
      <c r="V42" s="8"/>
      <c r="W42" s="8">
        <v>-165.24083404000001</v>
      </c>
      <c r="X42" s="8"/>
      <c r="Y42" s="8">
        <v>-7184.4508254983375</v>
      </c>
      <c r="AB42" s="4" t="s">
        <v>296</v>
      </c>
      <c r="AC42" s="8">
        <v>365.65921624852962</v>
      </c>
      <c r="AD42" s="8"/>
      <c r="AE42" s="8"/>
      <c r="AF42" s="8"/>
      <c r="AG42" s="8"/>
      <c r="AH42" s="8"/>
      <c r="AI42" s="8"/>
      <c r="AJ42" s="8"/>
      <c r="AK42" s="8"/>
      <c r="AL42" s="8"/>
      <c r="AM42" s="8">
        <v>365.65921624852962</v>
      </c>
      <c r="IA42" s="8"/>
    </row>
    <row r="43" spans="14:235" x14ac:dyDescent="0.25">
      <c r="N43" s="3" t="s">
        <v>16</v>
      </c>
      <c r="O43" s="8">
        <v>-33852692.942101702</v>
      </c>
      <c r="P43" s="8"/>
      <c r="Q43" s="8"/>
      <c r="R43" s="8">
        <v>-14533541.767312489</v>
      </c>
      <c r="S43" s="8"/>
      <c r="T43" s="8">
        <v>63094882.249685884</v>
      </c>
      <c r="U43" s="8">
        <v>34904.939804021655</v>
      </c>
      <c r="V43" s="8">
        <v>-4973034.9851404466</v>
      </c>
      <c r="W43" s="8">
        <v>-37942104.266331166</v>
      </c>
      <c r="X43" s="8">
        <v>24852000</v>
      </c>
      <c r="Y43" s="8">
        <v>-3319586.7713958994</v>
      </c>
      <c r="AB43" s="4" t="s">
        <v>299</v>
      </c>
      <c r="AC43" s="8">
        <v>64.261426228658166</v>
      </c>
      <c r="AD43" s="8"/>
      <c r="AE43" s="8"/>
      <c r="AF43" s="8"/>
      <c r="AG43" s="8"/>
      <c r="AH43" s="8"/>
      <c r="AI43" s="8"/>
      <c r="AJ43" s="8"/>
      <c r="AK43" s="8"/>
      <c r="AL43" s="8"/>
      <c r="AM43" s="8">
        <v>64.261426228658166</v>
      </c>
      <c r="IA43" s="8"/>
    </row>
    <row r="44" spans="14:235" x14ac:dyDescent="0.25">
      <c r="N44" s="3" t="s">
        <v>297</v>
      </c>
      <c r="O44" s="8"/>
      <c r="P44" s="8"/>
      <c r="Q44" s="8"/>
      <c r="R44" s="8"/>
      <c r="S44" s="8"/>
      <c r="T44" s="8">
        <v>2259.6461623143196</v>
      </c>
      <c r="U44" s="8"/>
      <c r="V44" s="8"/>
      <c r="W44" s="8"/>
      <c r="X44" s="8"/>
      <c r="Y44" s="8">
        <v>2259.6461623143196</v>
      </c>
      <c r="AB44" s="4" t="s">
        <v>728</v>
      </c>
      <c r="AC44" s="8">
        <v>10197.937857837089</v>
      </c>
      <c r="AD44" s="8"/>
      <c r="AE44" s="8"/>
      <c r="AF44" s="8"/>
      <c r="AG44" s="8"/>
      <c r="AH44" s="8"/>
      <c r="AI44" s="8"/>
      <c r="AJ44" s="8"/>
      <c r="AK44" s="8"/>
      <c r="AL44" s="8"/>
      <c r="AM44" s="8">
        <v>10197.937857837089</v>
      </c>
      <c r="IA44" s="8"/>
    </row>
    <row r="45" spans="14:235" x14ac:dyDescent="0.25">
      <c r="N45" s="3" t="s">
        <v>275</v>
      </c>
      <c r="O45" s="8"/>
      <c r="P45" s="8"/>
      <c r="Q45" s="8"/>
      <c r="R45" s="8"/>
      <c r="S45" s="8"/>
      <c r="T45" s="8">
        <v>16755.611041088341</v>
      </c>
      <c r="U45" s="8"/>
      <c r="V45" s="8"/>
      <c r="W45" s="8"/>
      <c r="X45" s="8"/>
      <c r="Y45" s="8">
        <v>16755.611041088341</v>
      </c>
      <c r="AB45" s="4" t="s">
        <v>729</v>
      </c>
      <c r="AC45" s="8">
        <v>10046.652524283099</v>
      </c>
      <c r="AD45" s="8"/>
      <c r="AE45" s="8"/>
      <c r="AF45" s="8"/>
      <c r="AG45" s="8"/>
      <c r="AH45" s="8"/>
      <c r="AI45" s="8"/>
      <c r="AJ45" s="8"/>
      <c r="AK45" s="8"/>
      <c r="AL45" s="8"/>
      <c r="AM45" s="8">
        <v>10046.652524283099</v>
      </c>
      <c r="IA45" s="8"/>
    </row>
    <row r="46" spans="14:235" x14ac:dyDescent="0.25">
      <c r="N46" s="3" t="s">
        <v>110</v>
      </c>
      <c r="O46" s="8">
        <v>-32048100</v>
      </c>
      <c r="P46" s="8"/>
      <c r="Q46" s="8"/>
      <c r="R46" s="8"/>
      <c r="S46" s="8"/>
      <c r="T46" s="8">
        <v>851073.94012689102</v>
      </c>
      <c r="U46" s="8"/>
      <c r="V46" s="8"/>
      <c r="W46" s="8"/>
      <c r="X46" s="8"/>
      <c r="Y46" s="8">
        <v>-31197026.059873108</v>
      </c>
      <c r="AB46" s="3" t="s">
        <v>40</v>
      </c>
      <c r="AC46" s="8">
        <v>21308259.331399828</v>
      </c>
      <c r="AD46" s="8"/>
      <c r="AE46" s="8"/>
      <c r="AF46" s="8">
        <v>-9967621.6862386707</v>
      </c>
      <c r="AG46" s="8"/>
      <c r="AH46" s="8">
        <v>860400</v>
      </c>
      <c r="AI46" s="8"/>
      <c r="AJ46" s="8">
        <v>-1121527.0000688597</v>
      </c>
      <c r="AK46" s="8">
        <v>1209408.7191000001</v>
      </c>
      <c r="AL46" s="8">
        <v>-34006.364436938667</v>
      </c>
      <c r="AM46" s="8">
        <v>12254912.999755362</v>
      </c>
      <c r="IA46" s="8"/>
    </row>
    <row r="47" spans="14:235" x14ac:dyDescent="0.25">
      <c r="N47" s="3" t="s">
        <v>261</v>
      </c>
      <c r="O47" s="8">
        <v>-16024971.6490518</v>
      </c>
      <c r="P47" s="8"/>
      <c r="Q47" s="8"/>
      <c r="R47" s="8"/>
      <c r="S47" s="8"/>
      <c r="T47" s="8">
        <v>368601.58864442812</v>
      </c>
      <c r="U47" s="8"/>
      <c r="V47" s="8"/>
      <c r="W47" s="8"/>
      <c r="X47" s="8"/>
      <c r="Y47" s="8">
        <v>-15656370.060407372</v>
      </c>
      <c r="AB47" s="4" t="s">
        <v>114</v>
      </c>
      <c r="AC47" s="8">
        <v>21.44003641308052</v>
      </c>
      <c r="AD47" s="8"/>
      <c r="AE47" s="8"/>
      <c r="AF47" s="8"/>
      <c r="AG47" s="8"/>
      <c r="AH47" s="8"/>
      <c r="AI47" s="8"/>
      <c r="AJ47" s="8"/>
      <c r="AK47" s="8"/>
      <c r="AL47" s="8"/>
      <c r="AM47" s="8">
        <v>21.44003641308052</v>
      </c>
      <c r="IA47" s="8"/>
    </row>
    <row r="48" spans="14:235" x14ac:dyDescent="0.25">
      <c r="N48" s="3" t="s">
        <v>31</v>
      </c>
      <c r="O48" s="8"/>
      <c r="P48" s="8"/>
      <c r="Q48" s="8">
        <v>-0.156225546246545</v>
      </c>
      <c r="R48" s="8"/>
      <c r="S48" s="8"/>
      <c r="T48" s="8">
        <v>5.171133105682685</v>
      </c>
      <c r="U48" s="8"/>
      <c r="V48" s="8"/>
      <c r="W48" s="8"/>
      <c r="X48" s="8"/>
      <c r="Y48" s="8">
        <v>5.0149075594361401</v>
      </c>
      <c r="AB48" s="4" t="s">
        <v>41</v>
      </c>
      <c r="AC48" s="8">
        <v>1280899.3330589619</v>
      </c>
      <c r="AD48" s="8"/>
      <c r="AE48" s="8"/>
      <c r="AF48" s="8"/>
      <c r="AG48" s="8"/>
      <c r="AH48" s="8">
        <v>860400</v>
      </c>
      <c r="AI48" s="8"/>
      <c r="AJ48" s="8"/>
      <c r="AK48" s="8"/>
      <c r="AL48" s="8">
        <v>-4444.8683030523607</v>
      </c>
      <c r="AM48" s="8">
        <v>2136854.4647559095</v>
      </c>
      <c r="IA48" s="8"/>
    </row>
    <row r="49" spans="14:235" x14ac:dyDescent="0.25">
      <c r="N49" s="3" t="s">
        <v>194</v>
      </c>
      <c r="O49" s="8"/>
      <c r="P49" s="8"/>
      <c r="Q49" s="8">
        <v>-36092.905766112402</v>
      </c>
      <c r="R49" s="8"/>
      <c r="S49" s="8"/>
      <c r="T49" s="8">
        <v>35165.286504265503</v>
      </c>
      <c r="U49" s="8"/>
      <c r="V49" s="8"/>
      <c r="W49" s="8"/>
      <c r="X49" s="8"/>
      <c r="Y49" s="8">
        <v>-927.61926184689946</v>
      </c>
      <c r="AB49" s="4" t="s">
        <v>117</v>
      </c>
      <c r="AC49" s="8">
        <v>2.8685763050458245E-5</v>
      </c>
      <c r="AD49" s="8"/>
      <c r="AE49" s="8"/>
      <c r="AF49" s="8"/>
      <c r="AG49" s="8"/>
      <c r="AH49" s="8"/>
      <c r="AI49" s="8"/>
      <c r="AJ49" s="8"/>
      <c r="AK49" s="8"/>
      <c r="AL49" s="8"/>
      <c r="AM49" s="8">
        <v>2.8685763050458245E-5</v>
      </c>
      <c r="IA49" s="8"/>
    </row>
    <row r="50" spans="14:235" x14ac:dyDescent="0.25">
      <c r="N50" s="3" t="s">
        <v>112</v>
      </c>
      <c r="O50" s="8"/>
      <c r="P50" s="8"/>
      <c r="Q50" s="8"/>
      <c r="R50" s="8"/>
      <c r="S50" s="8"/>
      <c r="T50" s="8">
        <v>4.4215565173429621</v>
      </c>
      <c r="U50" s="8"/>
      <c r="V50" s="8"/>
      <c r="W50" s="8"/>
      <c r="X50" s="8"/>
      <c r="Y50" s="8">
        <v>4.4215565173429621</v>
      </c>
      <c r="AB50" s="4" t="s">
        <v>118</v>
      </c>
      <c r="AC50" s="8">
        <v>3.2624875362617636</v>
      </c>
      <c r="AD50" s="8"/>
      <c r="AE50" s="8"/>
      <c r="AF50" s="8"/>
      <c r="AG50" s="8"/>
      <c r="AH50" s="8"/>
      <c r="AI50" s="8"/>
      <c r="AJ50" s="8"/>
      <c r="AK50" s="8"/>
      <c r="AL50" s="8"/>
      <c r="AM50" s="8">
        <v>3.2624875362617636</v>
      </c>
      <c r="IA50" s="8"/>
    </row>
    <row r="51" spans="14:235" x14ac:dyDescent="0.25">
      <c r="N51" s="3" t="s">
        <v>137</v>
      </c>
      <c r="O51" s="8"/>
      <c r="P51" s="8"/>
      <c r="Q51" s="8"/>
      <c r="R51" s="8"/>
      <c r="S51" s="8"/>
      <c r="T51" s="8">
        <v>126.89314937976</v>
      </c>
      <c r="U51" s="8"/>
      <c r="V51" s="8"/>
      <c r="W51" s="8"/>
      <c r="X51" s="8"/>
      <c r="Y51" s="8">
        <v>126.89314937976</v>
      </c>
      <c r="AB51" s="4" t="s">
        <v>42</v>
      </c>
      <c r="AC51" s="8">
        <v>4460868.5723340213</v>
      </c>
      <c r="AD51" s="8"/>
      <c r="AE51" s="8"/>
      <c r="AF51" s="8"/>
      <c r="AG51" s="8"/>
      <c r="AH51" s="8"/>
      <c r="AI51" s="8"/>
      <c r="AJ51" s="8"/>
      <c r="AK51" s="8">
        <v>1027200</v>
      </c>
      <c r="AL51" s="8">
        <v>-29606.309809382496</v>
      </c>
      <c r="AM51" s="8">
        <v>5458462.2625246393</v>
      </c>
      <c r="IA51" s="8"/>
    </row>
    <row r="52" spans="14:235" x14ac:dyDescent="0.25">
      <c r="N52" s="3" t="s">
        <v>180</v>
      </c>
      <c r="O52" s="8"/>
      <c r="P52" s="8"/>
      <c r="Q52" s="8"/>
      <c r="R52" s="8"/>
      <c r="S52" s="8"/>
      <c r="T52" s="8">
        <v>1.24276499999999E-2</v>
      </c>
      <c r="U52" s="8"/>
      <c r="V52" s="8"/>
      <c r="W52" s="8"/>
      <c r="X52" s="8"/>
      <c r="Y52" s="8">
        <v>1.24276499999999E-2</v>
      </c>
      <c r="AB52" s="4" t="s">
        <v>43</v>
      </c>
      <c r="AC52" s="8">
        <v>644554.50815949996</v>
      </c>
      <c r="AD52" s="8"/>
      <c r="AE52" s="8"/>
      <c r="AF52" s="8"/>
      <c r="AG52" s="8"/>
      <c r="AH52" s="8"/>
      <c r="AI52" s="8"/>
      <c r="AJ52" s="8"/>
      <c r="AK52" s="8">
        <v>182208.71910000002</v>
      </c>
      <c r="AL52" s="8">
        <v>44.813675496190399</v>
      </c>
      <c r="AM52" s="8">
        <v>826808.0409349961</v>
      </c>
      <c r="IA52" s="8"/>
    </row>
    <row r="53" spans="14:235" x14ac:dyDescent="0.25">
      <c r="N53" s="3" t="s">
        <v>138</v>
      </c>
      <c r="O53" s="8"/>
      <c r="P53" s="8"/>
      <c r="Q53" s="8">
        <v>-29351.6734593006</v>
      </c>
      <c r="R53" s="8"/>
      <c r="S53" s="8"/>
      <c r="T53" s="8">
        <v>29359.196545802566</v>
      </c>
      <c r="U53" s="8"/>
      <c r="V53" s="8"/>
      <c r="W53" s="8"/>
      <c r="X53" s="8"/>
      <c r="Y53" s="8">
        <v>7.5230865019657358</v>
      </c>
      <c r="AB53" s="4" t="s">
        <v>123</v>
      </c>
      <c r="AC53" s="8">
        <v>13129557.744706091</v>
      </c>
      <c r="AD53" s="8"/>
      <c r="AE53" s="8"/>
      <c r="AF53" s="8"/>
      <c r="AG53" s="8"/>
      <c r="AH53" s="8"/>
      <c r="AI53" s="8"/>
      <c r="AJ53" s="8"/>
      <c r="AK53" s="8"/>
      <c r="AL53" s="8"/>
      <c r="AM53" s="8">
        <v>13129557.744706091</v>
      </c>
      <c r="IA53" s="8"/>
    </row>
    <row r="54" spans="14:235" x14ac:dyDescent="0.25">
      <c r="N54" s="3" t="s">
        <v>139</v>
      </c>
      <c r="O54" s="8"/>
      <c r="P54" s="8"/>
      <c r="Q54" s="8"/>
      <c r="R54" s="8"/>
      <c r="S54" s="8"/>
      <c r="T54" s="8">
        <v>4.2889520671411701</v>
      </c>
      <c r="U54" s="8"/>
      <c r="V54" s="8"/>
      <c r="W54" s="8"/>
      <c r="X54" s="8"/>
      <c r="Y54" s="8">
        <v>4.2889520671411701</v>
      </c>
      <c r="AB54" s="4" t="s">
        <v>169</v>
      </c>
      <c r="AC54" s="8">
        <v>1792354.4705886215</v>
      </c>
      <c r="AD54" s="8"/>
      <c r="AE54" s="8"/>
      <c r="AF54" s="8"/>
      <c r="AG54" s="8"/>
      <c r="AH54" s="8"/>
      <c r="AI54" s="8"/>
      <c r="AJ54" s="8"/>
      <c r="AK54" s="8"/>
      <c r="AL54" s="8"/>
      <c r="AM54" s="8">
        <v>1792354.4705886215</v>
      </c>
      <c r="IA54" s="8"/>
    </row>
    <row r="55" spans="14:235" x14ac:dyDescent="0.25">
      <c r="N55" s="3" t="s">
        <v>140</v>
      </c>
      <c r="O55" s="8"/>
      <c r="P55" s="8"/>
      <c r="Q55" s="8"/>
      <c r="R55" s="8"/>
      <c r="S55" s="8"/>
      <c r="T55" s="8">
        <v>14057.7194527379</v>
      </c>
      <c r="U55" s="8"/>
      <c r="V55" s="8"/>
      <c r="W55" s="8"/>
      <c r="X55" s="8"/>
      <c r="Y55" s="8">
        <v>14057.7194527379</v>
      </c>
      <c r="AB55" s="4" t="s">
        <v>205</v>
      </c>
      <c r="AC55" s="8"/>
      <c r="AD55" s="8"/>
      <c r="AE55" s="8"/>
      <c r="AF55" s="8"/>
      <c r="AG55" s="8"/>
      <c r="AH55" s="8"/>
      <c r="AI55" s="8"/>
      <c r="AJ55" s="8">
        <v>-1121527.0000688597</v>
      </c>
      <c r="AK55" s="8"/>
      <c r="AL55" s="8"/>
      <c r="AM55" s="8">
        <v>-1121527.0000688597</v>
      </c>
      <c r="IA55" s="8"/>
    </row>
    <row r="56" spans="14:235" x14ac:dyDescent="0.25">
      <c r="N56" s="3" t="s">
        <v>142</v>
      </c>
      <c r="O56" s="8"/>
      <c r="P56" s="8"/>
      <c r="Q56" s="8"/>
      <c r="R56" s="8"/>
      <c r="S56" s="8"/>
      <c r="T56" s="8">
        <v>0.12275501988460601</v>
      </c>
      <c r="U56" s="8"/>
      <c r="V56" s="8"/>
      <c r="W56" s="8"/>
      <c r="X56" s="8"/>
      <c r="Y56" s="8">
        <v>0.12275501988460601</v>
      </c>
      <c r="AB56" s="4" t="s">
        <v>207</v>
      </c>
      <c r="AC56" s="8"/>
      <c r="AD56" s="8"/>
      <c r="AE56" s="8"/>
      <c r="AF56" s="8">
        <v>-9967621.6862386707</v>
      </c>
      <c r="AG56" s="8"/>
      <c r="AH56" s="8"/>
      <c r="AI56" s="8"/>
      <c r="AJ56" s="8"/>
      <c r="AK56" s="8"/>
      <c r="AL56" s="8"/>
      <c r="AM56" s="8">
        <v>-9967621.6862386707</v>
      </c>
      <c r="IA56" s="8"/>
    </row>
    <row r="57" spans="14:235" x14ac:dyDescent="0.25">
      <c r="N57" s="3" t="s">
        <v>143</v>
      </c>
      <c r="O57" s="8"/>
      <c r="P57" s="8"/>
      <c r="Q57" s="8"/>
      <c r="R57" s="8"/>
      <c r="S57" s="8"/>
      <c r="T57" s="8">
        <v>1.1601565558051599E-2</v>
      </c>
      <c r="U57" s="8"/>
      <c r="V57" s="8"/>
      <c r="W57" s="8"/>
      <c r="X57" s="8"/>
      <c r="Y57" s="8">
        <v>1.1601565558051599E-2</v>
      </c>
      <c r="AB57" s="3" t="s">
        <v>170</v>
      </c>
      <c r="AC57" s="8">
        <v>185028.27481855749</v>
      </c>
      <c r="AD57" s="8"/>
      <c r="AE57" s="8"/>
      <c r="AF57" s="8"/>
      <c r="AG57" s="8"/>
      <c r="AH57" s="8"/>
      <c r="AI57" s="8"/>
      <c r="AJ57" s="8"/>
      <c r="AK57" s="8"/>
      <c r="AL57" s="8"/>
      <c r="AM57" s="8">
        <v>185028.27481855749</v>
      </c>
      <c r="IA57" s="8"/>
    </row>
    <row r="58" spans="14:235" x14ac:dyDescent="0.25">
      <c r="N58" s="3" t="s">
        <v>144</v>
      </c>
      <c r="O58" s="8"/>
      <c r="P58" s="8"/>
      <c r="Q58" s="8"/>
      <c r="R58" s="8"/>
      <c r="S58" s="8"/>
      <c r="T58" s="8">
        <v>0.20402093989553599</v>
      </c>
      <c r="U58" s="8"/>
      <c r="V58" s="8"/>
      <c r="W58" s="8"/>
      <c r="X58" s="8"/>
      <c r="Y58" s="8">
        <v>0.20402093989553599</v>
      </c>
      <c r="AB58" s="4" t="s">
        <v>170</v>
      </c>
      <c r="AC58" s="8">
        <v>185028.27481855749</v>
      </c>
      <c r="AD58" s="8"/>
      <c r="AE58" s="8"/>
      <c r="AF58" s="8"/>
      <c r="AG58" s="8"/>
      <c r="AH58" s="8"/>
      <c r="AI58" s="8"/>
      <c r="AJ58" s="8"/>
      <c r="AK58" s="8"/>
      <c r="AL58" s="8"/>
      <c r="AM58" s="8">
        <v>185028.27481855749</v>
      </c>
      <c r="IA58" s="8"/>
    </row>
    <row r="59" spans="14:235" x14ac:dyDescent="0.25">
      <c r="N59" s="3" t="s">
        <v>44</v>
      </c>
      <c r="O59" s="8"/>
      <c r="P59" s="8"/>
      <c r="Q59" s="8"/>
      <c r="R59" s="8"/>
      <c r="S59" s="8"/>
      <c r="T59" s="8">
        <v>0.2583013376984456</v>
      </c>
      <c r="U59" s="8"/>
      <c r="V59" s="8"/>
      <c r="W59" s="8"/>
      <c r="X59" s="8"/>
      <c r="Y59" s="8">
        <v>0.2583013376984456</v>
      </c>
      <c r="AB59" s="3" t="s">
        <v>175</v>
      </c>
      <c r="AC59" s="8">
        <v>0.657294338466481</v>
      </c>
      <c r="AD59" s="8"/>
      <c r="AE59" s="8"/>
      <c r="AF59" s="8"/>
      <c r="AG59" s="8"/>
      <c r="AH59" s="8"/>
      <c r="AI59" s="8"/>
      <c r="AJ59" s="8"/>
      <c r="AK59" s="8"/>
      <c r="AL59" s="8"/>
      <c r="AM59" s="8">
        <v>0.657294338466481</v>
      </c>
      <c r="IA59" s="8"/>
    </row>
    <row r="60" spans="14:235" x14ac:dyDescent="0.25">
      <c r="N60" s="3" t="s">
        <v>145</v>
      </c>
      <c r="O60" s="8"/>
      <c r="P60" s="8"/>
      <c r="Q60" s="8"/>
      <c r="R60" s="8"/>
      <c r="S60" s="8"/>
      <c r="T60" s="8">
        <v>3.0911104955718202E-4</v>
      </c>
      <c r="U60" s="8"/>
      <c r="V60" s="8"/>
      <c r="W60" s="8"/>
      <c r="X60" s="8"/>
      <c r="Y60" s="8">
        <v>3.0911104955718202E-4</v>
      </c>
      <c r="AB60" s="4" t="s">
        <v>175</v>
      </c>
      <c r="AC60" s="8">
        <v>0.657294338466481</v>
      </c>
      <c r="AD60" s="8"/>
      <c r="AE60" s="8"/>
      <c r="AF60" s="8"/>
      <c r="AG60" s="8"/>
      <c r="AH60" s="8"/>
      <c r="AI60" s="8"/>
      <c r="AJ60" s="8"/>
      <c r="AK60" s="8"/>
      <c r="AL60" s="8"/>
      <c r="AM60" s="8">
        <v>0.657294338466481</v>
      </c>
      <c r="IA60" s="8"/>
    </row>
    <row r="61" spans="14:235" x14ac:dyDescent="0.25">
      <c r="N61" s="3" t="s">
        <v>146</v>
      </c>
      <c r="O61" s="8"/>
      <c r="P61" s="8"/>
      <c r="Q61" s="8"/>
      <c r="R61" s="8"/>
      <c r="S61" s="8"/>
      <c r="T61" s="8">
        <v>0</v>
      </c>
      <c r="U61" s="8"/>
      <c r="V61" s="8"/>
      <c r="W61" s="8"/>
      <c r="X61" s="8"/>
      <c r="Y61" s="8">
        <v>0</v>
      </c>
      <c r="AB61" s="3" t="s">
        <v>176</v>
      </c>
      <c r="AC61" s="8">
        <v>10137.885630000001</v>
      </c>
      <c r="AD61" s="8"/>
      <c r="AE61" s="8"/>
      <c r="AF61" s="8"/>
      <c r="AG61" s="8"/>
      <c r="AH61" s="8"/>
      <c r="AI61" s="8"/>
      <c r="AJ61" s="8"/>
      <c r="AK61" s="8"/>
      <c r="AL61" s="8"/>
      <c r="AM61" s="8">
        <v>10137.885630000001</v>
      </c>
      <c r="IA61" s="8"/>
    </row>
    <row r="62" spans="14:235" x14ac:dyDescent="0.25">
      <c r="N62" s="3" t="s">
        <v>28</v>
      </c>
      <c r="O62" s="8"/>
      <c r="P62" s="8"/>
      <c r="Q62" s="8">
        <v>-98102.948665664604</v>
      </c>
      <c r="R62" s="8">
        <v>-114390.076979066</v>
      </c>
      <c r="S62" s="8"/>
      <c r="T62" s="8">
        <v>634872.84332429001</v>
      </c>
      <c r="U62" s="8"/>
      <c r="V62" s="8"/>
      <c r="W62" s="8">
        <v>-682853.75465999998</v>
      </c>
      <c r="X62" s="8"/>
      <c r="Y62" s="8">
        <v>-260473.93698044057</v>
      </c>
      <c r="AB62" s="4" t="s">
        <v>176</v>
      </c>
      <c r="AC62" s="8">
        <v>10137.885630000001</v>
      </c>
      <c r="AD62" s="8"/>
      <c r="AE62" s="8"/>
      <c r="AF62" s="8"/>
      <c r="AG62" s="8"/>
      <c r="AH62" s="8"/>
      <c r="AI62" s="8"/>
      <c r="AJ62" s="8"/>
      <c r="AK62" s="8"/>
      <c r="AL62" s="8"/>
      <c r="AM62" s="8">
        <v>10137.885630000001</v>
      </c>
      <c r="IA62" s="8"/>
    </row>
    <row r="63" spans="14:235" x14ac:dyDescent="0.25">
      <c r="N63" s="3" t="s">
        <v>147</v>
      </c>
      <c r="O63" s="8"/>
      <c r="P63" s="8"/>
      <c r="Q63" s="8"/>
      <c r="R63" s="8"/>
      <c r="S63" s="8"/>
      <c r="T63" s="8">
        <v>1.23866429375467E-6</v>
      </c>
      <c r="U63" s="8"/>
      <c r="V63" s="8"/>
      <c r="W63" s="8"/>
      <c r="X63" s="8"/>
      <c r="Y63" s="8">
        <v>1.23866429375467E-6</v>
      </c>
      <c r="AB63" s="3" t="s">
        <v>46</v>
      </c>
      <c r="AC63" s="8">
        <v>17709922.804787181</v>
      </c>
      <c r="AD63" s="8"/>
      <c r="AE63" s="8"/>
      <c r="AF63" s="8"/>
      <c r="AG63" s="8"/>
      <c r="AH63" s="8">
        <v>-2435108.1584149795</v>
      </c>
      <c r="AI63" s="8"/>
      <c r="AJ63" s="8">
        <v>-2633391.7259042584</v>
      </c>
      <c r="AK63" s="8">
        <v>-908552.9884406497</v>
      </c>
      <c r="AL63" s="8">
        <v>186717.67019563226</v>
      </c>
      <c r="AM63" s="8">
        <v>11919587.602222925</v>
      </c>
      <c r="IA63" s="8"/>
    </row>
    <row r="64" spans="14:235" x14ac:dyDescent="0.25">
      <c r="N64" s="3" t="s">
        <v>25</v>
      </c>
      <c r="O64" s="8"/>
      <c r="P64" s="8"/>
      <c r="Q64" s="8">
        <v>-530491.69307154242</v>
      </c>
      <c r="R64" s="8">
        <v>-890615.19102439296</v>
      </c>
      <c r="S64" s="8"/>
      <c r="T64" s="8">
        <v>1648534.1689329934</v>
      </c>
      <c r="U64" s="8"/>
      <c r="V64" s="8"/>
      <c r="W64" s="8">
        <v>-301859.157538347</v>
      </c>
      <c r="X64" s="8"/>
      <c r="Y64" s="8">
        <v>-74431.872701288958</v>
      </c>
      <c r="AB64" s="4" t="s">
        <v>47</v>
      </c>
      <c r="AC64" s="8">
        <v>17106241.093454648</v>
      </c>
      <c r="AD64" s="8"/>
      <c r="AE64" s="8"/>
      <c r="AF64" s="8"/>
      <c r="AG64" s="8"/>
      <c r="AH64" s="8">
        <v>-3684058.0830260329</v>
      </c>
      <c r="AI64" s="8"/>
      <c r="AJ64" s="8"/>
      <c r="AK64" s="8">
        <v>284202.69497052731</v>
      </c>
      <c r="AL64" s="8">
        <v>208967.5906435487</v>
      </c>
      <c r="AM64" s="8">
        <v>13915353.296042692</v>
      </c>
      <c r="IA64" s="8"/>
    </row>
    <row r="65" spans="14:235" x14ac:dyDescent="0.25">
      <c r="N65" s="3" t="s">
        <v>148</v>
      </c>
      <c r="O65" s="8"/>
      <c r="P65" s="8"/>
      <c r="Q65" s="8"/>
      <c r="R65" s="8"/>
      <c r="S65" s="8"/>
      <c r="T65" s="8">
        <v>1.4231638225488101E-4</v>
      </c>
      <c r="U65" s="8"/>
      <c r="V65" s="8"/>
      <c r="W65" s="8"/>
      <c r="X65" s="8"/>
      <c r="Y65" s="8">
        <v>1.4231638225488101E-4</v>
      </c>
      <c r="AB65" s="4" t="s">
        <v>216</v>
      </c>
      <c r="AC65" s="8"/>
      <c r="AD65" s="8"/>
      <c r="AE65" s="8"/>
      <c r="AF65" s="8"/>
      <c r="AG65" s="8"/>
      <c r="AH65" s="8"/>
      <c r="AI65" s="8"/>
      <c r="AJ65" s="8">
        <v>-2610798.2572441418</v>
      </c>
      <c r="AK65" s="8"/>
      <c r="AL65" s="8"/>
      <c r="AM65" s="8">
        <v>-2610798.2572441418</v>
      </c>
      <c r="IA65" s="8"/>
    </row>
    <row r="66" spans="14:235" x14ac:dyDescent="0.25">
      <c r="N66" s="3" t="s">
        <v>195</v>
      </c>
      <c r="O66" s="8"/>
      <c r="P66" s="8"/>
      <c r="Q66" s="8">
        <v>-17183.717802038602</v>
      </c>
      <c r="R66" s="8"/>
      <c r="S66" s="8"/>
      <c r="T66" s="8">
        <v>20571.655844954086</v>
      </c>
      <c r="U66" s="8"/>
      <c r="V66" s="8"/>
      <c r="W66" s="8"/>
      <c r="X66" s="8"/>
      <c r="Y66" s="8">
        <v>3387.9380429154844</v>
      </c>
      <c r="AB66" s="4" t="s">
        <v>177</v>
      </c>
      <c r="AC66" s="8">
        <v>90.368192139288269</v>
      </c>
      <c r="AD66" s="8"/>
      <c r="AE66" s="8"/>
      <c r="AF66" s="8"/>
      <c r="AG66" s="8"/>
      <c r="AH66" s="8"/>
      <c r="AI66" s="8"/>
      <c r="AJ66" s="8"/>
      <c r="AK66" s="8"/>
      <c r="AL66" s="8"/>
      <c r="AM66" s="8">
        <v>90.368192139288269</v>
      </c>
      <c r="IA66" s="8"/>
    </row>
    <row r="67" spans="14:235" x14ac:dyDescent="0.25">
      <c r="N67" s="3" t="s">
        <v>196</v>
      </c>
      <c r="O67" s="8"/>
      <c r="P67" s="8"/>
      <c r="Q67" s="8">
        <v>-45167.367687621998</v>
      </c>
      <c r="R67" s="8"/>
      <c r="S67" s="8"/>
      <c r="T67" s="8">
        <v>59423.100159066591</v>
      </c>
      <c r="U67" s="8"/>
      <c r="V67" s="8"/>
      <c r="W67" s="8"/>
      <c r="X67" s="8"/>
      <c r="Y67" s="8">
        <v>14255.732471444593</v>
      </c>
      <c r="AB67" s="4" t="s">
        <v>50</v>
      </c>
      <c r="AC67" s="8">
        <v>186391.69742042987</v>
      </c>
      <c r="AD67" s="8"/>
      <c r="AE67" s="8"/>
      <c r="AF67" s="8"/>
      <c r="AG67" s="8"/>
      <c r="AH67" s="8">
        <v>-670</v>
      </c>
      <c r="AI67" s="8"/>
      <c r="AJ67" s="8"/>
      <c r="AK67" s="8">
        <v>43250</v>
      </c>
      <c r="AL67" s="8">
        <v>4256.3849413064227</v>
      </c>
      <c r="AM67" s="8">
        <v>233228.08236173631</v>
      </c>
      <c r="IA67" s="8"/>
    </row>
    <row r="68" spans="14:235" x14ac:dyDescent="0.25">
      <c r="N68" s="3" t="s">
        <v>1176</v>
      </c>
      <c r="O68" s="8"/>
      <c r="P68" s="8"/>
      <c r="Q68" s="8"/>
      <c r="R68" s="8"/>
      <c r="S68" s="8"/>
      <c r="T68" s="8">
        <v>522674.40974300198</v>
      </c>
      <c r="U68" s="8"/>
      <c r="V68" s="8"/>
      <c r="W68" s="8"/>
      <c r="X68" s="8"/>
      <c r="Y68" s="8">
        <v>522674.40974300198</v>
      </c>
      <c r="AB68" s="4" t="s">
        <v>53</v>
      </c>
      <c r="AC68" s="8">
        <v>341381.48878532881</v>
      </c>
      <c r="AD68" s="8"/>
      <c r="AE68" s="8"/>
      <c r="AF68" s="8"/>
      <c r="AG68" s="8"/>
      <c r="AH68" s="8">
        <v>1249619.9246110532</v>
      </c>
      <c r="AI68" s="8"/>
      <c r="AJ68" s="8"/>
      <c r="AK68" s="8">
        <v>-1249783.283616479</v>
      </c>
      <c r="AL68" s="8">
        <v>-8451.5123664226448</v>
      </c>
      <c r="AM68" s="8">
        <v>332766.61741348036</v>
      </c>
      <c r="IA68" s="8"/>
    </row>
    <row r="69" spans="14:235" x14ac:dyDescent="0.25">
      <c r="N69" s="3" t="s">
        <v>149</v>
      </c>
      <c r="O69" s="8"/>
      <c r="P69" s="8"/>
      <c r="Q69" s="8"/>
      <c r="R69" s="8"/>
      <c r="S69" s="8"/>
      <c r="T69" s="8">
        <v>6.3936605193977698</v>
      </c>
      <c r="U69" s="8"/>
      <c r="V69" s="8"/>
      <c r="W69" s="8"/>
      <c r="X69" s="8"/>
      <c r="Y69" s="8">
        <v>6.3936605193977698</v>
      </c>
      <c r="AB69" s="4" t="s">
        <v>54</v>
      </c>
      <c r="AC69" s="8">
        <v>75818.156934634098</v>
      </c>
      <c r="AD69" s="8"/>
      <c r="AE69" s="8"/>
      <c r="AF69" s="8"/>
      <c r="AG69" s="8"/>
      <c r="AH69" s="8"/>
      <c r="AI69" s="8"/>
      <c r="AJ69" s="8"/>
      <c r="AK69" s="8">
        <v>13777.600205302</v>
      </c>
      <c r="AL69" s="8">
        <v>-18054.793022800201</v>
      </c>
      <c r="AM69" s="8">
        <v>71540.964117135911</v>
      </c>
      <c r="IA69" s="8"/>
    </row>
    <row r="70" spans="14:235" x14ac:dyDescent="0.25">
      <c r="N70" s="3" t="s">
        <v>150</v>
      </c>
      <c r="O70" s="8"/>
      <c r="P70" s="8"/>
      <c r="Q70" s="8"/>
      <c r="R70" s="8"/>
      <c r="S70" s="8"/>
      <c r="T70" s="8">
        <v>6.95299664114117E-3</v>
      </c>
      <c r="U70" s="8"/>
      <c r="V70" s="8"/>
      <c r="W70" s="8"/>
      <c r="X70" s="8"/>
      <c r="Y70" s="8">
        <v>6.95299664114117E-3</v>
      </c>
      <c r="AB70" s="4" t="s">
        <v>215</v>
      </c>
      <c r="AC70" s="8"/>
      <c r="AD70" s="8"/>
      <c r="AE70" s="8"/>
      <c r="AF70" s="8"/>
      <c r="AG70" s="8"/>
      <c r="AH70" s="8"/>
      <c r="AI70" s="8"/>
      <c r="AJ70" s="8">
        <v>-22593.468660116701</v>
      </c>
      <c r="AK70" s="8"/>
      <c r="AL70" s="8"/>
      <c r="AM70" s="8">
        <v>-22593.468660116701</v>
      </c>
      <c r="IA70" s="8"/>
    </row>
    <row r="71" spans="14:235" x14ac:dyDescent="0.25">
      <c r="N71" s="3" t="s">
        <v>151</v>
      </c>
      <c r="O71" s="8"/>
      <c r="P71" s="8"/>
      <c r="Q71" s="8"/>
      <c r="R71" s="8"/>
      <c r="S71" s="8"/>
      <c r="T71" s="8">
        <v>1441.74270216525</v>
      </c>
      <c r="U71" s="8"/>
      <c r="V71" s="8"/>
      <c r="W71" s="8"/>
      <c r="X71" s="8"/>
      <c r="Y71" s="8">
        <v>1441.74270216525</v>
      </c>
      <c r="AB71" s="3" t="s">
        <v>212</v>
      </c>
      <c r="AC71" s="8"/>
      <c r="AD71" s="8"/>
      <c r="AE71" s="8"/>
      <c r="AF71" s="8"/>
      <c r="AG71" s="8"/>
      <c r="AH71" s="8"/>
      <c r="AI71" s="8">
        <v>-1211058.87587134</v>
      </c>
      <c r="AJ71" s="8"/>
      <c r="AK71" s="8"/>
      <c r="AL71" s="8"/>
      <c r="AM71" s="8">
        <v>-1211058.87587134</v>
      </c>
      <c r="IA71" s="8"/>
    </row>
    <row r="72" spans="14:235" x14ac:dyDescent="0.25">
      <c r="N72" s="3" t="s">
        <v>152</v>
      </c>
      <c r="O72" s="8"/>
      <c r="P72" s="8"/>
      <c r="Q72" s="8"/>
      <c r="R72" s="8"/>
      <c r="S72" s="8"/>
      <c r="T72" s="8">
        <v>9.1859295588851404E-4</v>
      </c>
      <c r="U72" s="8"/>
      <c r="V72" s="8"/>
      <c r="W72" s="8"/>
      <c r="X72" s="8"/>
      <c r="Y72" s="8">
        <v>9.1859295588851404E-4</v>
      </c>
      <c r="AB72" s="4" t="s">
        <v>210</v>
      </c>
      <c r="AC72" s="8"/>
      <c r="AD72" s="8"/>
      <c r="AE72" s="8"/>
      <c r="AF72" s="8"/>
      <c r="AG72" s="8"/>
      <c r="AH72" s="8"/>
      <c r="AI72" s="8">
        <v>-1211058.87587134</v>
      </c>
      <c r="AJ72" s="8"/>
      <c r="AK72" s="8"/>
      <c r="AL72" s="8"/>
      <c r="AM72" s="8">
        <v>-1211058.87587134</v>
      </c>
      <c r="IA72" s="8"/>
    </row>
    <row r="73" spans="14:235" x14ac:dyDescent="0.25">
      <c r="N73" s="3" t="s">
        <v>153</v>
      </c>
      <c r="O73" s="8"/>
      <c r="P73" s="8"/>
      <c r="Q73" s="8">
        <v>-342.039662051108</v>
      </c>
      <c r="R73" s="8"/>
      <c r="S73" s="8"/>
      <c r="T73" s="8">
        <v>28752.792503738186</v>
      </c>
      <c r="U73" s="8"/>
      <c r="V73" s="8"/>
      <c r="W73" s="8">
        <v>-28573.161840000001</v>
      </c>
      <c r="X73" s="8"/>
      <c r="Y73" s="8">
        <v>-162.40899831292336</v>
      </c>
      <c r="AB73" s="3" t="s">
        <v>179</v>
      </c>
      <c r="AC73" s="8">
        <v>0.97088725360490191</v>
      </c>
      <c r="AD73" s="8"/>
      <c r="AE73" s="8"/>
      <c r="AF73" s="8"/>
      <c r="AG73" s="8"/>
      <c r="AH73" s="8"/>
      <c r="AI73" s="8"/>
      <c r="AJ73" s="8"/>
      <c r="AK73" s="8"/>
      <c r="AL73" s="8"/>
      <c r="AM73" s="8">
        <v>0.97088725360490191</v>
      </c>
      <c r="IA73" s="8"/>
    </row>
    <row r="74" spans="14:235" x14ac:dyDescent="0.25">
      <c r="N74" s="3" t="s">
        <v>154</v>
      </c>
      <c r="O74" s="8"/>
      <c r="P74" s="8"/>
      <c r="Q74" s="8"/>
      <c r="R74" s="8"/>
      <c r="S74" s="8"/>
      <c r="T74" s="8">
        <v>9.2591922833754503E-2</v>
      </c>
      <c r="U74" s="8"/>
      <c r="V74" s="8"/>
      <c r="W74" s="8"/>
      <c r="X74" s="8"/>
      <c r="Y74" s="8">
        <v>9.2591922833754503E-2</v>
      </c>
      <c r="AB74" s="4" t="s">
        <v>178</v>
      </c>
      <c r="AC74" s="8">
        <v>0.97088725360490191</v>
      </c>
      <c r="AD74" s="8"/>
      <c r="AE74" s="8"/>
      <c r="AF74" s="8"/>
      <c r="AG74" s="8"/>
      <c r="AH74" s="8"/>
      <c r="AI74" s="8"/>
      <c r="AJ74" s="8"/>
      <c r="AK74" s="8"/>
      <c r="AL74" s="8"/>
      <c r="AM74" s="8">
        <v>0.97088725360490191</v>
      </c>
      <c r="IA74" s="8"/>
    </row>
    <row r="75" spans="14:235" x14ac:dyDescent="0.25">
      <c r="N75" s="3" t="s">
        <v>309</v>
      </c>
      <c r="O75" s="8"/>
      <c r="P75" s="8"/>
      <c r="Q75" s="8"/>
      <c r="R75" s="8"/>
      <c r="S75" s="8"/>
      <c r="T75" s="8">
        <v>0</v>
      </c>
      <c r="U75" s="8"/>
      <c r="V75" s="8"/>
      <c r="W75" s="8"/>
      <c r="X75" s="8"/>
      <c r="Y75" s="8">
        <v>0</v>
      </c>
      <c r="AB75" s="3" t="s">
        <v>214</v>
      </c>
      <c r="AC75" s="8"/>
      <c r="AD75" s="8"/>
      <c r="AE75" s="8"/>
      <c r="AF75" s="8"/>
      <c r="AG75" s="8"/>
      <c r="AH75" s="8"/>
      <c r="AI75" s="8">
        <v>-77.734847605534796</v>
      </c>
      <c r="AJ75" s="8"/>
      <c r="AK75" s="8"/>
      <c r="AL75" s="8"/>
      <c r="AM75" s="8">
        <v>-77.734847605534796</v>
      </c>
      <c r="IA75" s="8"/>
    </row>
    <row r="76" spans="14:235" x14ac:dyDescent="0.25">
      <c r="N76" s="3" t="s">
        <v>310</v>
      </c>
      <c r="O76" s="8"/>
      <c r="P76" s="8"/>
      <c r="Q76" s="8"/>
      <c r="R76" s="8"/>
      <c r="S76" s="8"/>
      <c r="T76" s="8">
        <v>0</v>
      </c>
      <c r="U76" s="8"/>
      <c r="V76" s="8"/>
      <c r="W76" s="8"/>
      <c r="X76" s="8"/>
      <c r="Y76" s="8">
        <v>0</v>
      </c>
      <c r="AB76" s="4" t="s">
        <v>213</v>
      </c>
      <c r="AC76" s="8"/>
      <c r="AD76" s="8"/>
      <c r="AE76" s="8"/>
      <c r="AF76" s="8"/>
      <c r="AG76" s="8"/>
      <c r="AH76" s="8"/>
      <c r="AI76" s="8">
        <v>-77.734847605534796</v>
      </c>
      <c r="AJ76" s="8"/>
      <c r="AK76" s="8"/>
      <c r="AL76" s="8"/>
      <c r="AM76" s="8">
        <v>-77.734847605534796</v>
      </c>
      <c r="IA76" s="8"/>
    </row>
    <row r="77" spans="14:235" x14ac:dyDescent="0.25">
      <c r="N77" s="3" t="s">
        <v>92</v>
      </c>
      <c r="O77" s="8"/>
      <c r="P77" s="8">
        <v>-211079.35056690499</v>
      </c>
      <c r="Q77" s="8"/>
      <c r="R77" s="8"/>
      <c r="S77" s="8"/>
      <c r="T77" s="8">
        <v>211988.35613798012</v>
      </c>
      <c r="U77" s="8"/>
      <c r="V77" s="8"/>
      <c r="W77" s="8"/>
      <c r="X77" s="8"/>
      <c r="Y77" s="8">
        <v>909.00557107513305</v>
      </c>
      <c r="AB77" s="3" t="s">
        <v>185</v>
      </c>
      <c r="AC77" s="8">
        <v>31408.321681189798</v>
      </c>
      <c r="AD77" s="8"/>
      <c r="AE77" s="8"/>
      <c r="AF77" s="8"/>
      <c r="AG77" s="8"/>
      <c r="AH77" s="8"/>
      <c r="AI77" s="8"/>
      <c r="AJ77" s="8"/>
      <c r="AK77" s="8"/>
      <c r="AL77" s="8"/>
      <c r="AM77" s="8">
        <v>31408.321681189798</v>
      </c>
      <c r="IA77" s="8"/>
    </row>
    <row r="78" spans="14:235" x14ac:dyDescent="0.25">
      <c r="N78" s="3" t="s">
        <v>155</v>
      </c>
      <c r="O78" s="8"/>
      <c r="P78" s="8"/>
      <c r="Q78" s="8"/>
      <c r="R78" s="8"/>
      <c r="S78" s="8"/>
      <c r="T78" s="8">
        <v>7.3057120862182502E-3</v>
      </c>
      <c r="U78" s="8"/>
      <c r="V78" s="8"/>
      <c r="W78" s="8"/>
      <c r="X78" s="8"/>
      <c r="Y78" s="8">
        <v>7.3057120862182502E-3</v>
      </c>
      <c r="AB78" s="4" t="s">
        <v>183</v>
      </c>
      <c r="AC78" s="8">
        <v>31408.321681189798</v>
      </c>
      <c r="AD78" s="8"/>
      <c r="AE78" s="8"/>
      <c r="AF78" s="8"/>
      <c r="AG78" s="8"/>
      <c r="AH78" s="8"/>
      <c r="AI78" s="8"/>
      <c r="AJ78" s="8"/>
      <c r="AK78" s="8"/>
      <c r="AL78" s="8"/>
      <c r="AM78" s="8">
        <v>31408.321681189798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156</v>
      </c>
      <c r="O79" s="8"/>
      <c r="P79" s="8"/>
      <c r="Q79" s="8"/>
      <c r="R79" s="8"/>
      <c r="S79" s="8"/>
      <c r="T79" s="8">
        <v>6.6126062963526102E-4</v>
      </c>
      <c r="U79" s="8"/>
      <c r="V79" s="8"/>
      <c r="W79" s="8"/>
      <c r="X79" s="8"/>
      <c r="Y79" s="8">
        <v>6.6126062963526102E-4</v>
      </c>
      <c r="AB79" s="3" t="s">
        <v>713</v>
      </c>
      <c r="AC79" s="8"/>
      <c r="AD79" s="8"/>
      <c r="AE79" s="8">
        <v>8579966.9199999999</v>
      </c>
      <c r="AF79" s="8"/>
      <c r="AG79" s="8"/>
      <c r="AH79" s="8"/>
      <c r="AI79" s="8"/>
      <c r="AJ79" s="8"/>
      <c r="AK79" s="8"/>
      <c r="AL79" s="8"/>
      <c r="AM79" s="8">
        <v>8579966.9199999999</v>
      </c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298</v>
      </c>
      <c r="O80" s="8"/>
      <c r="P80" s="8"/>
      <c r="Q80" s="8"/>
      <c r="R80" s="8"/>
      <c r="S80" s="8"/>
      <c r="T80" s="8">
        <v>4.2092775676247699E-6</v>
      </c>
      <c r="U80" s="8"/>
      <c r="V80" s="8"/>
      <c r="W80" s="8"/>
      <c r="X80" s="8"/>
      <c r="Y80" s="8">
        <v>4.2092775676247699E-6</v>
      </c>
      <c r="AB80" s="4" t="s">
        <v>713</v>
      </c>
      <c r="AC80" s="8"/>
      <c r="AD80" s="8"/>
      <c r="AE80" s="8">
        <v>8579966.9199999999</v>
      </c>
      <c r="AF80" s="8"/>
      <c r="AG80" s="8"/>
      <c r="AH80" s="8"/>
      <c r="AI80" s="8"/>
      <c r="AJ80" s="8"/>
      <c r="AK80" s="8"/>
      <c r="AL80" s="8"/>
      <c r="AM80" s="8">
        <v>8579966.9199999999</v>
      </c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101</v>
      </c>
      <c r="O81" s="8"/>
      <c r="P81" s="8"/>
      <c r="Q81" s="8"/>
      <c r="R81" s="8"/>
      <c r="S81" s="8"/>
      <c r="T81" s="8">
        <v>14713.937917793688</v>
      </c>
      <c r="U81" s="8"/>
      <c r="V81" s="8"/>
      <c r="W81" s="8"/>
      <c r="X81" s="8"/>
      <c r="Y81" s="8">
        <v>14713.937917793688</v>
      </c>
      <c r="AB81" s="3" t="s">
        <v>187</v>
      </c>
      <c r="AC81" s="8">
        <v>9200982.7134127431</v>
      </c>
      <c r="AD81" s="8"/>
      <c r="AE81" s="8"/>
      <c r="AF81" s="8"/>
      <c r="AG81" s="8"/>
      <c r="AH81" s="8"/>
      <c r="AI81" s="8"/>
      <c r="AJ81" s="8">
        <v>-5927402.8142389301</v>
      </c>
      <c r="AK81" s="8"/>
      <c r="AL81" s="8"/>
      <c r="AM81" s="8">
        <v>3273579.8991738129</v>
      </c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184</v>
      </c>
      <c r="O82" s="8"/>
      <c r="P82" s="8"/>
      <c r="Q82" s="8"/>
      <c r="R82" s="8"/>
      <c r="S82" s="8"/>
      <c r="T82" s="8">
        <v>31408.321681189798</v>
      </c>
      <c r="U82" s="8"/>
      <c r="V82" s="8"/>
      <c r="W82" s="8"/>
      <c r="X82" s="8"/>
      <c r="Y82" s="8">
        <v>31408.321681189798</v>
      </c>
      <c r="AB82" s="4" t="s">
        <v>186</v>
      </c>
      <c r="AC82" s="8">
        <v>9200982.7134127431</v>
      </c>
      <c r="AD82" s="8"/>
      <c r="AE82" s="8"/>
      <c r="AF82" s="8"/>
      <c r="AG82" s="8"/>
      <c r="AH82" s="8"/>
      <c r="AI82" s="8"/>
      <c r="AJ82" s="8"/>
      <c r="AK82" s="8"/>
      <c r="AL82" s="8"/>
      <c r="AM82" s="8">
        <v>9200982.7134127431</v>
      </c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38</v>
      </c>
      <c r="O83" s="8"/>
      <c r="P83" s="8"/>
      <c r="Q83" s="8">
        <v>-143914.48057656069</v>
      </c>
      <c r="R83" s="8"/>
      <c r="S83" s="8"/>
      <c r="T83" s="8">
        <v>1718798.4500278614</v>
      </c>
      <c r="U83" s="8"/>
      <c r="V83" s="8"/>
      <c r="W83" s="8">
        <v>-815505.64</v>
      </c>
      <c r="X83" s="8"/>
      <c r="Y83" s="8">
        <v>759378.32945130079</v>
      </c>
      <c r="AB83" s="4" t="s">
        <v>217</v>
      </c>
      <c r="AC83" s="8"/>
      <c r="AD83" s="8"/>
      <c r="AE83" s="8"/>
      <c r="AF83" s="8"/>
      <c r="AG83" s="8"/>
      <c r="AH83" s="8"/>
      <c r="AI83" s="8"/>
      <c r="AJ83" s="8">
        <v>-5927402.8142389301</v>
      </c>
      <c r="AK83" s="8"/>
      <c r="AL83" s="8"/>
      <c r="AM83" s="8">
        <v>-5927402.8142389301</v>
      </c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157</v>
      </c>
      <c r="O84" s="8"/>
      <c r="P84" s="8"/>
      <c r="Q84" s="8">
        <v>-70702.630993724306</v>
      </c>
      <c r="R84" s="8"/>
      <c r="S84" s="8"/>
      <c r="T84" s="8">
        <v>76019.633873160303</v>
      </c>
      <c r="U84" s="8"/>
      <c r="V84" s="8"/>
      <c r="W84" s="8"/>
      <c r="X84" s="8"/>
      <c r="Y84" s="8">
        <v>5317.0028794359969</v>
      </c>
      <c r="AB84" s="3" t="s">
        <v>59</v>
      </c>
      <c r="AC84" s="8">
        <v>308434154.32850277</v>
      </c>
      <c r="AD84" s="8">
        <v>34995150</v>
      </c>
      <c r="AE84" s="8">
        <v>39294117.210000001</v>
      </c>
      <c r="AF84" s="8">
        <v>-82415875.476928547</v>
      </c>
      <c r="AG84" s="8">
        <v>-205533686.17089412</v>
      </c>
      <c r="AH84" s="8">
        <v>-27609657.098856792</v>
      </c>
      <c r="AI84" s="8">
        <v>-1211136.6107189455</v>
      </c>
      <c r="AJ84" s="8">
        <v>-19164466.01251927</v>
      </c>
      <c r="AK84" s="8">
        <v>-38994153.683895983</v>
      </c>
      <c r="AL84" s="8">
        <v>384801.37466881488</v>
      </c>
      <c r="AM84" s="8">
        <v>8179247.8593579661</v>
      </c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158</v>
      </c>
      <c r="O85" s="8"/>
      <c r="P85" s="8"/>
      <c r="Q85" s="8"/>
      <c r="R85" s="8"/>
      <c r="S85" s="8"/>
      <c r="T85" s="8">
        <v>5874.2456954794798</v>
      </c>
      <c r="U85" s="8"/>
      <c r="V85" s="8"/>
      <c r="W85" s="8"/>
      <c r="X85" s="8"/>
      <c r="Y85" s="8">
        <v>5874.2456954794798</v>
      </c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315</v>
      </c>
      <c r="O86" s="8"/>
      <c r="P86" s="8"/>
      <c r="Q86" s="8"/>
      <c r="R86" s="8"/>
      <c r="S86" s="8"/>
      <c r="T86" s="8">
        <v>799906.53314526705</v>
      </c>
      <c r="U86" s="8"/>
      <c r="V86" s="8"/>
      <c r="W86" s="8"/>
      <c r="X86" s="8"/>
      <c r="Y86" s="8">
        <v>799906.53314526705</v>
      </c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159</v>
      </c>
      <c r="O87" s="8"/>
      <c r="P87" s="8"/>
      <c r="Q87" s="8"/>
      <c r="R87" s="8"/>
      <c r="S87" s="8"/>
      <c r="T87" s="8">
        <v>9.9667326333820299</v>
      </c>
      <c r="U87" s="8"/>
      <c r="V87" s="8"/>
      <c r="W87" s="8"/>
      <c r="X87" s="8"/>
      <c r="Y87" s="8">
        <v>9.9667326333820299</v>
      </c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26</v>
      </c>
      <c r="O88" s="8"/>
      <c r="P88" s="8"/>
      <c r="Q88" s="8"/>
      <c r="R88" s="8"/>
      <c r="S88" s="8"/>
      <c r="T88" s="8">
        <v>2.5174786941756908</v>
      </c>
      <c r="U88" s="8"/>
      <c r="V88" s="8"/>
      <c r="W88" s="8"/>
      <c r="X88" s="8"/>
      <c r="Y88" s="8">
        <v>2.5174786941756908</v>
      </c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182</v>
      </c>
      <c r="O89" s="8"/>
      <c r="P89" s="8"/>
      <c r="Q89" s="8"/>
      <c r="R89" s="8"/>
      <c r="S89" s="8"/>
      <c r="T89" s="8">
        <v>5.8358694645149999E-3</v>
      </c>
      <c r="U89" s="8"/>
      <c r="V89" s="8"/>
      <c r="W89" s="8"/>
      <c r="X89" s="8"/>
      <c r="Y89" s="8">
        <v>5.8358694645149999E-3</v>
      </c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160</v>
      </c>
      <c r="O90" s="8"/>
      <c r="P90" s="8"/>
      <c r="Q90" s="8"/>
      <c r="R90" s="8"/>
      <c r="S90" s="8"/>
      <c r="T90" s="8">
        <v>2.4075889084370101E-4</v>
      </c>
      <c r="U90" s="8"/>
      <c r="V90" s="8"/>
      <c r="W90" s="8"/>
      <c r="X90" s="8"/>
      <c r="Y90" s="8">
        <v>2.4075889084370101E-4</v>
      </c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161</v>
      </c>
      <c r="O91" s="8"/>
      <c r="P91" s="8"/>
      <c r="Q91" s="8"/>
      <c r="R91" s="8"/>
      <c r="S91" s="8"/>
      <c r="T91" s="8">
        <v>19.9996805291984</v>
      </c>
      <c r="U91" s="8"/>
      <c r="V91" s="8"/>
      <c r="W91" s="8"/>
      <c r="X91" s="8"/>
      <c r="Y91" s="8">
        <v>19.9996805291984</v>
      </c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162</v>
      </c>
      <c r="O92" s="8"/>
      <c r="P92" s="8"/>
      <c r="Q92" s="8">
        <v>-35517.824634671597</v>
      </c>
      <c r="R92" s="8"/>
      <c r="S92" s="8"/>
      <c r="T92" s="8">
        <v>37016.67586923542</v>
      </c>
      <c r="U92" s="8"/>
      <c r="V92" s="8"/>
      <c r="W92" s="8"/>
      <c r="X92" s="8"/>
      <c r="Y92" s="8">
        <v>1498.8512345638228</v>
      </c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98</v>
      </c>
      <c r="O93" s="8">
        <v>-42800000</v>
      </c>
      <c r="P93" s="8"/>
      <c r="Q93" s="8"/>
      <c r="R93" s="8"/>
      <c r="S93" s="8">
        <v>39294117.210000001</v>
      </c>
      <c r="T93" s="8">
        <v>77740649.155592486</v>
      </c>
      <c r="U93" s="8"/>
      <c r="V93" s="8"/>
      <c r="W93" s="8"/>
      <c r="X93" s="8"/>
      <c r="Y93" s="8">
        <v>74234766.36559248</v>
      </c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95</v>
      </c>
      <c r="O94" s="8">
        <v>-56498843.179700501</v>
      </c>
      <c r="P94" s="8">
        <v>-999979.52530443505</v>
      </c>
      <c r="Q94" s="8">
        <v>-66889.769172998102</v>
      </c>
      <c r="R94" s="8"/>
      <c r="S94" s="8"/>
      <c r="T94" s="8">
        <v>1442843.2544900372</v>
      </c>
      <c r="U94" s="8"/>
      <c r="V94" s="8"/>
      <c r="W94" s="8"/>
      <c r="X94" s="8"/>
      <c r="Y94" s="8">
        <v>-56122869.219687894</v>
      </c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163</v>
      </c>
      <c r="O95" s="8"/>
      <c r="P95" s="8"/>
      <c r="Q95" s="8"/>
      <c r="R95" s="8"/>
      <c r="S95" s="8"/>
      <c r="T95" s="8">
        <v>0.34804517992871897</v>
      </c>
      <c r="U95" s="8"/>
      <c r="V95" s="8"/>
      <c r="W95" s="8"/>
      <c r="X95" s="8"/>
      <c r="Y95" s="8">
        <v>0.34804517992871897</v>
      </c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39</v>
      </c>
      <c r="O96" s="8"/>
      <c r="P96" s="8"/>
      <c r="Q96" s="8">
        <v>-13300054.962319242</v>
      </c>
      <c r="R96" s="8"/>
      <c r="S96" s="8"/>
      <c r="T96" s="8">
        <v>26104207.453824498</v>
      </c>
      <c r="U96" s="8">
        <v>374712.35363262781</v>
      </c>
      <c r="V96" s="8"/>
      <c r="W96" s="8"/>
      <c r="X96" s="8"/>
      <c r="Y96" s="8">
        <v>13178864.845137883</v>
      </c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99</v>
      </c>
      <c r="O97" s="8"/>
      <c r="P97" s="8"/>
      <c r="Q97" s="8"/>
      <c r="R97" s="8"/>
      <c r="S97" s="8"/>
      <c r="T97" s="8">
        <v>0</v>
      </c>
      <c r="U97" s="8"/>
      <c r="V97" s="8"/>
      <c r="W97" s="8"/>
      <c r="X97" s="8"/>
      <c r="Y97" s="8">
        <v>0</v>
      </c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199</v>
      </c>
      <c r="O98" s="8"/>
      <c r="P98" s="8"/>
      <c r="Q98" s="8">
        <v>-1.87445781415879</v>
      </c>
      <c r="R98" s="8"/>
      <c r="S98" s="8"/>
      <c r="T98" s="8">
        <v>0.48659952986674698</v>
      </c>
      <c r="U98" s="8"/>
      <c r="V98" s="8"/>
      <c r="W98" s="8"/>
      <c r="X98" s="8"/>
      <c r="Y98" s="8">
        <v>-1.3878582842920431</v>
      </c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164</v>
      </c>
      <c r="O99" s="8"/>
      <c r="P99" s="8"/>
      <c r="Q99" s="8"/>
      <c r="R99" s="8"/>
      <c r="S99" s="8"/>
      <c r="T99" s="8">
        <v>2.1650087385953701E-4</v>
      </c>
      <c r="U99" s="8"/>
      <c r="V99" s="8"/>
      <c r="W99" s="8"/>
      <c r="X99" s="8"/>
      <c r="Y99" s="8">
        <v>2.1650087385953701E-4</v>
      </c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3" t="s">
        <v>260</v>
      </c>
      <c r="O100" s="8"/>
      <c r="P100" s="8"/>
      <c r="Q100" s="8"/>
      <c r="R100" s="8"/>
      <c r="S100" s="8"/>
      <c r="T100" s="8">
        <v>202282.976567092</v>
      </c>
      <c r="U100" s="8"/>
      <c r="V100" s="8"/>
      <c r="W100" s="8"/>
      <c r="X100" s="8"/>
      <c r="Y100" s="8">
        <v>202282.976567092</v>
      </c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3" t="s">
        <v>188</v>
      </c>
      <c r="O101" s="8"/>
      <c r="P101" s="8"/>
      <c r="Q101" s="8"/>
      <c r="R101" s="8"/>
      <c r="S101" s="8"/>
      <c r="T101" s="8">
        <v>222148.28450126699</v>
      </c>
      <c r="U101" s="8"/>
      <c r="V101" s="8"/>
      <c r="W101" s="8"/>
      <c r="X101" s="8"/>
      <c r="Y101" s="8">
        <v>222148.28450126699</v>
      </c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3" t="s">
        <v>165</v>
      </c>
      <c r="O102" s="8"/>
      <c r="P102" s="8"/>
      <c r="Q102" s="8"/>
      <c r="R102" s="8"/>
      <c r="S102" s="8"/>
      <c r="T102" s="8">
        <v>2824.1969782590322</v>
      </c>
      <c r="U102" s="8"/>
      <c r="V102" s="8"/>
      <c r="W102" s="8"/>
      <c r="X102" s="8"/>
      <c r="Y102" s="8">
        <v>2824.1969782590322</v>
      </c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3" t="s">
        <v>166</v>
      </c>
      <c r="O103" s="8"/>
      <c r="P103" s="8"/>
      <c r="Q103" s="8">
        <v>-41506.894620593099</v>
      </c>
      <c r="R103" s="8"/>
      <c r="S103" s="8"/>
      <c r="T103" s="8">
        <v>41720.47206148722</v>
      </c>
      <c r="U103" s="8"/>
      <c r="V103" s="8"/>
      <c r="W103" s="8"/>
      <c r="X103" s="8"/>
      <c r="Y103" s="8">
        <v>213.57744089412154</v>
      </c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3" t="s">
        <v>102</v>
      </c>
      <c r="O104" s="8"/>
      <c r="P104" s="8">
        <v>-77.734847605534796</v>
      </c>
      <c r="Q104" s="8"/>
      <c r="R104" s="8"/>
      <c r="S104" s="8"/>
      <c r="T104" s="8">
        <v>50773.044815917026</v>
      </c>
      <c r="U104" s="8"/>
      <c r="V104" s="8"/>
      <c r="W104" s="8"/>
      <c r="X104" s="8"/>
      <c r="Y104" s="8">
        <v>50695.309968311492</v>
      </c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3" t="s">
        <v>167</v>
      </c>
      <c r="O105" s="8"/>
      <c r="P105" s="8"/>
      <c r="Q105" s="8">
        <v>-38058.053736712201</v>
      </c>
      <c r="R105" s="8"/>
      <c r="S105" s="8"/>
      <c r="T105" s="8">
        <v>38056.932266808071</v>
      </c>
      <c r="U105" s="8"/>
      <c r="V105" s="8"/>
      <c r="W105" s="8"/>
      <c r="X105" s="8"/>
      <c r="Y105" s="8">
        <v>-1.1214699041302083</v>
      </c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3" t="s">
        <v>174</v>
      </c>
      <c r="O106" s="8"/>
      <c r="P106" s="8"/>
      <c r="Q106" s="8"/>
      <c r="R106" s="8"/>
      <c r="S106" s="8"/>
      <c r="T106" s="8">
        <v>26204.910938232431</v>
      </c>
      <c r="U106" s="8"/>
      <c r="V106" s="8"/>
      <c r="W106" s="8"/>
      <c r="X106" s="8"/>
      <c r="Y106" s="8">
        <v>26204.910938232431</v>
      </c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3" t="s">
        <v>120</v>
      </c>
      <c r="O107" s="8"/>
      <c r="P107" s="8"/>
      <c r="Q107" s="8"/>
      <c r="R107" s="8"/>
      <c r="S107" s="8"/>
      <c r="T107" s="8">
        <v>21.126042696669181</v>
      </c>
      <c r="U107" s="8"/>
      <c r="V107" s="8"/>
      <c r="W107" s="8"/>
      <c r="X107" s="8"/>
      <c r="Y107" s="8">
        <v>21.126042696669181</v>
      </c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3" t="s">
        <v>168</v>
      </c>
      <c r="O108" s="8"/>
      <c r="P108" s="8"/>
      <c r="Q108" s="8"/>
      <c r="R108" s="8"/>
      <c r="S108" s="8"/>
      <c r="T108" s="8">
        <v>1.0078858162692401E-2</v>
      </c>
      <c r="U108" s="8"/>
      <c r="V108" s="8"/>
      <c r="W108" s="8"/>
      <c r="X108" s="8"/>
      <c r="Y108" s="8">
        <v>1.0078858162692401E-2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3" t="s">
        <v>27</v>
      </c>
      <c r="O109" s="8">
        <v>-435807.45829612599</v>
      </c>
      <c r="P109" s="8"/>
      <c r="Q109" s="8"/>
      <c r="R109" s="8"/>
      <c r="S109" s="8"/>
      <c r="T109" s="8">
        <v>455410.72436843842</v>
      </c>
      <c r="U109" s="8"/>
      <c r="V109" s="8"/>
      <c r="W109" s="8">
        <v>-18559.9548</v>
      </c>
      <c r="X109" s="8"/>
      <c r="Y109" s="8">
        <v>1043.3112723124286</v>
      </c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3" t="s">
        <v>59</v>
      </c>
      <c r="O110" s="8">
        <v>-205533686.17089412</v>
      </c>
      <c r="P110" s="8">
        <v>-1211136.6107189455</v>
      </c>
      <c r="Q110" s="8">
        <v>-19106619.30286701</v>
      </c>
      <c r="R110" s="8">
        <v>-82415875.476928547</v>
      </c>
      <c r="S110" s="8">
        <v>39294117.210000001</v>
      </c>
      <c r="T110" s="8">
        <v>308373096.16315472</v>
      </c>
      <c r="U110" s="8">
        <v>384801.37466881482</v>
      </c>
      <c r="V110" s="8">
        <v>-27609657.098856796</v>
      </c>
      <c r="W110" s="8">
        <v>-38994153.683895983</v>
      </c>
      <c r="X110" s="8">
        <v>34995150</v>
      </c>
      <c r="Y110" s="8">
        <v>8176036.4036620921</v>
      </c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29:235" x14ac:dyDescent="0.25"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29:235" x14ac:dyDescent="0.25"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29:235" x14ac:dyDescent="0.25"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29:235" x14ac:dyDescent="0.25"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29:235" x14ac:dyDescent="0.25"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29:235" x14ac:dyDescent="0.25"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29:235" x14ac:dyDescent="0.25"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29:235" x14ac:dyDescent="0.25"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29:235" x14ac:dyDescent="0.25"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29:235" x14ac:dyDescent="0.25"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29:235" x14ac:dyDescent="0.25"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29:235" x14ac:dyDescent="0.25"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29:235" x14ac:dyDescent="0.25"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29:235" x14ac:dyDescent="0.25"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29:235" x14ac:dyDescent="0.25"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29:235" x14ac:dyDescent="0.25"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29:235" x14ac:dyDescent="0.25"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29:235" x14ac:dyDescent="0.25"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29:235" x14ac:dyDescent="0.25"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29:235" x14ac:dyDescent="0.25"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29:235" x14ac:dyDescent="0.25"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29:235" x14ac:dyDescent="0.25"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29:235" x14ac:dyDescent="0.25"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29:235" x14ac:dyDescent="0.25"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29:235" x14ac:dyDescent="0.25"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29:235" x14ac:dyDescent="0.25"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29:235" x14ac:dyDescent="0.25"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29:235" x14ac:dyDescent="0.25"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29:235" x14ac:dyDescent="0.25"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29:235" x14ac:dyDescent="0.25"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29:235" x14ac:dyDescent="0.25"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29:235" x14ac:dyDescent="0.25"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29:235" x14ac:dyDescent="0.25"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29:235" x14ac:dyDescent="0.25"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29:235" x14ac:dyDescent="0.25"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29:235" x14ac:dyDescent="0.25"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29:235" x14ac:dyDescent="0.25"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29:235" x14ac:dyDescent="0.25"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29:235" x14ac:dyDescent="0.25"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29:235" x14ac:dyDescent="0.25"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29:235" x14ac:dyDescent="0.25"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29:235" x14ac:dyDescent="0.25"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29:235" x14ac:dyDescent="0.25"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29:235" x14ac:dyDescent="0.25"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29:235" x14ac:dyDescent="0.25"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29:235" x14ac:dyDescent="0.25"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29:235" x14ac:dyDescent="0.25"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29:235" x14ac:dyDescent="0.25"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29:235" x14ac:dyDescent="0.25"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29:235" x14ac:dyDescent="0.25"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E229"/>
  <sheetViews>
    <sheetView zoomScale="79" zoomScaleNormal="79" workbookViewId="0">
      <selection activeCell="G18" sqref="G18"/>
    </sheetView>
  </sheetViews>
  <sheetFormatPr defaultRowHeight="15" x14ac:dyDescent="0.25"/>
  <cols>
    <col min="1" max="1" width="18" bestFit="1" customWidth="1"/>
    <col min="2" max="2" width="17" bestFit="1" customWidth="1"/>
    <col min="3" max="3" width="10.42578125" bestFit="1" customWidth="1"/>
    <col min="4" max="4" width="12.42578125" bestFit="1" customWidth="1"/>
    <col min="5" max="5" width="13.140625" bestFit="1" customWidth="1"/>
    <col min="6" max="6" width="13.5703125" bestFit="1" customWidth="1"/>
    <col min="7" max="7" width="14.42578125" bestFit="1" customWidth="1"/>
    <col min="8" max="9" width="11.85546875" customWidth="1"/>
    <col min="10" max="10" width="1.5703125" style="8" customWidth="1"/>
    <col min="11" max="11" width="14.42578125" bestFit="1" customWidth="1"/>
    <col min="12" max="12" width="17" bestFit="1" customWidth="1"/>
    <col min="13" max="13" width="11.5703125" bestFit="1" customWidth="1"/>
    <col min="14" max="14" width="9.7109375" bestFit="1" customWidth="1"/>
    <col min="15" max="15" width="11.85546875" bestFit="1" customWidth="1"/>
    <col min="16" max="16" width="11.7109375" bestFit="1" customWidth="1"/>
    <col min="17" max="18" width="11.85546875" customWidth="1"/>
    <col min="19" max="19" width="15.7109375" bestFit="1" customWidth="1"/>
    <col min="20" max="20" width="2.28515625" style="8" customWidth="1"/>
    <col min="21" max="21" width="14.28515625" bestFit="1" customWidth="1"/>
    <col min="22" max="22" width="17" bestFit="1" customWidth="1"/>
    <col min="23" max="23" width="11.5703125" bestFit="1" customWidth="1"/>
    <col min="24" max="24" width="14.42578125" bestFit="1" customWidth="1"/>
    <col min="25" max="25" width="13.140625" bestFit="1" customWidth="1"/>
    <col min="26" max="26" width="13.28515625" bestFit="1" customWidth="1"/>
    <col min="27" max="27" width="17.85546875" bestFit="1" customWidth="1"/>
    <col min="28" max="28" width="16.42578125" bestFit="1" customWidth="1"/>
    <col min="29" max="29" width="23.42578125" bestFit="1" customWidth="1"/>
    <col min="30" max="30" width="16.42578125" bestFit="1" customWidth="1"/>
    <col min="31" max="31" width="23.42578125" bestFit="1" customWidth="1"/>
    <col min="32" max="33" width="12.7109375" style="8" customWidth="1"/>
    <col min="34" max="37" width="12.7109375" customWidth="1"/>
    <col min="38" max="38" width="9.7109375" bestFit="1" customWidth="1"/>
    <col min="39" max="39" width="7.5703125" bestFit="1" customWidth="1"/>
    <col min="40" max="40" width="11.85546875" style="8" bestFit="1" customWidth="1"/>
    <col min="41" max="41" width="11.7109375" style="8" bestFit="1" customWidth="1"/>
    <col min="42" max="42" width="12.42578125" style="8" bestFit="1" customWidth="1"/>
    <col min="43" max="43" width="13.42578125" bestFit="1" customWidth="1"/>
    <col min="44" max="44" width="11.42578125" bestFit="1" customWidth="1"/>
    <col min="45" max="45" width="75.42578125" bestFit="1" customWidth="1"/>
    <col min="46" max="46" width="17" bestFit="1" customWidth="1"/>
    <col min="47" max="49" width="14.42578125" bestFit="1" customWidth="1"/>
    <col min="50" max="50" width="7.5703125" bestFit="1" customWidth="1"/>
    <col min="51" max="51" width="14.42578125" bestFit="1" customWidth="1"/>
    <col min="52" max="52" width="12.42578125" bestFit="1" customWidth="1"/>
    <col min="53" max="53" width="13.5703125" bestFit="1" customWidth="1"/>
    <col min="54" max="54" width="14.42578125" bestFit="1" customWidth="1"/>
  </cols>
  <sheetData>
    <row r="1" spans="1:57" x14ac:dyDescent="0.25">
      <c r="A1" s="33" t="s">
        <v>742</v>
      </c>
      <c r="B1" s="33"/>
      <c r="C1" s="33"/>
      <c r="D1" s="33"/>
      <c r="E1" s="33"/>
      <c r="F1" s="33"/>
      <c r="G1" s="33"/>
      <c r="K1" s="33" t="s">
        <v>743</v>
      </c>
      <c r="L1" s="33"/>
      <c r="M1" s="33"/>
      <c r="N1" s="33"/>
      <c r="O1" s="33"/>
      <c r="P1" s="33"/>
      <c r="Q1" s="33"/>
      <c r="R1" s="33"/>
      <c r="U1" s="33" t="s">
        <v>746</v>
      </c>
      <c r="V1" s="33"/>
      <c r="W1" s="33"/>
      <c r="X1" s="33"/>
      <c r="Y1" s="33"/>
      <c r="Z1" s="33"/>
      <c r="AA1" s="33"/>
      <c r="AB1" s="33"/>
    </row>
    <row r="3" spans="1:57" x14ac:dyDescent="0.25">
      <c r="A3" s="2" t="s">
        <v>65</v>
      </c>
      <c r="B3" t="s">
        <v>68</v>
      </c>
      <c r="K3" s="2" t="s">
        <v>0</v>
      </c>
      <c r="L3" t="s">
        <v>68</v>
      </c>
      <c r="M3" s="33"/>
      <c r="N3" s="33"/>
      <c r="O3" s="33"/>
      <c r="P3" s="33"/>
      <c r="Q3" s="33"/>
      <c r="T3"/>
      <c r="U3" s="2" t="s">
        <v>0</v>
      </c>
      <c r="V3" t="s">
        <v>68</v>
      </c>
    </row>
    <row r="4" spans="1:57" x14ac:dyDescent="0.25">
      <c r="T4"/>
      <c r="AS4" s="2" t="s">
        <v>61</v>
      </c>
      <c r="AT4" s="2" t="s">
        <v>57</v>
      </c>
    </row>
    <row r="5" spans="1:57" x14ac:dyDescent="0.25">
      <c r="A5" s="2" t="s">
        <v>745</v>
      </c>
      <c r="B5" s="2" t="s">
        <v>57</v>
      </c>
      <c r="K5" s="2" t="s">
        <v>744</v>
      </c>
      <c r="L5" s="2" t="s">
        <v>57</v>
      </c>
      <c r="T5"/>
      <c r="U5" s="2" t="s">
        <v>738</v>
      </c>
      <c r="V5" s="2" t="s">
        <v>57</v>
      </c>
      <c r="AN5"/>
      <c r="AO5"/>
      <c r="AS5" s="2" t="s">
        <v>60</v>
      </c>
      <c r="AU5" t="s">
        <v>262</v>
      </c>
      <c r="AV5" t="s">
        <v>255</v>
      </c>
      <c r="AW5" t="s">
        <v>58</v>
      </c>
      <c r="AX5" t="s">
        <v>284</v>
      </c>
      <c r="AY5" t="s">
        <v>282</v>
      </c>
      <c r="AZ5" t="s">
        <v>283</v>
      </c>
      <c r="BA5" t="s">
        <v>319</v>
      </c>
      <c r="BB5" t="s">
        <v>59</v>
      </c>
    </row>
    <row r="6" spans="1:57" x14ac:dyDescent="0.25">
      <c r="A6" s="2" t="s">
        <v>60</v>
      </c>
      <c r="B6" t="s">
        <v>11</v>
      </c>
      <c r="C6" t="s">
        <v>33</v>
      </c>
      <c r="D6" t="s">
        <v>40</v>
      </c>
      <c r="E6" t="s">
        <v>46</v>
      </c>
      <c r="F6" t="s">
        <v>268</v>
      </c>
      <c r="G6" t="s">
        <v>59</v>
      </c>
      <c r="K6" s="2" t="s">
        <v>60</v>
      </c>
      <c r="L6" t="s">
        <v>58</v>
      </c>
      <c r="M6" t="s">
        <v>282</v>
      </c>
      <c r="N6" t="s">
        <v>283</v>
      </c>
      <c r="O6" t="s">
        <v>319</v>
      </c>
      <c r="P6" t="s">
        <v>59</v>
      </c>
      <c r="T6"/>
      <c r="U6" s="2" t="s">
        <v>60</v>
      </c>
      <c r="V6" t="s">
        <v>67</v>
      </c>
      <c r="W6" t="s">
        <v>66</v>
      </c>
      <c r="X6" t="s">
        <v>718</v>
      </c>
      <c r="Y6" t="s">
        <v>280</v>
      </c>
      <c r="Z6" t="s">
        <v>281</v>
      </c>
      <c r="AA6" t="s">
        <v>737</v>
      </c>
      <c r="AB6" t="s">
        <v>59</v>
      </c>
      <c r="AN6"/>
      <c r="AO6"/>
      <c r="AS6" s="3" t="s">
        <v>124</v>
      </c>
      <c r="AT6" s="8"/>
      <c r="AU6" s="8"/>
      <c r="AV6" s="8">
        <v>0.11125551983738501</v>
      </c>
      <c r="AW6" s="8"/>
      <c r="AX6" s="8"/>
      <c r="AY6" s="8"/>
      <c r="AZ6" s="8"/>
      <c r="BA6" s="8"/>
      <c r="BB6" s="8">
        <v>0.11125551983738501</v>
      </c>
      <c r="BE6" s="8"/>
    </row>
    <row r="7" spans="1:57" x14ac:dyDescent="0.25">
      <c r="A7" s="3" t="s">
        <v>36</v>
      </c>
      <c r="B7" s="8"/>
      <c r="C7" s="8">
        <v>-4213.2295194629996</v>
      </c>
      <c r="D7" s="8"/>
      <c r="E7" s="8"/>
      <c r="F7" s="8"/>
      <c r="G7" s="8">
        <v>-4213.2295194629996</v>
      </c>
      <c r="K7" s="3" t="s">
        <v>36</v>
      </c>
      <c r="L7" s="8">
        <v>-4213.2295194629996</v>
      </c>
      <c r="M7" s="8"/>
      <c r="N7" s="8"/>
      <c r="O7" s="8"/>
      <c r="P7" s="8">
        <v>-4213.2295194629996</v>
      </c>
      <c r="Q7" s="8"/>
      <c r="R7" s="8"/>
      <c r="S7" s="8"/>
      <c r="T7"/>
      <c r="U7" s="3" t="s">
        <v>36</v>
      </c>
      <c r="V7" s="92">
        <v>-426.6</v>
      </c>
      <c r="W7" s="92"/>
      <c r="X7" s="92"/>
      <c r="Y7" s="92"/>
      <c r="Z7" s="92"/>
      <c r="AA7" s="92"/>
      <c r="AB7" s="92">
        <v>-426.6</v>
      </c>
      <c r="AC7" s="91"/>
      <c r="AD7" s="91"/>
      <c r="AN7"/>
      <c r="AO7"/>
      <c r="AS7" s="3" t="s">
        <v>119</v>
      </c>
      <c r="AT7" s="8"/>
      <c r="AU7" s="8"/>
      <c r="AV7" s="8">
        <v>11743.992340761812</v>
      </c>
      <c r="AW7" s="8"/>
      <c r="AX7" s="8"/>
      <c r="AY7" s="8"/>
      <c r="AZ7" s="8"/>
      <c r="BA7" s="8"/>
      <c r="BB7" s="8">
        <v>11743.992340761812</v>
      </c>
      <c r="BE7" s="8"/>
    </row>
    <row r="8" spans="1:57" x14ac:dyDescent="0.25">
      <c r="A8" s="3" t="s">
        <v>20</v>
      </c>
      <c r="B8" s="8">
        <v>47406</v>
      </c>
      <c r="C8" s="8"/>
      <c r="D8" s="8"/>
      <c r="E8" s="8">
        <v>13777.600205302</v>
      </c>
      <c r="F8" s="8"/>
      <c r="G8" s="8">
        <v>61183.600205301998</v>
      </c>
      <c r="K8" s="3" t="s">
        <v>20</v>
      </c>
      <c r="L8" s="8">
        <v>61183.600205301998</v>
      </c>
      <c r="M8" s="8"/>
      <c r="N8" s="8"/>
      <c r="O8" s="8"/>
      <c r="P8" s="8">
        <v>61183.600205301998</v>
      </c>
      <c r="Q8" s="8"/>
      <c r="R8" s="8"/>
      <c r="S8" s="8"/>
      <c r="T8"/>
      <c r="U8" s="3" t="s">
        <v>20</v>
      </c>
      <c r="V8" s="92"/>
      <c r="W8" s="92">
        <v>7744</v>
      </c>
      <c r="X8" s="92"/>
      <c r="Y8" s="92"/>
      <c r="Z8" s="92"/>
      <c r="AA8" s="92"/>
      <c r="AB8" s="92">
        <v>7744</v>
      </c>
      <c r="AC8" s="91"/>
      <c r="AD8" s="91"/>
      <c r="AN8"/>
      <c r="AO8"/>
      <c r="AS8" s="3" t="s">
        <v>87</v>
      </c>
      <c r="AT8" s="8"/>
      <c r="AU8" s="8"/>
      <c r="AV8" s="8">
        <v>404.05642661685124</v>
      </c>
      <c r="AW8" s="8"/>
      <c r="AX8" s="8"/>
      <c r="AY8" s="8"/>
      <c r="AZ8" s="8"/>
      <c r="BA8" s="8"/>
      <c r="BB8" s="8">
        <v>404.05642661685124</v>
      </c>
      <c r="BE8" s="8"/>
    </row>
    <row r="9" spans="1:57" x14ac:dyDescent="0.25">
      <c r="A9" s="3" t="s">
        <v>21</v>
      </c>
      <c r="B9" s="8">
        <v>-188214.71169</v>
      </c>
      <c r="C9" s="8"/>
      <c r="D9" s="8"/>
      <c r="E9" s="8">
        <v>38985.424580927996</v>
      </c>
      <c r="F9" s="8"/>
      <c r="G9" s="8">
        <v>-149229.287109072</v>
      </c>
      <c r="K9" s="3" t="s">
        <v>21</v>
      </c>
      <c r="L9" s="8">
        <v>-149229.287109072</v>
      </c>
      <c r="M9" s="8"/>
      <c r="N9" s="8"/>
      <c r="O9" s="8"/>
      <c r="P9" s="8">
        <v>-149229.287109072</v>
      </c>
      <c r="Q9" s="8"/>
      <c r="R9" s="8"/>
      <c r="S9" s="8"/>
      <c r="T9"/>
      <c r="U9" s="3" t="s">
        <v>21</v>
      </c>
      <c r="V9" s="92">
        <v>-1715.2529999999999</v>
      </c>
      <c r="W9" s="92">
        <v>354.8</v>
      </c>
      <c r="X9" s="92"/>
      <c r="Y9" s="92"/>
      <c r="Z9" s="92"/>
      <c r="AA9" s="92"/>
      <c r="AB9" s="92">
        <v>-1360.453</v>
      </c>
      <c r="AC9" s="91"/>
      <c r="AD9" s="91"/>
      <c r="AN9"/>
      <c r="AO9"/>
      <c r="AS9" s="3" t="s">
        <v>125</v>
      </c>
      <c r="AT9" s="8"/>
      <c r="AU9" s="8"/>
      <c r="AV9" s="8">
        <v>1134.2899072171967</v>
      </c>
      <c r="AW9" s="8"/>
      <c r="AX9" s="8"/>
      <c r="AY9" s="8"/>
      <c r="AZ9" s="8"/>
      <c r="BA9" s="8"/>
      <c r="BB9" s="8">
        <v>1134.2899072171967</v>
      </c>
      <c r="BE9" s="8"/>
    </row>
    <row r="10" spans="1:57" x14ac:dyDescent="0.25">
      <c r="A10" s="3" t="s">
        <v>15</v>
      </c>
      <c r="B10" s="8">
        <v>-25215274.642350562</v>
      </c>
      <c r="C10" s="8">
        <v>-25522.980780859001</v>
      </c>
      <c r="D10" s="8">
        <v>1998101.5064000001</v>
      </c>
      <c r="E10" s="8">
        <v>851190.32801252394</v>
      </c>
      <c r="F10" s="8">
        <v>10143150</v>
      </c>
      <c r="G10" s="8">
        <v>-12248355.788718898</v>
      </c>
      <c r="K10" s="3" t="s">
        <v>15</v>
      </c>
      <c r="L10" s="8">
        <v>245116.32499745037</v>
      </c>
      <c r="M10" s="8">
        <v>-23037222.113716349</v>
      </c>
      <c r="N10" s="8">
        <v>400600</v>
      </c>
      <c r="O10" s="8">
        <v>10143150</v>
      </c>
      <c r="P10" s="8">
        <v>-12248355.788718898</v>
      </c>
      <c r="Q10" s="8"/>
      <c r="R10" s="8"/>
      <c r="S10" s="8"/>
      <c r="T10"/>
      <c r="U10" s="3" t="s">
        <v>15</v>
      </c>
      <c r="V10" s="92">
        <v>-458.71939917573485</v>
      </c>
      <c r="W10" s="92">
        <v>472.45120240352924</v>
      </c>
      <c r="X10" s="92">
        <v>-1282.0156821704397</v>
      </c>
      <c r="Y10" s="92">
        <v>11.820865536011596</v>
      </c>
      <c r="Z10" s="92">
        <v>22.01095202116085</v>
      </c>
      <c r="AA10" s="92">
        <v>570</v>
      </c>
      <c r="AB10" s="92">
        <v>-664.45206138547292</v>
      </c>
      <c r="AC10" s="91"/>
      <c r="AD10" s="91"/>
      <c r="AN10"/>
      <c r="AO10"/>
      <c r="AS10" s="3" t="s">
        <v>126</v>
      </c>
      <c r="AT10" s="8"/>
      <c r="AU10" s="8"/>
      <c r="AV10" s="8">
        <v>1.5597477765298099E-2</v>
      </c>
      <c r="AW10" s="8"/>
      <c r="AX10" s="8"/>
      <c r="AY10" s="8"/>
      <c r="AZ10" s="8"/>
      <c r="BA10" s="8"/>
      <c r="BB10" s="8">
        <v>1.5597477765298099E-2</v>
      </c>
      <c r="BE10" s="8"/>
    </row>
    <row r="11" spans="1:57" x14ac:dyDescent="0.25">
      <c r="A11" s="3" t="s">
        <v>32</v>
      </c>
      <c r="B11" s="8">
        <v>-7992.9348300000001</v>
      </c>
      <c r="C11" s="8"/>
      <c r="D11" s="8"/>
      <c r="E11" s="8"/>
      <c r="F11" s="8"/>
      <c r="G11" s="8">
        <v>-7992.9348300000001</v>
      </c>
      <c r="K11" s="3" t="s">
        <v>32</v>
      </c>
      <c r="L11" s="8">
        <v>-7992.9348300000001</v>
      </c>
      <c r="M11" s="8"/>
      <c r="N11" s="8"/>
      <c r="O11" s="8"/>
      <c r="P11" s="8">
        <v>-7992.9348300000001</v>
      </c>
      <c r="Q11" s="8"/>
      <c r="R11" s="8"/>
      <c r="S11" s="8"/>
      <c r="T11"/>
      <c r="U11" s="3" t="s">
        <v>32</v>
      </c>
      <c r="V11" s="92">
        <v>-200.97900000000001</v>
      </c>
      <c r="W11" s="92"/>
      <c r="X11" s="92"/>
      <c r="Y11" s="92"/>
      <c r="Z11" s="92"/>
      <c r="AA11" s="92"/>
      <c r="AB11" s="92">
        <v>-200.97900000000001</v>
      </c>
      <c r="AC11" s="91"/>
      <c r="AD11" s="91"/>
      <c r="AN11"/>
      <c r="AO11"/>
      <c r="AS11" s="3" t="s">
        <v>36</v>
      </c>
      <c r="AT11" s="8"/>
      <c r="AU11" s="8"/>
      <c r="AV11" s="8">
        <v>3.646229221163833</v>
      </c>
      <c r="AW11" s="8">
        <v>-4213.2295194629996</v>
      </c>
      <c r="AX11" s="8"/>
      <c r="AY11" s="8"/>
      <c r="AZ11" s="8"/>
      <c r="BA11" s="8"/>
      <c r="BB11" s="8">
        <v>-4209.583290241836</v>
      </c>
      <c r="BE11" s="8"/>
    </row>
    <row r="12" spans="1:57" x14ac:dyDescent="0.25">
      <c r="A12" s="3" t="s">
        <v>24</v>
      </c>
      <c r="B12" s="8">
        <v>648274.20236335997</v>
      </c>
      <c r="C12" s="8"/>
      <c r="D12" s="8"/>
      <c r="E12" s="8">
        <v>2328.8159999999998</v>
      </c>
      <c r="F12" s="8"/>
      <c r="G12" s="8">
        <v>650603.01836335997</v>
      </c>
      <c r="K12" s="3" t="s">
        <v>24</v>
      </c>
      <c r="L12" s="8">
        <v>650603.01836335997</v>
      </c>
      <c r="M12" s="8"/>
      <c r="N12" s="8"/>
      <c r="O12" s="8"/>
      <c r="P12" s="8">
        <v>650603.01836335997</v>
      </c>
      <c r="Q12" s="8"/>
      <c r="R12" s="8"/>
      <c r="S12" s="8"/>
      <c r="T12"/>
      <c r="U12" s="3" t="s">
        <v>24</v>
      </c>
      <c r="V12" s="92"/>
      <c r="W12" s="92">
        <v>647620.4</v>
      </c>
      <c r="X12" s="92"/>
      <c r="Y12" s="92"/>
      <c r="Z12" s="92"/>
      <c r="AA12" s="92"/>
      <c r="AB12" s="92">
        <v>647620.4</v>
      </c>
      <c r="AC12" s="91"/>
      <c r="AD12" s="91"/>
      <c r="AN12"/>
      <c r="AO12"/>
      <c r="AS12" s="3" t="s">
        <v>190</v>
      </c>
      <c r="AT12" s="8"/>
      <c r="AU12" s="8"/>
      <c r="AV12" s="8">
        <v>-986.77280144217366</v>
      </c>
      <c r="AW12" s="8"/>
      <c r="AX12" s="8"/>
      <c r="AY12" s="8"/>
      <c r="AZ12" s="8"/>
      <c r="BA12" s="8"/>
      <c r="BB12" s="8">
        <v>-986.77280144217366</v>
      </c>
      <c r="BE12" s="8"/>
    </row>
    <row r="13" spans="1:57" x14ac:dyDescent="0.25">
      <c r="A13" s="3" t="s">
        <v>30</v>
      </c>
      <c r="B13" s="8">
        <v>-165.24083404000001</v>
      </c>
      <c r="C13" s="8"/>
      <c r="D13" s="8"/>
      <c r="E13" s="8"/>
      <c r="F13" s="8"/>
      <c r="G13" s="8">
        <v>-165.24083404000001</v>
      </c>
      <c r="K13" s="3" t="s">
        <v>30</v>
      </c>
      <c r="L13" s="8">
        <v>-165.24083404000001</v>
      </c>
      <c r="M13" s="8"/>
      <c r="N13" s="8"/>
      <c r="O13" s="8"/>
      <c r="P13" s="8">
        <v>-165.24083404000001</v>
      </c>
      <c r="Q13" s="8"/>
      <c r="R13" s="8"/>
      <c r="S13" s="8"/>
      <c r="T13"/>
      <c r="U13" s="3" t="s">
        <v>30</v>
      </c>
      <c r="V13" s="92">
        <v>-8.5299999999999994</v>
      </c>
      <c r="W13" s="92"/>
      <c r="X13" s="92"/>
      <c r="Y13" s="92"/>
      <c r="Z13" s="92"/>
      <c r="AA13" s="92"/>
      <c r="AB13" s="92">
        <v>-8.5299999999999994</v>
      </c>
      <c r="AC13" s="91"/>
      <c r="AD13" s="91"/>
      <c r="AN13"/>
      <c r="AO13"/>
      <c r="AS13" s="3" t="s">
        <v>20</v>
      </c>
      <c r="AT13" s="8"/>
      <c r="AU13" s="8"/>
      <c r="AV13" s="8"/>
      <c r="AW13" s="8">
        <v>61183.600205301998</v>
      </c>
      <c r="AX13" s="8"/>
      <c r="AY13" s="8"/>
      <c r="AZ13" s="8"/>
      <c r="BA13" s="8"/>
      <c r="BB13" s="8">
        <v>61183.600205301998</v>
      </c>
      <c r="BE13" s="8"/>
    </row>
    <row r="14" spans="1:57" x14ac:dyDescent="0.25">
      <c r="A14" s="3" t="s">
        <v>16</v>
      </c>
      <c r="B14" s="8">
        <v>-39814814.018517233</v>
      </c>
      <c r="C14" s="8"/>
      <c r="D14" s="8">
        <v>71707.212700000004</v>
      </c>
      <c r="E14" s="8">
        <v>-3172032.4456543829</v>
      </c>
      <c r="F14" s="8">
        <v>24852000</v>
      </c>
      <c r="G14" s="8">
        <v>-18063139.251471616</v>
      </c>
      <c r="K14" s="3" t="s">
        <v>16</v>
      </c>
      <c r="L14" s="8">
        <v>-37942104.266331166</v>
      </c>
      <c r="M14" s="8">
        <v>-5592908.6543772835</v>
      </c>
      <c r="N14" s="8">
        <v>619873.66923683695</v>
      </c>
      <c r="O14" s="8">
        <v>24852000</v>
      </c>
      <c r="P14" s="8">
        <v>-18063139.251471609</v>
      </c>
      <c r="Q14" s="8"/>
      <c r="R14" s="8"/>
      <c r="S14" s="8"/>
      <c r="T14"/>
      <c r="U14" s="3" t="s">
        <v>16</v>
      </c>
      <c r="V14" s="92">
        <v>-28303.341182146833</v>
      </c>
      <c r="W14" s="92"/>
      <c r="X14" s="92">
        <v>-6968.1163762525111</v>
      </c>
      <c r="Y14" s="92">
        <v>2810.6082132368265</v>
      </c>
      <c r="Z14" s="92">
        <v>463</v>
      </c>
      <c r="AA14" s="92">
        <v>19000</v>
      </c>
      <c r="AB14" s="92">
        <v>-12997.849345162518</v>
      </c>
      <c r="AC14" s="91"/>
      <c r="AD14" s="91"/>
      <c r="AN14"/>
      <c r="AO14"/>
      <c r="AS14" s="3" t="s">
        <v>127</v>
      </c>
      <c r="AT14" s="8"/>
      <c r="AU14" s="8"/>
      <c r="AV14" s="8">
        <v>-54.202269811452425</v>
      </c>
      <c r="AW14" s="8"/>
      <c r="AX14" s="8"/>
      <c r="AY14" s="8"/>
      <c r="AZ14" s="8"/>
      <c r="BA14" s="8"/>
      <c r="BB14" s="8">
        <v>-54.202269811452425</v>
      </c>
      <c r="BE14" s="8"/>
    </row>
    <row r="15" spans="1:57" x14ac:dyDescent="0.25">
      <c r="A15" s="3" t="s">
        <v>28</v>
      </c>
      <c r="B15" s="8">
        <v>-454962.92466000002</v>
      </c>
      <c r="C15" s="8"/>
      <c r="D15" s="8"/>
      <c r="E15" s="8">
        <v>-227890.83</v>
      </c>
      <c r="F15" s="8"/>
      <c r="G15" s="8">
        <v>-682853.75465999998</v>
      </c>
      <c r="K15" s="3" t="s">
        <v>28</v>
      </c>
      <c r="L15" s="8">
        <v>-682853.75465999998</v>
      </c>
      <c r="M15" s="8"/>
      <c r="N15" s="8"/>
      <c r="O15" s="8"/>
      <c r="P15" s="8">
        <v>-682853.75465999998</v>
      </c>
      <c r="Q15" s="8"/>
      <c r="R15" s="8"/>
      <c r="S15" s="8"/>
      <c r="T15"/>
      <c r="U15" s="3" t="s">
        <v>28</v>
      </c>
      <c r="V15" s="92">
        <v>-99131.94</v>
      </c>
      <c r="W15" s="92"/>
      <c r="X15" s="92"/>
      <c r="Y15" s="92"/>
      <c r="Z15" s="92"/>
      <c r="AA15" s="92"/>
      <c r="AB15" s="92">
        <v>-99131.94</v>
      </c>
      <c r="AC15" s="91"/>
      <c r="AD15" s="91"/>
      <c r="AN15"/>
      <c r="AO15"/>
      <c r="AS15" s="3" t="s">
        <v>21</v>
      </c>
      <c r="AT15" s="8"/>
      <c r="AU15" s="8"/>
      <c r="AV15" s="8">
        <v>166717.4480795929</v>
      </c>
      <c r="AW15" s="8">
        <v>-149229.287109072</v>
      </c>
      <c r="AX15" s="8"/>
      <c r="AY15" s="8"/>
      <c r="AZ15" s="8"/>
      <c r="BA15" s="8"/>
      <c r="BB15" s="8">
        <v>17488.160970520898</v>
      </c>
      <c r="BE15" s="8"/>
    </row>
    <row r="16" spans="1:57" x14ac:dyDescent="0.25">
      <c r="A16" s="3" t="s">
        <v>25</v>
      </c>
      <c r="B16" s="8">
        <v>-267344.75753834698</v>
      </c>
      <c r="C16" s="8"/>
      <c r="D16" s="8"/>
      <c r="E16" s="8">
        <v>-34514.400000000001</v>
      </c>
      <c r="F16" s="8"/>
      <c r="G16" s="8">
        <v>-301859.157538347</v>
      </c>
      <c r="K16" s="3" t="s">
        <v>25</v>
      </c>
      <c r="L16" s="8">
        <v>-301859.157538347</v>
      </c>
      <c r="M16" s="8"/>
      <c r="N16" s="8"/>
      <c r="O16" s="8"/>
      <c r="P16" s="8">
        <v>-301859.157538347</v>
      </c>
      <c r="Q16" s="8"/>
      <c r="R16" s="8"/>
      <c r="S16" s="8"/>
      <c r="T16"/>
      <c r="U16" s="3" t="s">
        <v>25</v>
      </c>
      <c r="V16" s="92">
        <v>-3830.3029999999999</v>
      </c>
      <c r="W16" s="92"/>
      <c r="X16" s="92"/>
      <c r="Y16" s="92"/>
      <c r="Z16" s="92"/>
      <c r="AA16" s="92"/>
      <c r="AB16" s="92">
        <v>-3830.3029999999999</v>
      </c>
      <c r="AC16" s="91"/>
      <c r="AD16" s="91"/>
      <c r="AN16"/>
      <c r="AO16"/>
      <c r="AS16" s="3" t="s">
        <v>128</v>
      </c>
      <c r="AT16" s="8"/>
      <c r="AU16" s="8"/>
      <c r="AV16" s="8">
        <v>1.9953523672060501E-4</v>
      </c>
      <c r="AW16" s="8"/>
      <c r="AX16" s="8"/>
      <c r="AY16" s="8"/>
      <c r="AZ16" s="8"/>
      <c r="BA16" s="8"/>
      <c r="BB16" s="8">
        <v>1.9953523672060501E-4</v>
      </c>
      <c r="BE16" s="8"/>
    </row>
    <row r="17" spans="1:57" x14ac:dyDescent="0.25">
      <c r="A17" s="3" t="s">
        <v>38</v>
      </c>
      <c r="B17" s="8"/>
      <c r="C17" s="8"/>
      <c r="D17" s="8"/>
      <c r="E17" s="8">
        <v>-815505.64</v>
      </c>
      <c r="F17" s="8"/>
      <c r="G17" s="8">
        <v>-815505.64</v>
      </c>
      <c r="K17" s="3" t="s">
        <v>38</v>
      </c>
      <c r="L17" s="8">
        <v>-815505.64</v>
      </c>
      <c r="M17" s="8"/>
      <c r="N17" s="8"/>
      <c r="O17" s="8"/>
      <c r="P17" s="8">
        <v>-815505.64</v>
      </c>
      <c r="Q17" s="8"/>
      <c r="R17" s="8"/>
      <c r="S17" s="8"/>
      <c r="T17"/>
      <c r="U17" s="3" t="s">
        <v>38</v>
      </c>
      <c r="V17" s="92">
        <v>-89029000000</v>
      </c>
      <c r="W17" s="92"/>
      <c r="X17" s="92"/>
      <c r="Y17" s="92"/>
      <c r="Z17" s="92"/>
      <c r="AA17" s="92"/>
      <c r="AB17" s="92">
        <v>-89029000000</v>
      </c>
      <c r="AC17" s="91"/>
      <c r="AD17" s="91"/>
      <c r="AN17"/>
      <c r="AO17"/>
      <c r="AS17" s="3" t="s">
        <v>129</v>
      </c>
      <c r="AT17" s="8"/>
      <c r="AU17" s="8"/>
      <c r="AV17" s="8">
        <v>7.2493053638472196</v>
      </c>
      <c r="AW17" s="8"/>
      <c r="AX17" s="8"/>
      <c r="AY17" s="8"/>
      <c r="AZ17" s="8"/>
      <c r="BA17" s="8"/>
      <c r="BB17" s="8">
        <v>7.2493053638472196</v>
      </c>
      <c r="BE17" s="8"/>
    </row>
    <row r="18" spans="1:57" x14ac:dyDescent="0.25">
      <c r="A18" s="3" t="s">
        <v>27</v>
      </c>
      <c r="B18" s="8">
        <v>-18559.9548</v>
      </c>
      <c r="C18" s="8"/>
      <c r="D18" s="8"/>
      <c r="E18" s="8"/>
      <c r="F18" s="8"/>
      <c r="G18" s="8">
        <v>-18559.9548</v>
      </c>
      <c r="K18" s="3" t="s">
        <v>27</v>
      </c>
      <c r="L18" s="8">
        <v>-18559.9548</v>
      </c>
      <c r="M18" s="8"/>
      <c r="N18" s="8"/>
      <c r="O18" s="8"/>
      <c r="P18" s="8">
        <v>-18559.9548</v>
      </c>
      <c r="Q18" s="8"/>
      <c r="R18" s="8"/>
      <c r="S18" s="8"/>
      <c r="T18"/>
      <c r="U18" s="3" t="s">
        <v>27</v>
      </c>
      <c r="V18" s="92">
        <v>-836034</v>
      </c>
      <c r="W18" s="92"/>
      <c r="X18" s="92"/>
      <c r="Y18" s="92"/>
      <c r="Z18" s="92"/>
      <c r="AA18" s="92"/>
      <c r="AB18" s="92">
        <v>-836034</v>
      </c>
      <c r="AC18" s="91"/>
      <c r="AD18" s="91"/>
      <c r="AN18"/>
      <c r="AO18"/>
      <c r="AS18" s="3" t="s">
        <v>90</v>
      </c>
      <c r="AT18" s="8"/>
      <c r="AU18" s="8"/>
      <c r="AV18" s="8">
        <v>707332.77448328258</v>
      </c>
      <c r="AW18" s="8"/>
      <c r="AX18" s="8"/>
      <c r="AY18" s="8"/>
      <c r="AZ18" s="8"/>
      <c r="BA18" s="8"/>
      <c r="BB18" s="8">
        <v>707332.77448328258</v>
      </c>
      <c r="BE18" s="8"/>
    </row>
    <row r="19" spans="1:57" x14ac:dyDescent="0.25">
      <c r="A19" s="3" t="s">
        <v>153</v>
      </c>
      <c r="B19" s="8">
        <v>-28573.161840000001</v>
      </c>
      <c r="C19" s="8"/>
      <c r="D19" s="8"/>
      <c r="E19" s="8"/>
      <c r="F19" s="8"/>
      <c r="G19" s="8">
        <v>-28573.161840000001</v>
      </c>
      <c r="K19" s="3" t="s">
        <v>153</v>
      </c>
      <c r="L19" s="8">
        <v>-28573.161840000001</v>
      </c>
      <c r="M19" s="8"/>
      <c r="N19" s="8"/>
      <c r="O19" s="8"/>
      <c r="P19" s="8">
        <v>-28573.161840000001</v>
      </c>
      <c r="Q19" s="8"/>
      <c r="R19" s="8"/>
      <c r="S19" s="8"/>
      <c r="T19"/>
      <c r="U19" s="3" t="s">
        <v>153</v>
      </c>
      <c r="V19" s="92">
        <v>-24000</v>
      </c>
      <c r="W19" s="92"/>
      <c r="X19" s="92"/>
      <c r="Y19" s="92"/>
      <c r="Z19" s="92"/>
      <c r="AA19" s="92"/>
      <c r="AB19" s="92">
        <v>-24000</v>
      </c>
      <c r="AC19" s="91"/>
      <c r="AD19" s="91"/>
      <c r="AN19"/>
      <c r="AO19"/>
      <c r="AS19" s="3" t="s">
        <v>130</v>
      </c>
      <c r="AT19" s="8"/>
      <c r="AU19" s="8"/>
      <c r="AV19" s="8">
        <v>3.0301948775707701</v>
      </c>
      <c r="AW19" s="8"/>
      <c r="AX19" s="8"/>
      <c r="AY19" s="8"/>
      <c r="AZ19" s="8"/>
      <c r="BA19" s="8"/>
      <c r="BB19" s="8">
        <v>3.0301948775707701</v>
      </c>
      <c r="BE19" s="8"/>
    </row>
    <row r="20" spans="1:57" x14ac:dyDescent="0.25">
      <c r="A20" s="3" t="s">
        <v>59</v>
      </c>
      <c r="B20" s="8">
        <v>-65300222.144696817</v>
      </c>
      <c r="C20" s="8">
        <v>-29736.210300322</v>
      </c>
      <c r="D20" s="8">
        <v>2069808.7191000001</v>
      </c>
      <c r="E20" s="8">
        <v>-3343661.146855629</v>
      </c>
      <c r="F20" s="8">
        <v>34995150</v>
      </c>
      <c r="G20" s="8">
        <v>-31608660.782752775</v>
      </c>
      <c r="K20" s="3" t="s">
        <v>59</v>
      </c>
      <c r="L20" s="8">
        <v>-38994153.683895983</v>
      </c>
      <c r="M20" s="8">
        <v>-28630130.768093631</v>
      </c>
      <c r="N20" s="8">
        <v>1020473.669236837</v>
      </c>
      <c r="O20" s="8">
        <v>34995150</v>
      </c>
      <c r="P20" s="8">
        <v>-31608660.782752767</v>
      </c>
      <c r="Q20" s="8"/>
      <c r="R20" s="8"/>
      <c r="S20" s="8"/>
      <c r="T20"/>
      <c r="AC20" s="91"/>
      <c r="AD20" s="91"/>
      <c r="AN20"/>
      <c r="AO20"/>
      <c r="AS20" s="3" t="s">
        <v>116</v>
      </c>
      <c r="AT20" s="8"/>
      <c r="AU20" s="8"/>
      <c r="AV20" s="8">
        <v>66.204787084674365</v>
      </c>
      <c r="AW20" s="8"/>
      <c r="AX20" s="8"/>
      <c r="AY20" s="8"/>
      <c r="AZ20" s="8"/>
      <c r="BA20" s="8"/>
      <c r="BB20" s="8">
        <v>66.204787084674365</v>
      </c>
      <c r="BE20" s="8"/>
    </row>
    <row r="21" spans="1:57" x14ac:dyDescent="0.25">
      <c r="Q21" s="8"/>
      <c r="R21" s="8"/>
      <c r="S21" s="8"/>
      <c r="T21"/>
      <c r="AC21" s="91"/>
      <c r="AD21" s="91"/>
      <c r="AN21"/>
      <c r="AO21"/>
      <c r="AS21" s="3" t="s">
        <v>15</v>
      </c>
      <c r="AT21" s="8"/>
      <c r="AU21" s="8"/>
      <c r="AV21" s="8">
        <v>15347063.452679358</v>
      </c>
      <c r="AW21" s="8">
        <v>245116.32499745037</v>
      </c>
      <c r="AX21" s="8"/>
      <c r="AY21" s="8">
        <v>-23037222.113716349</v>
      </c>
      <c r="AZ21" s="8">
        <v>400600</v>
      </c>
      <c r="BA21" s="8">
        <v>10143150</v>
      </c>
      <c r="BB21" s="8">
        <v>3098707.6639604606</v>
      </c>
      <c r="BE21" s="8"/>
    </row>
    <row r="22" spans="1:57" x14ac:dyDescent="0.25">
      <c r="Q22" s="8"/>
      <c r="R22" s="8"/>
      <c r="S22" s="8"/>
      <c r="T22"/>
      <c r="AC22" s="91"/>
      <c r="AD22" s="91"/>
      <c r="AN22"/>
      <c r="AO22"/>
      <c r="AS22" s="3" t="s">
        <v>131</v>
      </c>
      <c r="AT22" s="8"/>
      <c r="AU22" s="8"/>
      <c r="AV22" s="8">
        <v>4.5998341691350798E-3</v>
      </c>
      <c r="AW22" s="8"/>
      <c r="AX22" s="8"/>
      <c r="AY22" s="8"/>
      <c r="AZ22" s="8"/>
      <c r="BA22" s="8"/>
      <c r="BB22" s="8">
        <v>4.5998341691350798E-3</v>
      </c>
      <c r="BE22" s="8"/>
    </row>
    <row r="23" spans="1:57" x14ac:dyDescent="0.25">
      <c r="L23" s="8"/>
      <c r="M23" s="8"/>
      <c r="N23" s="8"/>
      <c r="O23" s="8"/>
      <c r="P23" s="8"/>
      <c r="Q23" s="8"/>
      <c r="R23" s="8"/>
      <c r="S23" s="8"/>
      <c r="T23"/>
      <c r="AN23"/>
      <c r="AO23"/>
      <c r="AS23" s="3" t="s">
        <v>132</v>
      </c>
      <c r="AT23" s="8"/>
      <c r="AU23" s="8"/>
      <c r="AV23" s="8">
        <v>926.78176959022505</v>
      </c>
      <c r="AW23" s="8"/>
      <c r="AX23" s="8"/>
      <c r="AY23" s="8"/>
      <c r="AZ23" s="8"/>
      <c r="BA23" s="8"/>
      <c r="BB23" s="8">
        <v>926.78176959022505</v>
      </c>
      <c r="BE23" s="8"/>
    </row>
    <row r="24" spans="1:57" x14ac:dyDescent="0.25">
      <c r="L24" s="8"/>
      <c r="M24" s="8"/>
      <c r="N24" s="8"/>
      <c r="O24" s="8"/>
      <c r="P24" s="8"/>
      <c r="Q24" s="8"/>
      <c r="R24" s="8"/>
      <c r="S24" s="8"/>
      <c r="T24"/>
      <c r="AN24"/>
      <c r="AO24"/>
      <c r="AS24" s="3" t="s">
        <v>91</v>
      </c>
      <c r="AT24" s="8"/>
      <c r="AU24" s="8"/>
      <c r="AV24" s="8">
        <v>20724299.138953604</v>
      </c>
      <c r="AW24" s="8"/>
      <c r="AX24" s="8"/>
      <c r="AY24" s="8"/>
      <c r="AZ24" s="8"/>
      <c r="BA24" s="8"/>
      <c r="BB24" s="8">
        <v>20724299.138953604</v>
      </c>
      <c r="BE24" s="8"/>
    </row>
    <row r="25" spans="1:57" x14ac:dyDescent="0.25">
      <c r="L25" s="8"/>
      <c r="M25" s="8"/>
      <c r="N25" s="8"/>
      <c r="O25" s="8"/>
      <c r="P25" s="8"/>
      <c r="Q25" s="8"/>
      <c r="R25" s="8"/>
      <c r="S25" s="8"/>
      <c r="T25"/>
      <c r="AN25"/>
      <c r="AO25"/>
      <c r="AS25" s="3" t="s">
        <v>133</v>
      </c>
      <c r="AT25" s="8"/>
      <c r="AU25" s="8"/>
      <c r="AV25" s="8">
        <v>6.6804407083560597E-3</v>
      </c>
      <c r="AW25" s="8"/>
      <c r="AX25" s="8"/>
      <c r="AY25" s="8"/>
      <c r="AZ25" s="8"/>
      <c r="BA25" s="8"/>
      <c r="BB25" s="8">
        <v>6.6804407083560597E-3</v>
      </c>
      <c r="BE25" s="8"/>
    </row>
    <row r="26" spans="1:57" s="8" customFormat="1" x14ac:dyDescent="0.25">
      <c r="A26"/>
      <c r="B26"/>
      <c r="C26"/>
      <c r="D26"/>
      <c r="E26"/>
      <c r="F26"/>
      <c r="G26"/>
      <c r="H26"/>
      <c r="I26"/>
      <c r="K26"/>
      <c r="T26"/>
      <c r="AS26" s="3" t="s">
        <v>32</v>
      </c>
      <c r="AV26" s="8">
        <v>12127.549998269998</v>
      </c>
      <c r="AW26" s="8">
        <v>-7992.9348300000001</v>
      </c>
      <c r="BB26" s="8">
        <v>4134.6151682699983</v>
      </c>
      <c r="BC26"/>
      <c r="BD26"/>
    </row>
    <row r="27" spans="1:57" s="8" customFormat="1" x14ac:dyDescent="0.25">
      <c r="K27"/>
      <c r="AS27" s="3" t="s">
        <v>134</v>
      </c>
      <c r="AV27" s="8">
        <v>1.9071477542135899E-2</v>
      </c>
      <c r="BB27" s="8">
        <v>1.9071477542135899E-2</v>
      </c>
      <c r="BC27"/>
      <c r="BD27"/>
    </row>
    <row r="28" spans="1:57" s="8" customFormat="1" x14ac:dyDescent="0.25">
      <c r="A28" s="33" t="s">
        <v>740</v>
      </c>
      <c r="B28" s="33"/>
      <c r="C28" s="33"/>
      <c r="D28" s="33"/>
      <c r="E28" s="33"/>
      <c r="F28" s="33"/>
      <c r="G28" s="33"/>
      <c r="K28" s="33" t="s">
        <v>741</v>
      </c>
      <c r="L28" s="33"/>
      <c r="M28" s="33"/>
      <c r="N28" s="33"/>
      <c r="O28" s="33"/>
      <c r="P28" s="33"/>
      <c r="Q28" s="33"/>
      <c r="R28" s="33"/>
      <c r="S28"/>
      <c r="AE28"/>
      <c r="AF28"/>
      <c r="AG28"/>
      <c r="AH28"/>
      <c r="AI28"/>
      <c r="AJ28"/>
      <c r="AK28"/>
      <c r="AL28"/>
      <c r="AM28"/>
      <c r="AN28"/>
      <c r="AO28"/>
      <c r="AS28" s="3" t="s">
        <v>191</v>
      </c>
      <c r="AV28" s="8">
        <v>68.075135133439971</v>
      </c>
      <c r="BB28" s="8">
        <v>68.075135133439971</v>
      </c>
      <c r="BC28"/>
      <c r="BD28"/>
    </row>
    <row r="29" spans="1:57" s="8" customFormat="1" x14ac:dyDescent="0.25">
      <c r="K29"/>
      <c r="L29"/>
      <c r="M29"/>
      <c r="N29"/>
      <c r="O29"/>
      <c r="P29"/>
      <c r="Q29"/>
      <c r="R29"/>
      <c r="S29"/>
      <c r="AE29"/>
      <c r="AF29"/>
      <c r="AG29"/>
      <c r="AH29"/>
      <c r="AI29"/>
      <c r="AJ29"/>
      <c r="AK29"/>
      <c r="AL29"/>
      <c r="AM29"/>
      <c r="AN29"/>
      <c r="AO29"/>
      <c r="AS29" s="3" t="s">
        <v>192</v>
      </c>
      <c r="AV29" s="8">
        <v>13.530926361579093</v>
      </c>
      <c r="BB29" s="8">
        <v>13.530926361579093</v>
      </c>
      <c r="BC29"/>
      <c r="BD29"/>
    </row>
    <row r="30" spans="1:57" x14ac:dyDescent="0.25">
      <c r="A30" s="2" t="s">
        <v>65</v>
      </c>
      <c r="B30" t="s">
        <v>68</v>
      </c>
      <c r="K30" s="2" t="s">
        <v>0</v>
      </c>
      <c r="L30" t="s">
        <v>68</v>
      </c>
      <c r="AE30" s="10" t="s">
        <v>72</v>
      </c>
      <c r="AF30" s="33" t="s">
        <v>58</v>
      </c>
      <c r="AG30" s="41" t="s">
        <v>282</v>
      </c>
      <c r="AH30" s="41" t="s">
        <v>283</v>
      </c>
      <c r="AI30" s="33" t="s">
        <v>319</v>
      </c>
      <c r="AJ30" s="33" t="s">
        <v>321</v>
      </c>
      <c r="AK30" s="33" t="s">
        <v>711</v>
      </c>
      <c r="AL30" s="33"/>
      <c r="AM30" s="33"/>
      <c r="AN30" s="33"/>
      <c r="AO30" s="33"/>
      <c r="AQ30" s="8"/>
      <c r="AS30" s="3" t="s">
        <v>135</v>
      </c>
      <c r="AT30" s="8"/>
      <c r="AU30" s="8"/>
      <c r="AV30" s="8">
        <v>-5.0497235654111137</v>
      </c>
      <c r="AW30" s="8"/>
      <c r="AX30" s="8"/>
      <c r="AY30" s="8"/>
      <c r="AZ30" s="8"/>
      <c r="BA30" s="8"/>
      <c r="BB30" s="8">
        <v>-5.0497235654111137</v>
      </c>
      <c r="BE30" s="8"/>
    </row>
    <row r="31" spans="1:57" x14ac:dyDescent="0.25">
      <c r="AE31" t="b">
        <v>1</v>
      </c>
      <c r="AF31" s="38">
        <f t="shared" ref="AF31:AK31" si="0">L$55</f>
        <v>0</v>
      </c>
      <c r="AG31" s="38">
        <f t="shared" si="0"/>
        <v>0.01</v>
      </c>
      <c r="AH31" s="38">
        <f t="shared" si="0"/>
        <v>0.01</v>
      </c>
      <c r="AI31" s="38">
        <f t="shared" si="0"/>
        <v>0.01</v>
      </c>
      <c r="AJ31" s="38">
        <f t="shared" si="0"/>
        <v>0.01</v>
      </c>
      <c r="AK31" s="38">
        <f t="shared" si="0"/>
        <v>0</v>
      </c>
      <c r="AL31" s="38"/>
      <c r="AM31" s="38"/>
      <c r="AN31" s="38"/>
      <c r="AO31" s="38"/>
      <c r="AQ31" s="8"/>
      <c r="AS31" s="3" t="s">
        <v>193</v>
      </c>
      <c r="AT31" s="8"/>
      <c r="AU31" s="8"/>
      <c r="AV31" s="8">
        <v>9786.2228976837287</v>
      </c>
      <c r="AW31" s="8"/>
      <c r="AX31" s="8"/>
      <c r="AY31" s="8"/>
      <c r="AZ31" s="8"/>
      <c r="BA31" s="8"/>
      <c r="BB31" s="8">
        <v>9786.2228976837287</v>
      </c>
      <c r="BE31" s="8"/>
    </row>
    <row r="32" spans="1:57" x14ac:dyDescent="0.25">
      <c r="A32" s="2" t="s">
        <v>739</v>
      </c>
      <c r="B32" s="2" t="s">
        <v>57</v>
      </c>
      <c r="K32" s="2" t="s">
        <v>739</v>
      </c>
      <c r="L32" s="2" t="s">
        <v>57</v>
      </c>
      <c r="T32"/>
      <c r="U32" s="2" t="s">
        <v>61</v>
      </c>
      <c r="V32" s="2" t="s">
        <v>57</v>
      </c>
      <c r="AE32" s="10" t="s">
        <v>36</v>
      </c>
      <c r="AF32" s="38">
        <f t="shared" ref="AF32:AK41" si="1">AF$31</f>
        <v>0</v>
      </c>
      <c r="AG32" s="38">
        <f t="shared" si="1"/>
        <v>0.01</v>
      </c>
      <c r="AH32" s="38">
        <f t="shared" si="1"/>
        <v>0.01</v>
      </c>
      <c r="AI32" s="38">
        <f t="shared" si="1"/>
        <v>0.01</v>
      </c>
      <c r="AJ32" s="38">
        <f t="shared" si="1"/>
        <v>0.01</v>
      </c>
      <c r="AK32" s="38">
        <f t="shared" si="1"/>
        <v>0</v>
      </c>
      <c r="AL32" s="38"/>
      <c r="AM32" s="38"/>
      <c r="AN32" s="38"/>
      <c r="AO32" s="38"/>
      <c r="AQ32" s="8"/>
      <c r="AS32" s="3" t="s">
        <v>136</v>
      </c>
      <c r="AT32" s="8"/>
      <c r="AU32" s="8"/>
      <c r="AV32" s="8">
        <v>2.9903151768703602E-6</v>
      </c>
      <c r="AW32" s="8"/>
      <c r="AX32" s="8"/>
      <c r="AY32" s="8"/>
      <c r="AZ32" s="8"/>
      <c r="BA32" s="8"/>
      <c r="BB32" s="8">
        <v>2.9903151768703602E-6</v>
      </c>
      <c r="BE32" s="8"/>
    </row>
    <row r="33" spans="1:57" x14ac:dyDescent="0.25">
      <c r="A33" s="2" t="s">
        <v>60</v>
      </c>
      <c r="B33" t="s">
        <v>11</v>
      </c>
      <c r="C33" t="s">
        <v>33</v>
      </c>
      <c r="D33" t="s">
        <v>40</v>
      </c>
      <c r="E33" t="s">
        <v>46</v>
      </c>
      <c r="F33" t="s">
        <v>268</v>
      </c>
      <c r="G33" t="s">
        <v>59</v>
      </c>
      <c r="K33" s="2" t="s">
        <v>60</v>
      </c>
      <c r="L33" t="s">
        <v>58</v>
      </c>
      <c r="M33" t="s">
        <v>282</v>
      </c>
      <c r="N33" t="s">
        <v>283</v>
      </c>
      <c r="O33" t="s">
        <v>319</v>
      </c>
      <c r="P33" t="s">
        <v>59</v>
      </c>
      <c r="T33"/>
      <c r="V33" t="s">
        <v>18</v>
      </c>
      <c r="X33" t="s">
        <v>14</v>
      </c>
      <c r="Z33" t="s">
        <v>286</v>
      </c>
      <c r="AA33" t="s">
        <v>59</v>
      </c>
      <c r="AE33" s="10" t="s">
        <v>20</v>
      </c>
      <c r="AF33" s="38">
        <f t="shared" si="1"/>
        <v>0</v>
      </c>
      <c r="AG33" s="38">
        <f t="shared" si="1"/>
        <v>0.01</v>
      </c>
      <c r="AH33" s="38">
        <f t="shared" si="1"/>
        <v>0.01</v>
      </c>
      <c r="AI33" s="38">
        <f t="shared" si="1"/>
        <v>0.01</v>
      </c>
      <c r="AJ33" s="38">
        <f t="shared" si="1"/>
        <v>0.01</v>
      </c>
      <c r="AK33" s="38">
        <f t="shared" si="1"/>
        <v>0</v>
      </c>
      <c r="AL33" s="38"/>
      <c r="AM33" s="38"/>
      <c r="AN33" s="38"/>
      <c r="AO33" s="38"/>
      <c r="AQ33" s="8"/>
      <c r="AS33" s="3" t="s">
        <v>23</v>
      </c>
      <c r="AT33" s="8"/>
      <c r="AU33" s="8"/>
      <c r="AV33" s="8">
        <v>539.19854947027852</v>
      </c>
      <c r="AW33" s="8"/>
      <c r="AX33" s="8"/>
      <c r="AY33" s="8"/>
      <c r="AZ33" s="8"/>
      <c r="BA33" s="8"/>
      <c r="BB33" s="8">
        <v>539.19854947027852</v>
      </c>
      <c r="BE33" s="8"/>
    </row>
    <row r="34" spans="1:57" x14ac:dyDescent="0.25">
      <c r="A34" s="3" t="s">
        <v>36</v>
      </c>
      <c r="B34" s="8"/>
      <c r="C34" s="8">
        <v>0</v>
      </c>
      <c r="D34" s="8"/>
      <c r="E34" s="8"/>
      <c r="F34" s="8"/>
      <c r="G34" s="8">
        <v>0</v>
      </c>
      <c r="K34" s="3" t="s">
        <v>36</v>
      </c>
      <c r="L34" s="8">
        <v>0</v>
      </c>
      <c r="M34" s="8"/>
      <c r="N34" s="8"/>
      <c r="O34" s="8"/>
      <c r="P34" s="8">
        <v>0</v>
      </c>
      <c r="T34"/>
      <c r="U34" s="2" t="s">
        <v>60</v>
      </c>
      <c r="V34" t="s">
        <v>63</v>
      </c>
      <c r="W34" t="s">
        <v>64</v>
      </c>
      <c r="X34" t="s">
        <v>63</v>
      </c>
      <c r="Y34" t="s">
        <v>64</v>
      </c>
      <c r="Z34" t="s">
        <v>63</v>
      </c>
      <c r="AC34" s="92"/>
      <c r="AE34" s="10" t="s">
        <v>21</v>
      </c>
      <c r="AF34" s="38">
        <f t="shared" si="1"/>
        <v>0</v>
      </c>
      <c r="AG34" s="38">
        <f t="shared" si="1"/>
        <v>0.01</v>
      </c>
      <c r="AH34" s="38">
        <f t="shared" si="1"/>
        <v>0.01</v>
      </c>
      <c r="AI34" s="38">
        <f t="shared" si="1"/>
        <v>0.01</v>
      </c>
      <c r="AJ34" s="38">
        <f t="shared" si="1"/>
        <v>0.01</v>
      </c>
      <c r="AK34" s="38">
        <f t="shared" si="1"/>
        <v>0</v>
      </c>
      <c r="AL34" s="38"/>
      <c r="AM34" s="38"/>
      <c r="AN34" s="38"/>
      <c r="AO34" s="38"/>
      <c r="AQ34" s="8"/>
      <c r="AS34" s="3" t="s">
        <v>29</v>
      </c>
      <c r="AT34" s="8"/>
      <c r="AU34" s="8"/>
      <c r="AV34" s="8">
        <v>300.76433505721434</v>
      </c>
      <c r="AW34" s="8"/>
      <c r="AX34" s="8"/>
      <c r="AY34" s="8"/>
      <c r="AZ34" s="8"/>
      <c r="BA34" s="8"/>
      <c r="BB34" s="8">
        <v>300.76433505721434</v>
      </c>
      <c r="BE34" s="8"/>
    </row>
    <row r="35" spans="1:57" x14ac:dyDescent="0.25">
      <c r="A35" s="3" t="s">
        <v>20</v>
      </c>
      <c r="B35" s="8">
        <v>0</v>
      </c>
      <c r="C35" s="8"/>
      <c r="D35" s="8"/>
      <c r="E35" s="8">
        <v>0</v>
      </c>
      <c r="F35" s="8"/>
      <c r="G35" s="8">
        <v>0</v>
      </c>
      <c r="K35" s="3" t="s">
        <v>20</v>
      </c>
      <c r="L35" s="8">
        <v>0</v>
      </c>
      <c r="M35" s="8"/>
      <c r="N35" s="8"/>
      <c r="O35" s="8"/>
      <c r="P35" s="8">
        <v>0</v>
      </c>
      <c r="T35"/>
      <c r="U35" s="3" t="s">
        <v>12</v>
      </c>
      <c r="V35" s="92"/>
      <c r="W35" s="92">
        <v>-11266640</v>
      </c>
      <c r="X35" s="92">
        <v>400600</v>
      </c>
      <c r="Y35" s="92">
        <v>-22861630</v>
      </c>
      <c r="Z35" s="92"/>
      <c r="AA35" s="92">
        <v>-33727670</v>
      </c>
      <c r="AB35" s="92"/>
      <c r="AC35" s="92"/>
      <c r="AE35" s="10" t="s">
        <v>15</v>
      </c>
      <c r="AF35" s="38">
        <f t="shared" si="1"/>
        <v>0</v>
      </c>
      <c r="AG35" s="38">
        <f t="shared" si="1"/>
        <v>0.01</v>
      </c>
      <c r="AH35" s="38">
        <f t="shared" si="1"/>
        <v>0.01</v>
      </c>
      <c r="AI35" s="38">
        <f t="shared" si="1"/>
        <v>0.01</v>
      </c>
      <c r="AJ35" s="38">
        <f t="shared" si="1"/>
        <v>0.01</v>
      </c>
      <c r="AK35" s="38">
        <f t="shared" si="1"/>
        <v>0</v>
      </c>
      <c r="AL35" s="38"/>
      <c r="AM35" s="38"/>
      <c r="AN35" s="38"/>
      <c r="AO35" s="38"/>
      <c r="AQ35" s="8"/>
      <c r="AS35" s="3" t="s">
        <v>24</v>
      </c>
      <c r="AT35" s="8"/>
      <c r="AU35" s="8"/>
      <c r="AV35" s="8">
        <v>-750597.55313258304</v>
      </c>
      <c r="AW35" s="8">
        <v>650603.01836335997</v>
      </c>
      <c r="AX35" s="8"/>
      <c r="AY35" s="8"/>
      <c r="AZ35" s="8"/>
      <c r="BA35" s="8"/>
      <c r="BB35" s="8">
        <v>-99994.534769223072</v>
      </c>
      <c r="BE35" s="8"/>
    </row>
    <row r="36" spans="1:57" x14ac:dyDescent="0.25">
      <c r="A36" s="3" t="s">
        <v>21</v>
      </c>
      <c r="B36" s="8">
        <v>0</v>
      </c>
      <c r="C36" s="8"/>
      <c r="D36" s="8"/>
      <c r="E36" s="8">
        <v>0</v>
      </c>
      <c r="F36" s="8"/>
      <c r="G36" s="8">
        <v>0</v>
      </c>
      <c r="K36" s="3" t="s">
        <v>21</v>
      </c>
      <c r="L36" s="8">
        <v>0</v>
      </c>
      <c r="M36" s="8"/>
      <c r="N36" s="8"/>
      <c r="O36" s="8"/>
      <c r="P36" s="8">
        <v>0</v>
      </c>
      <c r="T36"/>
      <c r="U36" s="3" t="s">
        <v>19</v>
      </c>
      <c r="V36" s="92">
        <v>695680.20236335997</v>
      </c>
      <c r="W36" s="92">
        <v>-29486288.669312786</v>
      </c>
      <c r="X36" s="92"/>
      <c r="Y36" s="92">
        <v>-3573918.9404418143</v>
      </c>
      <c r="Z36" s="92"/>
      <c r="AA36" s="92">
        <v>-32364527.407391239</v>
      </c>
      <c r="AB36" s="92"/>
      <c r="AC36" s="92"/>
      <c r="AE36" s="10" t="s">
        <v>32</v>
      </c>
      <c r="AF36" s="38">
        <f t="shared" si="1"/>
        <v>0</v>
      </c>
      <c r="AG36" s="38">
        <f t="shared" si="1"/>
        <v>0.01</v>
      </c>
      <c r="AH36" s="38">
        <f t="shared" si="1"/>
        <v>0.01</v>
      </c>
      <c r="AI36" s="38">
        <f t="shared" si="1"/>
        <v>0.01</v>
      </c>
      <c r="AJ36" s="38">
        <f t="shared" si="1"/>
        <v>0.01</v>
      </c>
      <c r="AK36" s="38">
        <f t="shared" si="1"/>
        <v>0</v>
      </c>
      <c r="AL36" s="38"/>
      <c r="AM36" s="38"/>
      <c r="AN36" s="38"/>
      <c r="AO36" s="38"/>
      <c r="AQ36" s="8"/>
      <c r="AS36" s="3" t="s">
        <v>30</v>
      </c>
      <c r="AT36" s="8"/>
      <c r="AU36" s="8"/>
      <c r="AV36" s="8">
        <v>-7019.209991458436</v>
      </c>
      <c r="AW36" s="8">
        <v>-165.24083404000001</v>
      </c>
      <c r="AX36" s="8"/>
      <c r="AY36" s="8"/>
      <c r="AZ36" s="8"/>
      <c r="BA36" s="8"/>
      <c r="BB36" s="8">
        <v>-7184.4508254984357</v>
      </c>
      <c r="BE36" s="8"/>
    </row>
    <row r="37" spans="1:57" x14ac:dyDescent="0.25">
      <c r="A37" s="3" t="s">
        <v>15</v>
      </c>
      <c r="B37" s="8">
        <v>-186916.85862644995</v>
      </c>
      <c r="C37" s="8">
        <v>0</v>
      </c>
      <c r="D37" s="8">
        <v>2127</v>
      </c>
      <c r="E37" s="8">
        <v>-41576.362510713829</v>
      </c>
      <c r="F37" s="8">
        <v>101431.5</v>
      </c>
      <c r="G37" s="8">
        <v>-124934.72113716378</v>
      </c>
      <c r="K37" s="3" t="s">
        <v>15</v>
      </c>
      <c r="L37" s="8">
        <v>0</v>
      </c>
      <c r="M37" s="8">
        <v>-230372.22113716378</v>
      </c>
      <c r="N37" s="8">
        <v>4006</v>
      </c>
      <c r="O37" s="8">
        <v>101431.5</v>
      </c>
      <c r="P37" s="8">
        <v>-124934.72113716378</v>
      </c>
      <c r="T37"/>
      <c r="U37" s="3" t="s">
        <v>34</v>
      </c>
      <c r="V37" s="92"/>
      <c r="W37" s="92">
        <v>-29736.210300322</v>
      </c>
      <c r="X37" s="92"/>
      <c r="Y37" s="92"/>
      <c r="Z37" s="92"/>
      <c r="AA37" s="92">
        <v>-29736.210300322</v>
      </c>
      <c r="AB37" s="92"/>
      <c r="AC37" s="92"/>
      <c r="AE37" s="10" t="s">
        <v>23</v>
      </c>
      <c r="AF37" s="38">
        <f t="shared" si="1"/>
        <v>0</v>
      </c>
      <c r="AG37" s="38">
        <f t="shared" si="1"/>
        <v>0.01</v>
      </c>
      <c r="AH37" s="38">
        <f t="shared" si="1"/>
        <v>0.01</v>
      </c>
      <c r="AI37" s="38">
        <f t="shared" si="1"/>
        <v>0.01</v>
      </c>
      <c r="AJ37" s="38">
        <f t="shared" si="1"/>
        <v>0.01</v>
      </c>
      <c r="AK37" s="38">
        <f t="shared" si="1"/>
        <v>0</v>
      </c>
      <c r="AL37" s="38"/>
      <c r="AM37" s="38"/>
      <c r="AN37" s="38"/>
      <c r="AO37" s="38"/>
      <c r="AQ37" s="8"/>
      <c r="AS37" s="3" t="s">
        <v>16</v>
      </c>
      <c r="AT37" s="8"/>
      <c r="AU37" s="8"/>
      <c r="AV37" s="8">
        <v>14743552.48007571</v>
      </c>
      <c r="AW37" s="8">
        <v>-37942104.266331166</v>
      </c>
      <c r="AX37" s="8"/>
      <c r="AY37" s="8">
        <v>-5592908.6543772835</v>
      </c>
      <c r="AZ37" s="8">
        <v>619873.66923683695</v>
      </c>
      <c r="BA37" s="8">
        <v>24852000</v>
      </c>
      <c r="BB37" s="8">
        <v>-3319586.7713958994</v>
      </c>
      <c r="BE37" s="8"/>
    </row>
    <row r="38" spans="1:57" x14ac:dyDescent="0.25">
      <c r="A38" s="3" t="s">
        <v>32</v>
      </c>
      <c r="B38" s="8">
        <v>0</v>
      </c>
      <c r="C38" s="8"/>
      <c r="D38" s="8"/>
      <c r="E38" s="8"/>
      <c r="F38" s="8"/>
      <c r="G38" s="8">
        <v>0</v>
      </c>
      <c r="K38" s="3" t="s">
        <v>32</v>
      </c>
      <c r="L38" s="8">
        <v>0</v>
      </c>
      <c r="M38" s="8"/>
      <c r="N38" s="8"/>
      <c r="O38" s="8"/>
      <c r="P38" s="8">
        <v>0</v>
      </c>
      <c r="T38"/>
      <c r="U38" s="3" t="s">
        <v>41</v>
      </c>
      <c r="V38" s="92"/>
      <c r="W38" s="92"/>
      <c r="X38" s="92">
        <v>860400</v>
      </c>
      <c r="Y38" s="92"/>
      <c r="Z38" s="92"/>
      <c r="AA38" s="92">
        <v>860400</v>
      </c>
      <c r="AB38" s="92"/>
      <c r="AC38" s="92"/>
      <c r="AE38" s="10" t="s">
        <v>29</v>
      </c>
      <c r="AF38" s="38">
        <f t="shared" si="1"/>
        <v>0</v>
      </c>
      <c r="AG38" s="38">
        <f t="shared" si="1"/>
        <v>0.01</v>
      </c>
      <c r="AH38" s="38">
        <f t="shared" si="1"/>
        <v>0.01</v>
      </c>
      <c r="AI38" s="38">
        <f t="shared" si="1"/>
        <v>0.01</v>
      </c>
      <c r="AJ38" s="38">
        <f t="shared" si="1"/>
        <v>0.01</v>
      </c>
      <c r="AK38" s="38">
        <f t="shared" si="1"/>
        <v>0</v>
      </c>
      <c r="AL38" s="38"/>
      <c r="AM38" s="38"/>
      <c r="AN38" s="38"/>
      <c r="AO38" s="38"/>
      <c r="AQ38" s="8"/>
      <c r="AS38" s="3" t="s">
        <v>275</v>
      </c>
      <c r="AT38" s="8"/>
      <c r="AU38" s="8"/>
      <c r="AV38" s="8">
        <v>16755.611041088341</v>
      </c>
      <c r="AW38" s="8"/>
      <c r="AX38" s="8"/>
      <c r="AY38" s="8"/>
      <c r="AZ38" s="8"/>
      <c r="BA38" s="8"/>
      <c r="BB38" s="8">
        <v>16755.611041088341</v>
      </c>
      <c r="BE38" s="8"/>
    </row>
    <row r="39" spans="1:57" x14ac:dyDescent="0.25">
      <c r="A39" s="3" t="s">
        <v>24</v>
      </c>
      <c r="B39" s="8">
        <v>0</v>
      </c>
      <c r="C39" s="8"/>
      <c r="D39" s="8"/>
      <c r="E39" s="8">
        <v>0</v>
      </c>
      <c r="F39" s="8"/>
      <c r="G39" s="8">
        <v>0</v>
      </c>
      <c r="K39" s="3" t="s">
        <v>24</v>
      </c>
      <c r="L39" s="8">
        <v>0</v>
      </c>
      <c r="M39" s="8"/>
      <c r="N39" s="8"/>
      <c r="O39" s="8"/>
      <c r="P39" s="8">
        <v>0</v>
      </c>
      <c r="T39"/>
      <c r="U39" s="3" t="s">
        <v>42</v>
      </c>
      <c r="V39" s="92">
        <v>1473200</v>
      </c>
      <c r="W39" s="92">
        <v>-446000</v>
      </c>
      <c r="X39" s="92"/>
      <c r="Y39" s="92"/>
      <c r="Z39" s="92"/>
      <c r="AA39" s="92">
        <v>1027200</v>
      </c>
      <c r="AB39" s="92"/>
      <c r="AC39" s="92"/>
      <c r="AE39" s="10" t="s">
        <v>24</v>
      </c>
      <c r="AF39" s="38">
        <f t="shared" si="1"/>
        <v>0</v>
      </c>
      <c r="AG39" s="38">
        <f t="shared" si="1"/>
        <v>0.01</v>
      </c>
      <c r="AH39" s="38">
        <f t="shared" si="1"/>
        <v>0.01</v>
      </c>
      <c r="AI39" s="38">
        <f t="shared" si="1"/>
        <v>0.01</v>
      </c>
      <c r="AJ39" s="38">
        <f t="shared" si="1"/>
        <v>0.01</v>
      </c>
      <c r="AK39" s="38">
        <f t="shared" si="1"/>
        <v>0</v>
      </c>
      <c r="AL39" s="38"/>
      <c r="AM39" s="38"/>
      <c r="AN39" s="38"/>
      <c r="AO39" s="38"/>
      <c r="AQ39" s="8"/>
      <c r="AS39" s="3" t="s">
        <v>110</v>
      </c>
      <c r="AT39" s="8"/>
      <c r="AU39" s="8">
        <v>-31197026.059873108</v>
      </c>
      <c r="AV39" s="8"/>
      <c r="AW39" s="8"/>
      <c r="AX39" s="8"/>
      <c r="AY39" s="8"/>
      <c r="AZ39" s="8"/>
      <c r="BA39" s="8"/>
      <c r="BB39" s="8">
        <v>-31197026.059873108</v>
      </c>
      <c r="BE39" s="8"/>
    </row>
    <row r="40" spans="1:57" x14ac:dyDescent="0.25">
      <c r="A40" s="3" t="s">
        <v>30</v>
      </c>
      <c r="B40" s="8">
        <v>0</v>
      </c>
      <c r="C40" s="8"/>
      <c r="D40" s="8"/>
      <c r="E40" s="8"/>
      <c r="F40" s="8"/>
      <c r="G40" s="8">
        <v>0</v>
      </c>
      <c r="K40" s="3" t="s">
        <v>30</v>
      </c>
      <c r="L40" s="8">
        <v>0</v>
      </c>
      <c r="M40" s="8"/>
      <c r="N40" s="8"/>
      <c r="O40" s="8"/>
      <c r="P40" s="8">
        <v>0</v>
      </c>
      <c r="T40"/>
      <c r="U40" s="3" t="s">
        <v>43</v>
      </c>
      <c r="V40" s="92">
        <v>312201.50640000001</v>
      </c>
      <c r="W40" s="92">
        <v>-129992.7873</v>
      </c>
      <c r="X40" s="92"/>
      <c r="Y40" s="92"/>
      <c r="Z40" s="92"/>
      <c r="AA40" s="92">
        <v>182208.71910000002</v>
      </c>
      <c r="AB40" s="92"/>
      <c r="AC40" s="92"/>
      <c r="AE40" s="10" t="s">
        <v>30</v>
      </c>
      <c r="AF40" s="38">
        <f t="shared" si="1"/>
        <v>0</v>
      </c>
      <c r="AG40" s="38">
        <f t="shared" si="1"/>
        <v>0.01</v>
      </c>
      <c r="AH40" s="38">
        <f t="shared" si="1"/>
        <v>0.01</v>
      </c>
      <c r="AI40" s="38">
        <f t="shared" si="1"/>
        <v>0.01</v>
      </c>
      <c r="AJ40" s="38">
        <f t="shared" si="1"/>
        <v>0.01</v>
      </c>
      <c r="AK40" s="38">
        <f t="shared" si="1"/>
        <v>0</v>
      </c>
      <c r="AL40" s="38"/>
      <c r="AM40" s="38"/>
      <c r="AN40" s="38"/>
      <c r="AO40" s="38"/>
      <c r="AQ40" s="8"/>
      <c r="AS40" s="3" t="s">
        <v>261</v>
      </c>
      <c r="AT40" s="8"/>
      <c r="AU40" s="8"/>
      <c r="AV40" s="8">
        <v>-15656370.060407372</v>
      </c>
      <c r="AW40" s="8"/>
      <c r="AX40" s="8"/>
      <c r="AY40" s="8"/>
      <c r="AZ40" s="8"/>
      <c r="BA40" s="8"/>
      <c r="BB40" s="8">
        <v>-15656370.060407372</v>
      </c>
      <c r="BE40" s="8"/>
    </row>
    <row r="41" spans="1:57" x14ac:dyDescent="0.25">
      <c r="A41" s="3" t="s">
        <v>16</v>
      </c>
      <c r="B41" s="8">
        <v>-73432.630777968152</v>
      </c>
      <c r="C41" s="8"/>
      <c r="D41" s="8">
        <v>6477</v>
      </c>
      <c r="E41" s="8">
        <v>17225.280926564079</v>
      </c>
      <c r="F41" s="8">
        <v>248520</v>
      </c>
      <c r="G41" s="8">
        <v>198789.65014859592</v>
      </c>
      <c r="K41" s="3" t="s">
        <v>16</v>
      </c>
      <c r="L41" s="8">
        <v>0</v>
      </c>
      <c r="M41" s="8">
        <v>-55929.086543772471</v>
      </c>
      <c r="N41" s="8">
        <v>6198.7366923684021</v>
      </c>
      <c r="O41" s="8">
        <v>248520</v>
      </c>
      <c r="P41" s="8">
        <v>198789.65014859592</v>
      </c>
      <c r="T41"/>
      <c r="U41" s="3" t="s">
        <v>47</v>
      </c>
      <c r="V41" s="92">
        <v>5943321.6046607774</v>
      </c>
      <c r="W41" s="92">
        <v>-5659118.9096902506</v>
      </c>
      <c r="X41" s="92">
        <v>2485799.2300412869</v>
      </c>
      <c r="Y41" s="92">
        <v>-6169857.3130673198</v>
      </c>
      <c r="Z41" s="92"/>
      <c r="AA41" s="92">
        <v>-3399855.3880555062</v>
      </c>
      <c r="AB41" s="92"/>
      <c r="AC41" s="92"/>
      <c r="AE41" s="10" t="s">
        <v>16</v>
      </c>
      <c r="AF41" s="38">
        <f t="shared" si="1"/>
        <v>0</v>
      </c>
      <c r="AG41" s="38">
        <f t="shared" si="1"/>
        <v>0.01</v>
      </c>
      <c r="AH41" s="38">
        <f t="shared" si="1"/>
        <v>0.01</v>
      </c>
      <c r="AI41" s="38">
        <f t="shared" si="1"/>
        <v>0.01</v>
      </c>
      <c r="AJ41" s="38">
        <f t="shared" si="1"/>
        <v>0.01</v>
      </c>
      <c r="AK41" s="38">
        <f t="shared" si="1"/>
        <v>0</v>
      </c>
      <c r="AL41" s="38"/>
      <c r="AM41" s="38"/>
      <c r="AN41" s="38"/>
      <c r="AO41" s="38"/>
      <c r="AQ41" s="8"/>
      <c r="AS41" s="3" t="s">
        <v>31</v>
      </c>
      <c r="AT41" s="8"/>
      <c r="AU41" s="8"/>
      <c r="AV41" s="8">
        <v>5.0149075594361401</v>
      </c>
      <c r="AW41" s="8"/>
      <c r="AX41" s="8"/>
      <c r="AY41" s="8"/>
      <c r="AZ41" s="8"/>
      <c r="BA41" s="8"/>
      <c r="BB41" s="8">
        <v>5.0149075594361401</v>
      </c>
      <c r="BE41" s="8"/>
    </row>
    <row r="42" spans="1:57" x14ac:dyDescent="0.25">
      <c r="A42" s="3" t="s">
        <v>28</v>
      </c>
      <c r="B42" s="8">
        <v>0</v>
      </c>
      <c r="C42" s="8"/>
      <c r="D42" s="8"/>
      <c r="E42" s="8">
        <v>0</v>
      </c>
      <c r="F42" s="8"/>
      <c r="G42" s="8">
        <v>0</v>
      </c>
      <c r="K42" s="3" t="s">
        <v>28</v>
      </c>
      <c r="L42" s="8">
        <v>0</v>
      </c>
      <c r="M42" s="8"/>
      <c r="N42" s="8"/>
      <c r="O42" s="8"/>
      <c r="P42" s="8">
        <v>0</v>
      </c>
      <c r="T42"/>
      <c r="U42" s="3" t="s">
        <v>50</v>
      </c>
      <c r="V42" s="92">
        <v>62400</v>
      </c>
      <c r="W42" s="92">
        <v>-19150</v>
      </c>
      <c r="X42" s="92"/>
      <c r="Y42" s="92">
        <v>-670</v>
      </c>
      <c r="Z42" s="92"/>
      <c r="AA42" s="92">
        <v>42580</v>
      </c>
      <c r="AB42" s="92"/>
      <c r="AC42" s="92"/>
      <c r="AE42" s="10" t="s">
        <v>31</v>
      </c>
      <c r="AF42" s="38">
        <f t="shared" ref="AF42:AK49" si="2">AF$31</f>
        <v>0</v>
      </c>
      <c r="AG42" s="38">
        <f t="shared" si="2"/>
        <v>0.01</v>
      </c>
      <c r="AH42" s="38">
        <f t="shared" si="2"/>
        <v>0.01</v>
      </c>
      <c r="AI42" s="38">
        <f t="shared" si="2"/>
        <v>0.01</v>
      </c>
      <c r="AJ42" s="38">
        <f t="shared" si="2"/>
        <v>0.01</v>
      </c>
      <c r="AK42" s="38">
        <f t="shared" si="2"/>
        <v>0</v>
      </c>
      <c r="AL42" s="38"/>
      <c r="AM42" s="38"/>
      <c r="AN42" s="38"/>
      <c r="AO42" s="38"/>
      <c r="AQ42" s="8"/>
      <c r="AS42" s="3" t="s">
        <v>194</v>
      </c>
      <c r="AT42" s="8"/>
      <c r="AU42" s="8"/>
      <c r="AV42" s="8">
        <v>-927.61926184689946</v>
      </c>
      <c r="AW42" s="8"/>
      <c r="AX42" s="8"/>
      <c r="AY42" s="8"/>
      <c r="AZ42" s="8"/>
      <c r="BA42" s="8"/>
      <c r="BB42" s="8">
        <v>-927.61926184689946</v>
      </c>
      <c r="BE42" s="8"/>
    </row>
    <row r="43" spans="1:57" x14ac:dyDescent="0.25">
      <c r="A43" s="3" t="s">
        <v>25</v>
      </c>
      <c r="B43" s="8">
        <v>0</v>
      </c>
      <c r="C43" s="8"/>
      <c r="D43" s="8"/>
      <c r="E43" s="8">
        <v>0</v>
      </c>
      <c r="F43" s="8"/>
      <c r="G43" s="8">
        <v>0</v>
      </c>
      <c r="K43" s="3" t="s">
        <v>25</v>
      </c>
      <c r="L43" s="8">
        <v>0</v>
      </c>
      <c r="M43" s="8"/>
      <c r="N43" s="8"/>
      <c r="O43" s="8"/>
      <c r="P43" s="8">
        <v>0</v>
      </c>
      <c r="T43"/>
      <c r="U43" s="3" t="s">
        <v>53</v>
      </c>
      <c r="V43" s="92"/>
      <c r="W43" s="92">
        <v>-1249783.283616479</v>
      </c>
      <c r="X43" s="92">
        <v>1249619.9246110532</v>
      </c>
      <c r="Y43" s="92"/>
      <c r="Z43" s="92"/>
      <c r="AA43" s="92">
        <v>-163.35900542582385</v>
      </c>
      <c r="AB43" s="92"/>
      <c r="AC43" s="92"/>
      <c r="AE43" s="10" t="s">
        <v>44</v>
      </c>
      <c r="AF43" s="38">
        <f t="shared" si="2"/>
        <v>0</v>
      </c>
      <c r="AG43" s="38">
        <f t="shared" si="2"/>
        <v>0.01</v>
      </c>
      <c r="AH43" s="38">
        <f t="shared" si="2"/>
        <v>0.01</v>
      </c>
      <c r="AI43" s="38">
        <f t="shared" si="2"/>
        <v>0.01</v>
      </c>
      <c r="AJ43" s="38">
        <f t="shared" si="2"/>
        <v>0.01</v>
      </c>
      <c r="AK43" s="38">
        <f t="shared" si="2"/>
        <v>0</v>
      </c>
      <c r="AL43" s="38"/>
      <c r="AM43" s="38"/>
      <c r="AN43" s="38"/>
      <c r="AO43" s="38"/>
      <c r="AQ43" s="8"/>
      <c r="AS43" s="3" t="s">
        <v>112</v>
      </c>
      <c r="AT43" s="8"/>
      <c r="AU43" s="8"/>
      <c r="AV43" s="8">
        <v>4.4215565173429621</v>
      </c>
      <c r="AW43" s="8"/>
      <c r="AX43" s="8"/>
      <c r="AY43" s="8"/>
      <c r="AZ43" s="8"/>
      <c r="BA43" s="8"/>
      <c r="BB43" s="8">
        <v>4.4215565173429621</v>
      </c>
      <c r="BE43" s="8"/>
    </row>
    <row r="44" spans="1:57" x14ac:dyDescent="0.25">
      <c r="A44" s="3" t="s">
        <v>38</v>
      </c>
      <c r="B44" s="8"/>
      <c r="C44" s="8"/>
      <c r="D44" s="8"/>
      <c r="E44" s="8">
        <v>0</v>
      </c>
      <c r="F44" s="8"/>
      <c r="G44" s="8">
        <v>0</v>
      </c>
      <c r="K44" s="3" t="s">
        <v>38</v>
      </c>
      <c r="L44" s="8">
        <v>0</v>
      </c>
      <c r="M44" s="8"/>
      <c r="N44" s="8"/>
      <c r="O44" s="8"/>
      <c r="P44" s="8">
        <v>0</v>
      </c>
      <c r="T44"/>
      <c r="U44" s="3" t="s">
        <v>54</v>
      </c>
      <c r="V44" s="92">
        <v>13777.600205302</v>
      </c>
      <c r="W44" s="92"/>
      <c r="X44" s="92"/>
      <c r="Y44" s="92"/>
      <c r="Z44" s="92"/>
      <c r="AA44" s="92">
        <v>13777.600205302</v>
      </c>
      <c r="AB44" s="92"/>
      <c r="AC44" s="92"/>
      <c r="AE44" s="10" t="s">
        <v>28</v>
      </c>
      <c r="AF44" s="38">
        <f t="shared" si="2"/>
        <v>0</v>
      </c>
      <c r="AG44" s="38">
        <f t="shared" si="2"/>
        <v>0.01</v>
      </c>
      <c r="AH44" s="38">
        <f t="shared" si="2"/>
        <v>0.01</v>
      </c>
      <c r="AI44" s="38">
        <f t="shared" si="2"/>
        <v>0.01</v>
      </c>
      <c r="AJ44" s="38">
        <f t="shared" si="2"/>
        <v>0.01</v>
      </c>
      <c r="AK44" s="38">
        <f t="shared" si="2"/>
        <v>0</v>
      </c>
      <c r="AL44" s="38"/>
      <c r="AM44" s="38"/>
      <c r="AN44" s="38"/>
      <c r="AO44" s="38"/>
      <c r="AQ44" s="8"/>
      <c r="AS44" s="3" t="s">
        <v>137</v>
      </c>
      <c r="AT44" s="8"/>
      <c r="AU44" s="8"/>
      <c r="AV44" s="8">
        <v>126.89314937976</v>
      </c>
      <c r="AW44" s="8"/>
      <c r="AX44" s="8"/>
      <c r="AY44" s="8"/>
      <c r="AZ44" s="8"/>
      <c r="BA44" s="8"/>
      <c r="BB44" s="8">
        <v>126.89314937976</v>
      </c>
      <c r="BE44" s="8"/>
    </row>
    <row r="45" spans="1:57" x14ac:dyDescent="0.25">
      <c r="A45" s="3" t="s">
        <v>27</v>
      </c>
      <c r="B45" s="8">
        <v>0</v>
      </c>
      <c r="C45" s="8"/>
      <c r="D45" s="8"/>
      <c r="E45" s="8"/>
      <c r="F45" s="8"/>
      <c r="G45" s="8">
        <v>0</v>
      </c>
      <c r="K45" s="3" t="s">
        <v>27</v>
      </c>
      <c r="L45" s="8">
        <v>0</v>
      </c>
      <c r="M45" s="8"/>
      <c r="N45" s="8"/>
      <c r="O45" s="8"/>
      <c r="P45" s="8">
        <v>0</v>
      </c>
      <c r="T45"/>
      <c r="U45" s="3" t="s">
        <v>306</v>
      </c>
      <c r="V45" s="92">
        <v>791975.26269441703</v>
      </c>
      <c r="W45" s="92"/>
      <c r="X45" s="92"/>
      <c r="Y45" s="92"/>
      <c r="Z45" s="92"/>
      <c r="AA45" s="92">
        <v>791975.26269441703</v>
      </c>
      <c r="AB45" s="92"/>
      <c r="AC45" s="92"/>
      <c r="AE45" s="10" t="s">
        <v>25</v>
      </c>
      <c r="AF45" s="38">
        <f t="shared" si="2"/>
        <v>0</v>
      </c>
      <c r="AG45" s="38">
        <f t="shared" si="2"/>
        <v>0.01</v>
      </c>
      <c r="AH45" s="38">
        <f t="shared" si="2"/>
        <v>0.01</v>
      </c>
      <c r="AI45" s="38">
        <f t="shared" si="2"/>
        <v>0.01</v>
      </c>
      <c r="AJ45" s="38">
        <f t="shared" si="2"/>
        <v>0.01</v>
      </c>
      <c r="AK45" s="38">
        <f t="shared" si="2"/>
        <v>0</v>
      </c>
      <c r="AL45" s="38"/>
      <c r="AM45" s="38"/>
      <c r="AN45" s="38"/>
      <c r="AO45" s="38"/>
      <c r="AQ45" s="8"/>
      <c r="AS45" s="3" t="s">
        <v>180</v>
      </c>
      <c r="AT45" s="8"/>
      <c r="AU45" s="8"/>
      <c r="AV45" s="8">
        <v>1.24276499999999E-2</v>
      </c>
      <c r="AW45" s="8"/>
      <c r="AX45" s="8"/>
      <c r="AY45" s="8"/>
      <c r="AZ45" s="8"/>
      <c r="BA45" s="8"/>
      <c r="BB45" s="8">
        <v>1.24276499999999E-2</v>
      </c>
      <c r="BE45" s="8"/>
    </row>
    <row r="46" spans="1:57" x14ac:dyDescent="0.25">
      <c r="A46" s="3" t="s">
        <v>59</v>
      </c>
      <c r="B46" s="8">
        <v>-260349.4894044181</v>
      </c>
      <c r="C46" s="8">
        <v>0</v>
      </c>
      <c r="D46" s="8">
        <v>8604</v>
      </c>
      <c r="E46" s="8">
        <v>-24351.08158414975</v>
      </c>
      <c r="F46" s="8">
        <v>349951.5</v>
      </c>
      <c r="G46" s="8">
        <v>73854.929011432134</v>
      </c>
      <c r="K46" s="3" t="s">
        <v>153</v>
      </c>
      <c r="L46" s="8" t="e">
        <v>#N/A</v>
      </c>
      <c r="M46" s="8"/>
      <c r="N46" s="8"/>
      <c r="O46" s="8"/>
      <c r="P46" s="8" t="e">
        <v>#N/A</v>
      </c>
      <c r="T46"/>
      <c r="U46" s="3" t="s">
        <v>303</v>
      </c>
      <c r="V46" s="92"/>
      <c r="W46" s="92"/>
      <c r="X46" s="92"/>
      <c r="Y46" s="92"/>
      <c r="Z46" s="92">
        <v>34995150</v>
      </c>
      <c r="AA46" s="92">
        <v>34995150</v>
      </c>
      <c r="AB46" s="92"/>
      <c r="AC46" s="92"/>
      <c r="AE46" s="10" t="s">
        <v>38</v>
      </c>
      <c r="AF46" s="38">
        <f t="shared" si="2"/>
        <v>0</v>
      </c>
      <c r="AG46" s="38">
        <f t="shared" si="2"/>
        <v>0.01</v>
      </c>
      <c r="AH46" s="38">
        <f t="shared" si="2"/>
        <v>0.01</v>
      </c>
      <c r="AI46" s="38">
        <f t="shared" si="2"/>
        <v>0.01</v>
      </c>
      <c r="AJ46" s="38">
        <f t="shared" si="2"/>
        <v>0.01</v>
      </c>
      <c r="AK46" s="38">
        <f t="shared" si="2"/>
        <v>0</v>
      </c>
      <c r="AL46" s="38"/>
      <c r="AM46" s="38"/>
      <c r="AN46" s="38"/>
      <c r="AO46" s="38"/>
      <c r="AQ46" s="8"/>
      <c r="AS46" s="3" t="s">
        <v>138</v>
      </c>
      <c r="AT46" s="8"/>
      <c r="AU46" s="8"/>
      <c r="AV46" s="8">
        <v>7.5230865019657358</v>
      </c>
      <c r="AW46" s="8"/>
      <c r="AX46" s="8"/>
      <c r="AY46" s="8"/>
      <c r="AZ46" s="8"/>
      <c r="BA46" s="8"/>
      <c r="BB46" s="8">
        <v>7.5230865019657358</v>
      </c>
      <c r="BE46" s="8"/>
    </row>
    <row r="47" spans="1:57" x14ac:dyDescent="0.25">
      <c r="K47" s="3" t="s">
        <v>59</v>
      </c>
      <c r="L47" s="8" t="e">
        <v>#N/A</v>
      </c>
      <c r="M47" s="8">
        <v>-286301.30768093624</v>
      </c>
      <c r="N47" s="8">
        <v>10204.736692368402</v>
      </c>
      <c r="O47" s="8">
        <v>349951.5</v>
      </c>
      <c r="P47" s="8" t="e">
        <v>#N/A</v>
      </c>
      <c r="T47"/>
      <c r="U47" s="3" t="s">
        <v>59</v>
      </c>
      <c r="V47" s="92">
        <v>9292556.1763238553</v>
      </c>
      <c r="W47" s="92">
        <v>-48286709.860219836</v>
      </c>
      <c r="X47" s="92">
        <v>4996419.1546523403</v>
      </c>
      <c r="Y47" s="92">
        <v>-32606076.253509134</v>
      </c>
      <c r="Z47" s="92">
        <v>34995150</v>
      </c>
      <c r="AA47" s="92">
        <v>-31608660.782752767</v>
      </c>
      <c r="AB47" s="92"/>
      <c r="AC47" s="92"/>
      <c r="AE47" s="10" t="s">
        <v>26</v>
      </c>
      <c r="AF47" s="38">
        <f t="shared" si="2"/>
        <v>0</v>
      </c>
      <c r="AG47" s="38">
        <f t="shared" si="2"/>
        <v>0.01</v>
      </c>
      <c r="AH47" s="38">
        <f t="shared" si="2"/>
        <v>0.01</v>
      </c>
      <c r="AI47" s="38">
        <f t="shared" si="2"/>
        <v>0.01</v>
      </c>
      <c r="AJ47" s="38">
        <f t="shared" si="2"/>
        <v>0.01</v>
      </c>
      <c r="AK47" s="38">
        <f t="shared" si="2"/>
        <v>0</v>
      </c>
      <c r="AL47" s="38"/>
      <c r="AM47" s="38"/>
      <c r="AN47" s="38"/>
      <c r="AO47" s="38"/>
      <c r="AQ47" s="8"/>
      <c r="AS47" s="3" t="s">
        <v>139</v>
      </c>
      <c r="AT47" s="8"/>
      <c r="AU47" s="8"/>
      <c r="AV47" s="8">
        <v>4.2889520671411701</v>
      </c>
      <c r="AW47" s="8"/>
      <c r="AX47" s="8"/>
      <c r="AY47" s="8"/>
      <c r="AZ47" s="8"/>
      <c r="BA47" s="8"/>
      <c r="BB47" s="8">
        <v>4.2889520671411701</v>
      </c>
      <c r="BE47" s="8"/>
    </row>
    <row r="48" spans="1:57" x14ac:dyDescent="0.25">
      <c r="T48"/>
      <c r="V48" s="92"/>
      <c r="W48" s="92"/>
      <c r="X48" s="92"/>
      <c r="Y48" s="92"/>
      <c r="Z48" s="92"/>
      <c r="AA48" s="92"/>
      <c r="AB48" s="92"/>
      <c r="AC48" s="92"/>
      <c r="AE48" s="10" t="s">
        <v>39</v>
      </c>
      <c r="AF48" s="38">
        <f t="shared" si="2"/>
        <v>0</v>
      </c>
      <c r="AG48" s="38">
        <f t="shared" si="2"/>
        <v>0.01</v>
      </c>
      <c r="AH48" s="38">
        <f t="shared" si="2"/>
        <v>0.01</v>
      </c>
      <c r="AI48" s="38">
        <f t="shared" si="2"/>
        <v>0.01</v>
      </c>
      <c r="AJ48" s="38">
        <f t="shared" si="2"/>
        <v>0.01</v>
      </c>
      <c r="AK48" s="38">
        <f t="shared" si="2"/>
        <v>0</v>
      </c>
      <c r="AL48" s="38"/>
      <c r="AM48" s="38"/>
      <c r="AN48" s="38"/>
      <c r="AO48" s="38"/>
      <c r="AQ48" s="8"/>
      <c r="AS48" s="3" t="s">
        <v>140</v>
      </c>
      <c r="AT48" s="8"/>
      <c r="AU48" s="8"/>
      <c r="AV48" s="8">
        <v>14057.7194527379</v>
      </c>
      <c r="AW48" s="8"/>
      <c r="AX48" s="8"/>
      <c r="AY48" s="8"/>
      <c r="AZ48" s="8"/>
      <c r="BA48" s="8"/>
      <c r="BB48" s="8">
        <v>14057.7194527379</v>
      </c>
      <c r="BE48" s="8"/>
    </row>
    <row r="49" spans="1:57" x14ac:dyDescent="0.25">
      <c r="T49"/>
      <c r="V49" s="92"/>
      <c r="W49" s="92"/>
      <c r="X49" s="92"/>
      <c r="Y49" s="92"/>
      <c r="Z49" s="92"/>
      <c r="AA49" s="92"/>
      <c r="AB49" s="92"/>
      <c r="AC49" s="92"/>
      <c r="AE49" s="10" t="s">
        <v>27</v>
      </c>
      <c r="AF49" s="38">
        <f t="shared" si="2"/>
        <v>0</v>
      </c>
      <c r="AG49" s="38">
        <f t="shared" si="2"/>
        <v>0.01</v>
      </c>
      <c r="AH49" s="38">
        <f t="shared" si="2"/>
        <v>0.01</v>
      </c>
      <c r="AI49" s="38">
        <f t="shared" si="2"/>
        <v>0.01</v>
      </c>
      <c r="AJ49" s="38">
        <f t="shared" si="2"/>
        <v>0.01</v>
      </c>
      <c r="AK49" s="38">
        <f t="shared" si="2"/>
        <v>0</v>
      </c>
      <c r="AL49" s="38"/>
      <c r="AM49" s="38"/>
      <c r="AN49" s="38"/>
      <c r="AO49" s="38"/>
      <c r="AQ49" s="8"/>
      <c r="AS49" s="3" t="s">
        <v>142</v>
      </c>
      <c r="AT49" s="8"/>
      <c r="AU49" s="8"/>
      <c r="AV49" s="8">
        <v>0.12275501988460601</v>
      </c>
      <c r="AW49" s="8"/>
      <c r="AX49" s="8"/>
      <c r="AY49" s="8"/>
      <c r="AZ49" s="8"/>
      <c r="BA49" s="8"/>
      <c r="BB49" s="8">
        <v>0.12275501988460601</v>
      </c>
      <c r="BE49" s="8"/>
    </row>
    <row r="50" spans="1:57" x14ac:dyDescent="0.25">
      <c r="T50"/>
      <c r="V50" s="92"/>
      <c r="W50" s="92"/>
      <c r="X50" s="92"/>
      <c r="Y50" s="92"/>
      <c r="Z50" s="92"/>
      <c r="AA50" s="92"/>
      <c r="AB50" s="92"/>
      <c r="AF50"/>
      <c r="AG50"/>
      <c r="AN50"/>
      <c r="AO50"/>
      <c r="AQ50" s="8"/>
      <c r="AS50" s="3" t="s">
        <v>143</v>
      </c>
      <c r="AT50" s="8"/>
      <c r="AU50" s="8"/>
      <c r="AV50" s="8">
        <v>1.1601565558051599E-2</v>
      </c>
      <c r="AW50" s="8"/>
      <c r="AX50" s="8"/>
      <c r="AY50" s="8"/>
      <c r="AZ50" s="8"/>
      <c r="BA50" s="8"/>
      <c r="BB50" s="8">
        <v>1.1601565558051599E-2</v>
      </c>
      <c r="BE50" s="8"/>
    </row>
    <row r="51" spans="1:57" x14ac:dyDescent="0.25">
      <c r="T51"/>
      <c r="AE51" s="10"/>
      <c r="AF51"/>
      <c r="AG51"/>
      <c r="AN51"/>
      <c r="AO51"/>
      <c r="AQ51" s="8"/>
      <c r="AS51" s="3" t="s">
        <v>144</v>
      </c>
      <c r="AT51" s="8"/>
      <c r="AU51" s="8"/>
      <c r="AV51" s="8">
        <v>0.20402093989553599</v>
      </c>
      <c r="AW51" s="8"/>
      <c r="AX51" s="8"/>
      <c r="AY51" s="8"/>
      <c r="AZ51" s="8"/>
      <c r="BA51" s="8"/>
      <c r="BB51" s="8">
        <v>0.20402093989553599</v>
      </c>
      <c r="BE51" s="8"/>
    </row>
    <row r="52" spans="1:57" x14ac:dyDescent="0.25">
      <c r="T52"/>
      <c r="AE52" s="8"/>
      <c r="AH52" s="8"/>
      <c r="AI52" s="8"/>
      <c r="AJ52" s="8"/>
      <c r="AK52" s="8"/>
      <c r="AL52" s="8"/>
      <c r="AM52" s="8"/>
      <c r="AQ52" s="8"/>
      <c r="AS52" s="3" t="s">
        <v>44</v>
      </c>
      <c r="AT52" s="8"/>
      <c r="AU52" s="8"/>
      <c r="AV52" s="8">
        <v>0.2583013376984456</v>
      </c>
      <c r="AW52" s="8"/>
      <c r="AX52" s="8"/>
      <c r="AY52" s="8"/>
      <c r="AZ52" s="8"/>
      <c r="BA52" s="8"/>
      <c r="BB52" s="8">
        <v>0.2583013376984456</v>
      </c>
      <c r="BE52" s="8"/>
    </row>
    <row r="53" spans="1:57" s="8" customFormat="1" x14ac:dyDescent="0.25">
      <c r="A53"/>
      <c r="B53"/>
      <c r="C53"/>
      <c r="D53"/>
      <c r="E53"/>
      <c r="F53"/>
      <c r="G53"/>
      <c r="H53"/>
      <c r="I53"/>
      <c r="K53"/>
      <c r="L53" s="70" t="s">
        <v>712</v>
      </c>
      <c r="Q53"/>
      <c r="R53"/>
      <c r="S53"/>
      <c r="AE53"/>
      <c r="AF53"/>
      <c r="AG53"/>
      <c r="AH53"/>
      <c r="AI53"/>
      <c r="AJ53"/>
      <c r="AK53"/>
      <c r="AL53"/>
      <c r="AM53"/>
      <c r="AN53"/>
      <c r="AO53"/>
      <c r="AS53" s="3" t="s">
        <v>145</v>
      </c>
      <c r="AV53" s="8">
        <v>3.0911104955718202E-4</v>
      </c>
      <c r="BB53" s="8">
        <v>3.0911104955718202E-4</v>
      </c>
      <c r="BC53"/>
      <c r="BD53"/>
    </row>
    <row r="54" spans="1:57" s="8" customFormat="1" x14ac:dyDescent="0.25">
      <c r="L54" s="33" t="s">
        <v>58</v>
      </c>
      <c r="M54" s="41" t="s">
        <v>282</v>
      </c>
      <c r="N54" s="41" t="s">
        <v>283</v>
      </c>
      <c r="O54" s="33" t="s">
        <v>319</v>
      </c>
      <c r="P54" s="33" t="s">
        <v>321</v>
      </c>
      <c r="Q54" s="33" t="s">
        <v>711</v>
      </c>
      <c r="R54" s="33"/>
      <c r="AS54" s="3" t="s">
        <v>146</v>
      </c>
      <c r="AV54" s="8">
        <v>0</v>
      </c>
      <c r="BB54" s="8">
        <v>0</v>
      </c>
      <c r="BC54"/>
      <c r="BD54"/>
    </row>
    <row r="55" spans="1:57" x14ac:dyDescent="0.25">
      <c r="L55" s="69">
        <v>0</v>
      </c>
      <c r="M55" s="69">
        <v>0.01</v>
      </c>
      <c r="N55" s="69">
        <v>0.01</v>
      </c>
      <c r="O55" s="69">
        <v>0.01</v>
      </c>
      <c r="P55" s="69">
        <v>0.01</v>
      </c>
      <c r="Q55" s="69"/>
      <c r="R55" s="69"/>
      <c r="S55" s="8"/>
      <c r="AS55" s="3" t="s">
        <v>28</v>
      </c>
      <c r="AT55" s="8"/>
      <c r="AU55" s="8"/>
      <c r="AV55" s="8">
        <v>422379.81767955946</v>
      </c>
      <c r="AW55" s="8">
        <v>-682853.75465999998</v>
      </c>
      <c r="AX55" s="8"/>
      <c r="AY55" s="8"/>
      <c r="AZ55" s="8"/>
      <c r="BA55" s="8"/>
      <c r="BB55" s="8">
        <v>-260473.93698044051</v>
      </c>
      <c r="BE55" s="8"/>
    </row>
    <row r="56" spans="1:57" x14ac:dyDescent="0.25">
      <c r="AH56" s="10"/>
      <c r="AS56" s="3" t="s">
        <v>147</v>
      </c>
      <c r="AT56" s="8"/>
      <c r="AU56" s="8"/>
      <c r="AV56" s="8">
        <v>1.23866429375467E-6</v>
      </c>
      <c r="AW56" s="8"/>
      <c r="AX56" s="8"/>
      <c r="AY56" s="8"/>
      <c r="AZ56" s="8"/>
      <c r="BA56" s="8"/>
      <c r="BB56" s="8">
        <v>1.23866429375467E-6</v>
      </c>
      <c r="BE56" s="8"/>
    </row>
    <row r="57" spans="1:57" s="8" customFormat="1" x14ac:dyDescent="0.25">
      <c r="K57"/>
      <c r="L57"/>
      <c r="M57"/>
      <c r="N57"/>
      <c r="O57"/>
      <c r="P57"/>
      <c r="Q57"/>
      <c r="R57"/>
      <c r="S57"/>
      <c r="AD57"/>
      <c r="AE57"/>
      <c r="AF57"/>
      <c r="AG57"/>
      <c r="AS57" s="3" t="s">
        <v>25</v>
      </c>
      <c r="AV57" s="8">
        <v>227427.28483705816</v>
      </c>
      <c r="AW57" s="8">
        <v>-301859.157538347</v>
      </c>
      <c r="BB57" s="8">
        <v>-74431.872701288841</v>
      </c>
      <c r="BC57"/>
      <c r="BD57"/>
    </row>
    <row r="58" spans="1:57" s="8" customFormat="1" x14ac:dyDescent="0.25">
      <c r="AD58"/>
      <c r="AE58"/>
      <c r="AF58"/>
      <c r="AG58"/>
      <c r="AS58" s="3" t="s">
        <v>148</v>
      </c>
      <c r="AV58" s="8">
        <v>1.4231638225488101E-4</v>
      </c>
      <c r="BB58" s="8">
        <v>1.4231638225488101E-4</v>
      </c>
      <c r="BC58"/>
      <c r="BD58"/>
    </row>
    <row r="59" spans="1:57" x14ac:dyDescent="0.25">
      <c r="A59" s="2" t="s">
        <v>10</v>
      </c>
      <c r="B59" t="s">
        <v>68</v>
      </c>
      <c r="AF59"/>
      <c r="AG59"/>
      <c r="AN59"/>
      <c r="AO59"/>
      <c r="AP59"/>
      <c r="AS59" s="3" t="s">
        <v>195</v>
      </c>
      <c r="AT59" s="8"/>
      <c r="AU59" s="8"/>
      <c r="AV59" s="8">
        <v>3387.9380429154844</v>
      </c>
      <c r="AW59" s="8"/>
      <c r="AX59" s="8"/>
      <c r="AY59" s="8"/>
      <c r="AZ59" s="8"/>
      <c r="BA59" s="8"/>
      <c r="BB59" s="8">
        <v>3387.9380429154844</v>
      </c>
      <c r="BE59" s="8"/>
    </row>
    <row r="60" spans="1:57" x14ac:dyDescent="0.25">
      <c r="AF60"/>
      <c r="AG60"/>
      <c r="AN60"/>
      <c r="AO60"/>
      <c r="AP60"/>
      <c r="AS60" s="3" t="s">
        <v>196</v>
      </c>
      <c r="AT60" s="8"/>
      <c r="AU60" s="8"/>
      <c r="AV60" s="8">
        <v>14255.732471444593</v>
      </c>
      <c r="AW60" s="8"/>
      <c r="AX60" s="8"/>
      <c r="AY60" s="8"/>
      <c r="AZ60" s="8"/>
      <c r="BA60" s="8"/>
      <c r="BB60" s="8">
        <v>14255.732471444593</v>
      </c>
      <c r="BE60" s="8"/>
    </row>
    <row r="61" spans="1:57" x14ac:dyDescent="0.25">
      <c r="A61" s="2" t="s">
        <v>61</v>
      </c>
      <c r="B61" s="2" t="s">
        <v>57</v>
      </c>
      <c r="AF61"/>
      <c r="AG61"/>
      <c r="AN61"/>
      <c r="AO61"/>
      <c r="AP61"/>
      <c r="AS61" s="3" t="s">
        <v>149</v>
      </c>
      <c r="AT61" s="8"/>
      <c r="AU61" s="8"/>
      <c r="AV61" s="8">
        <v>6.3936605193977698</v>
      </c>
      <c r="AW61" s="8"/>
      <c r="AX61" s="8"/>
      <c r="AY61" s="8"/>
      <c r="AZ61" s="8"/>
      <c r="BA61" s="8"/>
      <c r="BB61" s="8">
        <v>6.3936605193977698</v>
      </c>
      <c r="BE61" s="8"/>
    </row>
    <row r="62" spans="1:57" x14ac:dyDescent="0.25">
      <c r="A62" s="2" t="s">
        <v>60</v>
      </c>
      <c r="B62" s="8" t="s">
        <v>11</v>
      </c>
      <c r="C62" s="8" t="s">
        <v>33</v>
      </c>
      <c r="D62" s="8" t="s">
        <v>40</v>
      </c>
      <c r="E62" s="8" t="s">
        <v>46</v>
      </c>
      <c r="F62" s="8" t="s">
        <v>268</v>
      </c>
      <c r="G62" s="8" t="s">
        <v>59</v>
      </c>
      <c r="AF62"/>
      <c r="AG62"/>
      <c r="AN62"/>
      <c r="AO62"/>
      <c r="AP62"/>
      <c r="AS62" s="3" t="s">
        <v>150</v>
      </c>
      <c r="AT62" s="8"/>
      <c r="AU62" s="8"/>
      <c r="AV62" s="8">
        <v>6.95299664114117E-3</v>
      </c>
      <c r="AW62" s="8"/>
      <c r="AX62" s="8"/>
      <c r="AY62" s="8"/>
      <c r="AZ62" s="8"/>
      <c r="BA62" s="8"/>
      <c r="BB62" s="8">
        <v>6.95299664114117E-3</v>
      </c>
      <c r="BE62" s="8"/>
    </row>
    <row r="63" spans="1:57" x14ac:dyDescent="0.25">
      <c r="A63" s="3" t="s">
        <v>66</v>
      </c>
      <c r="B63" s="8">
        <v>1487655.465057777</v>
      </c>
      <c r="C63" s="8"/>
      <c r="D63" s="8">
        <v>1785401.5064000001</v>
      </c>
      <c r="E63" s="8">
        <v>6019499.2048660796</v>
      </c>
      <c r="F63" s="8"/>
      <c r="G63" s="8">
        <v>9292556.1763238572</v>
      </c>
      <c r="AF63"/>
      <c r="AG63"/>
      <c r="AN63"/>
      <c r="AO63"/>
      <c r="AP63"/>
      <c r="AS63" s="3" t="s">
        <v>151</v>
      </c>
      <c r="AT63" s="8"/>
      <c r="AU63" s="8"/>
      <c r="AV63" s="8">
        <v>1441.74270216525</v>
      </c>
      <c r="AW63" s="8"/>
      <c r="AX63" s="8"/>
      <c r="AY63" s="8"/>
      <c r="AZ63" s="8"/>
      <c r="BA63" s="8"/>
      <c r="BB63" s="8">
        <v>1441.74270216525</v>
      </c>
      <c r="BE63" s="8"/>
    </row>
    <row r="64" spans="1:57" x14ac:dyDescent="0.25">
      <c r="A64" s="3" t="s">
        <v>67</v>
      </c>
      <c r="B64" s="8">
        <v>-40752928.66931279</v>
      </c>
      <c r="C64" s="8">
        <v>-29736.210300322</v>
      </c>
      <c r="D64" s="8">
        <v>-575992.78729999997</v>
      </c>
      <c r="E64" s="8">
        <v>-6928052.1933067301</v>
      </c>
      <c r="F64" s="8"/>
      <c r="G64" s="8">
        <v>-48286709.860219836</v>
      </c>
      <c r="AF64"/>
      <c r="AG64"/>
      <c r="AN64"/>
      <c r="AO64"/>
      <c r="AP64"/>
      <c r="AS64" s="3" t="s">
        <v>152</v>
      </c>
      <c r="AT64" s="8"/>
      <c r="AU64" s="8"/>
      <c r="AV64" s="8">
        <v>9.1859295588851404E-4</v>
      </c>
      <c r="AW64" s="8"/>
      <c r="AX64" s="8"/>
      <c r="AY64" s="8"/>
      <c r="AZ64" s="8"/>
      <c r="BA64" s="8"/>
      <c r="BB64" s="8">
        <v>9.1859295588851404E-4</v>
      </c>
      <c r="BE64" s="8"/>
    </row>
    <row r="65" spans="1:57" x14ac:dyDescent="0.25">
      <c r="A65" s="3" t="s">
        <v>280</v>
      </c>
      <c r="B65" s="8"/>
      <c r="C65" s="8"/>
      <c r="D65" s="8">
        <v>860400</v>
      </c>
      <c r="E65" s="8">
        <v>3115545.4854155034</v>
      </c>
      <c r="F65" s="8"/>
      <c r="G65" s="8">
        <v>3975945.4854155034</v>
      </c>
      <c r="AF65"/>
      <c r="AG65"/>
      <c r="AN65"/>
      <c r="AO65"/>
      <c r="AP65"/>
      <c r="AS65" s="3" t="s">
        <v>153</v>
      </c>
      <c r="AT65" s="8"/>
      <c r="AU65" s="8"/>
      <c r="AV65" s="8">
        <v>28410.752841687077</v>
      </c>
      <c r="AW65" s="8">
        <v>-28573.161840000001</v>
      </c>
      <c r="AX65" s="8"/>
      <c r="AY65" s="8"/>
      <c r="AZ65" s="8"/>
      <c r="BA65" s="8"/>
      <c r="BB65" s="8">
        <v>-162.40899831292336</v>
      </c>
      <c r="BE65" s="8"/>
    </row>
    <row r="66" spans="1:57" s="8" customFormat="1" x14ac:dyDescent="0.25">
      <c r="A66" s="3" t="s">
        <v>281</v>
      </c>
      <c r="B66" s="8">
        <v>400600</v>
      </c>
      <c r="E66" s="8">
        <v>619873.66923683695</v>
      </c>
      <c r="G66" s="8">
        <v>1020473.669236837</v>
      </c>
      <c r="H66"/>
      <c r="I66"/>
      <c r="K66"/>
      <c r="L66"/>
      <c r="M66"/>
      <c r="N66"/>
      <c r="O66"/>
      <c r="P66"/>
      <c r="Q66"/>
      <c r="R66"/>
      <c r="S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S66" s="3" t="s">
        <v>154</v>
      </c>
      <c r="AV66" s="8">
        <v>9.2591922833754503E-2</v>
      </c>
      <c r="BB66" s="8">
        <v>9.2591922833754503E-2</v>
      </c>
      <c r="BC66"/>
      <c r="BD66"/>
    </row>
    <row r="67" spans="1:57" s="8" customFormat="1" x14ac:dyDescent="0.25">
      <c r="A67" s="3" t="s">
        <v>718</v>
      </c>
      <c r="B67" s="8">
        <v>-26435548.940441817</v>
      </c>
      <c r="E67" s="8">
        <v>-6170527.3130673198</v>
      </c>
      <c r="G67" s="8">
        <v>-32606076.253509138</v>
      </c>
      <c r="H67"/>
      <c r="I67"/>
      <c r="K67"/>
      <c r="L67"/>
      <c r="M67"/>
      <c r="N67"/>
      <c r="O67"/>
      <c r="P67"/>
      <c r="Q67"/>
      <c r="R67"/>
      <c r="S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S67" s="3" t="s">
        <v>92</v>
      </c>
      <c r="AV67" s="8">
        <v>909.00557107513305</v>
      </c>
      <c r="BB67" s="8">
        <v>909.00557107513305</v>
      </c>
      <c r="BC67"/>
      <c r="BD67"/>
    </row>
    <row r="68" spans="1:57" s="8" customFormat="1" x14ac:dyDescent="0.25">
      <c r="A68" s="3" t="s">
        <v>737</v>
      </c>
      <c r="F68" s="8">
        <v>34995150</v>
      </c>
      <c r="G68" s="8">
        <v>34995150</v>
      </c>
      <c r="H68"/>
      <c r="I68"/>
      <c r="K68"/>
      <c r="L68"/>
      <c r="M68"/>
      <c r="N68"/>
      <c r="O68"/>
      <c r="P68"/>
      <c r="Q68"/>
      <c r="R68"/>
      <c r="S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S68" s="3" t="s">
        <v>155</v>
      </c>
      <c r="AV68" s="8">
        <v>7.3057120862182502E-3</v>
      </c>
      <c r="BB68" s="8">
        <v>7.3057120862182502E-3</v>
      </c>
      <c r="BC68"/>
      <c r="BD68"/>
    </row>
    <row r="69" spans="1:57" s="8" customFormat="1" x14ac:dyDescent="0.25">
      <c r="A69" s="3" t="s">
        <v>59</v>
      </c>
      <c r="B69" s="8">
        <v>-65300222.144696832</v>
      </c>
      <c r="C69" s="8">
        <v>-29736.210300322</v>
      </c>
      <c r="D69" s="8">
        <v>2069808.7191000001</v>
      </c>
      <c r="E69" s="8">
        <v>-3343661.14685563</v>
      </c>
      <c r="F69" s="8">
        <v>34995150</v>
      </c>
      <c r="G69" s="8">
        <v>-31608660.782752767</v>
      </c>
      <c r="H69"/>
      <c r="I69"/>
      <c r="K69"/>
      <c r="L69"/>
      <c r="M69"/>
      <c r="N69"/>
      <c r="O69"/>
      <c r="P69"/>
      <c r="Q69"/>
      <c r="R69"/>
      <c r="S69"/>
      <c r="AD69"/>
      <c r="AE69"/>
      <c r="AF69"/>
      <c r="AG69"/>
      <c r="AS69" s="3" t="s">
        <v>156</v>
      </c>
      <c r="AV69" s="8">
        <v>6.6126062963526102E-4</v>
      </c>
      <c r="BB69" s="8">
        <v>6.6126062963526102E-4</v>
      </c>
      <c r="BC69"/>
      <c r="BD69"/>
    </row>
    <row r="70" spans="1:57" s="8" customFormat="1" x14ac:dyDescent="0.25">
      <c r="A70"/>
      <c r="B70"/>
      <c r="C70"/>
      <c r="D70"/>
      <c r="E70"/>
      <c r="F70"/>
      <c r="G70"/>
      <c r="H70"/>
      <c r="I70"/>
      <c r="K70"/>
      <c r="L70"/>
      <c r="M70"/>
      <c r="N70"/>
      <c r="O70"/>
      <c r="P70"/>
      <c r="Q70"/>
      <c r="R70"/>
      <c r="S70"/>
      <c r="AD70"/>
      <c r="AE70"/>
      <c r="AF70"/>
      <c r="AG70"/>
      <c r="AS70" s="3" t="s">
        <v>101</v>
      </c>
      <c r="AV70" s="8">
        <v>14713.937917793688</v>
      </c>
      <c r="BB70" s="8">
        <v>14713.937917793688</v>
      </c>
      <c r="BC70"/>
      <c r="BD70"/>
    </row>
    <row r="71" spans="1:57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AD71"/>
      <c r="AE71"/>
      <c r="AF71"/>
      <c r="AG71"/>
      <c r="AS71" s="3" t="s">
        <v>184</v>
      </c>
      <c r="AV71" s="8">
        <v>31408.321681189798</v>
      </c>
      <c r="BB71" s="8">
        <v>31408.321681189798</v>
      </c>
      <c r="BC71"/>
      <c r="BD71"/>
    </row>
    <row r="72" spans="1:57" s="8" customFormat="1" x14ac:dyDescent="0.25">
      <c r="A72"/>
      <c r="B72"/>
      <c r="C72"/>
      <c r="D72"/>
      <c r="E72"/>
      <c r="F72"/>
      <c r="G72"/>
      <c r="H72"/>
      <c r="I72"/>
      <c r="AD72"/>
      <c r="AE72"/>
      <c r="AF72"/>
      <c r="AG72"/>
      <c r="AS72" s="3" t="s">
        <v>38</v>
      </c>
      <c r="AV72" s="8">
        <v>1574883.9694513008</v>
      </c>
      <c r="AW72" s="8">
        <v>-815505.64</v>
      </c>
      <c r="BB72" s="8">
        <v>759378.32945130079</v>
      </c>
      <c r="BC72"/>
      <c r="BD72"/>
    </row>
    <row r="73" spans="1:57" s="8" customFormat="1" x14ac:dyDescent="0.25">
      <c r="A73"/>
      <c r="B73"/>
      <c r="C73"/>
      <c r="D73"/>
      <c r="E73"/>
      <c r="F73"/>
      <c r="G73"/>
      <c r="H73"/>
      <c r="I73"/>
      <c r="AD73"/>
      <c r="AE73"/>
      <c r="AF73"/>
      <c r="AG73"/>
      <c r="AQ73"/>
      <c r="AS73" s="3" t="s">
        <v>157</v>
      </c>
      <c r="AV73" s="8">
        <v>5317.0028794359969</v>
      </c>
      <c r="BB73" s="8">
        <v>5317.0028794359969</v>
      </c>
      <c r="BC73"/>
      <c r="BD73"/>
    </row>
    <row r="74" spans="1:57" s="8" customFormat="1" x14ac:dyDescent="0.25">
      <c r="K74"/>
      <c r="AQ74"/>
      <c r="AS74" s="3" t="s">
        <v>158</v>
      </c>
      <c r="AV74" s="8">
        <v>5874.2456954794798</v>
      </c>
      <c r="BB74" s="8">
        <v>5874.2456954794798</v>
      </c>
      <c r="BC74"/>
      <c r="BD74"/>
    </row>
    <row r="75" spans="1:57" x14ac:dyDescent="0.25">
      <c r="AN75"/>
      <c r="AO75"/>
      <c r="AP75"/>
      <c r="AS75" s="3" t="s">
        <v>159</v>
      </c>
      <c r="AT75" s="8"/>
      <c r="AU75" s="8"/>
      <c r="AV75" s="8">
        <v>9.9667326333820299</v>
      </c>
      <c r="AW75" s="8"/>
      <c r="AX75" s="8"/>
      <c r="AY75" s="8"/>
      <c r="AZ75" s="8"/>
      <c r="BA75" s="8"/>
      <c r="BB75" s="8">
        <v>9.9667326333820299</v>
      </c>
      <c r="BE75" s="8"/>
    </row>
    <row r="76" spans="1:57" x14ac:dyDescent="0.25">
      <c r="AN76"/>
      <c r="AO76"/>
      <c r="AP76"/>
      <c r="AS76" s="3" t="s">
        <v>26</v>
      </c>
      <c r="AT76" s="8"/>
      <c r="AU76" s="8"/>
      <c r="AV76" s="8">
        <v>2.5174786941756908</v>
      </c>
      <c r="AW76" s="8"/>
      <c r="AX76" s="8"/>
      <c r="AY76" s="8"/>
      <c r="AZ76" s="8"/>
      <c r="BA76" s="8"/>
      <c r="BB76" s="8">
        <v>2.5174786941756908</v>
      </c>
      <c r="BE76" s="8"/>
    </row>
    <row r="77" spans="1:57" x14ac:dyDescent="0.25">
      <c r="AN77"/>
      <c r="AO77"/>
      <c r="AP77"/>
      <c r="AS77" s="3" t="s">
        <v>182</v>
      </c>
      <c r="AT77" s="8"/>
      <c r="AU77" s="8"/>
      <c r="AV77" s="8">
        <v>5.8358694645149999E-3</v>
      </c>
      <c r="AW77" s="8"/>
      <c r="AX77" s="8"/>
      <c r="AY77" s="8"/>
      <c r="AZ77" s="8"/>
      <c r="BA77" s="8"/>
      <c r="BB77" s="8">
        <v>5.8358694645149999E-3</v>
      </c>
      <c r="BE77" s="8"/>
    </row>
    <row r="78" spans="1:57" x14ac:dyDescent="0.25">
      <c r="A78" s="8"/>
      <c r="B78" s="8"/>
      <c r="C78" s="8"/>
      <c r="D78" s="8"/>
      <c r="E78" s="8"/>
      <c r="F78" s="8"/>
      <c r="G78" s="8"/>
      <c r="H78" s="8"/>
      <c r="I78" s="8"/>
      <c r="AN78"/>
      <c r="AO78"/>
      <c r="AP78"/>
      <c r="AS78" s="3" t="s">
        <v>160</v>
      </c>
      <c r="AT78" s="8"/>
      <c r="AU78" s="8"/>
      <c r="AV78" s="8">
        <v>2.4075889084370101E-4</v>
      </c>
      <c r="AW78" s="8"/>
      <c r="AX78" s="8"/>
      <c r="AY78" s="8"/>
      <c r="AZ78" s="8"/>
      <c r="BA78" s="8"/>
      <c r="BB78" s="8">
        <v>2.4075889084370101E-4</v>
      </c>
      <c r="BE78" s="8"/>
    </row>
    <row r="79" spans="1:57" x14ac:dyDescent="0.25">
      <c r="AN79"/>
      <c r="AO79"/>
      <c r="AP79"/>
      <c r="AS79" s="3" t="s">
        <v>161</v>
      </c>
      <c r="AT79" s="8"/>
      <c r="AU79" s="8"/>
      <c r="AV79" s="8">
        <v>19.9996805291984</v>
      </c>
      <c r="AW79" s="8"/>
      <c r="AX79" s="8"/>
      <c r="AY79" s="8"/>
      <c r="AZ79" s="8"/>
      <c r="BA79" s="8"/>
      <c r="BB79" s="8">
        <v>19.9996805291984</v>
      </c>
      <c r="BE79" s="8"/>
    </row>
    <row r="80" spans="1:57" x14ac:dyDescent="0.25">
      <c r="AN80"/>
      <c r="AO80"/>
      <c r="AP80"/>
      <c r="AS80" s="3" t="s">
        <v>162</v>
      </c>
      <c r="AT80" s="8"/>
      <c r="AU80" s="8"/>
      <c r="AV80" s="8">
        <v>1498.8512345638228</v>
      </c>
      <c r="AW80" s="8"/>
      <c r="AX80" s="8"/>
      <c r="AY80" s="8"/>
      <c r="AZ80" s="8"/>
      <c r="BA80" s="8"/>
      <c r="BB80" s="8">
        <v>1498.8512345638228</v>
      </c>
      <c r="BE80" s="8"/>
    </row>
    <row r="81" spans="9:57" x14ac:dyDescent="0.25">
      <c r="AN81"/>
      <c r="AO81"/>
      <c r="AP81"/>
      <c r="AS81" s="3" t="s">
        <v>98</v>
      </c>
      <c r="AT81" s="8"/>
      <c r="AU81" s="8">
        <v>74234766.36559251</v>
      </c>
      <c r="AV81" s="8"/>
      <c r="AW81" s="8"/>
      <c r="AX81" s="8"/>
      <c r="AY81" s="8"/>
      <c r="AZ81" s="8"/>
      <c r="BA81" s="8"/>
      <c r="BB81" s="8">
        <v>74234766.36559251</v>
      </c>
      <c r="BE81" s="8"/>
    </row>
    <row r="82" spans="9:57" x14ac:dyDescent="0.25">
      <c r="AN82"/>
      <c r="AO82"/>
      <c r="AP82"/>
      <c r="AS82" s="3" t="s">
        <v>95</v>
      </c>
      <c r="AT82" s="8"/>
      <c r="AU82" s="8"/>
      <c r="AV82" s="8">
        <v>-56122869.219687894</v>
      </c>
      <c r="AW82" s="8"/>
      <c r="AX82" s="8"/>
      <c r="AY82" s="8"/>
      <c r="AZ82" s="8"/>
      <c r="BA82" s="8"/>
      <c r="BB82" s="8">
        <v>-56122869.219687894</v>
      </c>
      <c r="BE82" s="8"/>
    </row>
    <row r="83" spans="9:57" x14ac:dyDescent="0.25">
      <c r="I83" s="8"/>
      <c r="AN83"/>
      <c r="AO83"/>
      <c r="AP83"/>
      <c r="AS83" s="3" t="s">
        <v>163</v>
      </c>
      <c r="AT83" s="8"/>
      <c r="AU83" s="8"/>
      <c r="AV83" s="8">
        <v>0.34804517992871897</v>
      </c>
      <c r="AW83" s="8"/>
      <c r="AX83" s="8"/>
      <c r="AY83" s="8"/>
      <c r="AZ83" s="8"/>
      <c r="BA83" s="8"/>
      <c r="BB83" s="8">
        <v>0.34804517992871897</v>
      </c>
      <c r="BE83" s="8"/>
    </row>
    <row r="84" spans="9:57" x14ac:dyDescent="0.25">
      <c r="I84" s="8"/>
      <c r="AN84"/>
      <c r="AO84"/>
      <c r="AP84"/>
      <c r="AS84" s="3" t="s">
        <v>39</v>
      </c>
      <c r="AT84" s="8"/>
      <c r="AU84" s="8"/>
      <c r="AV84" s="8">
        <v>13178864.845137885</v>
      </c>
      <c r="AW84" s="8"/>
      <c r="AX84" s="8"/>
      <c r="AY84" s="8"/>
      <c r="AZ84" s="8"/>
      <c r="BA84" s="8"/>
      <c r="BB84" s="8">
        <v>13178864.845137885</v>
      </c>
      <c r="BE84" s="8"/>
    </row>
    <row r="85" spans="9:57" x14ac:dyDescent="0.25">
      <c r="I85" s="8"/>
      <c r="AS85" s="3" t="s">
        <v>99</v>
      </c>
      <c r="AT85" s="8"/>
      <c r="AU85" s="8"/>
      <c r="AV85" s="8">
        <v>0</v>
      </c>
      <c r="AW85" s="8"/>
      <c r="AX85" s="8"/>
      <c r="AY85" s="8"/>
      <c r="AZ85" s="8"/>
      <c r="BA85" s="8"/>
      <c r="BB85" s="8">
        <v>0</v>
      </c>
      <c r="BE85" s="8"/>
    </row>
    <row r="86" spans="9:57" x14ac:dyDescent="0.25">
      <c r="I86" s="8"/>
      <c r="AF86"/>
      <c r="AG86"/>
      <c r="AS86" s="3" t="s">
        <v>199</v>
      </c>
      <c r="AT86" s="8"/>
      <c r="AU86" s="8"/>
      <c r="AV86" s="8">
        <v>-1.3878582842920431</v>
      </c>
      <c r="AW86" s="8"/>
      <c r="AX86" s="8"/>
      <c r="AY86" s="8"/>
      <c r="AZ86" s="8"/>
      <c r="BA86" s="8"/>
      <c r="BB86" s="8">
        <v>-1.3878582842920431</v>
      </c>
      <c r="BE86" s="8"/>
    </row>
    <row r="87" spans="9:57" x14ac:dyDescent="0.25">
      <c r="I87" s="8"/>
      <c r="AF87"/>
      <c r="AG87"/>
      <c r="AS87" s="3" t="s">
        <v>164</v>
      </c>
      <c r="AT87" s="8"/>
      <c r="AU87" s="8"/>
      <c r="AV87" s="8">
        <v>2.1650087385953701E-4</v>
      </c>
      <c r="AW87" s="8"/>
      <c r="AX87" s="8"/>
      <c r="AY87" s="8"/>
      <c r="AZ87" s="8"/>
      <c r="BA87" s="8"/>
      <c r="BB87" s="8">
        <v>2.1650087385953701E-4</v>
      </c>
      <c r="BE87" s="8"/>
    </row>
    <row r="88" spans="9:57" x14ac:dyDescent="0.25">
      <c r="I88" s="8"/>
      <c r="AF88"/>
      <c r="AG88"/>
      <c r="AS88" s="3" t="s">
        <v>260</v>
      </c>
      <c r="AT88" s="8"/>
      <c r="AU88" s="8"/>
      <c r="AV88" s="8">
        <v>202282.976567092</v>
      </c>
      <c r="AW88" s="8"/>
      <c r="AX88" s="8"/>
      <c r="AY88" s="8"/>
      <c r="AZ88" s="8"/>
      <c r="BA88" s="8"/>
      <c r="BB88" s="8">
        <v>202282.976567092</v>
      </c>
      <c r="BE88" s="8"/>
    </row>
    <row r="89" spans="9:57" x14ac:dyDescent="0.25">
      <c r="I89" s="8"/>
      <c r="AF89"/>
      <c r="AG89"/>
      <c r="AS89" s="3" t="s">
        <v>188</v>
      </c>
      <c r="AT89" s="8"/>
      <c r="AU89" s="8"/>
      <c r="AV89" s="8">
        <v>222148.28450126699</v>
      </c>
      <c r="AW89" s="8"/>
      <c r="AX89" s="8"/>
      <c r="AY89" s="8"/>
      <c r="AZ89" s="8"/>
      <c r="BA89" s="8"/>
      <c r="BB89" s="8">
        <v>222148.28450126699</v>
      </c>
      <c r="BE89" s="8"/>
    </row>
    <row r="90" spans="9:57" x14ac:dyDescent="0.25">
      <c r="I90" s="8"/>
      <c r="AF90"/>
      <c r="AG90"/>
      <c r="AS90" s="3" t="s">
        <v>165</v>
      </c>
      <c r="AT90" s="8"/>
      <c r="AU90" s="8"/>
      <c r="AV90" s="8">
        <v>2824.1969782590322</v>
      </c>
      <c r="AW90" s="8"/>
      <c r="AX90" s="8"/>
      <c r="AY90" s="8"/>
      <c r="AZ90" s="8"/>
      <c r="BA90" s="8"/>
      <c r="BB90" s="8">
        <v>2824.1969782590322</v>
      </c>
      <c r="BE90" s="8"/>
    </row>
    <row r="91" spans="9:57" x14ac:dyDescent="0.25">
      <c r="AF91"/>
      <c r="AG91"/>
      <c r="AH91" s="8"/>
      <c r="AO91"/>
      <c r="AP91"/>
      <c r="AS91" s="3" t="s">
        <v>166</v>
      </c>
      <c r="AT91" s="8"/>
      <c r="AU91" s="8"/>
      <c r="AV91" s="8">
        <v>213.57744089412154</v>
      </c>
      <c r="AW91" s="8"/>
      <c r="AX91" s="8"/>
      <c r="AY91" s="8"/>
      <c r="AZ91" s="8"/>
      <c r="BA91" s="8"/>
      <c r="BB91" s="8">
        <v>213.57744089412154</v>
      </c>
      <c r="BE91" s="8"/>
    </row>
    <row r="92" spans="9:57" x14ac:dyDescent="0.25">
      <c r="AF92"/>
      <c r="AG92"/>
      <c r="AH92" s="8"/>
      <c r="AO92"/>
      <c r="AP92"/>
      <c r="AS92" s="3" t="s">
        <v>102</v>
      </c>
      <c r="AT92" s="8"/>
      <c r="AU92" s="8"/>
      <c r="AV92" s="8">
        <v>50695.309968311492</v>
      </c>
      <c r="AW92" s="8"/>
      <c r="AX92" s="8"/>
      <c r="AY92" s="8"/>
      <c r="AZ92" s="8"/>
      <c r="BA92" s="8"/>
      <c r="BB92" s="8">
        <v>50695.309968311492</v>
      </c>
      <c r="BE92" s="8"/>
    </row>
    <row r="93" spans="9:57" x14ac:dyDescent="0.25">
      <c r="AF93"/>
      <c r="AG93"/>
      <c r="AH93" s="8"/>
      <c r="AO93"/>
      <c r="AP93"/>
      <c r="AS93" s="3" t="s">
        <v>167</v>
      </c>
      <c r="AT93" s="8"/>
      <c r="AU93" s="8"/>
      <c r="AV93" s="8">
        <v>-1.1214699041302083</v>
      </c>
      <c r="AW93" s="8"/>
      <c r="AX93" s="8"/>
      <c r="AY93" s="8"/>
      <c r="AZ93" s="8"/>
      <c r="BA93" s="8"/>
      <c r="BB93" s="8">
        <v>-1.1214699041302083</v>
      </c>
      <c r="BE93" s="8"/>
    </row>
    <row r="94" spans="9:57" x14ac:dyDescent="0.25">
      <c r="AF94"/>
      <c r="AG94"/>
      <c r="AH94" s="8"/>
      <c r="AO94"/>
      <c r="AP94"/>
      <c r="AS94" s="3" t="s">
        <v>174</v>
      </c>
      <c r="AT94" s="8"/>
      <c r="AU94" s="8"/>
      <c r="AV94" s="8">
        <v>26204.910938232431</v>
      </c>
      <c r="AW94" s="8"/>
      <c r="AX94" s="8"/>
      <c r="AY94" s="8"/>
      <c r="AZ94" s="8"/>
      <c r="BA94" s="8"/>
      <c r="BB94" s="8">
        <v>26204.910938232431</v>
      </c>
      <c r="BE94" s="8"/>
    </row>
    <row r="95" spans="9:57" x14ac:dyDescent="0.25">
      <c r="AF95"/>
      <c r="AG95"/>
      <c r="AH95" s="8"/>
      <c r="AO95"/>
      <c r="AP95"/>
      <c r="AS95" s="3" t="s">
        <v>120</v>
      </c>
      <c r="AT95" s="8"/>
      <c r="AU95" s="8"/>
      <c r="AV95" s="8">
        <v>21.126042696669181</v>
      </c>
      <c r="AW95" s="8"/>
      <c r="AX95" s="8"/>
      <c r="AY95" s="8"/>
      <c r="AZ95" s="8"/>
      <c r="BA95" s="8"/>
      <c r="BB95" s="8">
        <v>21.126042696669181</v>
      </c>
      <c r="BE95" s="8"/>
    </row>
    <row r="96" spans="9:57" x14ac:dyDescent="0.25">
      <c r="AF96"/>
      <c r="AG96"/>
      <c r="AH96" s="8"/>
      <c r="AO96"/>
      <c r="AP96"/>
      <c r="AS96" s="3" t="s">
        <v>168</v>
      </c>
      <c r="AT96" s="8"/>
      <c r="AU96" s="8"/>
      <c r="AV96" s="8">
        <v>1.0078858162692401E-2</v>
      </c>
      <c r="AW96" s="8"/>
      <c r="AX96" s="8"/>
      <c r="AY96" s="8"/>
      <c r="AZ96" s="8"/>
      <c r="BA96" s="8"/>
      <c r="BB96" s="8">
        <v>1.0078858162692401E-2</v>
      </c>
      <c r="BE96" s="8"/>
    </row>
    <row r="97" spans="2:57" x14ac:dyDescent="0.25">
      <c r="AF97"/>
      <c r="AG97"/>
      <c r="AH97" s="8"/>
      <c r="AO97"/>
      <c r="AP97"/>
      <c r="AS97" s="3" t="s">
        <v>27</v>
      </c>
      <c r="AT97" s="8"/>
      <c r="AU97" s="8"/>
      <c r="AV97" s="8">
        <v>19603.266072312428</v>
      </c>
      <c r="AW97" s="8">
        <v>-18559.9548</v>
      </c>
      <c r="AX97" s="8"/>
      <c r="AY97" s="8"/>
      <c r="AZ97" s="8"/>
      <c r="BA97" s="8"/>
      <c r="BB97" s="8">
        <v>1043.3112723124286</v>
      </c>
      <c r="BE97" s="8"/>
    </row>
    <row r="98" spans="2:57" x14ac:dyDescent="0.25">
      <c r="B98" s="8"/>
      <c r="C98" s="8"/>
      <c r="D98" s="8"/>
      <c r="E98" s="8"/>
      <c r="F98" s="8"/>
      <c r="G98" s="8"/>
      <c r="H98" s="8"/>
      <c r="AF98"/>
      <c r="AG98"/>
      <c r="AH98" s="8"/>
      <c r="AO98"/>
      <c r="AP98"/>
      <c r="AS98" s="3" t="s">
        <v>284</v>
      </c>
      <c r="AT98" s="8"/>
      <c r="AU98" s="8"/>
      <c r="AV98" s="8"/>
      <c r="AW98" s="8"/>
      <c r="AX98" s="8"/>
      <c r="AY98" s="8"/>
      <c r="AZ98" s="8"/>
      <c r="BA98" s="8"/>
      <c r="BB98" s="8"/>
      <c r="BE98" s="8"/>
    </row>
    <row r="99" spans="2:57" x14ac:dyDescent="0.25">
      <c r="AF99"/>
      <c r="AG99"/>
      <c r="AH99" s="8"/>
      <c r="AO99"/>
      <c r="AP99"/>
      <c r="AS99" s="3" t="s">
        <v>670</v>
      </c>
      <c r="AT99" s="8"/>
      <c r="AU99" s="8"/>
      <c r="AV99" s="8">
        <v>168275.44119131</v>
      </c>
      <c r="AW99" s="8"/>
      <c r="AX99" s="8"/>
      <c r="AY99" s="8"/>
      <c r="AZ99" s="8"/>
      <c r="BA99" s="8"/>
      <c r="BB99" s="8">
        <v>168275.44119131</v>
      </c>
      <c r="BE99" s="8"/>
    </row>
    <row r="100" spans="2:57" x14ac:dyDescent="0.25">
      <c r="AF100"/>
      <c r="AG100"/>
      <c r="AH100" s="8"/>
      <c r="AI100" s="8"/>
      <c r="AN100"/>
      <c r="AO100"/>
      <c r="AP100"/>
      <c r="AS100" s="3" t="s">
        <v>1176</v>
      </c>
      <c r="AT100" s="8"/>
      <c r="AU100" s="8"/>
      <c r="AV100" s="8">
        <v>522674.40974300198</v>
      </c>
      <c r="AW100" s="8"/>
      <c r="AX100" s="8"/>
      <c r="AY100" s="8"/>
      <c r="AZ100" s="8"/>
      <c r="BA100" s="8"/>
      <c r="BB100" s="8">
        <v>522674.40974300198</v>
      </c>
      <c r="BE100" s="8"/>
    </row>
    <row r="101" spans="2:57" x14ac:dyDescent="0.25">
      <c r="AF101"/>
      <c r="AG101"/>
      <c r="AH101" s="8"/>
      <c r="AI101" s="8"/>
      <c r="AN101"/>
      <c r="AO101"/>
      <c r="AP101"/>
      <c r="AS101" s="3" t="s">
        <v>313</v>
      </c>
      <c r="AT101" s="8"/>
      <c r="AU101" s="8"/>
      <c r="AV101" s="8">
        <v>26.842364961398999</v>
      </c>
      <c r="AW101" s="8"/>
      <c r="AX101" s="8"/>
      <c r="AY101" s="8"/>
      <c r="AZ101" s="8"/>
      <c r="BA101" s="8"/>
      <c r="BB101" s="8">
        <v>26.842364961398999</v>
      </c>
      <c r="BE101" s="8"/>
    </row>
    <row r="102" spans="2:57" x14ac:dyDescent="0.25">
      <c r="AF102"/>
      <c r="AG102"/>
      <c r="AH102" s="8"/>
      <c r="AI102" s="8"/>
      <c r="AN102"/>
      <c r="AO102"/>
      <c r="AP102"/>
      <c r="AS102" s="3" t="s">
        <v>314</v>
      </c>
      <c r="AT102" s="8"/>
      <c r="AU102" s="8"/>
      <c r="AV102" s="8">
        <v>787.63144938300502</v>
      </c>
      <c r="AW102" s="8"/>
      <c r="AX102" s="8"/>
      <c r="AY102" s="8"/>
      <c r="AZ102" s="8"/>
      <c r="BA102" s="8"/>
      <c r="BB102" s="8">
        <v>787.63144938300502</v>
      </c>
      <c r="BE102" s="8"/>
    </row>
    <row r="103" spans="2:57" x14ac:dyDescent="0.25"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H103" s="8"/>
      <c r="AI103" s="8"/>
      <c r="AN103"/>
      <c r="AO103"/>
      <c r="AP103"/>
      <c r="AS103" s="3" t="s">
        <v>315</v>
      </c>
      <c r="AT103" s="8"/>
      <c r="AU103" s="8"/>
      <c r="AV103" s="8">
        <v>799906.53314526705</v>
      </c>
      <c r="AW103" s="8"/>
      <c r="AX103" s="8"/>
      <c r="AY103" s="8"/>
      <c r="AZ103" s="8"/>
      <c r="BA103" s="8"/>
      <c r="BB103" s="8">
        <v>799906.53314526705</v>
      </c>
      <c r="BE103" s="8"/>
    </row>
    <row r="104" spans="2:57" x14ac:dyDescent="0.25"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H104" s="8"/>
      <c r="AI104" s="8"/>
      <c r="AS104" s="3" t="s">
        <v>297</v>
      </c>
      <c r="AT104" s="8"/>
      <c r="AU104" s="8"/>
      <c r="AV104" s="8">
        <v>2259.6461623143196</v>
      </c>
      <c r="AW104" s="8"/>
      <c r="AX104" s="8"/>
      <c r="AY104" s="8"/>
      <c r="AZ104" s="8"/>
      <c r="BA104" s="8"/>
      <c r="BB104" s="8">
        <v>2259.6461623143196</v>
      </c>
      <c r="BE104" s="8"/>
    </row>
    <row r="105" spans="2:57" x14ac:dyDescent="0.25">
      <c r="U105" s="8"/>
      <c r="AS105" s="3" t="s">
        <v>298</v>
      </c>
      <c r="AT105" s="8"/>
      <c r="AU105" s="8"/>
      <c r="AV105" s="8">
        <v>4.2092775676247699E-6</v>
      </c>
      <c r="AW105" s="8"/>
      <c r="AX105" s="8"/>
      <c r="AY105" s="8"/>
      <c r="AZ105" s="8"/>
      <c r="BA105" s="8"/>
      <c r="BB105" s="8">
        <v>4.2092775676247699E-6</v>
      </c>
      <c r="BE105" s="8"/>
    </row>
    <row r="106" spans="2:57" x14ac:dyDescent="0.25">
      <c r="U106" s="8"/>
      <c r="AS106" s="3" t="s">
        <v>308</v>
      </c>
      <c r="AT106" s="8"/>
      <c r="AU106" s="8"/>
      <c r="AV106" s="8">
        <v>0</v>
      </c>
      <c r="AW106" s="8"/>
      <c r="AX106" s="8"/>
      <c r="AY106" s="8"/>
      <c r="AZ106" s="8"/>
      <c r="BA106" s="8"/>
      <c r="BB106" s="8">
        <v>0</v>
      </c>
      <c r="BE106" s="8"/>
    </row>
    <row r="107" spans="2:57" x14ac:dyDescent="0.25">
      <c r="U107" s="8"/>
      <c r="AS107" s="3" t="s">
        <v>309</v>
      </c>
      <c r="AT107" s="8"/>
      <c r="AU107" s="8"/>
      <c r="AV107" s="8">
        <v>0</v>
      </c>
      <c r="AW107" s="8"/>
      <c r="AX107" s="8"/>
      <c r="AY107" s="8"/>
      <c r="AZ107" s="8"/>
      <c r="BA107" s="8"/>
      <c r="BB107" s="8">
        <v>0</v>
      </c>
      <c r="BE107" s="8"/>
    </row>
    <row r="108" spans="2:57" x14ac:dyDescent="0.25">
      <c r="U108" s="8"/>
      <c r="AS108" s="3" t="s">
        <v>310</v>
      </c>
      <c r="AT108" s="8"/>
      <c r="AU108" s="8"/>
      <c r="AV108" s="8">
        <v>0</v>
      </c>
      <c r="AW108" s="8"/>
      <c r="AX108" s="8"/>
      <c r="AY108" s="8"/>
      <c r="AZ108" s="8"/>
      <c r="BA108" s="8"/>
      <c r="BB108" s="8">
        <v>0</v>
      </c>
      <c r="BE108" s="8"/>
    </row>
    <row r="109" spans="2:57" x14ac:dyDescent="0.25">
      <c r="U109" s="8"/>
      <c r="AS109" s="3" t="s">
        <v>324</v>
      </c>
      <c r="AT109" s="8"/>
      <c r="AU109" s="8"/>
      <c r="AV109" s="8">
        <v>0</v>
      </c>
      <c r="AW109" s="8"/>
      <c r="AX109" s="8"/>
      <c r="AY109" s="8"/>
      <c r="AZ109" s="8"/>
      <c r="BA109" s="8"/>
      <c r="BB109" s="8">
        <v>0</v>
      </c>
      <c r="BE109" s="8"/>
    </row>
    <row r="110" spans="2:57" x14ac:dyDescent="0.25">
      <c r="U110" s="8"/>
      <c r="AS110" s="3" t="s">
        <v>704</v>
      </c>
      <c r="AT110" s="8"/>
      <c r="AU110" s="8"/>
      <c r="AV110" s="8">
        <v>0</v>
      </c>
      <c r="AW110" s="8"/>
      <c r="AX110" s="8"/>
      <c r="AY110" s="8"/>
      <c r="AZ110" s="8"/>
      <c r="BA110" s="8"/>
      <c r="BB110" s="8">
        <v>0</v>
      </c>
      <c r="BE110" s="8"/>
    </row>
    <row r="111" spans="2:57" x14ac:dyDescent="0.25">
      <c r="U111" s="8"/>
      <c r="AS111" s="3" t="s">
        <v>705</v>
      </c>
      <c r="AT111" s="8"/>
      <c r="AU111" s="8"/>
      <c r="AV111" s="8">
        <v>0</v>
      </c>
      <c r="AW111" s="8"/>
      <c r="AX111" s="8"/>
      <c r="AY111" s="8"/>
      <c r="AZ111" s="8"/>
      <c r="BA111" s="8"/>
      <c r="BB111" s="8">
        <v>0</v>
      </c>
      <c r="BE111" s="8"/>
    </row>
    <row r="112" spans="2:57" x14ac:dyDescent="0.25">
      <c r="U112" s="8"/>
      <c r="AS112" s="3" t="s">
        <v>714</v>
      </c>
      <c r="AT112" s="8"/>
      <c r="AU112" s="8"/>
      <c r="AV112" s="8">
        <v>0</v>
      </c>
      <c r="AW112" s="8"/>
      <c r="AX112" s="8"/>
      <c r="AY112" s="8"/>
      <c r="AZ112" s="8"/>
      <c r="BA112" s="8"/>
      <c r="BB112" s="8">
        <v>0</v>
      </c>
      <c r="BE112" s="8"/>
    </row>
    <row r="113" spans="21:57" x14ac:dyDescent="0.25">
      <c r="U113" s="8"/>
      <c r="AS113" s="3" t="s">
        <v>715</v>
      </c>
      <c r="AT113" s="8"/>
      <c r="AU113" s="8"/>
      <c r="AV113" s="8">
        <v>0</v>
      </c>
      <c r="AW113" s="8"/>
      <c r="AX113" s="8"/>
      <c r="AY113" s="8"/>
      <c r="AZ113" s="8"/>
      <c r="BA113" s="8"/>
      <c r="BB113" s="8">
        <v>0</v>
      </c>
      <c r="BE113" s="8"/>
    </row>
    <row r="114" spans="21:57" x14ac:dyDescent="0.25">
      <c r="U114" s="8"/>
      <c r="AS114" s="3" t="s">
        <v>716</v>
      </c>
      <c r="AT114" s="8"/>
      <c r="AU114" s="8"/>
      <c r="AV114" s="8">
        <v>0</v>
      </c>
      <c r="AW114" s="8"/>
      <c r="AX114" s="8"/>
      <c r="AY114" s="8"/>
      <c r="AZ114" s="8"/>
      <c r="BA114" s="8"/>
      <c r="BB114" s="8">
        <v>0</v>
      </c>
      <c r="BC114" s="8"/>
      <c r="BD114" s="8"/>
      <c r="BE114" s="8"/>
    </row>
    <row r="115" spans="21:57" x14ac:dyDescent="0.25">
      <c r="U115" s="8"/>
      <c r="AS115" s="3" t="s">
        <v>717</v>
      </c>
      <c r="AT115" s="8"/>
      <c r="AU115" s="8"/>
      <c r="AV115" s="8">
        <v>0</v>
      </c>
      <c r="AW115" s="8"/>
      <c r="AX115" s="8"/>
      <c r="AY115" s="8"/>
      <c r="AZ115" s="8"/>
      <c r="BA115" s="8"/>
      <c r="BB115" s="8">
        <v>0</v>
      </c>
      <c r="BC115" s="8"/>
      <c r="BD115" s="8"/>
      <c r="BE115" s="8"/>
    </row>
    <row r="116" spans="21:57" x14ac:dyDescent="0.25">
      <c r="U116" s="8"/>
      <c r="AS116" s="3" t="s">
        <v>567</v>
      </c>
      <c r="AT116" s="8"/>
      <c r="AU116" s="8"/>
      <c r="AV116" s="8">
        <v>561.07015232674166</v>
      </c>
      <c r="AW116" s="8"/>
      <c r="AX116" s="8"/>
      <c r="AY116" s="8"/>
      <c r="AZ116" s="8"/>
      <c r="BA116" s="8"/>
      <c r="BB116" s="8">
        <v>561.07015232674166</v>
      </c>
      <c r="BC116" s="8"/>
      <c r="BD116" s="8"/>
      <c r="BE116" s="8"/>
    </row>
    <row r="117" spans="21:57" x14ac:dyDescent="0.25">
      <c r="U117" s="8"/>
      <c r="W117" s="42"/>
      <c r="AS117" s="3" t="s">
        <v>615</v>
      </c>
      <c r="AT117" s="8"/>
      <c r="AU117" s="8"/>
      <c r="AV117" s="8">
        <v>80.60642302758788</v>
      </c>
      <c r="AW117" s="8"/>
      <c r="AX117" s="8"/>
      <c r="AY117" s="8"/>
      <c r="AZ117" s="8"/>
      <c r="BA117" s="8"/>
      <c r="BB117" s="8">
        <v>80.60642302758788</v>
      </c>
      <c r="BC117" s="8"/>
      <c r="BD117" s="8"/>
      <c r="BE117" s="8"/>
    </row>
    <row r="118" spans="21:57" x14ac:dyDescent="0.25">
      <c r="U118" s="8"/>
      <c r="AS118" s="3" t="s">
        <v>720</v>
      </c>
      <c r="AT118" s="8"/>
      <c r="AU118" s="8"/>
      <c r="AV118" s="8">
        <v>0</v>
      </c>
      <c r="AW118" s="8"/>
      <c r="AX118" s="8"/>
      <c r="AY118" s="8"/>
      <c r="AZ118" s="8"/>
      <c r="BA118" s="8"/>
      <c r="BB118" s="8">
        <v>0</v>
      </c>
      <c r="BC118" s="8"/>
      <c r="BD118" s="8"/>
      <c r="BE118" s="8"/>
    </row>
    <row r="119" spans="21:57" x14ac:dyDescent="0.25">
      <c r="U119" s="8"/>
      <c r="AS119" s="3" t="s">
        <v>635</v>
      </c>
      <c r="AT119" s="8"/>
      <c r="AU119" s="8"/>
      <c r="AV119" s="8">
        <v>-9.417978466824934</v>
      </c>
      <c r="AW119" s="8"/>
      <c r="AX119" s="8"/>
      <c r="AY119" s="8"/>
      <c r="AZ119" s="8"/>
      <c r="BA119" s="8"/>
      <c r="BB119" s="8">
        <v>-9.417978466824934</v>
      </c>
      <c r="BC119" s="8"/>
      <c r="BD119" s="8"/>
      <c r="BE119" s="8"/>
    </row>
    <row r="120" spans="21:57" x14ac:dyDescent="0.25">
      <c r="U120" s="8"/>
      <c r="AS120" s="3" t="s">
        <v>730</v>
      </c>
      <c r="AT120" s="8"/>
      <c r="AU120" s="8"/>
      <c r="AV120" s="8">
        <v>0</v>
      </c>
      <c r="AW120" s="8"/>
      <c r="AX120" s="8"/>
      <c r="AY120" s="8"/>
      <c r="AZ120" s="8"/>
      <c r="BA120" s="8"/>
      <c r="BB120" s="8">
        <v>0</v>
      </c>
      <c r="BC120" s="8"/>
      <c r="BD120" s="8"/>
      <c r="BE120" s="8"/>
    </row>
    <row r="121" spans="21:57" x14ac:dyDescent="0.25">
      <c r="U121" s="8"/>
      <c r="AS121" s="3" t="s">
        <v>731</v>
      </c>
      <c r="AT121" s="8"/>
      <c r="AU121" s="8"/>
      <c r="AV121" s="8">
        <v>0</v>
      </c>
      <c r="AW121" s="8"/>
      <c r="AX121" s="8"/>
      <c r="AY121" s="8"/>
      <c r="AZ121" s="8"/>
      <c r="BA121" s="8"/>
      <c r="BB121" s="8">
        <v>0</v>
      </c>
      <c r="BC121" s="8"/>
      <c r="BD121" s="8"/>
      <c r="BE121" s="8"/>
    </row>
    <row r="122" spans="21:57" x14ac:dyDescent="0.25">
      <c r="U122" s="8"/>
      <c r="AS122" s="3" t="s">
        <v>732</v>
      </c>
      <c r="AT122" s="8"/>
      <c r="AU122" s="8"/>
      <c r="AV122" s="8">
        <v>2579.1970989751999</v>
      </c>
      <c r="AW122" s="8"/>
      <c r="AX122" s="8"/>
      <c r="AY122" s="8"/>
      <c r="AZ122" s="8"/>
      <c r="BA122" s="8"/>
      <c r="BB122" s="8">
        <v>2579.1970989751999</v>
      </c>
      <c r="BC122" s="8"/>
      <c r="BD122" s="8"/>
      <c r="BE122" s="8"/>
    </row>
    <row r="123" spans="21:57" x14ac:dyDescent="0.25">
      <c r="U123" s="8"/>
      <c r="AS123" s="3" t="s">
        <v>733</v>
      </c>
      <c r="AT123" s="8"/>
      <c r="AU123" s="8"/>
      <c r="AV123" s="8">
        <v>0</v>
      </c>
      <c r="AW123" s="8"/>
      <c r="AX123" s="8"/>
      <c r="AY123" s="8"/>
      <c r="AZ123" s="8"/>
      <c r="BA123" s="8"/>
      <c r="BB123" s="8">
        <v>0</v>
      </c>
      <c r="BC123" s="8"/>
      <c r="BD123" s="8"/>
      <c r="BE123" s="8"/>
    </row>
    <row r="124" spans="21:57" x14ac:dyDescent="0.25">
      <c r="U124" s="8"/>
      <c r="AS124" s="3" t="s">
        <v>734</v>
      </c>
      <c r="AT124" s="8"/>
      <c r="AU124" s="8"/>
      <c r="AV124" s="8">
        <v>0</v>
      </c>
      <c r="AW124" s="8"/>
      <c r="AX124" s="8"/>
      <c r="AY124" s="8"/>
      <c r="AZ124" s="8"/>
      <c r="BA124" s="8"/>
      <c r="BB124" s="8">
        <v>0</v>
      </c>
      <c r="BC124" s="8"/>
      <c r="BD124" s="8"/>
      <c r="BE124" s="8"/>
    </row>
    <row r="125" spans="21:57" x14ac:dyDescent="0.25">
      <c r="U125" s="8"/>
      <c r="AS125" s="3" t="s">
        <v>735</v>
      </c>
      <c r="AT125" s="8"/>
      <c r="AU125" s="8"/>
      <c r="AV125" s="8">
        <v>0</v>
      </c>
      <c r="AW125" s="8"/>
      <c r="AX125" s="8"/>
      <c r="AY125" s="8"/>
      <c r="AZ125" s="8"/>
      <c r="BA125" s="8"/>
      <c r="BB125" s="8">
        <v>0</v>
      </c>
      <c r="BC125" s="8"/>
      <c r="BD125" s="8"/>
      <c r="BE125" s="8"/>
    </row>
    <row r="126" spans="21:57" x14ac:dyDescent="0.25">
      <c r="U126" s="8"/>
      <c r="AS126" s="3" t="s">
        <v>736</v>
      </c>
      <c r="AT126" s="8"/>
      <c r="AU126" s="8"/>
      <c r="AV126" s="8">
        <v>0</v>
      </c>
      <c r="AW126" s="8"/>
      <c r="AX126" s="8"/>
      <c r="AY126" s="8"/>
      <c r="AZ126" s="8"/>
      <c r="BA126" s="8"/>
      <c r="BB126" s="8">
        <v>0</v>
      </c>
      <c r="BC126" s="8"/>
      <c r="BD126" s="8"/>
      <c r="BE126" s="8"/>
    </row>
    <row r="127" spans="21:57" x14ac:dyDescent="0.25">
      <c r="U127" s="8"/>
      <c r="AS127" s="3" t="s">
        <v>747</v>
      </c>
      <c r="AT127" s="8"/>
      <c r="AU127" s="8"/>
      <c r="AV127" s="8">
        <v>0</v>
      </c>
      <c r="AW127" s="8"/>
      <c r="AX127" s="8"/>
      <c r="AY127" s="8"/>
      <c r="AZ127" s="8"/>
      <c r="BA127" s="8"/>
      <c r="BB127" s="8">
        <v>0</v>
      </c>
      <c r="BC127" s="8"/>
      <c r="BD127" s="8"/>
      <c r="BE127" s="8"/>
    </row>
    <row r="128" spans="21:57" x14ac:dyDescent="0.25">
      <c r="U128" s="8"/>
      <c r="AS128" s="3" t="s">
        <v>748</v>
      </c>
      <c r="AT128" s="8"/>
      <c r="AU128" s="8"/>
      <c r="AV128" s="8">
        <v>0</v>
      </c>
      <c r="AW128" s="8"/>
      <c r="AX128" s="8"/>
      <c r="AY128" s="8"/>
      <c r="AZ128" s="8"/>
      <c r="BA128" s="8"/>
      <c r="BB128" s="8">
        <v>0</v>
      </c>
      <c r="BC128" s="8"/>
      <c r="BD128" s="8"/>
      <c r="BE128" s="8"/>
    </row>
    <row r="129" spans="21:57" x14ac:dyDescent="0.25">
      <c r="U129" s="8"/>
      <c r="AS129" s="3" t="s">
        <v>749</v>
      </c>
      <c r="AT129" s="8"/>
      <c r="AU129" s="8"/>
      <c r="AV129" s="8">
        <v>0</v>
      </c>
      <c r="AW129" s="8"/>
      <c r="AX129" s="8"/>
      <c r="AY129" s="8"/>
      <c r="AZ129" s="8"/>
      <c r="BA129" s="8"/>
      <c r="BB129" s="8">
        <v>0</v>
      </c>
      <c r="BC129" s="8"/>
      <c r="BD129" s="8"/>
      <c r="BE129" s="8"/>
    </row>
    <row r="130" spans="21:57" x14ac:dyDescent="0.25">
      <c r="U130" s="8"/>
      <c r="AS130" s="3" t="s">
        <v>750</v>
      </c>
      <c r="AT130" s="8"/>
      <c r="AU130" s="8"/>
      <c r="AV130" s="8">
        <v>0</v>
      </c>
      <c r="AW130" s="8"/>
      <c r="AX130" s="8"/>
      <c r="AY130" s="8"/>
      <c r="AZ130" s="8"/>
      <c r="BA130" s="8"/>
      <c r="BB130" s="8">
        <v>0</v>
      </c>
      <c r="BC130" s="8"/>
      <c r="BD130" s="8"/>
      <c r="BE130" s="8"/>
    </row>
    <row r="131" spans="21:57" x14ac:dyDescent="0.25">
      <c r="U131" s="8"/>
      <c r="AS131" s="3" t="s">
        <v>59</v>
      </c>
      <c r="AT131" s="8"/>
      <c r="AU131" s="8">
        <v>43037740.305719405</v>
      </c>
      <c r="AV131" s="8">
        <v>-3249831.6636086302</v>
      </c>
      <c r="AW131" s="8">
        <v>-38994153.683895983</v>
      </c>
      <c r="AX131" s="8"/>
      <c r="AY131" s="8">
        <v>-28630130.768093631</v>
      </c>
      <c r="AZ131" s="8">
        <v>1020473.669236837</v>
      </c>
      <c r="BA131" s="8">
        <v>34995150</v>
      </c>
      <c r="BB131" s="8">
        <v>8179247.859358008</v>
      </c>
      <c r="BC131" s="8"/>
      <c r="BD131" s="8"/>
      <c r="BE131" s="8"/>
    </row>
    <row r="132" spans="21:57" x14ac:dyDescent="0.25">
      <c r="U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</row>
    <row r="133" spans="21:57" x14ac:dyDescent="0.25">
      <c r="U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</row>
    <row r="134" spans="21:57" x14ac:dyDescent="0.25">
      <c r="U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</row>
    <row r="135" spans="21:57" x14ac:dyDescent="0.25">
      <c r="U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</row>
    <row r="136" spans="21:57" x14ac:dyDescent="0.25">
      <c r="U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</row>
    <row r="137" spans="21:57" x14ac:dyDescent="0.25">
      <c r="U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</row>
    <row r="138" spans="21:57" x14ac:dyDescent="0.25">
      <c r="U138" s="8"/>
    </row>
    <row r="139" spans="21:57" x14ac:dyDescent="0.25">
      <c r="U139" s="8"/>
    </row>
    <row r="140" spans="21:57" x14ac:dyDescent="0.25">
      <c r="U140" s="8"/>
    </row>
    <row r="141" spans="21:57" x14ac:dyDescent="0.25">
      <c r="U141" s="8"/>
    </row>
    <row r="142" spans="21:57" x14ac:dyDescent="0.25">
      <c r="U142" s="8"/>
    </row>
    <row r="143" spans="21:57" x14ac:dyDescent="0.25">
      <c r="U143" s="8"/>
    </row>
    <row r="144" spans="21:57" x14ac:dyDescent="0.25">
      <c r="U144" s="8"/>
    </row>
    <row r="145" spans="21:21" x14ac:dyDescent="0.25">
      <c r="U145" s="8"/>
    </row>
    <row r="146" spans="21:21" x14ac:dyDescent="0.25">
      <c r="U146" s="8"/>
    </row>
    <row r="147" spans="21:21" x14ac:dyDescent="0.25">
      <c r="U147" s="8"/>
    </row>
    <row r="148" spans="21:21" x14ac:dyDescent="0.25">
      <c r="U148" s="8"/>
    </row>
    <row r="149" spans="21:21" x14ac:dyDescent="0.25">
      <c r="U149" s="8"/>
    </row>
    <row r="150" spans="21:21" x14ac:dyDescent="0.25">
      <c r="U150" s="8"/>
    </row>
    <row r="151" spans="21:21" x14ac:dyDescent="0.25">
      <c r="U151" s="8"/>
    </row>
    <row r="152" spans="21:21" x14ac:dyDescent="0.25">
      <c r="U152" s="8"/>
    </row>
    <row r="153" spans="21:21" x14ac:dyDescent="0.25">
      <c r="U153" s="8"/>
    </row>
    <row r="154" spans="21:21" x14ac:dyDescent="0.25">
      <c r="U154" s="8"/>
    </row>
    <row r="155" spans="21:21" x14ac:dyDescent="0.25">
      <c r="U155" s="8"/>
    </row>
    <row r="156" spans="21:21" x14ac:dyDescent="0.25">
      <c r="U156" s="8"/>
    </row>
    <row r="157" spans="21:21" x14ac:dyDescent="0.25">
      <c r="U157" s="8"/>
    </row>
    <row r="158" spans="21:21" x14ac:dyDescent="0.25">
      <c r="U158" s="8"/>
    </row>
    <row r="159" spans="21:21" x14ac:dyDescent="0.25">
      <c r="U159" s="8"/>
    </row>
    <row r="160" spans="21:2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21" x14ac:dyDescent="0.25">
      <c r="U177" s="8"/>
    </row>
    <row r="178" spans="21:21" x14ac:dyDescent="0.25">
      <c r="U178" s="8"/>
    </row>
    <row r="179" spans="21:21" x14ac:dyDescent="0.25">
      <c r="U179" s="8"/>
    </row>
    <row r="180" spans="21:21" x14ac:dyDescent="0.25">
      <c r="U180" s="8"/>
    </row>
    <row r="181" spans="21:21" x14ac:dyDescent="0.25">
      <c r="U181" s="8"/>
    </row>
    <row r="182" spans="21:21" x14ac:dyDescent="0.25">
      <c r="U182" s="8"/>
    </row>
    <row r="183" spans="21:21" x14ac:dyDescent="0.25">
      <c r="U183" s="8"/>
    </row>
    <row r="184" spans="21:21" x14ac:dyDescent="0.25">
      <c r="U184" s="8"/>
    </row>
    <row r="185" spans="21:21" x14ac:dyDescent="0.25">
      <c r="U185" s="8"/>
    </row>
    <row r="186" spans="21:21" x14ac:dyDescent="0.25">
      <c r="U186" s="8"/>
    </row>
    <row r="187" spans="21:21" x14ac:dyDescent="0.25">
      <c r="U187" s="8"/>
    </row>
    <row r="188" spans="21:21" x14ac:dyDescent="0.25">
      <c r="U188" s="8"/>
    </row>
    <row r="189" spans="21:21" x14ac:dyDescent="0.25">
      <c r="U189" s="8"/>
    </row>
    <row r="190" spans="21:21" s="8" customFormat="1" x14ac:dyDescent="0.25"/>
    <row r="191" spans="21:21" s="8" customFormat="1" x14ac:dyDescent="0.25"/>
    <row r="192" spans="21:21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="8" customFormat="1" x14ac:dyDescent="0.25"/>
    <row r="226" s="8" customFormat="1" x14ac:dyDescent="0.25"/>
    <row r="227" s="8" customFormat="1" x14ac:dyDescent="0.25"/>
    <row r="228" s="8" customFormat="1" x14ac:dyDescent="0.25"/>
    <row r="229" s="8" customFormat="1" x14ac:dyDescent="0.25"/>
  </sheetData>
  <pageMargins left="0.7" right="0.7" top="0.75" bottom="0.75" header="0.3" footer="0.3"/>
  <pageSetup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I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490"/>
    </sheetView>
  </sheetViews>
  <sheetFormatPr defaultColWidth="9.140625" defaultRowHeight="15" x14ac:dyDescent="0.25"/>
  <cols>
    <col min="1" max="1" width="3.28515625" style="79" bestFit="1" customWidth="1"/>
    <col min="2" max="2" width="22" style="79" customWidth="1"/>
    <col min="3" max="3" width="12.7109375" style="79" bestFit="1" customWidth="1"/>
    <col min="4" max="4" width="23.28515625" style="79" bestFit="1" customWidth="1"/>
    <col min="5" max="5" width="23.140625" style="79" bestFit="1" customWidth="1"/>
    <col min="6" max="7" width="14.42578125" style="79" bestFit="1" customWidth="1"/>
    <col min="8" max="8" width="13.85546875" style="79" bestFit="1" customWidth="1"/>
    <col min="9" max="9" width="14.42578125" style="79" bestFit="1" customWidth="1"/>
    <col min="10" max="10" width="16.28515625" style="79" bestFit="1" customWidth="1"/>
    <col min="11" max="11" width="17.28515625" style="79" bestFit="1" customWidth="1"/>
    <col min="12" max="12" width="8.7109375" style="79" bestFit="1" customWidth="1"/>
    <col min="13" max="13" width="10.85546875" style="79" bestFit="1" customWidth="1"/>
    <col min="14" max="14" width="12.7109375" style="80" bestFit="1" customWidth="1"/>
    <col min="15" max="15" width="20.5703125" style="80" bestFit="1" customWidth="1"/>
    <col min="16" max="16" width="14.42578125" style="80" bestFit="1" customWidth="1"/>
    <col min="17" max="17" width="14.5703125" style="81" bestFit="1" customWidth="1"/>
    <col min="18" max="18" width="9.85546875" style="81" bestFit="1" customWidth="1"/>
    <col min="19" max="19" width="11" style="81" bestFit="1" customWidth="1"/>
    <col min="20" max="20" width="19.7109375" style="81" bestFit="1" customWidth="1"/>
    <col min="21" max="21" width="17.85546875" style="81" bestFit="1" customWidth="1"/>
    <col min="22" max="22" width="15.7109375" style="81" bestFit="1" customWidth="1"/>
    <col min="23" max="23" width="10.42578125" style="82" customWidth="1"/>
    <col min="24" max="24" width="14.42578125" style="81" bestFit="1" customWidth="1"/>
    <col min="25" max="25" width="17.42578125" style="79" bestFit="1" customWidth="1"/>
    <col min="26" max="26" width="21.85546875" style="83" bestFit="1" customWidth="1"/>
    <col min="27" max="27" width="13.7109375" style="83" bestFit="1" customWidth="1"/>
    <col min="28" max="29" width="1" style="83" customWidth="1"/>
    <col min="30" max="30" width="9.7109375" style="83" bestFit="1" customWidth="1"/>
    <col min="31" max="31" width="9" style="83" bestFit="1" customWidth="1"/>
    <col min="32" max="32" width="1" style="83" customWidth="1"/>
    <col min="33" max="34" width="9.140625" style="83"/>
    <col min="35" max="35" width="13.42578125" style="83" bestFit="1" customWidth="1"/>
    <col min="36" max="16384" width="9.140625" style="83"/>
  </cols>
  <sheetData>
    <row r="1" spans="1:35" s="11" customFormat="1" x14ac:dyDescent="0.25">
      <c r="A1" s="12" t="s">
        <v>721</v>
      </c>
      <c r="B1" s="76" t="s">
        <v>723</v>
      </c>
      <c r="C1" s="12" t="s">
        <v>706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70</v>
      </c>
      <c r="V1" s="13" t="s">
        <v>71</v>
      </c>
      <c r="W1" s="39" t="s">
        <v>72</v>
      </c>
      <c r="X1" s="13" t="s">
        <v>73</v>
      </c>
      <c r="Y1" s="12" t="s">
        <v>219</v>
      </c>
      <c r="Z1" s="11" t="s">
        <v>257</v>
      </c>
      <c r="AA1" t="s">
        <v>322</v>
      </c>
    </row>
    <row r="2" spans="1:35" customFormat="1" x14ac:dyDescent="0.25">
      <c r="A2" s="14">
        <v>0</v>
      </c>
      <c r="B2" s="77">
        <v>44909.916666666664</v>
      </c>
      <c r="C2" s="14" t="s">
        <v>11</v>
      </c>
      <c r="D2" s="14" t="s">
        <v>12</v>
      </c>
      <c r="E2" s="14" t="s">
        <v>316</v>
      </c>
      <c r="F2" s="14">
        <v>4006</v>
      </c>
      <c r="G2" s="14">
        <v>400600</v>
      </c>
      <c r="H2" s="14">
        <v>18200.03058545</v>
      </c>
      <c r="I2" s="14">
        <v>1.94072069</v>
      </c>
      <c r="J2" s="14" t="s">
        <v>14</v>
      </c>
      <c r="K2" s="15">
        <v>45016.333333333336</v>
      </c>
      <c r="L2" s="14">
        <v>0</v>
      </c>
      <c r="M2" s="14" t="s">
        <v>15</v>
      </c>
      <c r="N2" s="46">
        <f t="shared" ref="N2:N58" si="0">IF($C2="","",IF(OR($J2="SWAP",$J2="FUTURE",$J2="CME FUTURE"),IF($L2=1,ROUND($G2/$H2/$F2,3),POWER(10,ROUND(LOG($G2/$F2),1))),1))</f>
        <v>100</v>
      </c>
      <c r="O2" s="47">
        <f t="shared" ref="O2:O65" si="1">IF($C2="","",IF(OR($J2="SWAP",$J2="FUTURE",$J2="CME FUTURE"),IF($L2=1,$F2*$N2,$AA$2*$F2*$N2/$H2),F2))</f>
        <v>22.01095202116085</v>
      </c>
      <c r="P2" s="48">
        <f t="shared" ref="P2:P65" si="2">IF($C2="","",IF(OR($J2="SWAP",$J2="FUTURE",$J2="CME FUTURE"),IF(NOT(ISERROR(VLOOKUP($M2,SpotUSDRateTable,2,FALSE))),VLOOKUP($M2,SpotUSDRateTable,2,FALSE),$H2)*O2,VLOOKUP($M2,SpotUSDRateTable,2,FALSE)*O2))</f>
        <v>392139.41417652223</v>
      </c>
      <c r="Q2" s="25">
        <f>IF($C2="","",IF(OR($J2="SWAP",$J2="FUTURE",$J2="CME FUTURE"),INT($K2-$B2),0))</f>
        <v>106</v>
      </c>
      <c r="R2" s="26" t="str">
        <f>IF($C2="","",IF(OR($E2="USD",$E2="EUR"),"CASH",IF($Q2=0,"COIN",IF($Q2&gt;720,"PERP",IF($J2="FUTURE",TEXT($K2-1,"mmm yy"),"CME "&amp;TEXT($K2-1,"mmm yy"))))))</f>
        <v>Mar 23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Mar 23 LONG</v>
      </c>
      <c r="U2" s="17">
        <f>IF($C2="","",$G2*(1+$W2))</f>
        <v>404606</v>
      </c>
      <c r="V2" s="17">
        <f>IF($C2="","",$H2*(1+$W2))</f>
        <v>18382.030891304501</v>
      </c>
      <c r="W2" s="40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Shifted'!$AE$32:$AO$75,MATCH($R2,'Futures &amp; Perps Shifted'!$AE$30:$AO$30,0),FALSE),0),0)))</f>
        <v>0.01</v>
      </c>
      <c r="X2" s="17">
        <f>IF($C2="","",$U2-$G2)</f>
        <v>4006</v>
      </c>
      <c r="Y2" s="14" t="str">
        <f>IF($C2="","",IF(ISERROR(SEARCH("-",$D2)),$D2,LEFT($D2,SEARCH("-",$D2)-1)))</f>
        <v>BINE</v>
      </c>
      <c r="Z2" t="str">
        <f>IF($C2="","",$M2&amp;" "&amp;$T2)</f>
        <v>BTC Mar 23 LONG</v>
      </c>
      <c r="AA2" s="45">
        <v>1</v>
      </c>
      <c r="AD2" t="s">
        <v>277</v>
      </c>
      <c r="AE2" t="b">
        <v>0</v>
      </c>
      <c r="AG2">
        <f>IF($C2="","",IF($A2="",0,IF($L2=1,ROUND($G2/$H2/$F2,3),POWER(10,ROUND(LOG($G2/$F2),1)))))</f>
        <v>100</v>
      </c>
      <c r="AH2">
        <f t="shared" ref="AH2:AH33" si="4">IF($C2="","",IF($A2="",0,IF($L2=1,$F2*$AG2,$AA$2*$F2*$AG2/$H2)))</f>
        <v>22.01095202116085</v>
      </c>
      <c r="AI2">
        <f t="shared" ref="AI2:AI33" si="5">IF($C2="","",IF($A2="",0,VLOOKUP($M2,SpotUSDRateTable,2,FALSE)*AH2))</f>
        <v>392139.41417652223</v>
      </c>
    </row>
    <row r="3" spans="1:35" customFormat="1" x14ac:dyDescent="0.25">
      <c r="A3" s="14">
        <v>1</v>
      </c>
      <c r="B3" s="77">
        <v>44909.916666666664</v>
      </c>
      <c r="C3" s="14" t="s">
        <v>11</v>
      </c>
      <c r="D3" s="14" t="s">
        <v>12</v>
      </c>
      <c r="E3" s="14" t="s">
        <v>17</v>
      </c>
      <c r="F3" s="14">
        <v>-67749</v>
      </c>
      <c r="G3" s="14">
        <v>-6774900</v>
      </c>
      <c r="H3" s="14">
        <v>18086.77321508</v>
      </c>
      <c r="I3" s="14">
        <v>-8.0250139699999998</v>
      </c>
      <c r="J3" s="14" t="s">
        <v>18</v>
      </c>
      <c r="K3" s="15">
        <v>73050.333333333328</v>
      </c>
      <c r="L3" s="14">
        <v>0</v>
      </c>
      <c r="M3" s="14" t="s">
        <v>15</v>
      </c>
      <c r="N3" s="46">
        <f t="shared" si="0"/>
        <v>100</v>
      </c>
      <c r="O3" s="47">
        <f t="shared" si="1"/>
        <v>-374.57759432463996</v>
      </c>
      <c r="P3" s="48">
        <f t="shared" si="2"/>
        <v>-6673343.263885255</v>
      </c>
      <c r="Q3" s="25">
        <f t="shared" ref="Q3:Q66" si="6">IF($C3="","",IF(OR($J3="SWAP",$J3="FUTURE",$J3="CME FUTURE"),INT($K3-$B3),0))</f>
        <v>28140</v>
      </c>
      <c r="R3" s="26" t="str">
        <f t="shared" ref="R3:R66" si="7">IF($C3="","",IF(OR($E3="USD",$E3="EUR"),"CASH",IF($Q3=0,"COIN",IF($Q3&gt;720,"PERP",IF($J3="FUTURE",TEXT($K3-1,"mmm yy"),"CME "&amp;TEXT($K3-1,"mmm yy"))))))</f>
        <v>PERP</v>
      </c>
      <c r="S3" s="26" t="str">
        <f t="shared" si="3"/>
        <v>SHORT</v>
      </c>
      <c r="T3" s="26" t="str">
        <f t="shared" ref="T3:T66" si="8">IF($C3="","",$R3&amp;" "&amp;$S3)</f>
        <v>PERP SHORT</v>
      </c>
      <c r="U3" s="17">
        <f t="shared" ref="U3:U66" si="9">IF($C3="","",$G3*(1+$W3))</f>
        <v>-6774900</v>
      </c>
      <c r="V3" s="17">
        <f t="shared" ref="V3:V66" si="10">IF($C3="","",$H3*(1+$W3))</f>
        <v>18086.77321508</v>
      </c>
      <c r="W3" s="40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Shifted'!$AE$32:$AO$75,MATCH($R3,'Futures &amp; Perps Shifted'!$AE$30:$AO$30,0),FALSE),0),0)))</f>
        <v>0</v>
      </c>
      <c r="X3" s="17">
        <f t="shared" ref="X3:X66" si="11">IF($C3="","",$U3-$G3)</f>
        <v>0</v>
      </c>
      <c r="Y3" s="14" t="str">
        <f t="shared" ref="Y3:Y66" si="12">IF($C3="","",IF(ISERROR(SEARCH("-",$D3)),$D3,LEFT($D3,SEARCH("-",$D3)-1)))</f>
        <v>BINE</v>
      </c>
      <c r="Z3" t="str">
        <f t="shared" ref="Z3:Z66" si="13">IF($C3="","",$M3&amp;" "&amp;$T3)</f>
        <v>BTC PERP SHORT</v>
      </c>
      <c r="AD3" t="s">
        <v>273</v>
      </c>
      <c r="AE3" t="s">
        <v>279</v>
      </c>
      <c r="AG3">
        <f t="shared" ref="AG3:AG66" si="14">IF($C3="","",IF($A3="",0,IF($L3=1,ROUND($G3/$H3/$F3,3),POWER(10,ROUND(LOG($G3/$F3),1)))))</f>
        <v>100</v>
      </c>
      <c r="AH3">
        <f t="shared" si="4"/>
        <v>-374.57759432463996</v>
      </c>
      <c r="AI3">
        <f t="shared" si="5"/>
        <v>-6673343.263885255</v>
      </c>
    </row>
    <row r="4" spans="1:35" customFormat="1" x14ac:dyDescent="0.25">
      <c r="A4" s="14">
        <v>2</v>
      </c>
      <c r="B4" s="77">
        <v>44909.916666666664</v>
      </c>
      <c r="C4" s="14" t="s">
        <v>11</v>
      </c>
      <c r="D4" s="14" t="s">
        <v>12</v>
      </c>
      <c r="E4" s="14" t="s">
        <v>753</v>
      </c>
      <c r="F4" s="14">
        <v>-449174</v>
      </c>
      <c r="G4" s="14">
        <v>-4491740</v>
      </c>
      <c r="H4" s="14">
        <v>1340.62</v>
      </c>
      <c r="I4" s="14">
        <v>-53.515324489999998</v>
      </c>
      <c r="J4" s="14" t="s">
        <v>18</v>
      </c>
      <c r="K4" s="15">
        <v>73050.333333333328</v>
      </c>
      <c r="L4" s="14">
        <v>0</v>
      </c>
      <c r="M4" s="14" t="s">
        <v>16</v>
      </c>
      <c r="N4" s="46">
        <f t="shared" si="0"/>
        <v>10</v>
      </c>
      <c r="O4" s="47">
        <f t="shared" si="1"/>
        <v>-3350.4945472990112</v>
      </c>
      <c r="P4" s="48">
        <f t="shared" si="2"/>
        <v>-4386898.5926861111</v>
      </c>
      <c r="Q4" s="25">
        <f t="shared" si="6"/>
        <v>28140</v>
      </c>
      <c r="R4" s="26" t="str">
        <f t="shared" si="7"/>
        <v>PERP</v>
      </c>
      <c r="S4" s="26" t="str">
        <f t="shared" si="3"/>
        <v>SHORT</v>
      </c>
      <c r="T4" s="26" t="str">
        <f t="shared" si="8"/>
        <v>PERP SHORT</v>
      </c>
      <c r="U4" s="17">
        <f t="shared" si="9"/>
        <v>-4491740</v>
      </c>
      <c r="V4" s="17">
        <f t="shared" si="10"/>
        <v>1340.62</v>
      </c>
      <c r="W4" s="40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Shifted'!$AE$32:$AO$75,MATCH($R4,'Futures &amp; Perps Shifted'!$AE$30:$AO$30,0),FALSE),0),0)))</f>
        <v>0</v>
      </c>
      <c r="X4" s="17">
        <f t="shared" si="11"/>
        <v>0</v>
      </c>
      <c r="Y4" s="14" t="str">
        <f t="shared" si="12"/>
        <v>BINE</v>
      </c>
      <c r="Z4" t="str">
        <f t="shared" si="13"/>
        <v>ETH PERP SHORT</v>
      </c>
      <c r="AD4" t="s">
        <v>278</v>
      </c>
      <c r="AE4" s="36">
        <v>1</v>
      </c>
      <c r="AG4">
        <f t="shared" si="14"/>
        <v>10</v>
      </c>
      <c r="AH4">
        <f t="shared" si="4"/>
        <v>-3350.4945472990112</v>
      </c>
      <c r="AI4">
        <f t="shared" si="5"/>
        <v>-4386898.5926861111</v>
      </c>
    </row>
    <row r="5" spans="1:35" customFormat="1" x14ac:dyDescent="0.25">
      <c r="A5" s="14">
        <v>3</v>
      </c>
      <c r="B5" s="77">
        <v>44909.916666666664</v>
      </c>
      <c r="C5" s="14" t="s">
        <v>11</v>
      </c>
      <c r="D5" s="14" t="s">
        <v>12</v>
      </c>
      <c r="E5" s="14" t="s">
        <v>13</v>
      </c>
      <c r="F5" s="14">
        <v>-160374</v>
      </c>
      <c r="G5" s="14">
        <v>-16037400</v>
      </c>
      <c r="H5" s="14">
        <v>18146.104786510001</v>
      </c>
      <c r="I5" s="14">
        <v>-20.22281353</v>
      </c>
      <c r="J5" s="14" t="s">
        <v>14</v>
      </c>
      <c r="K5" s="15">
        <v>44925.333333333336</v>
      </c>
      <c r="L5" s="14">
        <v>0</v>
      </c>
      <c r="M5" s="14" t="s">
        <v>15</v>
      </c>
      <c r="N5" s="46">
        <f t="shared" si="0"/>
        <v>100</v>
      </c>
      <c r="O5" s="47">
        <f t="shared" si="1"/>
        <v>-883.79297864092393</v>
      </c>
      <c r="P5" s="48">
        <f t="shared" si="2"/>
        <v>-15745346.251465661</v>
      </c>
      <c r="Q5" s="25">
        <f t="shared" si="6"/>
        <v>15</v>
      </c>
      <c r="R5" s="26" t="str">
        <f t="shared" si="7"/>
        <v>Dec 22</v>
      </c>
      <c r="S5" s="26" t="str">
        <f t="shared" si="3"/>
        <v>SHORT</v>
      </c>
      <c r="T5" s="26" t="str">
        <f t="shared" si="8"/>
        <v>Dec 22 SHORT</v>
      </c>
      <c r="U5" s="17">
        <f t="shared" si="9"/>
        <v>-16197774</v>
      </c>
      <c r="V5" s="17">
        <f t="shared" si="10"/>
        <v>18327.565834375102</v>
      </c>
      <c r="W5" s="40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Shifted'!$AE$32:$AO$75,MATCH($R5,'Futures &amp; Perps Shifted'!$AE$30:$AO$30,0),FALSE),0),0)))</f>
        <v>0.01</v>
      </c>
      <c r="X5" s="17">
        <f t="shared" si="11"/>
        <v>-160374</v>
      </c>
      <c r="Y5" s="14" t="str">
        <f t="shared" si="12"/>
        <v>BINE</v>
      </c>
      <c r="Z5" t="str">
        <f t="shared" si="13"/>
        <v>BTC Dec 22 SHORT</v>
      </c>
      <c r="AA5" s="83"/>
      <c r="AG5">
        <f t="shared" si="14"/>
        <v>100</v>
      </c>
      <c r="AH5">
        <f t="shared" si="4"/>
        <v>-883.79297864092393</v>
      </c>
      <c r="AI5">
        <f t="shared" si="5"/>
        <v>-15745346.251465661</v>
      </c>
    </row>
    <row r="6" spans="1:35" customFormat="1" x14ac:dyDescent="0.25">
      <c r="A6" s="14">
        <v>4</v>
      </c>
      <c r="B6" s="77">
        <v>44909.916666666664</v>
      </c>
      <c r="C6" s="14" t="s">
        <v>11</v>
      </c>
      <c r="D6" s="14" t="s">
        <v>12</v>
      </c>
      <c r="E6" s="14" t="s">
        <v>754</v>
      </c>
      <c r="F6" s="14">
        <v>-682423</v>
      </c>
      <c r="G6" s="14">
        <v>-6824230</v>
      </c>
      <c r="H6" s="14">
        <v>1343.0967177</v>
      </c>
      <c r="I6" s="14">
        <v>-122.05636714000001</v>
      </c>
      <c r="J6" s="14" t="s">
        <v>14</v>
      </c>
      <c r="K6" s="15">
        <v>44925.333333333336</v>
      </c>
      <c r="L6" s="14">
        <v>0</v>
      </c>
      <c r="M6" s="14" t="s">
        <v>16</v>
      </c>
      <c r="N6" s="46">
        <f t="shared" si="0"/>
        <v>10</v>
      </c>
      <c r="O6" s="47">
        <f t="shared" si="1"/>
        <v>-5080.9669252160957</v>
      </c>
      <c r="P6" s="48">
        <f t="shared" si="2"/>
        <v>-6652655.70173332</v>
      </c>
      <c r="Q6" s="25">
        <f t="shared" si="6"/>
        <v>15</v>
      </c>
      <c r="R6" s="26" t="str">
        <f t="shared" si="7"/>
        <v>Dec 22</v>
      </c>
      <c r="S6" s="26" t="str">
        <f t="shared" si="3"/>
        <v>SHORT</v>
      </c>
      <c r="T6" s="26" t="str">
        <f t="shared" si="8"/>
        <v>Dec 22 SHORT</v>
      </c>
      <c r="U6" s="17">
        <f>IF($C6="","",$G6*(1+$W6))</f>
        <v>-6892472.2999999998</v>
      </c>
      <c r="V6" s="17">
        <f t="shared" si="10"/>
        <v>1356.527684877</v>
      </c>
      <c r="W6" s="40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Shifted'!$AE$32:$AO$75,MATCH($R6,'Futures &amp; Perps Shifted'!$AE$30:$AO$30,0),FALSE),0),0)))</f>
        <v>0.01</v>
      </c>
      <c r="X6" s="17">
        <f t="shared" si="11"/>
        <v>-68242.299999999814</v>
      </c>
      <c r="Y6" s="14" t="str">
        <f t="shared" si="12"/>
        <v>BINE</v>
      </c>
      <c r="Z6" t="str">
        <f t="shared" si="13"/>
        <v>ETH Dec 22 SHORT</v>
      </c>
      <c r="AA6" s="83"/>
      <c r="AE6" s="14" t="s">
        <v>11</v>
      </c>
      <c r="AG6">
        <f t="shared" si="14"/>
        <v>10</v>
      </c>
      <c r="AH6">
        <f t="shared" si="4"/>
        <v>-5080.9669252160957</v>
      </c>
      <c r="AI6">
        <f t="shared" si="5"/>
        <v>-6652655.70173332</v>
      </c>
    </row>
    <row r="7" spans="1:35" customFormat="1" x14ac:dyDescent="0.25">
      <c r="A7" s="14">
        <v>5</v>
      </c>
      <c r="B7" s="77">
        <v>44909.916666666664</v>
      </c>
      <c r="C7" s="14" t="s">
        <v>11</v>
      </c>
      <c r="D7" s="14" t="s">
        <v>19</v>
      </c>
      <c r="E7" s="14" t="s">
        <v>755</v>
      </c>
      <c r="F7" s="14">
        <v>6000</v>
      </c>
      <c r="G7" s="14">
        <v>47406</v>
      </c>
      <c r="H7" s="14">
        <v>7.9009999999999998</v>
      </c>
      <c r="I7" s="14">
        <v>-19250.307659999999</v>
      </c>
      <c r="J7" s="14" t="s">
        <v>18</v>
      </c>
      <c r="K7" s="15">
        <v>73050.333333333328</v>
      </c>
      <c r="L7" s="14">
        <v>1</v>
      </c>
      <c r="M7" s="14" t="s">
        <v>20</v>
      </c>
      <c r="N7" s="46">
        <f t="shared" si="0"/>
        <v>1</v>
      </c>
      <c r="O7" s="47">
        <f t="shared" si="1"/>
        <v>6000</v>
      </c>
      <c r="P7" s="48">
        <f t="shared" si="2"/>
        <v>47406</v>
      </c>
      <c r="Q7" s="25">
        <f t="shared" si="6"/>
        <v>28140</v>
      </c>
      <c r="R7" s="26" t="str">
        <f t="shared" si="7"/>
        <v>PERP</v>
      </c>
      <c r="S7" s="26" t="str">
        <f t="shared" si="3"/>
        <v>LONG</v>
      </c>
      <c r="T7" s="26" t="str">
        <f t="shared" si="8"/>
        <v>PERP LONG</v>
      </c>
      <c r="U7" s="17">
        <f t="shared" si="9"/>
        <v>47406</v>
      </c>
      <c r="V7" s="17">
        <f t="shared" si="10"/>
        <v>7.9009999999999998</v>
      </c>
      <c r="W7" s="40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Shifted'!$AE$32:$AO$75,MATCH($R7,'Futures &amp; Perps Shifted'!$AE$30:$AO$30,0),FALSE),0),0)))</f>
        <v>0</v>
      </c>
      <c r="X7" s="17">
        <f t="shared" si="11"/>
        <v>0</v>
      </c>
      <c r="Y7" s="14" t="str">
        <f t="shared" si="12"/>
        <v>BINE</v>
      </c>
      <c r="Z7" t="str">
        <f t="shared" si="13"/>
        <v>AXS PERP LONG</v>
      </c>
      <c r="AE7" s="14" t="s">
        <v>33</v>
      </c>
      <c r="AG7">
        <f t="shared" si="14"/>
        <v>1</v>
      </c>
      <c r="AH7">
        <f t="shared" si="4"/>
        <v>6000</v>
      </c>
      <c r="AI7" t="e">
        <f t="shared" si="5"/>
        <v>#N/A</v>
      </c>
    </row>
    <row r="8" spans="1:35" customFormat="1" x14ac:dyDescent="0.25">
      <c r="A8" s="14">
        <v>6</v>
      </c>
      <c r="B8" s="77">
        <v>44909.916666666664</v>
      </c>
      <c r="C8" s="14" t="s">
        <v>11</v>
      </c>
      <c r="D8" s="14" t="s">
        <v>19</v>
      </c>
      <c r="E8" s="14" t="s">
        <v>756</v>
      </c>
      <c r="F8" s="14">
        <v>645300.4</v>
      </c>
      <c r="G8" s="14">
        <v>648274.20236335997</v>
      </c>
      <c r="H8" s="14">
        <v>1.0046084</v>
      </c>
      <c r="I8" s="14">
        <v>8044.1663673000003</v>
      </c>
      <c r="J8" s="14" t="s">
        <v>18</v>
      </c>
      <c r="K8" s="15">
        <v>73050.333333333328</v>
      </c>
      <c r="L8" s="14">
        <v>1</v>
      </c>
      <c r="M8" s="14" t="s">
        <v>24</v>
      </c>
      <c r="N8" s="46">
        <f t="shared" si="0"/>
        <v>1</v>
      </c>
      <c r="O8" s="47">
        <f t="shared" si="1"/>
        <v>645300.4</v>
      </c>
      <c r="P8" s="48">
        <f t="shared" si="2"/>
        <v>631117.55977524538</v>
      </c>
      <c r="Q8" s="25">
        <f t="shared" si="6"/>
        <v>28140</v>
      </c>
      <c r="R8" s="26" t="str">
        <f t="shared" si="7"/>
        <v>PERP</v>
      </c>
      <c r="S8" s="26" t="str">
        <f t="shared" si="3"/>
        <v>LONG</v>
      </c>
      <c r="T8" s="26" t="str">
        <f t="shared" si="8"/>
        <v>PERP LONG</v>
      </c>
      <c r="U8" s="17">
        <f t="shared" si="9"/>
        <v>648274.20236335997</v>
      </c>
      <c r="V8" s="17">
        <f t="shared" si="10"/>
        <v>1.0046084</v>
      </c>
      <c r="W8" s="40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Shifted'!$AE$32:$AO$75,MATCH($R8,'Futures &amp; Perps Shifted'!$AE$30:$AO$30,0),FALSE),0),0)))</f>
        <v>0</v>
      </c>
      <c r="X8" s="17">
        <f t="shared" si="11"/>
        <v>0</v>
      </c>
      <c r="Y8" s="14" t="str">
        <f t="shared" si="12"/>
        <v>BINE</v>
      </c>
      <c r="Z8" t="str">
        <f t="shared" si="13"/>
        <v>EOS PERP LONG</v>
      </c>
      <c r="AE8" s="14" t="s">
        <v>37</v>
      </c>
      <c r="AG8">
        <f t="shared" si="14"/>
        <v>1</v>
      </c>
      <c r="AH8">
        <f t="shared" si="4"/>
        <v>645300.4</v>
      </c>
      <c r="AI8">
        <f t="shared" si="5"/>
        <v>631117.55977524538</v>
      </c>
    </row>
    <row r="9" spans="1:35" customFormat="1" x14ac:dyDescent="0.25">
      <c r="A9" s="14">
        <v>7</v>
      </c>
      <c r="B9" s="77">
        <v>44909.916666666664</v>
      </c>
      <c r="C9" s="14" t="s">
        <v>11</v>
      </c>
      <c r="D9" s="14" t="s">
        <v>19</v>
      </c>
      <c r="E9" s="14" t="s">
        <v>758</v>
      </c>
      <c r="F9" s="14">
        <v>-1715.2529999999999</v>
      </c>
      <c r="G9" s="14">
        <v>-188214.71169</v>
      </c>
      <c r="H9" s="14">
        <v>109.73</v>
      </c>
      <c r="I9" s="14">
        <v>-6138.2706803199999</v>
      </c>
      <c r="J9" s="14" t="s">
        <v>18</v>
      </c>
      <c r="K9" s="15">
        <v>73050.333333333328</v>
      </c>
      <c r="L9" s="14">
        <v>1</v>
      </c>
      <c r="M9" s="14" t="s">
        <v>21</v>
      </c>
      <c r="N9" s="46">
        <f t="shared" si="0"/>
        <v>1</v>
      </c>
      <c r="O9" s="47">
        <f t="shared" si="1"/>
        <v>-1715.2529999999999</v>
      </c>
      <c r="P9" s="48">
        <f t="shared" si="2"/>
        <v>-187148.67500899459</v>
      </c>
      <c r="Q9" s="25">
        <f t="shared" si="6"/>
        <v>28140</v>
      </c>
      <c r="R9" s="26" t="str">
        <f t="shared" si="7"/>
        <v>PERP</v>
      </c>
      <c r="S9" s="26" t="str">
        <f t="shared" si="3"/>
        <v>SHORT</v>
      </c>
      <c r="T9" s="26" t="str">
        <f t="shared" si="8"/>
        <v>PERP SHORT</v>
      </c>
      <c r="U9" s="17">
        <f t="shared" si="9"/>
        <v>-188214.71169</v>
      </c>
      <c r="V9" s="17">
        <f t="shared" si="10"/>
        <v>109.73</v>
      </c>
      <c r="W9" s="40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Shifted'!$AE$32:$AO$75,MATCH($R9,'Futures &amp; Perps Shifted'!$AE$30:$AO$30,0),FALSE),0),0)))</f>
        <v>0</v>
      </c>
      <c r="X9" s="17">
        <f t="shared" si="11"/>
        <v>0</v>
      </c>
      <c r="Y9" s="14" t="str">
        <f t="shared" si="12"/>
        <v>BINE</v>
      </c>
      <c r="Z9" t="str">
        <f t="shared" si="13"/>
        <v>BCH PERP SHORT</v>
      </c>
      <c r="AE9" s="14" t="s">
        <v>40</v>
      </c>
      <c r="AG9">
        <f t="shared" si="14"/>
        <v>1</v>
      </c>
      <c r="AH9">
        <f t="shared" si="4"/>
        <v>-1715.2529999999999</v>
      </c>
      <c r="AI9">
        <f t="shared" si="5"/>
        <v>-187148.67500899459</v>
      </c>
    </row>
    <row r="10" spans="1:35" customFormat="1" x14ac:dyDescent="0.25">
      <c r="A10" s="14">
        <v>8</v>
      </c>
      <c r="B10" s="77">
        <v>44909.916666666664</v>
      </c>
      <c r="C10" s="14" t="s">
        <v>11</v>
      </c>
      <c r="D10" s="14" t="s">
        <v>19</v>
      </c>
      <c r="E10" s="14" t="s">
        <v>22</v>
      </c>
      <c r="F10" s="14">
        <v>-29.902000000000001</v>
      </c>
      <c r="G10" s="14">
        <v>-540664.04240000003</v>
      </c>
      <c r="H10" s="14">
        <v>18081.2</v>
      </c>
      <c r="I10" s="14">
        <v>-645.23858853000002</v>
      </c>
      <c r="J10" s="14" t="s">
        <v>18</v>
      </c>
      <c r="K10" s="15">
        <v>73050.333333333328</v>
      </c>
      <c r="L10" s="14">
        <v>1</v>
      </c>
      <c r="M10" s="14" t="s">
        <v>15</v>
      </c>
      <c r="N10" s="46">
        <f t="shared" si="0"/>
        <v>1</v>
      </c>
      <c r="O10" s="47">
        <f t="shared" si="1"/>
        <v>-29.902000000000001</v>
      </c>
      <c r="P10" s="48">
        <f t="shared" si="2"/>
        <v>-532723.56195377116</v>
      </c>
      <c r="Q10" s="25">
        <f t="shared" si="6"/>
        <v>28140</v>
      </c>
      <c r="R10" s="26" t="str">
        <f t="shared" si="7"/>
        <v>PERP</v>
      </c>
      <c r="S10" s="26" t="str">
        <f t="shared" si="3"/>
        <v>SHORT</v>
      </c>
      <c r="T10" s="26" t="str">
        <f t="shared" si="8"/>
        <v>PERP SHORT</v>
      </c>
      <c r="U10" s="17">
        <f t="shared" si="9"/>
        <v>-540664.04240000003</v>
      </c>
      <c r="V10" s="17">
        <f t="shared" si="10"/>
        <v>18081.2</v>
      </c>
      <c r="W10" s="40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Shifted'!$AE$32:$AO$75,MATCH($R10,'Futures &amp; Perps Shifted'!$AE$30:$AO$30,0),FALSE),0),0)))</f>
        <v>0</v>
      </c>
      <c r="X10" s="17">
        <f t="shared" si="11"/>
        <v>0</v>
      </c>
      <c r="Y10" s="14" t="str">
        <f t="shared" si="12"/>
        <v>BINE</v>
      </c>
      <c r="Z10" t="str">
        <f t="shared" si="13"/>
        <v>BTC PERP SHORT</v>
      </c>
      <c r="AE10" s="14" t="s">
        <v>46</v>
      </c>
      <c r="AG10">
        <f t="shared" si="14"/>
        <v>1</v>
      </c>
      <c r="AH10">
        <f t="shared" si="4"/>
        <v>-29.902000000000001</v>
      </c>
      <c r="AI10">
        <f t="shared" si="5"/>
        <v>-532723.56195377116</v>
      </c>
    </row>
    <row r="11" spans="1:35" customFormat="1" x14ac:dyDescent="0.25">
      <c r="A11" s="14">
        <v>9</v>
      </c>
      <c r="B11" s="77">
        <v>44909.916666666664</v>
      </c>
      <c r="C11" s="14" t="s">
        <v>11</v>
      </c>
      <c r="D11" s="14" t="s">
        <v>19</v>
      </c>
      <c r="E11" s="14" t="s">
        <v>759</v>
      </c>
      <c r="F11" s="14">
        <v>-8.5299999999999994</v>
      </c>
      <c r="G11" s="14">
        <v>-165.24083404000001</v>
      </c>
      <c r="H11" s="14">
        <v>19.371727320000002</v>
      </c>
      <c r="I11" s="14">
        <v>11.31243772</v>
      </c>
      <c r="J11" s="14" t="s">
        <v>18</v>
      </c>
      <c r="K11" s="15">
        <v>73050.333333333328</v>
      </c>
      <c r="L11" s="14">
        <v>1</v>
      </c>
      <c r="M11" s="14" t="s">
        <v>30</v>
      </c>
      <c r="N11" s="46">
        <f t="shared" si="0"/>
        <v>1</v>
      </c>
      <c r="O11" s="47">
        <f t="shared" si="1"/>
        <v>-8.5299999999999994</v>
      </c>
      <c r="P11" s="48">
        <f t="shared" si="2"/>
        <v>-160.25897205839783</v>
      </c>
      <c r="Q11" s="25">
        <f t="shared" si="6"/>
        <v>28140</v>
      </c>
      <c r="R11" s="26" t="str">
        <f t="shared" si="7"/>
        <v>PERP</v>
      </c>
      <c r="S11" s="26" t="str">
        <f t="shared" si="3"/>
        <v>SHORT</v>
      </c>
      <c r="T11" s="26" t="str">
        <f t="shared" si="8"/>
        <v>PERP SHORT</v>
      </c>
      <c r="U11" s="17">
        <f t="shared" si="9"/>
        <v>-165.24083404000001</v>
      </c>
      <c r="V11" s="17">
        <f t="shared" si="10"/>
        <v>19.371727320000002</v>
      </c>
      <c r="W11" s="40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Shifted'!$AE$32:$AO$75,MATCH($R11,'Futures &amp; Perps Shifted'!$AE$30:$AO$30,0),FALSE),0),0)))</f>
        <v>0</v>
      </c>
      <c r="X11" s="17">
        <f t="shared" si="11"/>
        <v>0</v>
      </c>
      <c r="Y11" s="14" t="str">
        <f t="shared" si="12"/>
        <v>BINE</v>
      </c>
      <c r="Z11" t="str">
        <f t="shared" si="13"/>
        <v>ETC PERP SHORT</v>
      </c>
      <c r="AE11" s="14" t="s">
        <v>220</v>
      </c>
      <c r="AG11">
        <f t="shared" si="14"/>
        <v>1</v>
      </c>
      <c r="AH11">
        <f t="shared" si="4"/>
        <v>-8.5299999999999994</v>
      </c>
      <c r="AI11">
        <f t="shared" si="5"/>
        <v>-160.25897205839783</v>
      </c>
    </row>
    <row r="12" spans="1:35" customFormat="1" x14ac:dyDescent="0.25">
      <c r="A12" s="14">
        <v>10</v>
      </c>
      <c r="B12" s="77">
        <v>44909.916666666664</v>
      </c>
      <c r="C12" s="14" t="s">
        <v>11</v>
      </c>
      <c r="D12" s="14" t="s">
        <v>19</v>
      </c>
      <c r="E12" s="14" t="s">
        <v>760</v>
      </c>
      <c r="F12" s="14">
        <v>-20870.772000000001</v>
      </c>
      <c r="G12" s="14">
        <v>-27979810.940720402</v>
      </c>
      <c r="H12" s="14">
        <v>1340.6217527900001</v>
      </c>
      <c r="I12" s="14">
        <v>-330525.65157545998</v>
      </c>
      <c r="J12" s="14" t="s">
        <v>18</v>
      </c>
      <c r="K12" s="15">
        <v>73050.333333333328</v>
      </c>
      <c r="L12" s="14">
        <v>1</v>
      </c>
      <c r="M12" s="14" t="s">
        <v>16</v>
      </c>
      <c r="N12" s="46">
        <f t="shared" si="0"/>
        <v>1</v>
      </c>
      <c r="O12" s="47">
        <f t="shared" si="1"/>
        <v>-20870.772000000001</v>
      </c>
      <c r="P12" s="48">
        <f t="shared" si="2"/>
        <v>-27326700.289329469</v>
      </c>
      <c r="Q12" s="25">
        <f t="shared" si="6"/>
        <v>28140</v>
      </c>
      <c r="R12" s="26" t="str">
        <f t="shared" si="7"/>
        <v>PERP</v>
      </c>
      <c r="S12" s="26" t="str">
        <f t="shared" si="3"/>
        <v>SHORT</v>
      </c>
      <c r="T12" s="26" t="str">
        <f t="shared" si="8"/>
        <v>PERP SHORT</v>
      </c>
      <c r="U12" s="17">
        <f t="shared" si="9"/>
        <v>-27979810.940720402</v>
      </c>
      <c r="V12" s="17">
        <f t="shared" si="10"/>
        <v>1340.6217527900001</v>
      </c>
      <c r="W12" s="40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Shifted'!$AE$32:$AO$75,MATCH($R12,'Futures &amp; Perps Shifted'!$AE$30:$AO$30,0),FALSE),0),0)))</f>
        <v>0</v>
      </c>
      <c r="X12" s="17">
        <f t="shared" si="11"/>
        <v>0</v>
      </c>
      <c r="Y12" s="14" t="str">
        <f t="shared" si="12"/>
        <v>BINE</v>
      </c>
      <c r="Z12" t="str">
        <f t="shared" si="13"/>
        <v>ETH PERP SHORT</v>
      </c>
      <c r="AE12" s="14" t="s">
        <v>100</v>
      </c>
      <c r="AG12">
        <f t="shared" si="14"/>
        <v>1</v>
      </c>
      <c r="AH12">
        <f t="shared" si="4"/>
        <v>-20870.772000000001</v>
      </c>
      <c r="AI12">
        <f t="shared" si="5"/>
        <v>-27326700.289329469</v>
      </c>
    </row>
    <row r="13" spans="1:35" customFormat="1" x14ac:dyDescent="0.25">
      <c r="A13" s="14">
        <v>11</v>
      </c>
      <c r="B13" s="77">
        <v>44909.916666666664</v>
      </c>
      <c r="C13" s="14" t="s">
        <v>11</v>
      </c>
      <c r="D13" s="14" t="s">
        <v>19</v>
      </c>
      <c r="E13" s="14" t="s">
        <v>761</v>
      </c>
      <c r="F13" s="14">
        <v>-3392.3029999999999</v>
      </c>
      <c r="G13" s="14">
        <v>-267344.75753834698</v>
      </c>
      <c r="H13" s="14">
        <v>78.809221210000004</v>
      </c>
      <c r="I13" s="14">
        <v>-2089.8192057000001</v>
      </c>
      <c r="J13" s="14" t="s">
        <v>18</v>
      </c>
      <c r="K13" s="15">
        <v>73050.333333333328</v>
      </c>
      <c r="L13" s="14">
        <v>1</v>
      </c>
      <c r="M13" s="14" t="s">
        <v>25</v>
      </c>
      <c r="N13" s="46">
        <f t="shared" si="0"/>
        <v>1</v>
      </c>
      <c r="O13" s="47">
        <f t="shared" si="1"/>
        <v>-3392.3029999999999</v>
      </c>
      <c r="P13" s="48">
        <f t="shared" si="2"/>
        <v>-256036.99867437468</v>
      </c>
      <c r="Q13" s="25">
        <f t="shared" si="6"/>
        <v>28140</v>
      </c>
      <c r="R13" s="26" t="str">
        <f t="shared" si="7"/>
        <v>PERP</v>
      </c>
      <c r="S13" s="26" t="str">
        <f t="shared" si="3"/>
        <v>SHORT</v>
      </c>
      <c r="T13" s="26" t="str">
        <f t="shared" si="8"/>
        <v>PERP SHORT</v>
      </c>
      <c r="U13" s="17">
        <f t="shared" si="9"/>
        <v>-267344.75753834698</v>
      </c>
      <c r="V13" s="17">
        <f t="shared" si="10"/>
        <v>78.809221210000004</v>
      </c>
      <c r="W13" s="40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Shifted'!$AE$32:$AO$75,MATCH($R13,'Futures &amp; Perps Shifted'!$AE$30:$AO$30,0),FALSE),0),0)))</f>
        <v>0</v>
      </c>
      <c r="X13" s="17">
        <f t="shared" si="11"/>
        <v>0</v>
      </c>
      <c r="Y13" s="14" t="str">
        <f t="shared" si="12"/>
        <v>BINE</v>
      </c>
      <c r="Z13" t="str">
        <f t="shared" si="13"/>
        <v>LTC PERP SHORT</v>
      </c>
      <c r="AE13" s="14" t="s">
        <v>104</v>
      </c>
      <c r="AG13">
        <f t="shared" si="14"/>
        <v>1</v>
      </c>
      <c r="AH13">
        <f t="shared" si="4"/>
        <v>-3392.3029999999999</v>
      </c>
      <c r="AI13">
        <f t="shared" si="5"/>
        <v>-256036.99867437468</v>
      </c>
    </row>
    <row r="14" spans="1:35" customFormat="1" x14ac:dyDescent="0.25">
      <c r="A14" s="14">
        <v>12</v>
      </c>
      <c r="B14" s="77">
        <v>44909.916666666664</v>
      </c>
      <c r="C14" s="14" t="s">
        <v>11</v>
      </c>
      <c r="D14" s="14" t="s">
        <v>19</v>
      </c>
      <c r="E14" s="14" t="s">
        <v>1170</v>
      </c>
      <c r="F14" s="14">
        <v>-24000</v>
      </c>
      <c r="G14" s="14">
        <v>-28573.161840000001</v>
      </c>
      <c r="H14" s="14">
        <v>1.1905484099999999</v>
      </c>
      <c r="I14" s="14">
        <v>-709.86192000000005</v>
      </c>
      <c r="J14" s="14" t="s">
        <v>18</v>
      </c>
      <c r="K14" s="15">
        <v>73050.333333333328</v>
      </c>
      <c r="L14" s="14">
        <v>1</v>
      </c>
      <c r="M14" s="14" t="s">
        <v>153</v>
      </c>
      <c r="N14" s="46">
        <f t="shared" si="0"/>
        <v>1</v>
      </c>
      <c r="O14" s="47">
        <f t="shared" si="1"/>
        <v>-24000</v>
      </c>
      <c r="P14" s="48">
        <f t="shared" si="2"/>
        <v>-28267.740665380799</v>
      </c>
      <c r="Q14" s="25">
        <f t="shared" si="6"/>
        <v>28140</v>
      </c>
      <c r="R14" s="26" t="str">
        <f t="shared" si="7"/>
        <v>PERP</v>
      </c>
      <c r="S14" s="26" t="str">
        <f t="shared" si="3"/>
        <v>SHORT</v>
      </c>
      <c r="T14" s="26" t="str">
        <f t="shared" si="8"/>
        <v>PERP SHORT</v>
      </c>
      <c r="U14" s="17" t="e">
        <f t="shared" si="9"/>
        <v>#N/A</v>
      </c>
      <c r="V14" s="17" t="e">
        <f t="shared" si="10"/>
        <v>#N/A</v>
      </c>
      <c r="W14" s="40" t="e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Shifted'!$AE$32:$AO$75,MATCH($R14,'Futures &amp; Perps Shifted'!$AE$30:$AO$30,0),FALSE),0),0)))</f>
        <v>#N/A</v>
      </c>
      <c r="X14" s="17" t="e">
        <f t="shared" si="11"/>
        <v>#N/A</v>
      </c>
      <c r="Y14" s="14" t="str">
        <f t="shared" si="12"/>
        <v>BINE</v>
      </c>
      <c r="Z14" t="str">
        <f t="shared" si="13"/>
        <v>OMG PERP SHORT</v>
      </c>
      <c r="AE14" s="14" t="s">
        <v>121</v>
      </c>
      <c r="AG14">
        <f t="shared" si="14"/>
        <v>1</v>
      </c>
      <c r="AH14">
        <f t="shared" si="4"/>
        <v>-24000</v>
      </c>
      <c r="AI14">
        <f t="shared" si="5"/>
        <v>-28267.740665380799</v>
      </c>
    </row>
    <row r="15" spans="1:35" customFormat="1" x14ac:dyDescent="0.25">
      <c r="A15" s="14">
        <v>13</v>
      </c>
      <c r="B15" s="77">
        <v>44909.916666666664</v>
      </c>
      <c r="C15" s="14" t="s">
        <v>11</v>
      </c>
      <c r="D15" s="14" t="s">
        <v>19</v>
      </c>
      <c r="E15" s="14" t="s">
        <v>762</v>
      </c>
      <c r="F15" s="14">
        <v>-836034</v>
      </c>
      <c r="G15" s="14">
        <v>-18559.9548</v>
      </c>
      <c r="H15" s="14">
        <v>2.2200000000000001E-2</v>
      </c>
      <c r="I15" s="14">
        <v>131.24061732000001</v>
      </c>
      <c r="J15" s="14" t="s">
        <v>18</v>
      </c>
      <c r="K15" s="15">
        <v>73050.333333333328</v>
      </c>
      <c r="L15" s="14">
        <v>1</v>
      </c>
      <c r="M15" s="14" t="s">
        <v>27</v>
      </c>
      <c r="N15" s="46">
        <f t="shared" si="0"/>
        <v>1</v>
      </c>
      <c r="O15" s="47">
        <f t="shared" si="1"/>
        <v>-836034</v>
      </c>
      <c r="P15" s="48">
        <f t="shared" si="2"/>
        <v>-18217.492629457171</v>
      </c>
      <c r="Q15" s="25">
        <f t="shared" si="6"/>
        <v>28140</v>
      </c>
      <c r="R15" s="26" t="str">
        <f t="shared" si="7"/>
        <v>PERP</v>
      </c>
      <c r="S15" s="26" t="str">
        <f t="shared" si="3"/>
        <v>SHORT</v>
      </c>
      <c r="T15" s="26" t="str">
        <f t="shared" si="8"/>
        <v>PERP SHORT</v>
      </c>
      <c r="U15" s="17">
        <f t="shared" si="9"/>
        <v>-18559.9548</v>
      </c>
      <c r="V15" s="17">
        <f t="shared" si="10"/>
        <v>2.2200000000000001E-2</v>
      </c>
      <c r="W15" s="40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Shifted'!$AE$32:$AO$75,MATCH($R15,'Futures &amp; Perps Shifted'!$AE$30:$AO$30,0),FALSE),0),0)))</f>
        <v>0</v>
      </c>
      <c r="X15" s="17">
        <f t="shared" si="11"/>
        <v>0</v>
      </c>
      <c r="Y15" s="14" t="str">
        <f t="shared" si="12"/>
        <v>BINE</v>
      </c>
      <c r="Z15" t="str">
        <f t="shared" si="13"/>
        <v>ZIL PERP SHORT</v>
      </c>
      <c r="AE15" s="14" t="s">
        <v>170</v>
      </c>
      <c r="AG15">
        <f t="shared" si="14"/>
        <v>1</v>
      </c>
      <c r="AH15">
        <f t="shared" si="4"/>
        <v>-836034</v>
      </c>
      <c r="AI15">
        <f t="shared" si="5"/>
        <v>-18217.492629457171</v>
      </c>
    </row>
    <row r="16" spans="1:35" customFormat="1" x14ac:dyDescent="0.25">
      <c r="A16" s="14">
        <v>14</v>
      </c>
      <c r="B16" s="77">
        <v>44909.916666666664</v>
      </c>
      <c r="C16" s="14" t="s">
        <v>11</v>
      </c>
      <c r="D16" s="14" t="s">
        <v>19</v>
      </c>
      <c r="E16" s="14" t="s">
        <v>763</v>
      </c>
      <c r="F16" s="14">
        <v>-200.97900000000001</v>
      </c>
      <c r="G16" s="14">
        <v>-7992.9348300000001</v>
      </c>
      <c r="H16" s="14">
        <v>39.770000000000003</v>
      </c>
      <c r="I16" s="14">
        <v>1968.1015390099999</v>
      </c>
      <c r="J16" s="14" t="s">
        <v>18</v>
      </c>
      <c r="K16" s="15">
        <v>73050.333333333328</v>
      </c>
      <c r="L16" s="14">
        <v>1</v>
      </c>
      <c r="M16" s="14" t="s">
        <v>32</v>
      </c>
      <c r="N16" s="46">
        <f t="shared" si="0"/>
        <v>1</v>
      </c>
      <c r="O16" s="47">
        <f t="shared" si="1"/>
        <v>-200.97900000000001</v>
      </c>
      <c r="P16" s="48">
        <f t="shared" si="2"/>
        <v>-7909.1746469742375</v>
      </c>
      <c r="Q16" s="25">
        <f t="shared" si="6"/>
        <v>28140</v>
      </c>
      <c r="R16" s="26" t="str">
        <f t="shared" si="7"/>
        <v>PERP</v>
      </c>
      <c r="S16" s="26" t="str">
        <f t="shared" si="3"/>
        <v>SHORT</v>
      </c>
      <c r="T16" s="26" t="str">
        <f t="shared" si="8"/>
        <v>PERP SHORT</v>
      </c>
      <c r="U16" s="17">
        <f t="shared" si="9"/>
        <v>-7992.9348300000001</v>
      </c>
      <c r="V16" s="17">
        <f t="shared" si="10"/>
        <v>39.770000000000003</v>
      </c>
      <c r="W16" s="40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Shifted'!$AE$32:$AO$75,MATCH($R16,'Futures &amp; Perps Shifted'!$AE$30:$AO$30,0),FALSE),0),0)))</f>
        <v>0</v>
      </c>
      <c r="X16" s="17">
        <f t="shared" si="11"/>
        <v>0</v>
      </c>
      <c r="Y16" s="14" t="str">
        <f t="shared" si="12"/>
        <v>BINE</v>
      </c>
      <c r="Z16" t="str">
        <f t="shared" si="13"/>
        <v>COMP PERP SHORT</v>
      </c>
      <c r="AE16" s="14" t="s">
        <v>175</v>
      </c>
      <c r="AG16">
        <f t="shared" si="14"/>
        <v>1</v>
      </c>
      <c r="AH16">
        <f t="shared" si="4"/>
        <v>-200.97900000000001</v>
      </c>
      <c r="AI16">
        <f t="shared" si="5"/>
        <v>-7909.1746469742375</v>
      </c>
    </row>
    <row r="17" spans="1:35" customFormat="1" x14ac:dyDescent="0.25">
      <c r="A17" s="14">
        <v>15</v>
      </c>
      <c r="B17" s="77">
        <v>44909.916666666664</v>
      </c>
      <c r="C17" s="14" t="s">
        <v>11</v>
      </c>
      <c r="D17" s="14" t="s">
        <v>19</v>
      </c>
      <c r="E17" s="14" t="s">
        <v>764</v>
      </c>
      <c r="F17" s="14">
        <v>-66041.94</v>
      </c>
      <c r="G17" s="14">
        <v>-454962.92466000002</v>
      </c>
      <c r="H17" s="14">
        <v>6.8890000000000002</v>
      </c>
      <c r="I17" s="14">
        <v>-5442.1807823400004</v>
      </c>
      <c r="J17" s="14" t="s">
        <v>18</v>
      </c>
      <c r="K17" s="15">
        <v>73050.333333333328</v>
      </c>
      <c r="L17" s="14">
        <v>1</v>
      </c>
      <c r="M17" s="14" t="s">
        <v>28</v>
      </c>
      <c r="N17" s="46">
        <f t="shared" si="0"/>
        <v>1</v>
      </c>
      <c r="O17" s="47">
        <f t="shared" si="1"/>
        <v>-66041.94</v>
      </c>
      <c r="P17" s="48">
        <f t="shared" si="2"/>
        <v>-444384.85884981666</v>
      </c>
      <c r="Q17" s="25">
        <f t="shared" si="6"/>
        <v>28140</v>
      </c>
      <c r="R17" s="26" t="str">
        <f t="shared" si="7"/>
        <v>PERP</v>
      </c>
      <c r="S17" s="26" t="str">
        <f t="shared" si="3"/>
        <v>SHORT</v>
      </c>
      <c r="T17" s="26" t="str">
        <f t="shared" si="8"/>
        <v>PERP SHORT</v>
      </c>
      <c r="U17" s="17">
        <f t="shared" si="9"/>
        <v>-454962.92466000002</v>
      </c>
      <c r="V17" s="17">
        <f t="shared" si="10"/>
        <v>6.8890000000000002</v>
      </c>
      <c r="W17" s="40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Shifted'!$AE$32:$AO$75,MATCH($R17,'Futures &amp; Perps Shifted'!$AE$30:$AO$30,0),FALSE),0),0)))</f>
        <v>0</v>
      </c>
      <c r="X17" s="17">
        <f t="shared" si="11"/>
        <v>0</v>
      </c>
      <c r="Y17" s="14" t="str">
        <f t="shared" si="12"/>
        <v>BINE</v>
      </c>
      <c r="Z17" t="str">
        <f t="shared" si="13"/>
        <v>LINK PERP SHORT</v>
      </c>
      <c r="AE17" s="14" t="s">
        <v>176</v>
      </c>
      <c r="AG17">
        <f t="shared" si="14"/>
        <v>1</v>
      </c>
      <c r="AH17">
        <f t="shared" si="4"/>
        <v>-66041.94</v>
      </c>
      <c r="AI17">
        <f t="shared" si="5"/>
        <v>-444384.85884981666</v>
      </c>
    </row>
    <row r="18" spans="1:35" customFormat="1" x14ac:dyDescent="0.25">
      <c r="A18" s="14">
        <v>16</v>
      </c>
      <c r="B18" s="77">
        <v>44909.916666666664</v>
      </c>
      <c r="C18" s="14" t="s">
        <v>11</v>
      </c>
      <c r="D18" s="14" t="s">
        <v>19</v>
      </c>
      <c r="E18" s="14" t="s">
        <v>287</v>
      </c>
      <c r="F18" s="14">
        <v>-168.59700000000001</v>
      </c>
      <c r="G18" s="14">
        <v>-3054885.8626449802</v>
      </c>
      <c r="H18" s="14">
        <v>18119.455640640001</v>
      </c>
      <c r="I18" s="14">
        <v>-47227.332067930001</v>
      </c>
      <c r="J18" s="14" t="s">
        <v>14</v>
      </c>
      <c r="K18" s="15">
        <v>44925.333333333336</v>
      </c>
      <c r="L18" s="14">
        <v>1</v>
      </c>
      <c r="M18" s="14" t="s">
        <v>15</v>
      </c>
      <c r="N18" s="46">
        <f t="shared" si="0"/>
        <v>1</v>
      </c>
      <c r="O18" s="47">
        <f t="shared" si="1"/>
        <v>-168.59700000000001</v>
      </c>
      <c r="P18" s="48">
        <f t="shared" si="2"/>
        <v>-3003665.1185445776</v>
      </c>
      <c r="Q18" s="25">
        <f t="shared" si="6"/>
        <v>15</v>
      </c>
      <c r="R18" s="26" t="str">
        <f t="shared" si="7"/>
        <v>Dec 22</v>
      </c>
      <c r="S18" s="26" t="str">
        <f t="shared" si="3"/>
        <v>SHORT</v>
      </c>
      <c r="T18" s="26" t="str">
        <f t="shared" si="8"/>
        <v>Dec 22 SHORT</v>
      </c>
      <c r="U18" s="17">
        <f t="shared" si="9"/>
        <v>-3085434.7212714301</v>
      </c>
      <c r="V18" s="17">
        <f t="shared" si="10"/>
        <v>18300.650197046401</v>
      </c>
      <c r="W18" s="40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Shifted'!$AE$32:$AO$75,MATCH($R18,'Futures &amp; Perps Shifted'!$AE$30:$AO$30,0),FALSE),0),0)))</f>
        <v>0.01</v>
      </c>
      <c r="X18" s="17">
        <f t="shared" si="11"/>
        <v>-30548.858626449946</v>
      </c>
      <c r="Y18" s="14" t="str">
        <f t="shared" si="12"/>
        <v>BINE</v>
      </c>
      <c r="Z18" t="str">
        <f t="shared" si="13"/>
        <v>BTC Dec 22 SHORT</v>
      </c>
      <c r="AE18" s="14" t="s">
        <v>46</v>
      </c>
      <c r="AG18">
        <f t="shared" si="14"/>
        <v>1</v>
      </c>
      <c r="AH18">
        <f t="shared" si="4"/>
        <v>-168.59700000000001</v>
      </c>
      <c r="AI18">
        <f t="shared" si="5"/>
        <v>-3003665.1185445776</v>
      </c>
    </row>
    <row r="19" spans="1:35" customFormat="1" x14ac:dyDescent="0.25">
      <c r="A19" s="14">
        <v>17</v>
      </c>
      <c r="B19" s="77">
        <v>44909.916666666664</v>
      </c>
      <c r="C19" s="14" t="s">
        <v>11</v>
      </c>
      <c r="D19" s="14" t="s">
        <v>19</v>
      </c>
      <c r="E19" s="14" t="s">
        <v>757</v>
      </c>
      <c r="F19" s="14">
        <v>-386.97800000000001</v>
      </c>
      <c r="G19" s="14">
        <v>-519033.077796834</v>
      </c>
      <c r="H19" s="14">
        <v>1341.2469902600001</v>
      </c>
      <c r="I19" s="14">
        <v>-3713.8092368699999</v>
      </c>
      <c r="J19" s="14" t="s">
        <v>14</v>
      </c>
      <c r="K19" s="15">
        <v>44925.333333333336</v>
      </c>
      <c r="L19" s="14">
        <v>1</v>
      </c>
      <c r="M19" s="14" t="s">
        <v>16</v>
      </c>
      <c r="N19" s="46">
        <f t="shared" si="0"/>
        <v>1</v>
      </c>
      <c r="O19" s="47">
        <f t="shared" si="1"/>
        <v>-386.97800000000001</v>
      </c>
      <c r="P19" s="48">
        <f t="shared" si="2"/>
        <v>-506681.39274216298</v>
      </c>
      <c r="Q19" s="25">
        <f t="shared" si="6"/>
        <v>15</v>
      </c>
      <c r="R19" s="26" t="str">
        <f t="shared" si="7"/>
        <v>Dec 22</v>
      </c>
      <c r="S19" s="26" t="str">
        <f t="shared" si="3"/>
        <v>SHORT</v>
      </c>
      <c r="T19" s="26" t="str">
        <f t="shared" si="8"/>
        <v>Dec 22 SHORT</v>
      </c>
      <c r="U19" s="17">
        <f t="shared" si="9"/>
        <v>-524223.40857480234</v>
      </c>
      <c r="V19" s="17">
        <f t="shared" si="10"/>
        <v>1354.6594601626</v>
      </c>
      <c r="W19" s="40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Shifted'!$AE$32:$AO$75,MATCH($R19,'Futures &amp; Perps Shifted'!$AE$30:$AO$30,0),FALSE),0),0)))</f>
        <v>0.01</v>
      </c>
      <c r="X19" s="17">
        <f t="shared" si="11"/>
        <v>-5190.3307779683382</v>
      </c>
      <c r="Y19" s="14" t="str">
        <f t="shared" si="12"/>
        <v>BINE</v>
      </c>
      <c r="Z19" t="str">
        <f t="shared" si="13"/>
        <v>ETH Dec 22 SHORT</v>
      </c>
      <c r="AE19" s="14" t="s">
        <v>187</v>
      </c>
      <c r="AG19">
        <f t="shared" si="14"/>
        <v>1</v>
      </c>
      <c r="AH19">
        <f t="shared" si="4"/>
        <v>-386.97800000000001</v>
      </c>
      <c r="AI19">
        <f t="shared" si="5"/>
        <v>-506681.39274216298</v>
      </c>
    </row>
    <row r="20" spans="1:35" customFormat="1" x14ac:dyDescent="0.25">
      <c r="A20" s="14">
        <v>18</v>
      </c>
      <c r="B20" s="77">
        <v>44909.916666666664</v>
      </c>
      <c r="C20" s="14" t="s">
        <v>11</v>
      </c>
      <c r="D20" s="14" t="s">
        <v>306</v>
      </c>
      <c r="E20" s="14" t="s">
        <v>22</v>
      </c>
      <c r="F20" s="14">
        <v>43.777000000000001</v>
      </c>
      <c r="G20" s="14">
        <v>791975.26269441703</v>
      </c>
      <c r="H20" s="14">
        <v>18091.126908980001</v>
      </c>
      <c r="I20" s="14">
        <v>7972.3690980499996</v>
      </c>
      <c r="J20" s="14" t="s">
        <v>18</v>
      </c>
      <c r="K20" s="15">
        <v>73050.333333333328</v>
      </c>
      <c r="L20" s="14">
        <v>1</v>
      </c>
      <c r="M20" s="14" t="s">
        <v>15</v>
      </c>
      <c r="N20" s="46">
        <f t="shared" si="0"/>
        <v>1</v>
      </c>
      <c r="O20" s="47">
        <f t="shared" si="1"/>
        <v>43.777000000000001</v>
      </c>
      <c r="P20" s="48">
        <f t="shared" si="2"/>
        <v>779915.70368705248</v>
      </c>
      <c r="Q20" s="25">
        <f t="shared" si="6"/>
        <v>28140</v>
      </c>
      <c r="R20" s="26" t="str">
        <f t="shared" si="7"/>
        <v>PERP</v>
      </c>
      <c r="S20" s="26" t="str">
        <f t="shared" si="3"/>
        <v>LONG</v>
      </c>
      <c r="T20" s="26" t="str">
        <f t="shared" si="8"/>
        <v>PERP LONG</v>
      </c>
      <c r="U20" s="17">
        <f t="shared" si="9"/>
        <v>791975.26269441703</v>
      </c>
      <c r="V20" s="17">
        <f t="shared" si="10"/>
        <v>18091.126908980001</v>
      </c>
      <c r="W20" s="40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Shifted'!$AE$32:$AO$75,MATCH($R20,'Futures &amp; Perps Shifted'!$AE$30:$AO$30,0),FALSE),0),0)))</f>
        <v>0</v>
      </c>
      <c r="X20" s="17">
        <f t="shared" si="11"/>
        <v>0</v>
      </c>
      <c r="Y20" s="14" t="str">
        <f t="shared" si="12"/>
        <v>BINE</v>
      </c>
      <c r="Z20" t="str">
        <f t="shared" si="13"/>
        <v>BTC PERP LONG</v>
      </c>
      <c r="AE20" s="14" t="s">
        <v>189</v>
      </c>
      <c r="AG20">
        <f t="shared" si="14"/>
        <v>1</v>
      </c>
      <c r="AH20">
        <f t="shared" si="4"/>
        <v>43.777000000000001</v>
      </c>
      <c r="AI20">
        <f t="shared" si="5"/>
        <v>779915.70368705248</v>
      </c>
    </row>
    <row r="21" spans="1:35" customFormat="1" x14ac:dyDescent="0.25">
      <c r="A21" s="14">
        <v>19</v>
      </c>
      <c r="B21" s="77">
        <v>44909.916666666664</v>
      </c>
      <c r="C21" s="14" t="s">
        <v>33</v>
      </c>
      <c r="D21" s="14" t="s">
        <v>34</v>
      </c>
      <c r="E21" s="14" t="s">
        <v>35</v>
      </c>
      <c r="F21" s="14">
        <v>-1.4123000000000001</v>
      </c>
      <c r="G21" s="14">
        <v>-25522.980780859001</v>
      </c>
      <c r="H21" s="14">
        <v>18071.92578125</v>
      </c>
      <c r="I21" s="14">
        <v>2007.843967</v>
      </c>
      <c r="J21" s="14" t="s">
        <v>18</v>
      </c>
      <c r="K21" s="15">
        <v>73050.333333333328</v>
      </c>
      <c r="L21" s="14">
        <v>1</v>
      </c>
      <c r="M21" s="14" t="s">
        <v>15</v>
      </c>
      <c r="N21" s="46">
        <f t="shared" si="0"/>
        <v>1</v>
      </c>
      <c r="O21" s="47">
        <f t="shared" si="1"/>
        <v>-1.4123000000000001</v>
      </c>
      <c r="P21" s="48">
        <f t="shared" si="2"/>
        <v>-25161.042289723468</v>
      </c>
      <c r="Q21" s="25">
        <f t="shared" si="6"/>
        <v>28140</v>
      </c>
      <c r="R21" s="26" t="str">
        <f t="shared" si="7"/>
        <v>PERP</v>
      </c>
      <c r="S21" s="26" t="str">
        <f t="shared" si="3"/>
        <v>SHORT</v>
      </c>
      <c r="T21" s="26" t="str">
        <f t="shared" si="8"/>
        <v>PERP SHORT</v>
      </c>
      <c r="U21" s="17">
        <f t="shared" si="9"/>
        <v>-25522.980780859001</v>
      </c>
      <c r="V21" s="17">
        <f t="shared" si="10"/>
        <v>18071.92578125</v>
      </c>
      <c r="W21" s="40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Shifted'!$AE$32:$AO$75,MATCH($R21,'Futures &amp; Perps Shifted'!$AE$30:$AO$30,0),FALSE),0),0)))</f>
        <v>0</v>
      </c>
      <c r="X21" s="17">
        <f t="shared" si="11"/>
        <v>0</v>
      </c>
      <c r="Y21" s="14" t="str">
        <f t="shared" si="12"/>
        <v>DYDX</v>
      </c>
      <c r="Z21" t="str">
        <f t="shared" si="13"/>
        <v>BTC PERP SHORT</v>
      </c>
      <c r="AG21">
        <f t="shared" si="14"/>
        <v>1</v>
      </c>
      <c r="AH21">
        <f t="shared" si="4"/>
        <v>-1.4123000000000001</v>
      </c>
      <c r="AI21">
        <f t="shared" si="5"/>
        <v>-25161.042289723468</v>
      </c>
    </row>
    <row r="22" spans="1:35" customFormat="1" x14ac:dyDescent="0.25">
      <c r="A22" s="14">
        <v>20</v>
      </c>
      <c r="B22" s="77">
        <v>44909.916666666664</v>
      </c>
      <c r="C22" s="14" t="s">
        <v>33</v>
      </c>
      <c r="D22" s="14" t="s">
        <v>34</v>
      </c>
      <c r="E22" s="14" t="s">
        <v>765</v>
      </c>
      <c r="F22" s="14">
        <v>-426.6</v>
      </c>
      <c r="G22" s="14">
        <v>-4213.2295194629996</v>
      </c>
      <c r="H22" s="14">
        <v>9.8762998579999994</v>
      </c>
      <c r="I22" s="14">
        <v>5143.0681100000002</v>
      </c>
      <c r="J22" s="14" t="s">
        <v>18</v>
      </c>
      <c r="K22" s="15">
        <v>73050.333333333328</v>
      </c>
      <c r="L22" s="14">
        <v>1</v>
      </c>
      <c r="M22" s="14" t="s">
        <v>36</v>
      </c>
      <c r="N22" s="46">
        <f t="shared" si="0"/>
        <v>1</v>
      </c>
      <c r="O22" s="47">
        <f t="shared" si="1"/>
        <v>-426.6</v>
      </c>
      <c r="P22" s="48">
        <f t="shared" si="2"/>
        <v>-4099.2586031132605</v>
      </c>
      <c r="Q22" s="25">
        <f t="shared" si="6"/>
        <v>28140</v>
      </c>
      <c r="R22" s="26" t="str">
        <f t="shared" si="7"/>
        <v>PERP</v>
      </c>
      <c r="S22" s="26" t="str">
        <f t="shared" si="3"/>
        <v>SHORT</v>
      </c>
      <c r="T22" s="26" t="str">
        <f t="shared" si="8"/>
        <v>PERP SHORT</v>
      </c>
      <c r="U22" s="17">
        <f t="shared" si="9"/>
        <v>-4213.2295194629996</v>
      </c>
      <c r="V22" s="17">
        <f t="shared" si="10"/>
        <v>9.8762998579999994</v>
      </c>
      <c r="W22" s="40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Shifted'!$AE$32:$AO$75,MATCH($R22,'Futures &amp; Perps Shifted'!$AE$30:$AO$30,0),FALSE),0),0)))</f>
        <v>0</v>
      </c>
      <c r="X22" s="17">
        <f t="shared" si="11"/>
        <v>0</v>
      </c>
      <c r="Y22" s="14" t="str">
        <f t="shared" si="12"/>
        <v>DYDX</v>
      </c>
      <c r="Z22" t="str">
        <f t="shared" si="13"/>
        <v>ATOM PERP SHORT</v>
      </c>
      <c r="AG22">
        <f t="shared" si="14"/>
        <v>1</v>
      </c>
      <c r="AH22">
        <f t="shared" si="4"/>
        <v>-426.6</v>
      </c>
      <c r="AI22">
        <f t="shared" si="5"/>
        <v>-4099.2586031132605</v>
      </c>
    </row>
    <row r="23" spans="1:35" customFormat="1" x14ac:dyDescent="0.25">
      <c r="A23" s="14">
        <v>21</v>
      </c>
      <c r="B23" s="77">
        <v>44909.916666666664</v>
      </c>
      <c r="C23" s="14" t="s">
        <v>40</v>
      </c>
      <c r="D23" s="14" t="s">
        <v>41</v>
      </c>
      <c r="E23" s="14" t="s">
        <v>276</v>
      </c>
      <c r="F23" s="14">
        <v>2127</v>
      </c>
      <c r="G23" s="14">
        <v>212700</v>
      </c>
      <c r="H23" s="14">
        <v>18025.689999999999</v>
      </c>
      <c r="I23" s="14">
        <v>0.19737890699999999</v>
      </c>
      <c r="J23" s="14" t="s">
        <v>14</v>
      </c>
      <c r="K23" s="15">
        <v>44925.333333333336</v>
      </c>
      <c r="L23" s="14">
        <v>0</v>
      </c>
      <c r="M23" s="14" t="s">
        <v>15</v>
      </c>
      <c r="N23" s="46">
        <f t="shared" si="0"/>
        <v>100</v>
      </c>
      <c r="O23" s="47">
        <f t="shared" si="1"/>
        <v>11.799825693218956</v>
      </c>
      <c r="P23" s="48">
        <f t="shared" si="2"/>
        <v>210221.56289630223</v>
      </c>
      <c r="Q23" s="25">
        <f t="shared" si="6"/>
        <v>15</v>
      </c>
      <c r="R23" s="26" t="str">
        <f t="shared" si="7"/>
        <v>Dec 22</v>
      </c>
      <c r="S23" s="26" t="str">
        <f t="shared" si="3"/>
        <v>LONG</v>
      </c>
      <c r="T23" s="26" t="str">
        <f t="shared" si="8"/>
        <v>Dec 22 LONG</v>
      </c>
      <c r="U23" s="17">
        <f t="shared" si="9"/>
        <v>214827</v>
      </c>
      <c r="V23" s="17">
        <f t="shared" si="10"/>
        <v>18205.946899999999</v>
      </c>
      <c r="W23" s="40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Shifted'!$AE$32:$AO$75,MATCH($R23,'Futures &amp; Perps Shifted'!$AE$30:$AO$30,0),FALSE),0),0)))</f>
        <v>0.01</v>
      </c>
      <c r="X23" s="17">
        <f t="shared" si="11"/>
        <v>2127</v>
      </c>
      <c r="Y23" s="14" t="str">
        <f t="shared" si="12"/>
        <v>FUBI</v>
      </c>
      <c r="Z23" t="str">
        <f t="shared" si="13"/>
        <v>BTC Dec 22 LONG</v>
      </c>
      <c r="AG23">
        <f t="shared" si="14"/>
        <v>100</v>
      </c>
      <c r="AH23">
        <f t="shared" si="4"/>
        <v>11.799825693218956</v>
      </c>
      <c r="AI23">
        <f t="shared" si="5"/>
        <v>210221.56289630223</v>
      </c>
    </row>
    <row r="24" spans="1:35" customFormat="1" x14ac:dyDescent="0.25">
      <c r="A24" s="14">
        <v>22</v>
      </c>
      <c r="B24" s="77">
        <v>44909.916666666664</v>
      </c>
      <c r="C24" s="14" t="s">
        <v>40</v>
      </c>
      <c r="D24" s="14" t="s">
        <v>41</v>
      </c>
      <c r="E24" s="14" t="s">
        <v>766</v>
      </c>
      <c r="F24" s="14">
        <v>64770</v>
      </c>
      <c r="G24" s="14">
        <v>647700</v>
      </c>
      <c r="H24" s="14">
        <v>1334.066</v>
      </c>
      <c r="I24" s="14">
        <v>7.3256461310000001</v>
      </c>
      <c r="J24" s="14" t="s">
        <v>14</v>
      </c>
      <c r="K24" s="15">
        <v>44925.333333333336</v>
      </c>
      <c r="L24" s="14">
        <v>0</v>
      </c>
      <c r="M24" s="14" t="s">
        <v>16</v>
      </c>
      <c r="N24" s="46">
        <f t="shared" si="0"/>
        <v>10</v>
      </c>
      <c r="O24" s="47">
        <f t="shared" si="1"/>
        <v>485.50821323682635</v>
      </c>
      <c r="P24" s="48">
        <f t="shared" si="2"/>
        <v>635689.82647745928</v>
      </c>
      <c r="Q24" s="25">
        <f t="shared" si="6"/>
        <v>15</v>
      </c>
      <c r="R24" s="26" t="str">
        <f t="shared" si="7"/>
        <v>Dec 22</v>
      </c>
      <c r="S24" s="26" t="str">
        <f t="shared" si="3"/>
        <v>LONG</v>
      </c>
      <c r="T24" s="26" t="str">
        <f t="shared" si="8"/>
        <v>Dec 22 LONG</v>
      </c>
      <c r="U24" s="17">
        <f t="shared" si="9"/>
        <v>654177</v>
      </c>
      <c r="V24" s="17">
        <f t="shared" si="10"/>
        <v>1347.4066600000001</v>
      </c>
      <c r="W24" s="40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Shifted'!$AE$32:$AO$75,MATCH($R24,'Futures &amp; Perps Shifted'!$AE$30:$AO$30,0),FALSE),0),0)))</f>
        <v>0.01</v>
      </c>
      <c r="X24" s="17">
        <f t="shared" si="11"/>
        <v>6477</v>
      </c>
      <c r="Y24" s="14" t="str">
        <f t="shared" si="12"/>
        <v>FUBI</v>
      </c>
      <c r="Z24" t="str">
        <f t="shared" si="13"/>
        <v>ETH Dec 22 LONG</v>
      </c>
      <c r="AG24">
        <f t="shared" si="14"/>
        <v>10</v>
      </c>
      <c r="AH24">
        <f t="shared" si="4"/>
        <v>485.50821323682635</v>
      </c>
      <c r="AI24">
        <f t="shared" si="5"/>
        <v>635689.82647745928</v>
      </c>
    </row>
    <row r="25" spans="1:35" customFormat="1" x14ac:dyDescent="0.25">
      <c r="A25" s="14">
        <v>23</v>
      </c>
      <c r="B25" s="77">
        <v>44909.916666666664</v>
      </c>
      <c r="C25" s="14" t="s">
        <v>40</v>
      </c>
      <c r="D25" s="14" t="s">
        <v>42</v>
      </c>
      <c r="E25" s="14" t="s">
        <v>719</v>
      </c>
      <c r="F25" s="14">
        <v>14732</v>
      </c>
      <c r="G25" s="14">
        <v>1473200</v>
      </c>
      <c r="H25" s="14">
        <v>18083</v>
      </c>
      <c r="I25" s="14">
        <v>1.1685359739999901</v>
      </c>
      <c r="J25" s="14" t="s">
        <v>18</v>
      </c>
      <c r="K25" s="15">
        <v>73050.333333333328</v>
      </c>
      <c r="L25" s="14">
        <v>0</v>
      </c>
      <c r="M25" s="14" t="s">
        <v>15</v>
      </c>
      <c r="N25" s="46">
        <f t="shared" si="0"/>
        <v>100</v>
      </c>
      <c r="O25" s="47">
        <f t="shared" si="1"/>
        <v>81.46878283470663</v>
      </c>
      <c r="P25" s="48">
        <f t="shared" si="2"/>
        <v>1451419.3090677268</v>
      </c>
      <c r="Q25" s="25">
        <f t="shared" si="6"/>
        <v>28140</v>
      </c>
      <c r="R25" s="26" t="str">
        <f t="shared" si="7"/>
        <v>PERP</v>
      </c>
      <c r="S25" s="26" t="str">
        <f t="shared" si="3"/>
        <v>LONG</v>
      </c>
      <c r="T25" s="26" t="str">
        <f t="shared" si="8"/>
        <v>PERP LONG</v>
      </c>
      <c r="U25" s="17">
        <f t="shared" si="9"/>
        <v>1473200</v>
      </c>
      <c r="V25" s="17">
        <f t="shared" si="10"/>
        <v>18083</v>
      </c>
      <c r="W25" s="40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Shifted'!$AE$32:$AO$75,MATCH($R25,'Futures &amp; Perps Shifted'!$AE$30:$AO$30,0),FALSE),0),0)))</f>
        <v>0</v>
      </c>
      <c r="X25" s="17">
        <f t="shared" si="11"/>
        <v>0</v>
      </c>
      <c r="Y25" s="14" t="str">
        <f t="shared" si="12"/>
        <v>HUBI</v>
      </c>
      <c r="Z25" t="str">
        <f t="shared" si="13"/>
        <v>BTC PERP LONG</v>
      </c>
      <c r="AG25">
        <f t="shared" si="14"/>
        <v>100</v>
      </c>
      <c r="AH25">
        <f t="shared" si="4"/>
        <v>81.46878283470663</v>
      </c>
      <c r="AI25">
        <f t="shared" si="5"/>
        <v>1451419.3090677268</v>
      </c>
    </row>
    <row r="26" spans="1:35" customFormat="1" x14ac:dyDescent="0.25">
      <c r="A26" s="14">
        <v>24</v>
      </c>
      <c r="B26" s="77">
        <v>44909.916666666664</v>
      </c>
      <c r="C26" s="14" t="s">
        <v>40</v>
      </c>
      <c r="D26" s="14" t="s">
        <v>42</v>
      </c>
      <c r="E26" s="14" t="s">
        <v>767</v>
      </c>
      <c r="F26" s="14">
        <v>-44600</v>
      </c>
      <c r="G26" s="14">
        <v>-446000</v>
      </c>
      <c r="H26" s="14">
        <v>1339.71</v>
      </c>
      <c r="I26" s="14">
        <v>-3.5751686789999999</v>
      </c>
      <c r="J26" s="14" t="s">
        <v>18</v>
      </c>
      <c r="K26" s="15">
        <v>73050.333333333328</v>
      </c>
      <c r="L26" s="14">
        <v>0</v>
      </c>
      <c r="M26" s="14" t="s">
        <v>16</v>
      </c>
      <c r="N26" s="46">
        <f t="shared" si="0"/>
        <v>10</v>
      </c>
      <c r="O26" s="47">
        <f t="shared" si="1"/>
        <v>-332.90786812071269</v>
      </c>
      <c r="P26" s="48">
        <f t="shared" si="2"/>
        <v>-435885.81850706507</v>
      </c>
      <c r="Q26" s="25">
        <f t="shared" si="6"/>
        <v>28140</v>
      </c>
      <c r="R26" s="26" t="str">
        <f t="shared" si="7"/>
        <v>PERP</v>
      </c>
      <c r="S26" s="26" t="str">
        <f t="shared" si="3"/>
        <v>SHORT</v>
      </c>
      <c r="T26" s="26" t="str">
        <f t="shared" si="8"/>
        <v>PERP SHORT</v>
      </c>
      <c r="U26" s="17">
        <f t="shared" si="9"/>
        <v>-446000</v>
      </c>
      <c r="V26" s="17">
        <f t="shared" si="10"/>
        <v>1339.71</v>
      </c>
      <c r="W26" s="40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Shifted'!$AE$32:$AO$75,MATCH($R26,'Futures &amp; Perps Shifted'!$AE$30:$AO$30,0),FALSE),0),0)))</f>
        <v>0</v>
      </c>
      <c r="X26" s="17">
        <f t="shared" si="11"/>
        <v>0</v>
      </c>
      <c r="Y26" s="14" t="str">
        <f t="shared" si="12"/>
        <v>HUBI</v>
      </c>
      <c r="Z26" t="str">
        <f t="shared" si="13"/>
        <v>ETH PERP SHORT</v>
      </c>
      <c r="AG26">
        <f t="shared" si="14"/>
        <v>10</v>
      </c>
      <c r="AH26">
        <f t="shared" si="4"/>
        <v>-332.90786812071269</v>
      </c>
      <c r="AI26">
        <f t="shared" si="5"/>
        <v>-435885.81850706507</v>
      </c>
    </row>
    <row r="27" spans="1:35" customFormat="1" x14ac:dyDescent="0.25">
      <c r="A27" s="14">
        <v>25</v>
      </c>
      <c r="B27" s="77">
        <v>44909.916666666664</v>
      </c>
      <c r="C27" s="14" t="s">
        <v>40</v>
      </c>
      <c r="D27" s="14" t="s">
        <v>43</v>
      </c>
      <c r="E27" s="14" t="s">
        <v>722</v>
      </c>
      <c r="F27" s="14">
        <v>17.276</v>
      </c>
      <c r="G27" s="14">
        <v>312201.50640000001</v>
      </c>
      <c r="H27" s="14">
        <v>18071.400000000001</v>
      </c>
      <c r="I27" s="14">
        <v>3347.4644647959999</v>
      </c>
      <c r="J27" s="14" t="s">
        <v>18</v>
      </c>
      <c r="K27" s="15">
        <v>73050.333333333328</v>
      </c>
      <c r="L27" s="14">
        <v>1</v>
      </c>
      <c r="M27" s="14" t="s">
        <v>15</v>
      </c>
      <c r="N27" s="46">
        <f t="shared" si="0"/>
        <v>1</v>
      </c>
      <c r="O27" s="47">
        <f t="shared" si="1"/>
        <v>17.276</v>
      </c>
      <c r="P27" s="48">
        <f t="shared" si="2"/>
        <v>307783.16688894894</v>
      </c>
      <c r="Q27" s="25">
        <f t="shared" si="6"/>
        <v>28140</v>
      </c>
      <c r="R27" s="26" t="str">
        <f t="shared" si="7"/>
        <v>PERP</v>
      </c>
      <c r="S27" s="26" t="str">
        <f t="shared" si="3"/>
        <v>LONG</v>
      </c>
      <c r="T27" s="26" t="str">
        <f t="shared" si="8"/>
        <v>PERP LONG</v>
      </c>
      <c r="U27" s="17">
        <f t="shared" si="9"/>
        <v>312201.50640000001</v>
      </c>
      <c r="V27" s="17">
        <f t="shared" si="10"/>
        <v>18071.400000000001</v>
      </c>
      <c r="W27" s="40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Shifted'!$AE$32:$AO$75,MATCH($R27,'Futures &amp; Perps Shifted'!$AE$30:$AO$30,0),FALSE),0),0)))</f>
        <v>0</v>
      </c>
      <c r="X27" s="17">
        <f t="shared" si="11"/>
        <v>0</v>
      </c>
      <c r="Y27" s="14" t="str">
        <f t="shared" si="12"/>
        <v>HUBI</v>
      </c>
      <c r="Z27" t="str">
        <f t="shared" si="13"/>
        <v>BTC PERP LONG</v>
      </c>
      <c r="AG27">
        <f t="shared" si="14"/>
        <v>1</v>
      </c>
      <c r="AH27">
        <f t="shared" si="4"/>
        <v>17.276</v>
      </c>
      <c r="AI27">
        <f t="shared" si="5"/>
        <v>307783.16688894894</v>
      </c>
    </row>
    <row r="28" spans="1:35" customFormat="1" x14ac:dyDescent="0.25">
      <c r="A28" s="14">
        <v>26</v>
      </c>
      <c r="B28" s="77">
        <v>44909.916666666664</v>
      </c>
      <c r="C28" s="14" t="s">
        <v>40</v>
      </c>
      <c r="D28" s="14" t="s">
        <v>43</v>
      </c>
      <c r="E28" s="14" t="s">
        <v>768</v>
      </c>
      <c r="F28" s="14">
        <v>-96.99</v>
      </c>
      <c r="G28" s="14">
        <v>-129992.7873</v>
      </c>
      <c r="H28" s="14">
        <v>1340.27</v>
      </c>
      <c r="I28" s="14">
        <v>-1262.468912888</v>
      </c>
      <c r="J28" s="14" t="s">
        <v>18</v>
      </c>
      <c r="K28" s="15">
        <v>73050.333333333328</v>
      </c>
      <c r="L28" s="14">
        <v>1</v>
      </c>
      <c r="M28" s="14" t="s">
        <v>16</v>
      </c>
      <c r="N28" s="46">
        <f t="shared" si="0"/>
        <v>1</v>
      </c>
      <c r="O28" s="47">
        <f t="shared" si="1"/>
        <v>-96.99</v>
      </c>
      <c r="P28" s="48">
        <f t="shared" si="2"/>
        <v>-126991.78837572779</v>
      </c>
      <c r="Q28" s="25">
        <f t="shared" si="6"/>
        <v>28140</v>
      </c>
      <c r="R28" s="26" t="str">
        <f t="shared" si="7"/>
        <v>PERP</v>
      </c>
      <c r="S28" s="26" t="str">
        <f t="shared" si="3"/>
        <v>SHORT</v>
      </c>
      <c r="T28" s="26" t="str">
        <f t="shared" si="8"/>
        <v>PERP SHORT</v>
      </c>
      <c r="U28" s="17">
        <f t="shared" si="9"/>
        <v>-129992.7873</v>
      </c>
      <c r="V28" s="17">
        <f t="shared" si="10"/>
        <v>1340.27</v>
      </c>
      <c r="W28" s="40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Shifted'!$AE$32:$AO$75,MATCH($R28,'Futures &amp; Perps Shifted'!$AE$30:$AO$30,0),FALSE),0),0)))</f>
        <v>0</v>
      </c>
      <c r="X28" s="17">
        <f t="shared" si="11"/>
        <v>0</v>
      </c>
      <c r="Y28" s="14" t="str">
        <f t="shared" si="12"/>
        <v>HUBI</v>
      </c>
      <c r="Z28" t="str">
        <f t="shared" si="13"/>
        <v>ETH PERP SHORT</v>
      </c>
      <c r="AG28">
        <f t="shared" si="14"/>
        <v>1</v>
      </c>
      <c r="AH28">
        <f t="shared" si="4"/>
        <v>-96.99</v>
      </c>
      <c r="AI28">
        <f t="shared" si="5"/>
        <v>-126991.78837572779</v>
      </c>
    </row>
    <row r="29" spans="1:35" customFormat="1" x14ac:dyDescent="0.25">
      <c r="A29" s="14">
        <v>27</v>
      </c>
      <c r="B29" s="77">
        <v>44909.916666666664</v>
      </c>
      <c r="C29" s="14" t="s">
        <v>46</v>
      </c>
      <c r="D29" s="14" t="s">
        <v>47</v>
      </c>
      <c r="E29" s="14" t="s">
        <v>769</v>
      </c>
      <c r="F29" s="14">
        <v>3548</v>
      </c>
      <c r="G29" s="14">
        <v>38985.424580927996</v>
      </c>
      <c r="H29" s="14">
        <v>109.88</v>
      </c>
      <c r="I29" s="14">
        <v>623.70118567199995</v>
      </c>
      <c r="J29" s="14" t="s">
        <v>18</v>
      </c>
      <c r="K29" s="15">
        <v>73050.333333333328</v>
      </c>
      <c r="L29" s="14">
        <v>1</v>
      </c>
      <c r="M29" s="14" t="s">
        <v>21</v>
      </c>
      <c r="N29" s="46">
        <f t="shared" si="0"/>
        <v>0.1</v>
      </c>
      <c r="O29" s="47">
        <f t="shared" si="1"/>
        <v>354.8</v>
      </c>
      <c r="P29" s="48">
        <f t="shared" si="2"/>
        <v>38711.694364149946</v>
      </c>
      <c r="Q29" s="25">
        <f t="shared" si="6"/>
        <v>28140</v>
      </c>
      <c r="R29" s="26" t="str">
        <f t="shared" si="7"/>
        <v>PERP</v>
      </c>
      <c r="S29" s="26" t="str">
        <f t="shared" si="3"/>
        <v>LONG</v>
      </c>
      <c r="T29" s="26" t="str">
        <f t="shared" si="8"/>
        <v>PERP LONG</v>
      </c>
      <c r="U29" s="17">
        <f t="shared" si="9"/>
        <v>38985.424580927996</v>
      </c>
      <c r="V29" s="17">
        <f t="shared" si="10"/>
        <v>109.88</v>
      </c>
      <c r="W29" s="40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Shifted'!$AE$32:$AO$75,MATCH($R29,'Futures &amp; Perps Shifted'!$AE$30:$AO$30,0),FALSE),0),0)))</f>
        <v>0</v>
      </c>
      <c r="X29" s="17">
        <f t="shared" si="11"/>
        <v>0</v>
      </c>
      <c r="Y29" s="14" t="str">
        <f t="shared" si="12"/>
        <v>OKEX</v>
      </c>
      <c r="Z29" t="str">
        <f t="shared" si="13"/>
        <v>BCH PERP LONG</v>
      </c>
      <c r="AG29">
        <f t="shared" si="14"/>
        <v>0.1</v>
      </c>
      <c r="AH29">
        <f t="shared" si="4"/>
        <v>354.8</v>
      </c>
      <c r="AI29">
        <f t="shared" si="5"/>
        <v>38711.694364149946</v>
      </c>
    </row>
    <row r="30" spans="1:35" customFormat="1" x14ac:dyDescent="0.25">
      <c r="A30" s="14">
        <v>28</v>
      </c>
      <c r="B30" s="77">
        <v>44909.916666666664</v>
      </c>
      <c r="C30" s="14" t="s">
        <v>46</v>
      </c>
      <c r="D30" s="14" t="s">
        <v>47</v>
      </c>
      <c r="E30" s="14" t="s">
        <v>49</v>
      </c>
      <c r="F30" s="14">
        <v>32648</v>
      </c>
      <c r="G30" s="14">
        <v>5902007.3640798498</v>
      </c>
      <c r="H30" s="14">
        <v>18077.7</v>
      </c>
      <c r="I30" s="14">
        <v>39150.525126114</v>
      </c>
      <c r="J30" s="14" t="s">
        <v>18</v>
      </c>
      <c r="K30" s="15">
        <v>73050.333333333328</v>
      </c>
      <c r="L30" s="14">
        <v>1</v>
      </c>
      <c r="M30" s="14" t="s">
        <v>15</v>
      </c>
      <c r="N30" s="46">
        <f t="shared" si="0"/>
        <v>0.01</v>
      </c>
      <c r="O30" s="47">
        <f t="shared" si="1"/>
        <v>326.48</v>
      </c>
      <c r="P30" s="48">
        <f t="shared" si="2"/>
        <v>5816453.3645464256</v>
      </c>
      <c r="Q30" s="25">
        <f t="shared" si="6"/>
        <v>28140</v>
      </c>
      <c r="R30" s="26" t="str">
        <f t="shared" si="7"/>
        <v>PERP</v>
      </c>
      <c r="S30" s="26" t="str">
        <f t="shared" si="3"/>
        <v>LONG</v>
      </c>
      <c r="T30" s="26" t="str">
        <f t="shared" si="8"/>
        <v>PERP LONG</v>
      </c>
      <c r="U30" s="17">
        <f t="shared" si="9"/>
        <v>5902007.3640798498</v>
      </c>
      <c r="V30" s="17">
        <f t="shared" si="10"/>
        <v>18077.7</v>
      </c>
      <c r="W30" s="40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Shifted'!$AE$32:$AO$75,MATCH($R30,'Futures &amp; Perps Shifted'!$AE$30:$AO$30,0),FALSE),0),0)))</f>
        <v>0</v>
      </c>
      <c r="X30" s="17">
        <f t="shared" si="11"/>
        <v>0</v>
      </c>
      <c r="Y30" s="14" t="str">
        <f t="shared" si="12"/>
        <v>OKEX</v>
      </c>
      <c r="Z30" t="str">
        <f t="shared" si="13"/>
        <v>BTC PERP LONG</v>
      </c>
      <c r="AG30">
        <f t="shared" si="14"/>
        <v>0.01</v>
      </c>
      <c r="AH30">
        <f t="shared" si="4"/>
        <v>326.48</v>
      </c>
      <c r="AI30">
        <f t="shared" si="5"/>
        <v>5816453.3645464256</v>
      </c>
    </row>
    <row r="31" spans="1:35" customFormat="1" x14ac:dyDescent="0.25">
      <c r="A31" s="14">
        <v>29</v>
      </c>
      <c r="B31" s="77">
        <v>44909.916666666664</v>
      </c>
      <c r="C31" s="14" t="s">
        <v>46</v>
      </c>
      <c r="D31" s="14" t="s">
        <v>47</v>
      </c>
      <c r="E31" s="14" t="s">
        <v>770</v>
      </c>
      <c r="F31" s="14">
        <v>232</v>
      </c>
      <c r="G31" s="14">
        <v>2328.8159999999998</v>
      </c>
      <c r="H31" s="14">
        <v>1.0038</v>
      </c>
      <c r="I31" s="14">
        <v>103.482391596</v>
      </c>
      <c r="J31" s="14" t="s">
        <v>18</v>
      </c>
      <c r="K31" s="15">
        <v>73050.333333333328</v>
      </c>
      <c r="L31" s="14">
        <v>1</v>
      </c>
      <c r="M31" s="14" t="s">
        <v>24</v>
      </c>
      <c r="N31" s="46">
        <f t="shared" si="0"/>
        <v>10</v>
      </c>
      <c r="O31" s="47">
        <f t="shared" si="1"/>
        <v>2320</v>
      </c>
      <c r="P31" s="48">
        <f t="shared" si="2"/>
        <v>2269.0095011231501</v>
      </c>
      <c r="Q31" s="25">
        <f t="shared" si="6"/>
        <v>28140</v>
      </c>
      <c r="R31" s="26" t="str">
        <f t="shared" si="7"/>
        <v>PERP</v>
      </c>
      <c r="S31" s="26" t="str">
        <f t="shared" si="3"/>
        <v>LONG</v>
      </c>
      <c r="T31" s="26" t="str">
        <f t="shared" si="8"/>
        <v>PERP LONG</v>
      </c>
      <c r="U31" s="17">
        <f t="shared" si="9"/>
        <v>2328.8159999999998</v>
      </c>
      <c r="V31" s="17">
        <f t="shared" si="10"/>
        <v>1.0038</v>
      </c>
      <c r="W31" s="40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Shifted'!$AE$32:$AO$75,MATCH($R31,'Futures &amp; Perps Shifted'!$AE$30:$AO$30,0),FALSE),0),0)))</f>
        <v>0</v>
      </c>
      <c r="X31" s="17">
        <f t="shared" si="11"/>
        <v>0</v>
      </c>
      <c r="Y31" s="14" t="str">
        <f t="shared" si="12"/>
        <v>OKEX</v>
      </c>
      <c r="Z31" t="str">
        <f t="shared" si="13"/>
        <v>EOS PERP LONG</v>
      </c>
      <c r="AG31">
        <f t="shared" si="14"/>
        <v>10</v>
      </c>
      <c r="AH31">
        <f t="shared" si="4"/>
        <v>2320</v>
      </c>
      <c r="AI31">
        <f t="shared" si="5"/>
        <v>2269.0095011231501</v>
      </c>
    </row>
    <row r="32" spans="1:35" customFormat="1" x14ac:dyDescent="0.25">
      <c r="A32" s="14">
        <v>30</v>
      </c>
      <c r="B32" s="77">
        <v>44909.916666666664</v>
      </c>
      <c r="C32" s="14" t="s">
        <v>46</v>
      </c>
      <c r="D32" s="14" t="s">
        <v>47</v>
      </c>
      <c r="E32" s="14" t="s">
        <v>771</v>
      </c>
      <c r="F32" s="14">
        <v>13927</v>
      </c>
      <c r="G32" s="14">
        <v>1865925.56080445</v>
      </c>
      <c r="H32" s="14">
        <v>1339.79</v>
      </c>
      <c r="I32" s="14">
        <v>139870.794260817</v>
      </c>
      <c r="J32" s="14" t="s">
        <v>14</v>
      </c>
      <c r="K32" s="15">
        <v>44925.333333333336</v>
      </c>
      <c r="L32" s="14">
        <v>1</v>
      </c>
      <c r="M32" s="14" t="s">
        <v>16</v>
      </c>
      <c r="N32" s="46">
        <f t="shared" si="0"/>
        <v>0.1</v>
      </c>
      <c r="O32" s="47">
        <f t="shared" si="1"/>
        <v>1392.7</v>
      </c>
      <c r="P32" s="48">
        <f t="shared" si="2"/>
        <v>1823502.0483645333</v>
      </c>
      <c r="Q32" s="25">
        <f t="shared" si="6"/>
        <v>15</v>
      </c>
      <c r="R32" s="26" t="str">
        <f t="shared" si="7"/>
        <v>Dec 22</v>
      </c>
      <c r="S32" s="26" t="str">
        <f t="shared" si="3"/>
        <v>LONG</v>
      </c>
      <c r="T32" s="26" t="str">
        <f t="shared" si="8"/>
        <v>Dec 22 LONG</v>
      </c>
      <c r="U32" s="17">
        <f t="shared" si="9"/>
        <v>1884584.8164124945</v>
      </c>
      <c r="V32" s="17">
        <f t="shared" si="10"/>
        <v>1353.1878999999999</v>
      </c>
      <c r="W32" s="40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Shifted'!$AE$32:$AO$75,MATCH($R32,'Futures &amp; Perps Shifted'!$AE$30:$AO$30,0),FALSE),0),0)))</f>
        <v>0.01</v>
      </c>
      <c r="X32" s="17">
        <f t="shared" si="11"/>
        <v>18659.255608044565</v>
      </c>
      <c r="Y32" s="14" t="str">
        <f t="shared" si="12"/>
        <v>OKEX</v>
      </c>
      <c r="Z32" t="str">
        <f t="shared" si="13"/>
        <v>ETH Dec 22 LONG</v>
      </c>
      <c r="AG32">
        <f t="shared" si="14"/>
        <v>0.1</v>
      </c>
      <c r="AH32">
        <f t="shared" si="4"/>
        <v>1392.7</v>
      </c>
      <c r="AI32">
        <f t="shared" si="5"/>
        <v>1823502.0483645333</v>
      </c>
    </row>
    <row r="33" spans="1:35" customFormat="1" x14ac:dyDescent="0.25">
      <c r="A33" s="14">
        <v>31</v>
      </c>
      <c r="B33" s="77">
        <v>44909.916666666664</v>
      </c>
      <c r="C33" s="14" t="s">
        <v>46</v>
      </c>
      <c r="D33" s="14" t="s">
        <v>47</v>
      </c>
      <c r="E33" s="14" t="s">
        <v>772</v>
      </c>
      <c r="F33" s="14">
        <v>4630</v>
      </c>
      <c r="G33" s="14">
        <v>619873.66923683695</v>
      </c>
      <c r="H33" s="14">
        <v>1338.82</v>
      </c>
      <c r="I33" s="14">
        <v>14540.464708244999</v>
      </c>
      <c r="J33" s="14" t="s">
        <v>14</v>
      </c>
      <c r="K33" s="15">
        <v>45016.333333333336</v>
      </c>
      <c r="L33" s="14">
        <v>1</v>
      </c>
      <c r="M33" s="14" t="s">
        <v>16</v>
      </c>
      <c r="N33" s="46">
        <f t="shared" si="0"/>
        <v>0.1</v>
      </c>
      <c r="O33" s="47">
        <f t="shared" si="1"/>
        <v>463</v>
      </c>
      <c r="P33" s="48">
        <f t="shared" si="2"/>
        <v>606219.1774199605</v>
      </c>
      <c r="Q33" s="25">
        <f t="shared" si="6"/>
        <v>106</v>
      </c>
      <c r="R33" s="26" t="str">
        <f t="shared" si="7"/>
        <v>Mar 23</v>
      </c>
      <c r="S33" s="26" t="str">
        <f t="shared" si="3"/>
        <v>LONG</v>
      </c>
      <c r="T33" s="26" t="str">
        <f t="shared" si="8"/>
        <v>Mar 23 LONG</v>
      </c>
      <c r="U33" s="17">
        <f t="shared" si="9"/>
        <v>626072.40592920536</v>
      </c>
      <c r="V33" s="17">
        <f t="shared" si="10"/>
        <v>1352.2082</v>
      </c>
      <c r="W33" s="40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Shifted'!$AE$32:$AO$75,MATCH($R33,'Futures &amp; Perps Shifted'!$AE$30:$AO$30,0),FALSE),0),0)))</f>
        <v>0.01</v>
      </c>
      <c r="X33" s="17">
        <f t="shared" si="11"/>
        <v>6198.7366923684021</v>
      </c>
      <c r="Y33" s="14" t="str">
        <f t="shared" si="12"/>
        <v>OKEX</v>
      </c>
      <c r="Z33" t="str">
        <f t="shared" si="13"/>
        <v>ETH Mar 23 LONG</v>
      </c>
      <c r="AG33">
        <f t="shared" si="14"/>
        <v>0.1</v>
      </c>
      <c r="AH33">
        <f t="shared" si="4"/>
        <v>463</v>
      </c>
      <c r="AI33">
        <f t="shared" si="5"/>
        <v>606219.1774199605</v>
      </c>
    </row>
    <row r="34" spans="1:35" customFormat="1" x14ac:dyDescent="0.25">
      <c r="A34" s="14">
        <v>32</v>
      </c>
      <c r="B34" s="77">
        <v>44909.916666666664</v>
      </c>
      <c r="C34" s="14" t="s">
        <v>46</v>
      </c>
      <c r="D34" s="14" t="s">
        <v>47</v>
      </c>
      <c r="E34" s="14" t="s">
        <v>52</v>
      </c>
      <c r="F34" s="14">
        <v>-9554</v>
      </c>
      <c r="G34" s="14">
        <v>-955400</v>
      </c>
      <c r="H34" s="18">
        <v>18088.7</v>
      </c>
      <c r="I34" s="14">
        <v>-0.79304966300000002</v>
      </c>
      <c r="J34" s="14" t="s">
        <v>18</v>
      </c>
      <c r="K34" s="15">
        <v>73050.333333333328</v>
      </c>
      <c r="L34" s="14">
        <v>0</v>
      </c>
      <c r="M34" s="14" t="s">
        <v>15</v>
      </c>
      <c r="N34" s="46">
        <f t="shared" si="0"/>
        <v>100</v>
      </c>
      <c r="O34" s="47">
        <f t="shared" si="1"/>
        <v>-52.817504851094881</v>
      </c>
      <c r="P34" s="48">
        <f t="shared" si="2"/>
        <v>-940978.17262343166</v>
      </c>
      <c r="Q34" s="25">
        <f t="shared" si="6"/>
        <v>28140</v>
      </c>
      <c r="R34" s="26" t="str">
        <f t="shared" si="7"/>
        <v>PERP</v>
      </c>
      <c r="S34" s="26" t="str">
        <f t="shared" si="3"/>
        <v>SHORT</v>
      </c>
      <c r="T34" s="26" t="str">
        <f t="shared" si="8"/>
        <v>PERP SHORT</v>
      </c>
      <c r="U34" s="17">
        <f t="shared" si="9"/>
        <v>-955400</v>
      </c>
      <c r="V34" s="17">
        <f t="shared" si="10"/>
        <v>18088.7</v>
      </c>
      <c r="W34" s="40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Shifted'!$AE$32:$AO$75,MATCH($R34,'Futures &amp; Perps Shifted'!$AE$30:$AO$30,0),FALSE),0),0)))</f>
        <v>0</v>
      </c>
      <c r="X34" s="17">
        <f t="shared" si="11"/>
        <v>0</v>
      </c>
      <c r="Y34" s="14" t="str">
        <f t="shared" si="12"/>
        <v>OKEX</v>
      </c>
      <c r="Z34" t="str">
        <f t="shared" si="13"/>
        <v>BTC PERP SHORT</v>
      </c>
      <c r="AG34">
        <f t="shared" si="14"/>
        <v>100</v>
      </c>
      <c r="AH34">
        <f t="shared" ref="AH34:AH65" si="15">IF($C34="","",IF($A34="",0,IF($L34=1,$F34*$AG34,$AA$2*$F34*$AG34/$H34)))</f>
        <v>-52.817504851094881</v>
      </c>
      <c r="AI34">
        <f t="shared" ref="AI34:AI65" si="16">IF($C34="","",IF($A34="",0,VLOOKUP($M34,SpotUSDRateTable,2,FALSE)*AH34))</f>
        <v>-940978.17262343166</v>
      </c>
    </row>
    <row r="35" spans="1:35" customFormat="1" x14ac:dyDescent="0.25">
      <c r="A35" s="14">
        <v>33</v>
      </c>
      <c r="B35" s="77">
        <v>44909.916666666664</v>
      </c>
      <c r="C35" s="14" t="s">
        <v>46</v>
      </c>
      <c r="D35" s="14" t="s">
        <v>47</v>
      </c>
      <c r="E35" s="14" t="s">
        <v>773</v>
      </c>
      <c r="F35" s="14">
        <v>-96224</v>
      </c>
      <c r="G35" s="14">
        <v>-962240</v>
      </c>
      <c r="H35" s="14">
        <v>1340.19</v>
      </c>
      <c r="I35" s="14">
        <v>-6.3702212730000003</v>
      </c>
      <c r="J35" s="14" t="s">
        <v>18</v>
      </c>
      <c r="K35" s="15">
        <v>73050.333333333328</v>
      </c>
      <c r="L35" s="14">
        <v>0</v>
      </c>
      <c r="M35" s="14" t="s">
        <v>16</v>
      </c>
      <c r="N35" s="46">
        <f t="shared" si="0"/>
        <v>10</v>
      </c>
      <c r="O35" s="47">
        <f t="shared" si="1"/>
        <v>-717.98774800587978</v>
      </c>
      <c r="P35" s="48">
        <f t="shared" si="2"/>
        <v>-940081.94815061404</v>
      </c>
      <c r="Q35" s="25">
        <f t="shared" si="6"/>
        <v>28140</v>
      </c>
      <c r="R35" s="26" t="str">
        <f t="shared" si="7"/>
        <v>PERP</v>
      </c>
      <c r="S35" s="26" t="str">
        <f t="shared" si="3"/>
        <v>SHORT</v>
      </c>
      <c r="T35" s="26" t="str">
        <f t="shared" si="8"/>
        <v>PERP SHORT</v>
      </c>
      <c r="U35" s="17">
        <f t="shared" si="9"/>
        <v>-962240</v>
      </c>
      <c r="V35" s="17">
        <f t="shared" si="10"/>
        <v>1340.19</v>
      </c>
      <c r="W35" s="40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Shifted'!$AE$32:$AO$75,MATCH($R35,'Futures &amp; Perps Shifted'!$AE$30:$AO$30,0),FALSE),0),0)))</f>
        <v>0</v>
      </c>
      <c r="X35" s="17">
        <f t="shared" si="11"/>
        <v>0</v>
      </c>
      <c r="Y35" s="14" t="str">
        <f t="shared" si="12"/>
        <v>OKEX</v>
      </c>
      <c r="Z35" t="str">
        <f t="shared" si="13"/>
        <v>ETH PERP SHORT</v>
      </c>
      <c r="AG35">
        <f t="shared" si="14"/>
        <v>10</v>
      </c>
      <c r="AH35">
        <f t="shared" si="15"/>
        <v>-717.98774800587978</v>
      </c>
      <c r="AI35">
        <f t="shared" si="16"/>
        <v>-940081.94815061404</v>
      </c>
    </row>
    <row r="36" spans="1:35" customFormat="1" x14ac:dyDescent="0.25">
      <c r="A36" s="14">
        <v>34</v>
      </c>
      <c r="B36" s="77">
        <v>44909.916666666664</v>
      </c>
      <c r="C36" s="14" t="s">
        <v>46</v>
      </c>
      <c r="D36" s="14" t="s">
        <v>47</v>
      </c>
      <c r="E36" s="14" t="s">
        <v>774</v>
      </c>
      <c r="F36" s="14">
        <v>-19875</v>
      </c>
      <c r="G36" s="14">
        <v>-2663568.0396902501</v>
      </c>
      <c r="H36" s="14">
        <v>1340.16</v>
      </c>
      <c r="I36" s="14">
        <v>-31171.112554192001</v>
      </c>
      <c r="J36" s="14" t="s">
        <v>18</v>
      </c>
      <c r="K36" s="15">
        <v>73050.333333333328</v>
      </c>
      <c r="L36" s="14">
        <v>1</v>
      </c>
      <c r="M36" s="14" t="s">
        <v>16</v>
      </c>
      <c r="N36" s="46">
        <f t="shared" si="0"/>
        <v>0.1</v>
      </c>
      <c r="O36" s="47">
        <f t="shared" si="1"/>
        <v>-1987.5</v>
      </c>
      <c r="P36" s="48">
        <f t="shared" si="2"/>
        <v>-2602290.7454042579</v>
      </c>
      <c r="Q36" s="25">
        <f t="shared" si="6"/>
        <v>28140</v>
      </c>
      <c r="R36" s="26" t="str">
        <f t="shared" si="7"/>
        <v>PERP</v>
      </c>
      <c r="S36" s="26" t="str">
        <f t="shared" si="3"/>
        <v>SHORT</v>
      </c>
      <c r="T36" s="26" t="str">
        <f t="shared" si="8"/>
        <v>PERP SHORT</v>
      </c>
      <c r="U36" s="17">
        <f t="shared" si="9"/>
        <v>-2663568.0396902501</v>
      </c>
      <c r="V36" s="17">
        <f t="shared" si="10"/>
        <v>1340.16</v>
      </c>
      <c r="W36" s="40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Shifted'!$AE$32:$AO$75,MATCH($R36,'Futures &amp; Perps Shifted'!$AE$30:$AO$30,0),FALSE),0),0)))</f>
        <v>0</v>
      </c>
      <c r="X36" s="17">
        <f t="shared" si="11"/>
        <v>0</v>
      </c>
      <c r="Y36" s="14" t="str">
        <f t="shared" si="12"/>
        <v>OKEX</v>
      </c>
      <c r="Z36" t="str">
        <f t="shared" si="13"/>
        <v>ETH PERP SHORT</v>
      </c>
      <c r="AG36">
        <f t="shared" si="14"/>
        <v>0.1</v>
      </c>
      <c r="AH36">
        <f t="shared" si="15"/>
        <v>-1987.5</v>
      </c>
      <c r="AI36">
        <f t="shared" si="16"/>
        <v>-2602290.7454042579</v>
      </c>
    </row>
    <row r="37" spans="1:35" customFormat="1" x14ac:dyDescent="0.25">
      <c r="A37" s="14">
        <v>35</v>
      </c>
      <c r="B37" s="77">
        <v>44909.916666666664</v>
      </c>
      <c r="C37" s="14" t="s">
        <v>46</v>
      </c>
      <c r="D37" s="14" t="s">
        <v>47</v>
      </c>
      <c r="E37" s="14" t="s">
        <v>775</v>
      </c>
      <c r="F37" s="14">
        <v>-438</v>
      </c>
      <c r="G37" s="14">
        <v>-34514.400000000001</v>
      </c>
      <c r="H37" s="14">
        <v>78.8</v>
      </c>
      <c r="I37" s="14">
        <v>-462.46031231400002</v>
      </c>
      <c r="J37" s="14" t="s">
        <v>18</v>
      </c>
      <c r="K37" s="15">
        <v>73050.333333333328</v>
      </c>
      <c r="L37" s="14">
        <v>1</v>
      </c>
      <c r="M37" s="14" t="s">
        <v>25</v>
      </c>
      <c r="N37" s="46">
        <f t="shared" si="0"/>
        <v>1</v>
      </c>
      <c r="O37" s="47">
        <f t="shared" si="1"/>
        <v>-438</v>
      </c>
      <c r="P37" s="48">
        <f t="shared" si="2"/>
        <v>-33058.42827700713</v>
      </c>
      <c r="Q37" s="25">
        <f t="shared" si="6"/>
        <v>28140</v>
      </c>
      <c r="R37" s="26" t="str">
        <f t="shared" si="7"/>
        <v>PERP</v>
      </c>
      <c r="S37" s="26" t="str">
        <f t="shared" si="3"/>
        <v>SHORT</v>
      </c>
      <c r="T37" s="26" t="str">
        <f t="shared" si="8"/>
        <v>PERP SHORT</v>
      </c>
      <c r="U37" s="17">
        <f t="shared" si="9"/>
        <v>-34514.400000000001</v>
      </c>
      <c r="V37" s="17">
        <f t="shared" si="10"/>
        <v>78.8</v>
      </c>
      <c r="W37" s="40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Shifted'!$AE$32:$AO$75,MATCH($R37,'Futures &amp; Perps Shifted'!$AE$30:$AO$30,0),FALSE),0),0)))</f>
        <v>0</v>
      </c>
      <c r="X37" s="17">
        <f t="shared" si="11"/>
        <v>0</v>
      </c>
      <c r="Y37" s="14" t="str">
        <f t="shared" si="12"/>
        <v>OKEX</v>
      </c>
      <c r="Z37" t="str">
        <f t="shared" si="13"/>
        <v>LTC PERP SHORT</v>
      </c>
      <c r="AG37">
        <f t="shared" si="14"/>
        <v>1</v>
      </c>
      <c r="AH37">
        <f t="shared" si="15"/>
        <v>-438</v>
      </c>
      <c r="AI37">
        <f t="shared" si="16"/>
        <v>-33058.42827700713</v>
      </c>
    </row>
    <row r="38" spans="1:35" customFormat="1" x14ac:dyDescent="0.25">
      <c r="A38" s="14">
        <v>36</v>
      </c>
      <c r="B38" s="77">
        <v>44909.916666666664</v>
      </c>
      <c r="C38" s="14" t="s">
        <v>46</v>
      </c>
      <c r="D38" s="14" t="s">
        <v>47</v>
      </c>
      <c r="E38" s="14" t="s">
        <v>51</v>
      </c>
      <c r="F38" s="14">
        <v>-11635</v>
      </c>
      <c r="G38" s="14">
        <v>-1163500</v>
      </c>
      <c r="H38" s="14">
        <v>18115.8</v>
      </c>
      <c r="I38" s="14">
        <v>-0.60986192699999997</v>
      </c>
      <c r="J38" s="14" t="s">
        <v>14</v>
      </c>
      <c r="K38" s="15">
        <v>44925.333333333336</v>
      </c>
      <c r="L38" s="14">
        <v>0</v>
      </c>
      <c r="M38" s="14" t="s">
        <v>15</v>
      </c>
      <c r="N38" s="46">
        <f t="shared" si="0"/>
        <v>100</v>
      </c>
      <c r="O38" s="47">
        <f t="shared" si="1"/>
        <v>-64.22570352951567</v>
      </c>
      <c r="P38" s="48">
        <f t="shared" si="2"/>
        <v>-1144222.6457504677</v>
      </c>
      <c r="Q38" s="25">
        <f t="shared" si="6"/>
        <v>15</v>
      </c>
      <c r="R38" s="26" t="str">
        <f t="shared" si="7"/>
        <v>Dec 22</v>
      </c>
      <c r="S38" s="26" t="str">
        <f t="shared" si="3"/>
        <v>SHORT</v>
      </c>
      <c r="T38" s="26" t="str">
        <f t="shared" si="8"/>
        <v>Dec 22 SHORT</v>
      </c>
      <c r="U38" s="17">
        <f t="shared" si="9"/>
        <v>-1175135</v>
      </c>
      <c r="V38" s="17">
        <f t="shared" si="10"/>
        <v>18296.957999999999</v>
      </c>
      <c r="W38" s="40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Shifted'!$AE$32:$AO$75,MATCH($R38,'Futures &amp; Perps Shifted'!$AE$30:$AO$30,0),FALSE),0),0)))</f>
        <v>0.01</v>
      </c>
      <c r="X38" s="17">
        <f t="shared" si="11"/>
        <v>-11635</v>
      </c>
      <c r="Y38" s="14" t="str">
        <f t="shared" si="12"/>
        <v>OKEX</v>
      </c>
      <c r="Z38" t="str">
        <f t="shared" si="13"/>
        <v>BTC Dec 22 SHORT</v>
      </c>
      <c r="AG38">
        <f t="shared" si="14"/>
        <v>100</v>
      </c>
      <c r="AH38">
        <f t="shared" si="15"/>
        <v>-64.22570352951567</v>
      </c>
      <c r="AI38">
        <f t="shared" si="16"/>
        <v>-1144222.6457504677</v>
      </c>
    </row>
    <row r="39" spans="1:35" customFormat="1" x14ac:dyDescent="0.25">
      <c r="A39" s="14">
        <v>37</v>
      </c>
      <c r="B39" s="77">
        <v>44909.916666666664</v>
      </c>
      <c r="C39" s="14" t="s">
        <v>46</v>
      </c>
      <c r="D39" s="14" t="s">
        <v>47</v>
      </c>
      <c r="E39" s="14" t="s">
        <v>776</v>
      </c>
      <c r="F39" s="14">
        <v>-201184</v>
      </c>
      <c r="G39" s="14">
        <v>-2011840</v>
      </c>
      <c r="H39" s="14">
        <v>1341.52</v>
      </c>
      <c r="I39" s="14">
        <v>-61.937708741000002</v>
      </c>
      <c r="J39" s="14" t="s">
        <v>14</v>
      </c>
      <c r="K39" s="15">
        <v>44925.333333333336</v>
      </c>
      <c r="L39" s="14">
        <v>0</v>
      </c>
      <c r="M39" s="14" t="s">
        <v>16</v>
      </c>
      <c r="N39" s="46">
        <f t="shared" si="0"/>
        <v>10</v>
      </c>
      <c r="O39" s="47">
        <f t="shared" si="1"/>
        <v>-1499.6720138350529</v>
      </c>
      <c r="P39" s="48">
        <f t="shared" si="2"/>
        <v>-1963563.5737080374</v>
      </c>
      <c r="Q39" s="25">
        <f t="shared" si="6"/>
        <v>15</v>
      </c>
      <c r="R39" s="26" t="str">
        <f t="shared" si="7"/>
        <v>Dec 22</v>
      </c>
      <c r="S39" s="26" t="str">
        <f t="shared" si="3"/>
        <v>SHORT</v>
      </c>
      <c r="T39" s="26" t="str">
        <f t="shared" si="8"/>
        <v>Dec 22 SHORT</v>
      </c>
      <c r="U39" s="17">
        <f t="shared" si="9"/>
        <v>-2031958.4</v>
      </c>
      <c r="V39" s="17">
        <f t="shared" si="10"/>
        <v>1354.9351999999999</v>
      </c>
      <c r="W39" s="40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Shifted'!$AE$32:$AO$75,MATCH($R39,'Futures &amp; Perps Shifted'!$AE$30:$AO$30,0),FALSE),0),0)))</f>
        <v>0.01</v>
      </c>
      <c r="X39" s="17">
        <f t="shared" si="11"/>
        <v>-20118.399999999907</v>
      </c>
      <c r="Y39" s="14" t="str">
        <f t="shared" si="12"/>
        <v>OKEX</v>
      </c>
      <c r="Z39" t="str">
        <f t="shared" si="13"/>
        <v>ETH Dec 22 SHORT</v>
      </c>
      <c r="AG39">
        <f t="shared" si="14"/>
        <v>10</v>
      </c>
      <c r="AH39">
        <f t="shared" si="15"/>
        <v>-1499.6720138350529</v>
      </c>
      <c r="AI39">
        <f t="shared" si="16"/>
        <v>-1963563.5737080374</v>
      </c>
    </row>
    <row r="40" spans="1:35" customFormat="1" x14ac:dyDescent="0.25">
      <c r="A40" s="14">
        <v>38</v>
      </c>
      <c r="B40" s="77">
        <v>44909.916666666664</v>
      </c>
      <c r="C40" s="14" t="s">
        <v>46</v>
      </c>
      <c r="D40" s="14" t="s">
        <v>47</v>
      </c>
      <c r="E40" s="14" t="s">
        <v>777</v>
      </c>
      <c r="F40" s="14">
        <v>-33090</v>
      </c>
      <c r="G40" s="14">
        <v>-227890.83</v>
      </c>
      <c r="H40" s="14">
        <v>6.8869999999999996</v>
      </c>
      <c r="I40" s="14">
        <v>-2522.956967355</v>
      </c>
      <c r="J40" s="14" t="s">
        <v>18</v>
      </c>
      <c r="K40" s="15">
        <v>73050.333333333328</v>
      </c>
      <c r="L40" s="14">
        <v>1</v>
      </c>
      <c r="M40" s="14" t="s">
        <v>28</v>
      </c>
      <c r="N40" s="46">
        <f t="shared" si="0"/>
        <v>1</v>
      </c>
      <c r="O40" s="47">
        <f t="shared" si="1"/>
        <v>-33090</v>
      </c>
      <c r="P40" s="48">
        <f t="shared" si="2"/>
        <v>-222656.92042572392</v>
      </c>
      <c r="Q40" s="25">
        <f t="shared" si="6"/>
        <v>28140</v>
      </c>
      <c r="R40" s="26" t="str">
        <f t="shared" si="7"/>
        <v>PERP</v>
      </c>
      <c r="S40" s="26" t="str">
        <f t="shared" si="3"/>
        <v>SHORT</v>
      </c>
      <c r="T40" s="26" t="str">
        <f t="shared" si="8"/>
        <v>PERP SHORT</v>
      </c>
      <c r="U40" s="17">
        <f t="shared" si="9"/>
        <v>-227890.83</v>
      </c>
      <c r="V40" s="17">
        <f t="shared" si="10"/>
        <v>6.8869999999999996</v>
      </c>
      <c r="W40" s="40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Shifted'!$AE$32:$AO$75,MATCH($R40,'Futures &amp; Perps Shifted'!$AE$30:$AO$30,0),FALSE),0),0)))</f>
        <v>0</v>
      </c>
      <c r="X40" s="17">
        <f t="shared" si="11"/>
        <v>0</v>
      </c>
      <c r="Y40" s="14" t="str">
        <f t="shared" si="12"/>
        <v>OKEX</v>
      </c>
      <c r="Z40" t="str">
        <f t="shared" si="13"/>
        <v>LINK PERP SHORT</v>
      </c>
      <c r="AG40">
        <f t="shared" si="14"/>
        <v>1</v>
      </c>
      <c r="AH40">
        <f t="shared" si="15"/>
        <v>-33090</v>
      </c>
      <c r="AI40">
        <f t="shared" si="16"/>
        <v>-222656.92042572392</v>
      </c>
    </row>
    <row r="41" spans="1:35" customFormat="1" x14ac:dyDescent="0.25">
      <c r="A41" s="14">
        <v>39</v>
      </c>
      <c r="B41" s="77">
        <v>44909.916666666664</v>
      </c>
      <c r="C41" s="14" t="s">
        <v>46</v>
      </c>
      <c r="D41" s="14" t="s">
        <v>47</v>
      </c>
      <c r="E41" s="14" t="s">
        <v>778</v>
      </c>
      <c r="F41" s="14">
        <v>-89029</v>
      </c>
      <c r="G41" s="14">
        <v>-815505.64</v>
      </c>
      <c r="H41" s="14">
        <v>9.1600000000000004E-6</v>
      </c>
      <c r="I41" s="14">
        <v>117404.765870498</v>
      </c>
      <c r="J41" s="14" t="s">
        <v>18</v>
      </c>
      <c r="K41" s="15">
        <v>73050.333333333328</v>
      </c>
      <c r="L41" s="14">
        <v>1</v>
      </c>
      <c r="M41" s="14" t="s">
        <v>38</v>
      </c>
      <c r="N41" s="46">
        <f t="shared" si="0"/>
        <v>1000000</v>
      </c>
      <c r="O41" s="47">
        <f t="shared" si="1"/>
        <v>-89029000000</v>
      </c>
      <c r="P41" s="48">
        <f t="shared" si="2"/>
        <v>-798835.50910863047</v>
      </c>
      <c r="Q41" s="25">
        <f t="shared" si="6"/>
        <v>28140</v>
      </c>
      <c r="R41" s="26" t="str">
        <f t="shared" si="7"/>
        <v>PERP</v>
      </c>
      <c r="S41" s="26" t="str">
        <f t="shared" si="3"/>
        <v>SHORT</v>
      </c>
      <c r="T41" s="26" t="str">
        <f t="shared" si="8"/>
        <v>PERP SHORT</v>
      </c>
      <c r="U41" s="17">
        <f t="shared" si="9"/>
        <v>-815505.64</v>
      </c>
      <c r="V41" s="17">
        <f t="shared" si="10"/>
        <v>9.1600000000000004E-6</v>
      </c>
      <c r="W41" s="40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Shifted'!$AE$32:$AO$75,MATCH($R41,'Futures &amp; Perps Shifted'!$AE$30:$AO$30,0),FALSE),0),0)))</f>
        <v>0</v>
      </c>
      <c r="X41" s="17">
        <f t="shared" si="11"/>
        <v>0</v>
      </c>
      <c r="Y41" s="14" t="str">
        <f t="shared" si="12"/>
        <v>OKEX</v>
      </c>
      <c r="Z41" t="str">
        <f t="shared" si="13"/>
        <v>SHIB PERP SHORT</v>
      </c>
      <c r="AG41">
        <f t="shared" si="14"/>
        <v>1000000</v>
      </c>
      <c r="AH41">
        <f t="shared" si="15"/>
        <v>-89029000000</v>
      </c>
      <c r="AI41">
        <f t="shared" si="16"/>
        <v>-798835.50910863047</v>
      </c>
    </row>
    <row r="42" spans="1:35" customFormat="1" x14ac:dyDescent="0.25">
      <c r="A42" s="14">
        <v>40</v>
      </c>
      <c r="B42" s="77">
        <v>44909.916666666664</v>
      </c>
      <c r="C42" s="14" t="s">
        <v>46</v>
      </c>
      <c r="D42" s="14" t="s">
        <v>47</v>
      </c>
      <c r="E42" s="14" t="s">
        <v>48</v>
      </c>
      <c r="F42" s="14">
        <v>-16540</v>
      </c>
      <c r="G42" s="14">
        <v>-2994517.3130673198</v>
      </c>
      <c r="H42" s="14">
        <v>18104.7</v>
      </c>
      <c r="I42" s="14">
        <v>-75115.642557642001</v>
      </c>
      <c r="J42" s="14" t="s">
        <v>14</v>
      </c>
      <c r="K42" s="15">
        <v>44925.333333333336</v>
      </c>
      <c r="L42" s="14">
        <v>1</v>
      </c>
      <c r="M42" s="14" t="s">
        <v>15</v>
      </c>
      <c r="N42" s="46">
        <f t="shared" si="0"/>
        <v>0.01</v>
      </c>
      <c r="O42" s="47">
        <f t="shared" si="1"/>
        <v>-165.4</v>
      </c>
      <c r="P42" s="48">
        <f t="shared" si="2"/>
        <v>-2946708.4859592589</v>
      </c>
      <c r="Q42" s="25">
        <f t="shared" si="6"/>
        <v>15</v>
      </c>
      <c r="R42" s="26" t="str">
        <f t="shared" si="7"/>
        <v>Dec 22</v>
      </c>
      <c r="S42" s="26" t="str">
        <f t="shared" si="3"/>
        <v>SHORT</v>
      </c>
      <c r="T42" s="26" t="str">
        <f t="shared" si="8"/>
        <v>Dec 22 SHORT</v>
      </c>
      <c r="U42" s="17">
        <f t="shared" si="9"/>
        <v>-3024462.4861979932</v>
      </c>
      <c r="V42" s="17">
        <f t="shared" si="10"/>
        <v>18285.746999999999</v>
      </c>
      <c r="W42" s="40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Shifted'!$AE$32:$AO$75,MATCH($R42,'Futures &amp; Perps Shifted'!$AE$30:$AO$30,0),FALSE),0),0)))</f>
        <v>0.01</v>
      </c>
      <c r="X42" s="17">
        <f t="shared" si="11"/>
        <v>-29945.173130673356</v>
      </c>
      <c r="Y42" s="14" t="str">
        <f t="shared" si="12"/>
        <v>OKEX</v>
      </c>
      <c r="Z42" t="str">
        <f t="shared" si="13"/>
        <v>BTC Dec 22 SHORT</v>
      </c>
      <c r="AG42">
        <f t="shared" si="14"/>
        <v>0.01</v>
      </c>
      <c r="AH42">
        <f t="shared" si="15"/>
        <v>-165.4</v>
      </c>
      <c r="AI42">
        <f t="shared" si="16"/>
        <v>-2946708.4859592589</v>
      </c>
    </row>
    <row r="43" spans="1:35" customFormat="1" x14ac:dyDescent="0.25">
      <c r="A43" s="14">
        <v>41</v>
      </c>
      <c r="B43" s="77">
        <v>44909.916666666664</v>
      </c>
      <c r="C43" s="14" t="s">
        <v>46</v>
      </c>
      <c r="D43" s="14" t="s">
        <v>50</v>
      </c>
      <c r="E43" s="14" t="s">
        <v>52</v>
      </c>
      <c r="F43" s="14">
        <v>624</v>
      </c>
      <c r="G43" s="14">
        <v>62400</v>
      </c>
      <c r="H43" s="14">
        <v>18090</v>
      </c>
      <c r="I43" s="14">
        <v>0.31251752799999999</v>
      </c>
      <c r="J43" s="14" t="s">
        <v>18</v>
      </c>
      <c r="K43" s="15">
        <v>73050.333333333328</v>
      </c>
      <c r="L43" s="14">
        <v>0</v>
      </c>
      <c r="M43" s="14" t="s">
        <v>15</v>
      </c>
      <c r="N43" s="46">
        <f t="shared" si="0"/>
        <v>100</v>
      </c>
      <c r="O43" s="47">
        <f t="shared" si="1"/>
        <v>3.4494195688225537</v>
      </c>
      <c r="P43" s="48">
        <f t="shared" si="2"/>
        <v>61453.6512399235</v>
      </c>
      <c r="Q43" s="25">
        <f t="shared" si="6"/>
        <v>28140</v>
      </c>
      <c r="R43" s="26" t="str">
        <f t="shared" si="7"/>
        <v>PERP</v>
      </c>
      <c r="S43" s="26" t="str">
        <f t="shared" si="3"/>
        <v>LONG</v>
      </c>
      <c r="T43" s="26" t="str">
        <f t="shared" si="8"/>
        <v>PERP LONG</v>
      </c>
      <c r="U43" s="17">
        <f t="shared" si="9"/>
        <v>62400</v>
      </c>
      <c r="V43" s="17">
        <f t="shared" si="10"/>
        <v>18090</v>
      </c>
      <c r="W43" s="40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Shifted'!$AE$32:$AO$75,MATCH($R43,'Futures &amp; Perps Shifted'!$AE$30:$AO$30,0),FALSE),0),0)))</f>
        <v>0</v>
      </c>
      <c r="X43" s="17">
        <f t="shared" si="11"/>
        <v>0</v>
      </c>
      <c r="Y43" s="14" t="str">
        <f t="shared" si="12"/>
        <v>OKEX</v>
      </c>
      <c r="Z43" t="str">
        <f t="shared" si="13"/>
        <v>BTC PERP LONG</v>
      </c>
      <c r="AG43">
        <f t="shared" si="14"/>
        <v>100</v>
      </c>
      <c r="AH43">
        <f t="shared" si="15"/>
        <v>3.4494195688225537</v>
      </c>
      <c r="AI43">
        <f t="shared" si="16"/>
        <v>61453.6512399235</v>
      </c>
    </row>
    <row r="44" spans="1:35" customFormat="1" x14ac:dyDescent="0.25">
      <c r="A44" s="14">
        <v>42</v>
      </c>
      <c r="B44" s="77">
        <v>44909.916666666664</v>
      </c>
      <c r="C44" s="14" t="s">
        <v>46</v>
      </c>
      <c r="D44" s="14" t="s">
        <v>50</v>
      </c>
      <c r="E44" s="14" t="s">
        <v>773</v>
      </c>
      <c r="F44" s="14">
        <v>-1915</v>
      </c>
      <c r="G44" s="14">
        <v>-19150</v>
      </c>
      <c r="H44" s="14">
        <v>1340.19</v>
      </c>
      <c r="I44" s="14">
        <v>-0.57658249800000005</v>
      </c>
      <c r="J44" s="14" t="s">
        <v>18</v>
      </c>
      <c r="K44" s="15">
        <v>73050.333333333328</v>
      </c>
      <c r="L44" s="14">
        <v>0</v>
      </c>
      <c r="M44" s="14" t="s">
        <v>16</v>
      </c>
      <c r="N44" s="46">
        <f t="shared" si="0"/>
        <v>10</v>
      </c>
      <c r="O44" s="47">
        <f t="shared" si="1"/>
        <v>-14.289018721226094</v>
      </c>
      <c r="P44" s="48">
        <f t="shared" si="2"/>
        <v>-18709.021976933258</v>
      </c>
      <c r="Q44" s="25">
        <f t="shared" si="6"/>
        <v>28140</v>
      </c>
      <c r="R44" s="26" t="str">
        <f t="shared" si="7"/>
        <v>PERP</v>
      </c>
      <c r="S44" s="26" t="str">
        <f t="shared" si="3"/>
        <v>SHORT</v>
      </c>
      <c r="T44" s="26" t="str">
        <f t="shared" si="8"/>
        <v>PERP SHORT</v>
      </c>
      <c r="U44" s="17">
        <f t="shared" si="9"/>
        <v>-19150</v>
      </c>
      <c r="V44" s="17">
        <f t="shared" si="10"/>
        <v>1340.19</v>
      </c>
      <c r="W44" s="40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Shifted'!$AE$32:$AO$75,MATCH($R44,'Futures &amp; Perps Shifted'!$AE$30:$AO$30,0),FALSE),0),0)))</f>
        <v>0</v>
      </c>
      <c r="X44" s="17">
        <f t="shared" si="11"/>
        <v>0</v>
      </c>
      <c r="Y44" s="14" t="str">
        <f t="shared" si="12"/>
        <v>OKEX</v>
      </c>
      <c r="Z44" t="str">
        <f t="shared" si="13"/>
        <v>ETH PERP SHORT</v>
      </c>
      <c r="AG44">
        <f t="shared" si="14"/>
        <v>10</v>
      </c>
      <c r="AH44">
        <f t="shared" si="15"/>
        <v>-14.289018721226094</v>
      </c>
      <c r="AI44">
        <f t="shared" si="16"/>
        <v>-18709.021976933258</v>
      </c>
    </row>
    <row r="45" spans="1:35" customFormat="1" x14ac:dyDescent="0.25">
      <c r="A45" s="14">
        <v>43</v>
      </c>
      <c r="B45" s="77">
        <v>44909.916666666664</v>
      </c>
      <c r="C45" s="14" t="s">
        <v>46</v>
      </c>
      <c r="D45" s="14" t="s">
        <v>50</v>
      </c>
      <c r="E45" s="14" t="s">
        <v>776</v>
      </c>
      <c r="F45" s="14">
        <v>-67</v>
      </c>
      <c r="G45" s="14">
        <v>-670</v>
      </c>
      <c r="H45" s="14">
        <v>1341.51</v>
      </c>
      <c r="I45" s="14">
        <v>-6.0022476999999998E-2</v>
      </c>
      <c r="J45" s="14" t="s">
        <v>14</v>
      </c>
      <c r="K45" s="15">
        <v>44925.333333333336</v>
      </c>
      <c r="L45" s="14">
        <v>0</v>
      </c>
      <c r="M45" s="14" t="s">
        <v>16</v>
      </c>
      <c r="N45" s="46">
        <f t="shared" si="0"/>
        <v>10</v>
      </c>
      <c r="O45" s="47">
        <f t="shared" si="1"/>
        <v>-0.49943720136264358</v>
      </c>
      <c r="P45" s="48">
        <f t="shared" si="2"/>
        <v>-653.92745007125041</v>
      </c>
      <c r="Q45" s="25">
        <f t="shared" si="6"/>
        <v>15</v>
      </c>
      <c r="R45" s="26" t="str">
        <f t="shared" si="7"/>
        <v>Dec 22</v>
      </c>
      <c r="S45" s="26" t="str">
        <f t="shared" si="3"/>
        <v>SHORT</v>
      </c>
      <c r="T45" s="26" t="str">
        <f t="shared" si="8"/>
        <v>Dec 22 SHORT</v>
      </c>
      <c r="U45" s="17">
        <f t="shared" si="9"/>
        <v>-676.7</v>
      </c>
      <c r="V45" s="17">
        <f t="shared" si="10"/>
        <v>1354.9250999999999</v>
      </c>
      <c r="W45" s="40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Shifted'!$AE$32:$AO$75,MATCH($R45,'Futures &amp; Perps Shifted'!$AE$30:$AO$30,0),FALSE),0),0)))</f>
        <v>0.01</v>
      </c>
      <c r="X45" s="17">
        <f t="shared" si="11"/>
        <v>-6.7000000000000455</v>
      </c>
      <c r="Y45" s="14" t="str">
        <f t="shared" si="12"/>
        <v>OKEX</v>
      </c>
      <c r="Z45" t="str">
        <f t="shared" si="13"/>
        <v>ETH Dec 22 SHORT</v>
      </c>
      <c r="AG45">
        <f t="shared" si="14"/>
        <v>10</v>
      </c>
      <c r="AH45">
        <f t="shared" si="15"/>
        <v>-0.49943720136264358</v>
      </c>
      <c r="AI45">
        <f t="shared" si="16"/>
        <v>-653.92745007125041</v>
      </c>
    </row>
    <row r="46" spans="1:35" customFormat="1" x14ac:dyDescent="0.25">
      <c r="A46" s="14">
        <v>44</v>
      </c>
      <c r="B46" s="77">
        <v>44909.916666666664</v>
      </c>
      <c r="C46" s="14" t="s">
        <v>46</v>
      </c>
      <c r="D46" s="14" t="s">
        <v>53</v>
      </c>
      <c r="E46" s="14" t="s">
        <v>51</v>
      </c>
      <c r="F46" s="14">
        <v>2</v>
      </c>
      <c r="G46" s="14">
        <v>200</v>
      </c>
      <c r="H46" s="14">
        <v>18116.2</v>
      </c>
      <c r="I46" s="14">
        <v>9.5463999999999998E-4</v>
      </c>
      <c r="J46" s="14" t="s">
        <v>14</v>
      </c>
      <c r="K46" s="15">
        <v>44925.333333333336</v>
      </c>
      <c r="L46" s="14">
        <v>0</v>
      </c>
      <c r="M46" s="14" t="s">
        <v>15</v>
      </c>
      <c r="N46" s="46">
        <f t="shared" si="0"/>
        <v>100</v>
      </c>
      <c r="O46" s="47">
        <f t="shared" si="1"/>
        <v>1.1039842792638633E-2</v>
      </c>
      <c r="P46" s="48">
        <f t="shared" si="2"/>
        <v>196.68197364404125</v>
      </c>
      <c r="Q46" s="25">
        <f t="shared" si="6"/>
        <v>15</v>
      </c>
      <c r="R46" s="26" t="str">
        <f t="shared" si="7"/>
        <v>Dec 22</v>
      </c>
      <c r="S46" s="26" t="str">
        <f t="shared" si="3"/>
        <v>LONG</v>
      </c>
      <c r="T46" s="26" t="str">
        <f t="shared" si="8"/>
        <v>Dec 22 LONG</v>
      </c>
      <c r="U46" s="17">
        <f t="shared" si="9"/>
        <v>202</v>
      </c>
      <c r="V46" s="17">
        <f t="shared" si="10"/>
        <v>18297.362000000001</v>
      </c>
      <c r="W46" s="40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Shifted'!$AE$32:$AO$75,MATCH($R46,'Futures &amp; Perps Shifted'!$AE$30:$AO$30,0),FALSE),0),0)))</f>
        <v>0.01</v>
      </c>
      <c r="X46" s="17">
        <f t="shared" si="11"/>
        <v>2</v>
      </c>
      <c r="Y46" s="14" t="str">
        <f t="shared" si="12"/>
        <v>OKEX</v>
      </c>
      <c r="Z46" t="str">
        <f t="shared" si="13"/>
        <v>BTC Dec 22 LONG</v>
      </c>
      <c r="AG46">
        <f t="shared" si="14"/>
        <v>100</v>
      </c>
      <c r="AH46">
        <f t="shared" si="15"/>
        <v>1.1039842792638633E-2</v>
      </c>
      <c r="AI46">
        <f t="shared" si="16"/>
        <v>196.68197364404125</v>
      </c>
    </row>
    <row r="47" spans="1:35" customFormat="1" x14ac:dyDescent="0.25">
      <c r="A47" s="14">
        <v>45</v>
      </c>
      <c r="B47" s="77">
        <v>44909.916666666664</v>
      </c>
      <c r="C47" s="14" t="s">
        <v>46</v>
      </c>
      <c r="D47" s="14" t="s">
        <v>53</v>
      </c>
      <c r="E47" s="14" t="s">
        <v>48</v>
      </c>
      <c r="F47" s="14">
        <v>1</v>
      </c>
      <c r="G47" s="14">
        <v>181.06199595300001</v>
      </c>
      <c r="H47" s="14">
        <v>18106.2</v>
      </c>
      <c r="I47" s="14">
        <v>16.792542715</v>
      </c>
      <c r="J47" s="14" t="s">
        <v>14</v>
      </c>
      <c r="K47" s="15">
        <v>44925.333333333336</v>
      </c>
      <c r="L47" s="14">
        <v>1</v>
      </c>
      <c r="M47" s="14" t="s">
        <v>15</v>
      </c>
      <c r="N47" s="46">
        <f t="shared" si="0"/>
        <v>0.01</v>
      </c>
      <c r="O47" s="47">
        <f t="shared" si="1"/>
        <v>0.01</v>
      </c>
      <c r="P47" s="48">
        <f t="shared" si="2"/>
        <v>178.156498546509</v>
      </c>
      <c r="Q47" s="25">
        <f t="shared" si="6"/>
        <v>15</v>
      </c>
      <c r="R47" s="26" t="str">
        <f t="shared" si="7"/>
        <v>Dec 22</v>
      </c>
      <c r="S47" s="26" t="str">
        <f t="shared" si="3"/>
        <v>LONG</v>
      </c>
      <c r="T47" s="26" t="str">
        <f t="shared" si="8"/>
        <v>Dec 22 LONG</v>
      </c>
      <c r="U47" s="17">
        <f t="shared" si="9"/>
        <v>182.87261591253002</v>
      </c>
      <c r="V47" s="17">
        <f t="shared" si="10"/>
        <v>18287.262000000002</v>
      </c>
      <c r="W47" s="40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Shifted'!$AE$32:$AO$75,MATCH($R47,'Futures &amp; Perps Shifted'!$AE$30:$AO$30,0),FALSE),0),0)))</f>
        <v>0.01</v>
      </c>
      <c r="X47" s="17">
        <f t="shared" si="11"/>
        <v>1.8106199595300154</v>
      </c>
      <c r="Y47" s="14" t="str">
        <f t="shared" si="12"/>
        <v>OKEX</v>
      </c>
      <c r="Z47" t="str">
        <f t="shared" si="13"/>
        <v>BTC Dec 22 LONG</v>
      </c>
      <c r="AG47">
        <f t="shared" si="14"/>
        <v>0.01</v>
      </c>
      <c r="AH47">
        <f t="shared" si="15"/>
        <v>0.01</v>
      </c>
      <c r="AI47">
        <f t="shared" si="16"/>
        <v>178.156498546509</v>
      </c>
    </row>
    <row r="48" spans="1:35" customFormat="1" x14ac:dyDescent="0.25">
      <c r="A48" s="14">
        <v>46</v>
      </c>
      <c r="B48" s="77">
        <v>44909.916666666664</v>
      </c>
      <c r="C48" s="14" t="s">
        <v>46</v>
      </c>
      <c r="D48" s="14" t="s">
        <v>53</v>
      </c>
      <c r="E48" s="14" t="s">
        <v>771</v>
      </c>
      <c r="F48" s="14">
        <v>9324</v>
      </c>
      <c r="G48" s="14">
        <v>1249238.8626151001</v>
      </c>
      <c r="H48" s="14">
        <v>1339.81</v>
      </c>
      <c r="I48" s="14">
        <v>101340.866707761</v>
      </c>
      <c r="J48" s="14" t="s">
        <v>14</v>
      </c>
      <c r="K48" s="15">
        <v>44925.333333333336</v>
      </c>
      <c r="L48" s="14">
        <v>1</v>
      </c>
      <c r="M48" s="14" t="s">
        <v>16</v>
      </c>
      <c r="N48" s="46">
        <f t="shared" si="0"/>
        <v>0.1</v>
      </c>
      <c r="O48" s="47">
        <f t="shared" si="1"/>
        <v>932.40000000000009</v>
      </c>
      <c r="P48" s="48">
        <f t="shared" si="2"/>
        <v>1220818.058372292</v>
      </c>
      <c r="Q48" s="25">
        <f t="shared" si="6"/>
        <v>15</v>
      </c>
      <c r="R48" s="26" t="str">
        <f t="shared" si="7"/>
        <v>Dec 22</v>
      </c>
      <c r="S48" s="26" t="str">
        <f t="shared" si="3"/>
        <v>LONG</v>
      </c>
      <c r="T48" s="26" t="str">
        <f t="shared" si="8"/>
        <v>Dec 22 LONG</v>
      </c>
      <c r="U48" s="17">
        <f t="shared" si="9"/>
        <v>1261731.2512412511</v>
      </c>
      <c r="V48" s="17">
        <f t="shared" si="10"/>
        <v>1353.2081000000001</v>
      </c>
      <c r="W48" s="40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Shifted'!$AE$32:$AO$75,MATCH($R48,'Futures &amp; Perps Shifted'!$AE$30:$AO$30,0),FALSE),0),0)))</f>
        <v>0.01</v>
      </c>
      <c r="X48" s="17">
        <f t="shared" si="11"/>
        <v>12492.38862615102</v>
      </c>
      <c r="Y48" s="14" t="str">
        <f t="shared" si="12"/>
        <v>OKEX</v>
      </c>
      <c r="Z48" t="str">
        <f t="shared" si="13"/>
        <v>ETH Dec 22 LONG</v>
      </c>
      <c r="AG48">
        <f t="shared" si="14"/>
        <v>0.1</v>
      </c>
      <c r="AH48">
        <f t="shared" si="15"/>
        <v>932.40000000000009</v>
      </c>
      <c r="AI48">
        <f t="shared" si="16"/>
        <v>1220818.058372292</v>
      </c>
    </row>
    <row r="49" spans="1:35" customFormat="1" x14ac:dyDescent="0.25">
      <c r="A49" s="14">
        <v>47</v>
      </c>
      <c r="B49" s="77">
        <v>44909.916666666664</v>
      </c>
      <c r="C49" s="14" t="s">
        <v>46</v>
      </c>
      <c r="D49" s="14" t="s">
        <v>53</v>
      </c>
      <c r="E49" s="14" t="s">
        <v>49</v>
      </c>
      <c r="F49" s="14">
        <v>-1</v>
      </c>
      <c r="G49" s="14">
        <v>-180.78499595900001</v>
      </c>
      <c r="H49" s="14">
        <v>18078.5</v>
      </c>
      <c r="I49" s="14">
        <v>-7.2885998699999996</v>
      </c>
      <c r="J49" s="14" t="s">
        <v>18</v>
      </c>
      <c r="K49" s="15">
        <v>73050.333333333328</v>
      </c>
      <c r="L49" s="14">
        <v>1</v>
      </c>
      <c r="M49" s="14" t="s">
        <v>15</v>
      </c>
      <c r="N49" s="46">
        <f t="shared" si="0"/>
        <v>0.01</v>
      </c>
      <c r="O49" s="47">
        <f t="shared" si="1"/>
        <v>-0.01</v>
      </c>
      <c r="P49" s="48">
        <f t="shared" si="2"/>
        <v>-178.156498546509</v>
      </c>
      <c r="Q49" s="25">
        <f t="shared" si="6"/>
        <v>28140</v>
      </c>
      <c r="R49" s="26" t="str">
        <f t="shared" si="7"/>
        <v>PERP</v>
      </c>
      <c r="S49" s="26" t="str">
        <f t="shared" si="3"/>
        <v>SHORT</v>
      </c>
      <c r="T49" s="26" t="str">
        <f t="shared" si="8"/>
        <v>PERP SHORT</v>
      </c>
      <c r="U49" s="17">
        <f t="shared" si="9"/>
        <v>-180.78499595900001</v>
      </c>
      <c r="V49" s="17">
        <f t="shared" si="10"/>
        <v>18078.5</v>
      </c>
      <c r="W49" s="40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Shifted'!$AE$32:$AO$75,MATCH($R49,'Futures &amp; Perps Shifted'!$AE$30:$AO$30,0),FALSE),0),0)))</f>
        <v>0</v>
      </c>
      <c r="X49" s="17">
        <f t="shared" si="11"/>
        <v>0</v>
      </c>
      <c r="Y49" s="14" t="str">
        <f t="shared" si="12"/>
        <v>OKEX</v>
      </c>
      <c r="Z49" t="str">
        <f t="shared" si="13"/>
        <v>BTC PERP SHORT</v>
      </c>
      <c r="AG49">
        <f t="shared" si="14"/>
        <v>0.01</v>
      </c>
      <c r="AH49">
        <f t="shared" si="15"/>
        <v>-0.01</v>
      </c>
      <c r="AI49">
        <f t="shared" si="16"/>
        <v>-178.156498546509</v>
      </c>
    </row>
    <row r="50" spans="1:35" customFormat="1" x14ac:dyDescent="0.25">
      <c r="A50" s="14">
        <v>48</v>
      </c>
      <c r="B50" s="77">
        <v>44909.916666666664</v>
      </c>
      <c r="C50" s="14" t="s">
        <v>46</v>
      </c>
      <c r="D50" s="14" t="s">
        <v>53</v>
      </c>
      <c r="E50" s="14" t="s">
        <v>774</v>
      </c>
      <c r="F50" s="14">
        <v>-9324</v>
      </c>
      <c r="G50" s="14">
        <v>-1249602.4986205201</v>
      </c>
      <c r="H50" s="14">
        <v>1340.2</v>
      </c>
      <c r="I50" s="14">
        <v>-109629.666586523</v>
      </c>
      <c r="J50" s="14" t="s">
        <v>18</v>
      </c>
      <c r="K50" s="15">
        <v>73050.333333333328</v>
      </c>
      <c r="L50" s="14">
        <v>1</v>
      </c>
      <c r="M50" s="14" t="s">
        <v>16</v>
      </c>
      <c r="N50" s="46">
        <f t="shared" si="0"/>
        <v>0.1</v>
      </c>
      <c r="O50" s="47">
        <f t="shared" si="1"/>
        <v>-932.40000000000009</v>
      </c>
      <c r="P50" s="48">
        <f t="shared" si="2"/>
        <v>-1220818.058372292</v>
      </c>
      <c r="Q50" s="25">
        <f t="shared" si="6"/>
        <v>28140</v>
      </c>
      <c r="R50" s="26" t="str">
        <f t="shared" si="7"/>
        <v>PERP</v>
      </c>
      <c r="S50" s="26" t="str">
        <f t="shared" si="3"/>
        <v>SHORT</v>
      </c>
      <c r="T50" s="26" t="str">
        <f t="shared" si="8"/>
        <v>PERP SHORT</v>
      </c>
      <c r="U50" s="17">
        <f t="shared" si="9"/>
        <v>-1249602.4986205201</v>
      </c>
      <c r="V50" s="17">
        <f t="shared" si="10"/>
        <v>1340.2</v>
      </c>
      <c r="W50" s="40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Shifted'!$AE$32:$AO$75,MATCH($R50,'Futures &amp; Perps Shifted'!$AE$30:$AO$30,0),FALSE),0),0)))</f>
        <v>0</v>
      </c>
      <c r="X50" s="17">
        <f t="shared" si="11"/>
        <v>0</v>
      </c>
      <c r="Y50" s="14" t="str">
        <f t="shared" si="12"/>
        <v>OKEX</v>
      </c>
      <c r="Z50" t="str">
        <f t="shared" si="13"/>
        <v>ETH PERP SHORT</v>
      </c>
      <c r="AG50">
        <f t="shared" si="14"/>
        <v>0.1</v>
      </c>
      <c r="AH50">
        <f t="shared" si="15"/>
        <v>-932.40000000000009</v>
      </c>
      <c r="AI50">
        <f t="shared" si="16"/>
        <v>-1220818.058372292</v>
      </c>
    </row>
    <row r="51" spans="1:35" customFormat="1" x14ac:dyDescent="0.25">
      <c r="A51" s="14">
        <v>49</v>
      </c>
      <c r="B51" s="77">
        <v>44909.916666666664</v>
      </c>
      <c r="C51" s="14" t="s">
        <v>46</v>
      </c>
      <c r="D51" s="14" t="s">
        <v>54</v>
      </c>
      <c r="E51" s="14" t="s">
        <v>779</v>
      </c>
      <c r="F51" s="14">
        <v>17440</v>
      </c>
      <c r="G51" s="14">
        <v>13777.600205302</v>
      </c>
      <c r="H51" s="14">
        <v>7.9</v>
      </c>
      <c r="I51" s="14">
        <v>-17756.410061801002</v>
      </c>
      <c r="J51" s="14" t="s">
        <v>18</v>
      </c>
      <c r="K51" s="15">
        <v>73050.333333333328</v>
      </c>
      <c r="L51" s="14">
        <v>1</v>
      </c>
      <c r="M51" s="14" t="s">
        <v>20</v>
      </c>
      <c r="N51" s="46">
        <f t="shared" si="0"/>
        <v>0.1</v>
      </c>
      <c r="O51" s="47">
        <f t="shared" si="1"/>
        <v>1744</v>
      </c>
      <c r="P51" s="48">
        <f t="shared" si="2"/>
        <v>13777.6</v>
      </c>
      <c r="Q51" s="25">
        <f t="shared" si="6"/>
        <v>28140</v>
      </c>
      <c r="R51" s="26" t="str">
        <f t="shared" si="7"/>
        <v>PERP</v>
      </c>
      <c r="S51" s="26" t="str">
        <f t="shared" si="3"/>
        <v>LONG</v>
      </c>
      <c r="T51" s="26" t="str">
        <f t="shared" si="8"/>
        <v>PERP LONG</v>
      </c>
      <c r="U51" s="17">
        <f t="shared" si="9"/>
        <v>13777.600205302</v>
      </c>
      <c r="V51" s="17">
        <f t="shared" si="10"/>
        <v>7.9</v>
      </c>
      <c r="W51" s="40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Shifted'!$AE$32:$AO$75,MATCH($R51,'Futures &amp; Perps Shifted'!$AE$30:$AO$30,0),FALSE),0),0)))</f>
        <v>0</v>
      </c>
      <c r="X51" s="17">
        <f t="shared" si="11"/>
        <v>0</v>
      </c>
      <c r="Y51" s="14" t="str">
        <f t="shared" si="12"/>
        <v>OKEX</v>
      </c>
      <c r="Z51" t="str">
        <f t="shared" si="13"/>
        <v>AXS PERP LONG</v>
      </c>
      <c r="AG51">
        <f t="shared" si="14"/>
        <v>0.1</v>
      </c>
      <c r="AH51">
        <f t="shared" si="15"/>
        <v>1744</v>
      </c>
      <c r="AI51" t="e">
        <f t="shared" si="16"/>
        <v>#N/A</v>
      </c>
    </row>
    <row r="52" spans="1:35" customFormat="1" x14ac:dyDescent="0.25">
      <c r="A52" s="14">
        <v>50</v>
      </c>
      <c r="B52" s="77">
        <v>44909.916666666664</v>
      </c>
      <c r="C52" s="14" t="s">
        <v>268</v>
      </c>
      <c r="D52" s="14" t="s">
        <v>303</v>
      </c>
      <c r="E52" s="14" t="s">
        <v>780</v>
      </c>
      <c r="F52" s="14">
        <v>380</v>
      </c>
      <c r="G52" s="14">
        <v>24852000</v>
      </c>
      <c r="H52" s="14">
        <v>1308</v>
      </c>
      <c r="I52" s="14">
        <v>0</v>
      </c>
      <c r="J52" s="14" t="s">
        <v>286</v>
      </c>
      <c r="K52" s="15">
        <v>44925</v>
      </c>
      <c r="L52" s="14">
        <v>1</v>
      </c>
      <c r="M52" s="14" t="s">
        <v>16</v>
      </c>
      <c r="N52" s="46">
        <f t="shared" si="0"/>
        <v>50</v>
      </c>
      <c r="O52" s="47">
        <f t="shared" si="1"/>
        <v>19000</v>
      </c>
      <c r="P52" s="48">
        <f t="shared" si="2"/>
        <v>24877244.861726239</v>
      </c>
      <c r="Q52" s="25">
        <f t="shared" si="6"/>
        <v>15</v>
      </c>
      <c r="R52" s="26" t="str">
        <f t="shared" si="7"/>
        <v>CME Dec 22</v>
      </c>
      <c r="S52" s="26" t="str">
        <f t="shared" si="3"/>
        <v>LONG</v>
      </c>
      <c r="T52" s="26" t="str">
        <f t="shared" si="8"/>
        <v>CME Dec 22 LONG</v>
      </c>
      <c r="U52" s="17">
        <f t="shared" si="9"/>
        <v>25100520</v>
      </c>
      <c r="V52" s="17">
        <f t="shared" si="10"/>
        <v>1321.08</v>
      </c>
      <c r="W52" s="40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Shifted'!$AE$32:$AO$75,MATCH($R52,'Futures &amp; Perps Shifted'!$AE$30:$AO$30,0),FALSE),0),0)))</f>
        <v>0.01</v>
      </c>
      <c r="X52" s="17">
        <f t="shared" si="11"/>
        <v>248520</v>
      </c>
      <c r="Y52" s="14" t="str">
        <f t="shared" si="12"/>
        <v>UNMBF222</v>
      </c>
      <c r="Z52" t="str">
        <f t="shared" si="13"/>
        <v>ETH CME Dec 22 LONG</v>
      </c>
      <c r="AG52">
        <f t="shared" si="14"/>
        <v>50</v>
      </c>
      <c r="AH52">
        <f t="shared" si="15"/>
        <v>19000</v>
      </c>
      <c r="AI52">
        <f t="shared" si="16"/>
        <v>24877244.861726239</v>
      </c>
    </row>
    <row r="53" spans="1:35" customFormat="1" x14ac:dyDescent="0.25">
      <c r="A53" s="14">
        <v>51</v>
      </c>
      <c r="B53" s="77">
        <v>44909.916666666664</v>
      </c>
      <c r="C53" s="14" t="s">
        <v>268</v>
      </c>
      <c r="D53" s="14" t="s">
        <v>303</v>
      </c>
      <c r="E53" s="14" t="s">
        <v>317</v>
      </c>
      <c r="F53" s="14">
        <v>114</v>
      </c>
      <c r="G53" s="14">
        <v>10143150</v>
      </c>
      <c r="H53" s="14">
        <v>17795</v>
      </c>
      <c r="I53" s="14">
        <v>0</v>
      </c>
      <c r="J53" s="14" t="s">
        <v>286</v>
      </c>
      <c r="K53" s="15">
        <v>44925</v>
      </c>
      <c r="L53" s="14">
        <v>1</v>
      </c>
      <c r="M53" s="14" t="s">
        <v>15</v>
      </c>
      <c r="N53" s="46">
        <f t="shared" si="0"/>
        <v>5</v>
      </c>
      <c r="O53" s="47">
        <f t="shared" si="1"/>
        <v>570</v>
      </c>
      <c r="P53" s="48">
        <f t="shared" si="2"/>
        <v>10154920.417151013</v>
      </c>
      <c r="Q53" s="25">
        <f t="shared" si="6"/>
        <v>15</v>
      </c>
      <c r="R53" s="26" t="str">
        <f t="shared" si="7"/>
        <v>CME Dec 22</v>
      </c>
      <c r="S53" s="26" t="str">
        <f t="shared" si="3"/>
        <v>LONG</v>
      </c>
      <c r="T53" s="26" t="str">
        <f t="shared" si="8"/>
        <v>CME Dec 22 LONG</v>
      </c>
      <c r="U53" s="17">
        <f t="shared" si="9"/>
        <v>10244581.5</v>
      </c>
      <c r="V53" s="17">
        <f t="shared" si="10"/>
        <v>17972.95</v>
      </c>
      <c r="W53" s="40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Shifted'!$AE$32:$AO$75,MATCH($R53,'Futures &amp; Perps Shifted'!$AE$30:$AO$30,0),FALSE),0),0)))</f>
        <v>0.01</v>
      </c>
      <c r="X53" s="17">
        <f t="shared" si="11"/>
        <v>101431.5</v>
      </c>
      <c r="Y53" s="14" t="str">
        <f t="shared" si="12"/>
        <v>UNMBF222</v>
      </c>
      <c r="Z53" t="str">
        <f t="shared" si="13"/>
        <v>BTC CME Dec 22 LONG</v>
      </c>
      <c r="AG53">
        <f t="shared" si="14"/>
        <v>5</v>
      </c>
      <c r="AH53">
        <f t="shared" si="15"/>
        <v>570</v>
      </c>
      <c r="AI53">
        <f t="shared" si="16"/>
        <v>10154920.417151013</v>
      </c>
    </row>
    <row r="54" spans="1:35" customFormat="1" x14ac:dyDescent="0.25">
      <c r="A54" s="14">
        <v>52</v>
      </c>
      <c r="B54" s="77">
        <v>44910.000000081018</v>
      </c>
      <c r="C54" s="14" t="s">
        <v>11</v>
      </c>
      <c r="D54" s="14" t="s">
        <v>86</v>
      </c>
      <c r="E54" s="14" t="s">
        <v>119</v>
      </c>
      <c r="F54" s="14">
        <v>585.43739457000004</v>
      </c>
      <c r="G54" s="14">
        <v>36626.655685099497</v>
      </c>
      <c r="H54" s="14">
        <v>62.562890626420497</v>
      </c>
      <c r="I54" s="14">
        <v>0</v>
      </c>
      <c r="J54" s="14" t="s">
        <v>88</v>
      </c>
      <c r="K54" s="15">
        <v>44910.000000081018</v>
      </c>
      <c r="L54" s="14">
        <v>1</v>
      </c>
      <c r="M54" s="14" t="s">
        <v>119</v>
      </c>
      <c r="N54" s="46">
        <f t="shared" si="0"/>
        <v>1</v>
      </c>
      <c r="O54" s="47">
        <f t="shared" si="1"/>
        <v>585.43739457000004</v>
      </c>
      <c r="P54" s="48">
        <f t="shared" si="2"/>
        <v>36626.655685099497</v>
      </c>
      <c r="Q54" s="25">
        <f t="shared" si="6"/>
        <v>0</v>
      </c>
      <c r="R54" s="26" t="str">
        <f t="shared" si="7"/>
        <v>COIN</v>
      </c>
      <c r="S54" s="26" t="str">
        <f t="shared" si="3"/>
        <v>LONG</v>
      </c>
      <c r="T54" s="26" t="str">
        <f t="shared" si="8"/>
        <v>COIN LONG</v>
      </c>
      <c r="U54" s="17">
        <f t="shared" si="9"/>
        <v>36626.655685099497</v>
      </c>
      <c r="V54" s="17">
        <f t="shared" si="10"/>
        <v>62.562890626420497</v>
      </c>
      <c r="W54" s="40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Shifted'!$AE$32:$AO$75,MATCH($R54,'Futures &amp; Perps Shifted'!$AE$30:$AO$30,0),FALSE),0),0)))</f>
        <v>0</v>
      </c>
      <c r="X54" s="17">
        <f t="shared" si="11"/>
        <v>0</v>
      </c>
      <c r="Y54" s="14" t="str">
        <f t="shared" si="12"/>
        <v>BINE</v>
      </c>
      <c r="Z54" t="str">
        <f t="shared" si="13"/>
        <v>AAVE COIN LONG</v>
      </c>
      <c r="AG54">
        <f t="shared" si="14"/>
        <v>1</v>
      </c>
      <c r="AH54">
        <f t="shared" si="15"/>
        <v>585.43739457000004</v>
      </c>
      <c r="AI54">
        <f t="shared" si="16"/>
        <v>36626.655685099497</v>
      </c>
    </row>
    <row r="55" spans="1:35" customFormat="1" x14ac:dyDescent="0.25">
      <c r="A55" s="14">
        <v>53</v>
      </c>
      <c r="B55" s="77">
        <v>44910.000000081018</v>
      </c>
      <c r="C55" s="14" t="s">
        <v>11</v>
      </c>
      <c r="D55" s="14" t="s">
        <v>86</v>
      </c>
      <c r="E55" s="14" t="s">
        <v>87</v>
      </c>
      <c r="F55" s="14">
        <v>228897.2703</v>
      </c>
      <c r="G55" s="14">
        <v>70531.089156587404</v>
      </c>
      <c r="H55" s="14">
        <v>0.308134251946941</v>
      </c>
      <c r="I55" s="14">
        <v>0</v>
      </c>
      <c r="J55" s="14" t="s">
        <v>88</v>
      </c>
      <c r="K55" s="15">
        <v>44910.000000081018</v>
      </c>
      <c r="L55" s="14">
        <v>1</v>
      </c>
      <c r="M55" s="14" t="s">
        <v>87</v>
      </c>
      <c r="N55" s="46">
        <f t="shared" si="0"/>
        <v>1</v>
      </c>
      <c r="O55" s="47">
        <f t="shared" si="1"/>
        <v>228897.2703</v>
      </c>
      <c r="P55" s="48">
        <f t="shared" si="2"/>
        <v>70531.089156587259</v>
      </c>
      <c r="Q55" s="25">
        <f t="shared" si="6"/>
        <v>0</v>
      </c>
      <c r="R55" s="26" t="str">
        <f t="shared" si="7"/>
        <v>COIN</v>
      </c>
      <c r="S55" s="26" t="str">
        <f t="shared" si="3"/>
        <v>LONG</v>
      </c>
      <c r="T55" s="26" t="str">
        <f t="shared" si="8"/>
        <v>COIN LONG</v>
      </c>
      <c r="U55" s="17">
        <f t="shared" si="9"/>
        <v>70531.089156587404</v>
      </c>
      <c r="V55" s="17">
        <f t="shared" si="10"/>
        <v>0.308134251946941</v>
      </c>
      <c r="W55" s="40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Shifted'!$AE$32:$AO$75,MATCH($R55,'Futures &amp; Perps Shifted'!$AE$30:$AO$30,0),FALSE),0),0)))</f>
        <v>0</v>
      </c>
      <c r="X55" s="17">
        <f t="shared" si="11"/>
        <v>0</v>
      </c>
      <c r="Y55" s="14" t="str">
        <f t="shared" si="12"/>
        <v>BINE</v>
      </c>
      <c r="Z55" t="str">
        <f t="shared" si="13"/>
        <v>ADA COIN LONG</v>
      </c>
      <c r="AG55">
        <f t="shared" si="14"/>
        <v>1</v>
      </c>
      <c r="AH55">
        <f t="shared" si="15"/>
        <v>228897.2703</v>
      </c>
      <c r="AI55">
        <f t="shared" si="16"/>
        <v>70531.089156587259</v>
      </c>
    </row>
    <row r="56" spans="1:35" customFormat="1" x14ac:dyDescent="0.25">
      <c r="A56" s="14">
        <v>54</v>
      </c>
      <c r="B56" s="77">
        <v>44910.000000081018</v>
      </c>
      <c r="C56" s="14" t="s">
        <v>11</v>
      </c>
      <c r="D56" s="14" t="s">
        <v>86</v>
      </c>
      <c r="E56" s="14" t="s">
        <v>125</v>
      </c>
      <c r="F56" s="14">
        <v>137194.54519</v>
      </c>
      <c r="G56" s="14">
        <v>30308.443673863399</v>
      </c>
      <c r="H56" s="14">
        <v>0.220915807052601</v>
      </c>
      <c r="I56" s="14">
        <v>0</v>
      </c>
      <c r="J56" s="14" t="s">
        <v>88</v>
      </c>
      <c r="K56" s="24">
        <v>44910.000000081018</v>
      </c>
      <c r="L56" s="14">
        <v>1</v>
      </c>
      <c r="M56" s="14" t="s">
        <v>125</v>
      </c>
      <c r="N56" s="46">
        <f t="shared" si="0"/>
        <v>1</v>
      </c>
      <c r="O56" s="47">
        <f t="shared" si="1"/>
        <v>137194.54519</v>
      </c>
      <c r="P56" s="48">
        <f t="shared" si="2"/>
        <v>30308.443673863389</v>
      </c>
      <c r="Q56" s="25">
        <f t="shared" si="6"/>
        <v>0</v>
      </c>
      <c r="R56" s="26" t="str">
        <f t="shared" si="7"/>
        <v>COIN</v>
      </c>
      <c r="S56" s="26" t="str">
        <f>IF($C56="","",IF($J56="CME FUTURE",IF($G56&gt;0,"LONG","SHORT"),IF($G56&gt;0,"LONG","SHORT")))</f>
        <v>LONG</v>
      </c>
      <c r="T56" s="26" t="str">
        <f t="shared" si="8"/>
        <v>COIN LONG</v>
      </c>
      <c r="U56" s="17">
        <f t="shared" si="9"/>
        <v>30308.443673863399</v>
      </c>
      <c r="V56" s="17">
        <f t="shared" si="10"/>
        <v>0.220915807052601</v>
      </c>
      <c r="W56" s="40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Shifted'!$AE$32:$AO$75,MATCH($R56,'Futures &amp; Perps Shifted'!$AE$30:$AO$30,0),FALSE),0),0)))</f>
        <v>0</v>
      </c>
      <c r="X56" s="17">
        <f t="shared" si="11"/>
        <v>0</v>
      </c>
      <c r="Y56" s="14" t="str">
        <f t="shared" si="12"/>
        <v>BINE</v>
      </c>
      <c r="Z56" t="str">
        <f t="shared" si="13"/>
        <v>ALGO COIN LONG</v>
      </c>
      <c r="AG56">
        <f t="shared" si="14"/>
        <v>1</v>
      </c>
      <c r="AH56">
        <f t="shared" si="15"/>
        <v>137194.54519</v>
      </c>
      <c r="AI56">
        <f t="shared" si="16"/>
        <v>30308.443673863389</v>
      </c>
    </row>
    <row r="57" spans="1:35" customFormat="1" x14ac:dyDescent="0.25">
      <c r="A57" s="14">
        <v>55</v>
      </c>
      <c r="B57" s="77">
        <v>44910.000000081018</v>
      </c>
      <c r="C57" s="14" t="s">
        <v>11</v>
      </c>
      <c r="D57" s="14" t="s">
        <v>86</v>
      </c>
      <c r="E57" s="14" t="s">
        <v>36</v>
      </c>
      <c r="F57" s="14">
        <v>4.2548999999999998E-3</v>
      </c>
      <c r="G57" s="14">
        <v>4.08859245906859E-2</v>
      </c>
      <c r="H57" s="18">
        <v>9.6091387789809204</v>
      </c>
      <c r="I57" s="14">
        <v>0</v>
      </c>
      <c r="J57" s="14" t="s">
        <v>88</v>
      </c>
      <c r="K57" s="24">
        <v>44910.000000081018</v>
      </c>
      <c r="L57" s="14">
        <v>1</v>
      </c>
      <c r="M57" s="14" t="s">
        <v>36</v>
      </c>
      <c r="N57" s="46">
        <f t="shared" si="0"/>
        <v>1</v>
      </c>
      <c r="O57" s="47">
        <f t="shared" si="1"/>
        <v>4.2548999999999998E-3</v>
      </c>
      <c r="P57" s="48">
        <f t="shared" si="2"/>
        <v>4.0885924590685914E-2</v>
      </c>
      <c r="Q57" s="25">
        <f t="shared" si="6"/>
        <v>0</v>
      </c>
      <c r="R57" s="26" t="str">
        <f t="shared" si="7"/>
        <v>COIN</v>
      </c>
      <c r="S57" s="26" t="str">
        <f t="shared" ref="S57:S120" si="17">IF($C57="","",IF($J57="CME FUTURE",IF($G57&gt;0,"LONG","SHORT"),IF($G57&gt;0,"LONG","SHORT")))</f>
        <v>LONG</v>
      </c>
      <c r="T57" s="26" t="str">
        <f t="shared" si="8"/>
        <v>COIN LONG</v>
      </c>
      <c r="U57" s="17">
        <f t="shared" si="9"/>
        <v>4.08859245906859E-2</v>
      </c>
      <c r="V57" s="17">
        <f t="shared" si="10"/>
        <v>9.6091387789809204</v>
      </c>
      <c r="W57" s="40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Shifted'!$AE$32:$AO$75,MATCH($R57,'Futures &amp; Perps Shifted'!$AE$30:$AO$30,0),FALSE),0),0)))</f>
        <v>0</v>
      </c>
      <c r="X57" s="17">
        <f t="shared" si="11"/>
        <v>0</v>
      </c>
      <c r="Y57" s="14" t="str">
        <f t="shared" si="12"/>
        <v>BINE</v>
      </c>
      <c r="Z57" t="str">
        <f t="shared" si="13"/>
        <v>ATOM COIN LONG</v>
      </c>
      <c r="AG57">
        <f t="shared" si="14"/>
        <v>1</v>
      </c>
      <c r="AH57">
        <f t="shared" si="15"/>
        <v>4.2548999999999998E-3</v>
      </c>
      <c r="AI57">
        <f t="shared" si="16"/>
        <v>4.0885924590685914E-2</v>
      </c>
    </row>
    <row r="58" spans="1:35" customFormat="1" x14ac:dyDescent="0.25">
      <c r="A58" s="14">
        <v>56</v>
      </c>
      <c r="B58" s="77">
        <v>44910.000000081018</v>
      </c>
      <c r="C58" s="14" t="s">
        <v>11</v>
      </c>
      <c r="D58" s="14" t="s">
        <v>86</v>
      </c>
      <c r="E58" s="14" t="s">
        <v>190</v>
      </c>
      <c r="F58" s="14">
        <v>1522.8681305699999</v>
      </c>
      <c r="G58" s="14">
        <v>20905.262993237699</v>
      </c>
      <c r="H58" s="14">
        <v>13.7275595789196</v>
      </c>
      <c r="I58" s="14">
        <v>0</v>
      </c>
      <c r="J58" s="14" t="s">
        <v>88</v>
      </c>
      <c r="K58" s="24">
        <v>44910.000000081018</v>
      </c>
      <c r="L58" s="14">
        <v>1</v>
      </c>
      <c r="M58" s="14" t="s">
        <v>190</v>
      </c>
      <c r="N58" s="46">
        <f t="shared" si="0"/>
        <v>1</v>
      </c>
      <c r="O58" s="47">
        <f t="shared" si="1"/>
        <v>1522.8681305699999</v>
      </c>
      <c r="P58" s="48">
        <f t="shared" si="2"/>
        <v>20905.262993237586</v>
      </c>
      <c r="Q58" s="25">
        <f t="shared" si="6"/>
        <v>0</v>
      </c>
      <c r="R58" s="26" t="str">
        <f t="shared" si="7"/>
        <v>COIN</v>
      </c>
      <c r="S58" s="26" t="str">
        <f t="shared" si="17"/>
        <v>LONG</v>
      </c>
      <c r="T58" s="26" t="str">
        <f t="shared" si="8"/>
        <v>COIN LONG</v>
      </c>
      <c r="U58" s="17">
        <f t="shared" si="9"/>
        <v>20905.262993237699</v>
      </c>
      <c r="V58" s="17">
        <f t="shared" si="10"/>
        <v>13.7275595789196</v>
      </c>
      <c r="W58" s="40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Shifted'!$AE$32:$AO$75,MATCH($R58,'Futures &amp; Perps Shifted'!$AE$30:$AO$30,0),FALSE),0),0)))</f>
        <v>0</v>
      </c>
      <c r="X58" s="17">
        <f t="shared" si="11"/>
        <v>0</v>
      </c>
      <c r="Y58" s="14" t="str">
        <f t="shared" si="12"/>
        <v>BINE</v>
      </c>
      <c r="Z58" t="str">
        <f t="shared" si="13"/>
        <v>AVAX COIN LONG</v>
      </c>
      <c r="AG58">
        <f t="shared" si="14"/>
        <v>1</v>
      </c>
      <c r="AH58">
        <f t="shared" si="15"/>
        <v>1522.8681305699999</v>
      </c>
      <c r="AI58">
        <f t="shared" si="16"/>
        <v>20905.262993237586</v>
      </c>
    </row>
    <row r="59" spans="1:35" customFormat="1" x14ac:dyDescent="0.25">
      <c r="A59" s="14">
        <v>57</v>
      </c>
      <c r="B59" s="77">
        <v>44910.000000081018</v>
      </c>
      <c r="C59" s="14" t="s">
        <v>11</v>
      </c>
      <c r="D59" s="14" t="s">
        <v>86</v>
      </c>
      <c r="E59" s="14" t="s">
        <v>127</v>
      </c>
      <c r="F59" s="14">
        <v>91411.592165359994</v>
      </c>
      <c r="G59" s="14">
        <v>20472.664150056</v>
      </c>
      <c r="H59" s="14">
        <v>0.223961356159531</v>
      </c>
      <c r="I59" s="14">
        <v>0</v>
      </c>
      <c r="J59" s="14" t="s">
        <v>88</v>
      </c>
      <c r="K59" s="24">
        <v>44910.000000081018</v>
      </c>
      <c r="L59" s="14">
        <v>1</v>
      </c>
      <c r="M59" s="14" t="s">
        <v>127</v>
      </c>
      <c r="N59" s="46">
        <f t="shared" ref="N59:N122" si="18">IF($C59="","",IF(OR($J59="SWAP",$J59="FUTURE",$J59="CME FUTURE"),IF($L59=1,ROUND($G59/$H59/$F59,3),POWER(10,ROUND(LOG($G59/$F59),1))),1))</f>
        <v>1</v>
      </c>
      <c r="O59" s="47">
        <f t="shared" si="1"/>
        <v>91411.592165359994</v>
      </c>
      <c r="P59" s="48">
        <f t="shared" si="2"/>
        <v>20472.664150055982</v>
      </c>
      <c r="Q59" s="25">
        <f t="shared" si="6"/>
        <v>0</v>
      </c>
      <c r="R59" s="26" t="str">
        <f t="shared" si="7"/>
        <v>COIN</v>
      </c>
      <c r="S59" s="26" t="str">
        <f t="shared" si="17"/>
        <v>LONG</v>
      </c>
      <c r="T59" s="26" t="str">
        <f t="shared" si="8"/>
        <v>COIN LONG</v>
      </c>
      <c r="U59" s="17">
        <f t="shared" si="9"/>
        <v>20472.664150056</v>
      </c>
      <c r="V59" s="17">
        <f t="shared" si="10"/>
        <v>0.223961356159531</v>
      </c>
      <c r="W59" s="40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Shifted'!$AE$32:$AO$75,MATCH($R59,'Futures &amp; Perps Shifted'!$AE$30:$AO$30,0),FALSE),0),0)))</f>
        <v>0</v>
      </c>
      <c r="X59" s="17">
        <f t="shared" si="11"/>
        <v>0</v>
      </c>
      <c r="Y59" s="14" t="str">
        <f t="shared" si="12"/>
        <v>BINE</v>
      </c>
      <c r="Z59" t="str">
        <f t="shared" si="13"/>
        <v>BAT COIN LONG</v>
      </c>
      <c r="AG59">
        <f t="shared" si="14"/>
        <v>1</v>
      </c>
      <c r="AH59">
        <f t="shared" si="15"/>
        <v>91411.592165359994</v>
      </c>
      <c r="AI59">
        <f t="shared" si="16"/>
        <v>20472.664150055982</v>
      </c>
    </row>
    <row r="60" spans="1:35" customFormat="1" x14ac:dyDescent="0.25">
      <c r="A60" s="14">
        <v>58</v>
      </c>
      <c r="B60" s="77">
        <v>44910.000000081018</v>
      </c>
      <c r="C60" s="14" t="s">
        <v>11</v>
      </c>
      <c r="D60" s="14" t="s">
        <v>86</v>
      </c>
      <c r="E60" s="14" t="s">
        <v>21</v>
      </c>
      <c r="F60" s="14">
        <v>401.29513104</v>
      </c>
      <c r="G60" s="14">
        <v>43784.708181065696</v>
      </c>
      <c r="H60" s="14">
        <v>109.10849595307199</v>
      </c>
      <c r="I60" s="14">
        <v>0</v>
      </c>
      <c r="J60" s="14" t="s">
        <v>88</v>
      </c>
      <c r="K60" s="24">
        <v>44910.000000081018</v>
      </c>
      <c r="L60" s="14">
        <v>1</v>
      </c>
      <c r="M60" s="14" t="s">
        <v>21</v>
      </c>
      <c r="N60" s="46">
        <f t="shared" si="18"/>
        <v>1</v>
      </c>
      <c r="O60" s="47">
        <f t="shared" si="1"/>
        <v>401.29513104</v>
      </c>
      <c r="P60" s="48">
        <f t="shared" si="2"/>
        <v>43784.708181065333</v>
      </c>
      <c r="Q60" s="25">
        <f t="shared" si="6"/>
        <v>0</v>
      </c>
      <c r="R60" s="26" t="str">
        <f t="shared" si="7"/>
        <v>COIN</v>
      </c>
      <c r="S60" s="26" t="str">
        <f t="shared" si="17"/>
        <v>LONG</v>
      </c>
      <c r="T60" s="26" t="str">
        <f t="shared" si="8"/>
        <v>COIN LONG</v>
      </c>
      <c r="U60" s="17">
        <f t="shared" si="9"/>
        <v>43784.708181065696</v>
      </c>
      <c r="V60" s="17">
        <f t="shared" si="10"/>
        <v>109.10849595307199</v>
      </c>
      <c r="W60" s="40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Shifted'!$AE$32:$AO$75,MATCH($R60,'Futures &amp; Perps Shifted'!$AE$30:$AO$30,0),FALSE),0),0)))</f>
        <v>0</v>
      </c>
      <c r="X60" s="17">
        <f t="shared" si="11"/>
        <v>0</v>
      </c>
      <c r="Y60" s="14" t="str">
        <f t="shared" si="12"/>
        <v>BINE</v>
      </c>
      <c r="Z60" t="str">
        <f t="shared" si="13"/>
        <v>BCH COIN LONG</v>
      </c>
      <c r="AG60">
        <f t="shared" si="14"/>
        <v>1</v>
      </c>
      <c r="AH60">
        <f t="shared" si="15"/>
        <v>401.29513104</v>
      </c>
      <c r="AI60">
        <f t="shared" si="16"/>
        <v>43784.708181065333</v>
      </c>
    </row>
    <row r="61" spans="1:35" customFormat="1" x14ac:dyDescent="0.25">
      <c r="A61" s="14">
        <v>59</v>
      </c>
      <c r="B61" s="77">
        <v>44910.000000081018</v>
      </c>
      <c r="C61" s="14" t="s">
        <v>11</v>
      </c>
      <c r="D61" s="14" t="s">
        <v>86</v>
      </c>
      <c r="E61" s="14" t="s">
        <v>90</v>
      </c>
      <c r="F61" s="14">
        <v>144.75781040999999</v>
      </c>
      <c r="G61" s="14">
        <v>38828.610565688999</v>
      </c>
      <c r="H61" s="14">
        <v>268.231541052701</v>
      </c>
      <c r="I61" s="14">
        <v>0</v>
      </c>
      <c r="J61" s="14" t="s">
        <v>88</v>
      </c>
      <c r="K61" s="24">
        <v>44910.000000081018</v>
      </c>
      <c r="L61" s="14">
        <v>1</v>
      </c>
      <c r="M61" s="14" t="s">
        <v>90</v>
      </c>
      <c r="N61" s="46">
        <f t="shared" si="18"/>
        <v>1</v>
      </c>
      <c r="O61" s="47">
        <f t="shared" si="1"/>
        <v>144.75781040999999</v>
      </c>
      <c r="P61" s="48">
        <f t="shared" si="2"/>
        <v>38828.610565689021</v>
      </c>
      <c r="Q61" s="25">
        <f t="shared" si="6"/>
        <v>0</v>
      </c>
      <c r="R61" s="26" t="str">
        <f t="shared" si="7"/>
        <v>COIN</v>
      </c>
      <c r="S61" s="26" t="str">
        <f t="shared" si="17"/>
        <v>LONG</v>
      </c>
      <c r="T61" s="26" t="str">
        <f t="shared" si="8"/>
        <v>COIN LONG</v>
      </c>
      <c r="U61" s="17">
        <f t="shared" si="9"/>
        <v>38828.610565688999</v>
      </c>
      <c r="V61" s="17">
        <f t="shared" si="10"/>
        <v>268.231541052701</v>
      </c>
      <c r="W61" s="40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Shifted'!$AE$32:$AO$75,MATCH($R61,'Futures &amp; Perps Shifted'!$AE$30:$AO$30,0),FALSE),0),0)))</f>
        <v>0</v>
      </c>
      <c r="X61" s="17">
        <f t="shared" si="11"/>
        <v>0</v>
      </c>
      <c r="Y61" s="14" t="str">
        <f t="shared" si="12"/>
        <v>BINE</v>
      </c>
      <c r="Z61" t="str">
        <f t="shared" si="13"/>
        <v>BNB COIN LONG</v>
      </c>
      <c r="AG61">
        <f t="shared" si="14"/>
        <v>1</v>
      </c>
      <c r="AH61">
        <f t="shared" si="15"/>
        <v>144.75781040999999</v>
      </c>
      <c r="AI61">
        <f t="shared" si="16"/>
        <v>38828.610565689021</v>
      </c>
    </row>
    <row r="62" spans="1:35" customFormat="1" x14ac:dyDescent="0.25">
      <c r="A62" s="14">
        <v>60</v>
      </c>
      <c r="B62" s="77">
        <v>44910.000000081018</v>
      </c>
      <c r="C62" s="14" t="s">
        <v>11</v>
      </c>
      <c r="D62" s="14" t="s">
        <v>86</v>
      </c>
      <c r="E62" s="14" t="s">
        <v>15</v>
      </c>
      <c r="F62" s="14">
        <v>12.44551824</v>
      </c>
      <c r="G62" s="14">
        <v>221724.99522351101</v>
      </c>
      <c r="H62" s="14">
        <v>17815.649854650899</v>
      </c>
      <c r="I62" s="14">
        <v>0</v>
      </c>
      <c r="J62" s="14" t="s">
        <v>88</v>
      </c>
      <c r="K62" s="24">
        <v>44910.000000081018</v>
      </c>
      <c r="L62" s="14">
        <v>1</v>
      </c>
      <c r="M62" s="14" t="s">
        <v>15</v>
      </c>
      <c r="N62" s="46">
        <f t="shared" si="18"/>
        <v>1</v>
      </c>
      <c r="O62" s="47">
        <f t="shared" si="1"/>
        <v>12.44551824</v>
      </c>
      <c r="P62" s="48">
        <f t="shared" si="2"/>
        <v>221724.99522351113</v>
      </c>
      <c r="Q62" s="25">
        <f t="shared" si="6"/>
        <v>0</v>
      </c>
      <c r="R62" s="26" t="str">
        <f t="shared" si="7"/>
        <v>COIN</v>
      </c>
      <c r="S62" s="26" t="str">
        <f t="shared" si="17"/>
        <v>LONG</v>
      </c>
      <c r="T62" s="26" t="str">
        <f t="shared" si="8"/>
        <v>COIN LONG</v>
      </c>
      <c r="U62" s="17">
        <f t="shared" si="9"/>
        <v>221724.99522351101</v>
      </c>
      <c r="V62" s="17">
        <f t="shared" si="10"/>
        <v>17815.649854650899</v>
      </c>
      <c r="W62" s="40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Shifted'!$AE$32:$AO$75,MATCH($R62,'Futures &amp; Perps Shifted'!$AE$30:$AO$30,0),FALSE),0),0)))</f>
        <v>0</v>
      </c>
      <c r="X62" s="17">
        <f t="shared" si="11"/>
        <v>0</v>
      </c>
      <c r="Y62" s="14" t="str">
        <f t="shared" si="12"/>
        <v>BINE</v>
      </c>
      <c r="Z62" t="str">
        <f t="shared" si="13"/>
        <v>BTC COIN LONG</v>
      </c>
      <c r="AG62">
        <f t="shared" si="14"/>
        <v>1</v>
      </c>
      <c r="AH62">
        <f t="shared" si="15"/>
        <v>12.44551824</v>
      </c>
      <c r="AI62">
        <f t="shared" si="16"/>
        <v>221724.99522351113</v>
      </c>
    </row>
    <row r="63" spans="1:35" customFormat="1" x14ac:dyDescent="0.25">
      <c r="A63" s="14">
        <v>61</v>
      </c>
      <c r="B63" s="77">
        <v>44910.000000081018</v>
      </c>
      <c r="C63" s="14" t="s">
        <v>11</v>
      </c>
      <c r="D63" s="14" t="s">
        <v>86</v>
      </c>
      <c r="E63" s="14" t="s">
        <v>91</v>
      </c>
      <c r="F63" s="14">
        <v>196876.92648426001</v>
      </c>
      <c r="G63" s="14">
        <v>196926.54031488299</v>
      </c>
      <c r="H63" s="14">
        <v>1.0002520042927801</v>
      </c>
      <c r="I63" s="14">
        <v>0</v>
      </c>
      <c r="J63" s="14" t="s">
        <v>88</v>
      </c>
      <c r="K63" s="24">
        <v>44910.000000081018</v>
      </c>
      <c r="L63" s="14">
        <v>1</v>
      </c>
      <c r="M63" s="14" t="s">
        <v>91</v>
      </c>
      <c r="N63" s="46">
        <f t="shared" si="18"/>
        <v>1</v>
      </c>
      <c r="O63" s="47">
        <f t="shared" si="1"/>
        <v>196876.92648426001</v>
      </c>
      <c r="P63" s="48">
        <f t="shared" si="2"/>
        <v>196926.54031488337</v>
      </c>
      <c r="Q63" s="25">
        <f t="shared" si="6"/>
        <v>0</v>
      </c>
      <c r="R63" s="26" t="str">
        <f t="shared" si="7"/>
        <v>COIN</v>
      </c>
      <c r="S63" s="26" t="str">
        <f t="shared" si="17"/>
        <v>LONG</v>
      </c>
      <c r="T63" s="26" t="str">
        <f t="shared" si="8"/>
        <v>COIN LONG</v>
      </c>
      <c r="U63" s="17">
        <f t="shared" si="9"/>
        <v>196926.54031488299</v>
      </c>
      <c r="V63" s="17">
        <f t="shared" si="10"/>
        <v>1.0002520042927801</v>
      </c>
      <c r="W63" s="40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Shifted'!$AE$32:$AO$75,MATCH($R63,'Futures &amp; Perps Shifted'!$AE$30:$AO$30,0),FALSE),0),0)))</f>
        <v>0</v>
      </c>
      <c r="X63" s="17">
        <f t="shared" si="11"/>
        <v>0</v>
      </c>
      <c r="Y63" s="14" t="str">
        <f t="shared" si="12"/>
        <v>BINE</v>
      </c>
      <c r="Z63" t="str">
        <f t="shared" si="13"/>
        <v>BUSD COIN LONG</v>
      </c>
      <c r="AG63">
        <f t="shared" si="14"/>
        <v>1</v>
      </c>
      <c r="AH63">
        <f t="shared" si="15"/>
        <v>196876.92648426001</v>
      </c>
      <c r="AI63">
        <f t="shared" si="16"/>
        <v>196926.54031488337</v>
      </c>
    </row>
    <row r="64" spans="1:35" customFormat="1" x14ac:dyDescent="0.25">
      <c r="A64" s="14">
        <v>62</v>
      </c>
      <c r="B64" s="77">
        <v>44910.000000081018</v>
      </c>
      <c r="C64" s="14" t="s">
        <v>11</v>
      </c>
      <c r="D64" s="14" t="s">
        <v>86</v>
      </c>
      <c r="E64" s="14" t="s">
        <v>32</v>
      </c>
      <c r="F64" s="14">
        <v>0.86121729000000002</v>
      </c>
      <c r="G64" s="14">
        <v>33.891689955686203</v>
      </c>
      <c r="H64" s="14">
        <v>39.353239129333097</v>
      </c>
      <c r="I64" s="14">
        <v>0</v>
      </c>
      <c r="J64" s="14" t="s">
        <v>88</v>
      </c>
      <c r="K64" s="24">
        <v>44910.000000081018</v>
      </c>
      <c r="L64" s="14">
        <v>1</v>
      </c>
      <c r="M64" s="14" t="s">
        <v>32</v>
      </c>
      <c r="N64" s="46">
        <f t="shared" si="18"/>
        <v>1</v>
      </c>
      <c r="O64" s="47">
        <f t="shared" si="1"/>
        <v>0.86121729000000002</v>
      </c>
      <c r="P64" s="48">
        <f t="shared" si="2"/>
        <v>33.891689955686211</v>
      </c>
      <c r="Q64" s="25">
        <f t="shared" si="6"/>
        <v>0</v>
      </c>
      <c r="R64" s="26" t="str">
        <f t="shared" si="7"/>
        <v>COIN</v>
      </c>
      <c r="S64" s="26" t="str">
        <f t="shared" si="17"/>
        <v>LONG</v>
      </c>
      <c r="T64" s="26" t="str">
        <f t="shared" si="8"/>
        <v>COIN LONG</v>
      </c>
      <c r="U64" s="17">
        <f t="shared" si="9"/>
        <v>33.891689955686203</v>
      </c>
      <c r="V64" s="17">
        <f t="shared" si="10"/>
        <v>39.353239129333097</v>
      </c>
      <c r="W64" s="40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Shifted'!$AE$32:$AO$75,MATCH($R64,'Futures &amp; Perps Shifted'!$AE$30:$AO$30,0),FALSE),0),0)))</f>
        <v>0</v>
      </c>
      <c r="X64" s="17">
        <f t="shared" si="11"/>
        <v>0</v>
      </c>
      <c r="Y64" s="14" t="str">
        <f t="shared" si="12"/>
        <v>BINE</v>
      </c>
      <c r="Z64" t="str">
        <f t="shared" si="13"/>
        <v>COMP COIN LONG</v>
      </c>
      <c r="AG64">
        <f t="shared" si="14"/>
        <v>1</v>
      </c>
      <c r="AH64">
        <f t="shared" si="15"/>
        <v>0.86121729000000002</v>
      </c>
      <c r="AI64">
        <f t="shared" si="16"/>
        <v>33.891689955686211</v>
      </c>
    </row>
    <row r="65" spans="1:35" customFormat="1" x14ac:dyDescent="0.25">
      <c r="A65" s="14">
        <v>63</v>
      </c>
      <c r="B65" s="77">
        <v>44910.000000081018</v>
      </c>
      <c r="C65" s="14" t="s">
        <v>11</v>
      </c>
      <c r="D65" s="14" t="s">
        <v>86</v>
      </c>
      <c r="E65" s="14" t="s">
        <v>191</v>
      </c>
      <c r="F65" s="14">
        <v>1.5637979999999999E-2</v>
      </c>
      <c r="G65" s="14">
        <v>1.0109735336132099E-2</v>
      </c>
      <c r="H65" s="14">
        <v>0.64648601265202699</v>
      </c>
      <c r="I65" s="14">
        <v>0</v>
      </c>
      <c r="J65" s="14" t="s">
        <v>88</v>
      </c>
      <c r="K65" s="24">
        <v>44910.000000081018</v>
      </c>
      <c r="L65" s="14">
        <v>1</v>
      </c>
      <c r="M65" s="14" t="s">
        <v>191</v>
      </c>
      <c r="N65" s="46">
        <f t="shared" si="18"/>
        <v>1</v>
      </c>
      <c r="O65" s="47">
        <f t="shared" si="1"/>
        <v>1.5637979999999999E-2</v>
      </c>
      <c r="P65" s="48">
        <f t="shared" si="2"/>
        <v>1.0109735336132145E-2</v>
      </c>
      <c r="Q65" s="25">
        <f t="shared" si="6"/>
        <v>0</v>
      </c>
      <c r="R65" s="26" t="str">
        <f t="shared" si="7"/>
        <v>COIN</v>
      </c>
      <c r="S65" s="26" t="str">
        <f t="shared" si="17"/>
        <v>LONG</v>
      </c>
      <c r="T65" s="26" t="str">
        <f t="shared" si="8"/>
        <v>COIN LONG</v>
      </c>
      <c r="U65" s="17">
        <f t="shared" si="9"/>
        <v>1.0109735336132099E-2</v>
      </c>
      <c r="V65" s="17">
        <f t="shared" si="10"/>
        <v>0.64648601265202699</v>
      </c>
      <c r="W65" s="40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Shifted'!$AE$32:$AO$75,MATCH($R65,'Futures &amp; Perps Shifted'!$AE$30:$AO$30,0),FALSE),0),0)))</f>
        <v>0</v>
      </c>
      <c r="X65" s="17">
        <f t="shared" si="11"/>
        <v>0</v>
      </c>
      <c r="Y65" s="14" t="str">
        <f t="shared" si="12"/>
        <v>BINE</v>
      </c>
      <c r="Z65" t="str">
        <f t="shared" si="13"/>
        <v>CRV COIN LONG</v>
      </c>
      <c r="AG65">
        <f t="shared" si="14"/>
        <v>1</v>
      </c>
      <c r="AH65">
        <f t="shared" si="15"/>
        <v>1.5637979999999999E-2</v>
      </c>
      <c r="AI65">
        <f t="shared" si="16"/>
        <v>1.0109735336132145E-2</v>
      </c>
    </row>
    <row r="66" spans="1:35" customFormat="1" x14ac:dyDescent="0.25">
      <c r="A66" s="14">
        <v>64</v>
      </c>
      <c r="B66" s="77">
        <v>44910.000000081018</v>
      </c>
      <c r="C66" s="14" t="s">
        <v>11</v>
      </c>
      <c r="D66" s="14" t="s">
        <v>86</v>
      </c>
      <c r="E66" s="14" t="s">
        <v>135</v>
      </c>
      <c r="F66" s="14">
        <v>497.31768</v>
      </c>
      <c r="G66" s="14">
        <v>24290.779452657502</v>
      </c>
      <c r="H66" s="14">
        <v>48.843587166773403</v>
      </c>
      <c r="I66" s="14">
        <v>0</v>
      </c>
      <c r="J66" s="14" t="s">
        <v>88</v>
      </c>
      <c r="K66" s="24">
        <v>44910.000000081018</v>
      </c>
      <c r="L66" s="14">
        <v>1</v>
      </c>
      <c r="M66" s="14" t="s">
        <v>135</v>
      </c>
      <c r="N66" s="46">
        <f t="shared" si="18"/>
        <v>1</v>
      </c>
      <c r="O66" s="47">
        <f t="shared" ref="O66:O129" si="19">IF($C66="","",IF(OR($J66="SWAP",$J66="FUTURE",$J66="CME FUTURE"),IF($L66=1,$F66*$N66,$AA$2*$F66*$N66/$H66),F66))</f>
        <v>497.31768</v>
      </c>
      <c r="P66" s="48">
        <f t="shared" ref="P66:P129" si="20">IF($C66="","",IF(OR($J66="SWAP",$J66="FUTURE",$J66="CME FUTURE"),IF(NOT(ISERROR(VLOOKUP($M66,SpotUSDRateTable,2,FALSE))),VLOOKUP($M66,SpotUSDRateTable,2,FALSE),$H66)*O66,VLOOKUP($M66,SpotUSDRateTable,2,FALSE)*O66))</f>
        <v>24290.779452657524</v>
      </c>
      <c r="Q66" s="25">
        <f t="shared" si="6"/>
        <v>0</v>
      </c>
      <c r="R66" s="26" t="str">
        <f t="shared" si="7"/>
        <v>COIN</v>
      </c>
      <c r="S66" s="26" t="str">
        <f t="shared" si="17"/>
        <v>LONG</v>
      </c>
      <c r="T66" s="26" t="str">
        <f t="shared" si="8"/>
        <v>COIN LONG</v>
      </c>
      <c r="U66" s="17">
        <f t="shared" si="9"/>
        <v>24290.779452657502</v>
      </c>
      <c r="V66" s="17">
        <f t="shared" si="10"/>
        <v>48.843587166773403</v>
      </c>
      <c r="W66" s="40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Shifted'!$AE$32:$AO$75,MATCH($R66,'Futures &amp; Perps Shifted'!$AE$30:$AO$30,0),FALSE),0),0)))</f>
        <v>0</v>
      </c>
      <c r="X66" s="17">
        <f t="shared" si="11"/>
        <v>0</v>
      </c>
      <c r="Y66" s="14" t="str">
        <f t="shared" si="12"/>
        <v>BINE</v>
      </c>
      <c r="Z66" t="str">
        <f t="shared" si="13"/>
        <v>DASH COIN LONG</v>
      </c>
      <c r="AG66">
        <f t="shared" si="14"/>
        <v>1</v>
      </c>
      <c r="AH66">
        <f t="shared" ref="AH66:AH78" si="21">IF($C66="","",IF($A66="",0,IF($L66=1,$F66*$AG66,$AA$2*$F66*$AG66/$H66)))</f>
        <v>497.31768</v>
      </c>
      <c r="AI66">
        <f t="shared" ref="AI66:AI79" si="22">IF($C66="","",IF($A66="",0,VLOOKUP($M66,SpotUSDRateTable,2,FALSE)*AH66))</f>
        <v>24290.779452657524</v>
      </c>
    </row>
    <row r="67" spans="1:35" customFormat="1" x14ac:dyDescent="0.25">
      <c r="A67" s="14">
        <v>65</v>
      </c>
      <c r="B67" s="77">
        <v>44910.000000081018</v>
      </c>
      <c r="C67" s="14" t="s">
        <v>11</v>
      </c>
      <c r="D67" s="14" t="s">
        <v>86</v>
      </c>
      <c r="E67" s="14" t="s">
        <v>193</v>
      </c>
      <c r="F67" s="14">
        <v>604880.55008426995</v>
      </c>
      <c r="G67" s="14">
        <v>53540.6345540189</v>
      </c>
      <c r="H67" s="14">
        <v>8.8514392712015305E-2</v>
      </c>
      <c r="I67" s="14">
        <v>0</v>
      </c>
      <c r="J67" s="14" t="s">
        <v>88</v>
      </c>
      <c r="K67" s="24">
        <v>44910.000000081018</v>
      </c>
      <c r="L67" s="14">
        <v>1</v>
      </c>
      <c r="M67" s="14" t="s">
        <v>193</v>
      </c>
      <c r="N67" s="46">
        <f t="shared" si="18"/>
        <v>1</v>
      </c>
      <c r="O67" s="47">
        <f t="shared" si="19"/>
        <v>604880.55008426995</v>
      </c>
      <c r="P67" s="48">
        <f t="shared" si="20"/>
        <v>53540.634554018914</v>
      </c>
      <c r="Q67" s="25">
        <f t="shared" ref="Q67:Q130" si="23">IF($C67="","",IF(OR($J67="SWAP",$J67="FUTURE",$J67="CME FUTURE"),INT($K67-$B67),0))</f>
        <v>0</v>
      </c>
      <c r="R67" s="26" t="str">
        <f t="shared" ref="R67:R130" si="24">IF($C67="","",IF(OR($E67="USD",$E67="EUR"),"CASH",IF($Q67=0,"COIN",IF($Q67&gt;720,"PERP",IF($J67="FUTURE",TEXT($K67-1,"mmm yy"),"CME "&amp;TEXT($K67-1,"mmm yy"))))))</f>
        <v>COIN</v>
      </c>
      <c r="S67" s="26" t="str">
        <f t="shared" si="17"/>
        <v>LONG</v>
      </c>
      <c r="T67" s="26" t="str">
        <f t="shared" ref="T67:T130" si="25">IF($C67="","",$R67&amp;" "&amp;$S67)</f>
        <v>COIN LONG</v>
      </c>
      <c r="U67" s="17">
        <f t="shared" ref="U67:U130" si="26">IF($C67="","",$G67*(1+$W67))</f>
        <v>53540.6345540189</v>
      </c>
      <c r="V67" s="17">
        <f t="shared" ref="V67:V130" si="27">IF($C67="","",$H67*(1+$W67))</f>
        <v>8.8514392712015305E-2</v>
      </c>
      <c r="W67" s="40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Shifted'!$AE$32:$AO$75,MATCH($R67,'Futures &amp; Perps Shifted'!$AE$30:$AO$30,0),FALSE),0),0)))</f>
        <v>0</v>
      </c>
      <c r="X67" s="17">
        <f t="shared" ref="X67:X130" si="28">IF($C67="","",$U67-$G67)</f>
        <v>0</v>
      </c>
      <c r="Y67" s="14" t="str">
        <f t="shared" ref="Y67:Y130" si="29">IF($C67="","",IF(ISERROR(SEARCH("-",$D67)),$D67,LEFT($D67,SEARCH("-",$D67)-1)))</f>
        <v>BINE</v>
      </c>
      <c r="Z67" t="str">
        <f t="shared" ref="Z67:Z130" si="30">IF($C67="","",$M67&amp;" "&amp;$T67)</f>
        <v>DOGE COIN LONG</v>
      </c>
      <c r="AG67">
        <f t="shared" ref="AG67:AG79" si="31">IF($C67="","",IF($A67="",0,IF($L67=1,ROUND($G67/$H67/$F67,3),POWER(10,ROUND(LOG($G67/$F67),1)))))</f>
        <v>1</v>
      </c>
      <c r="AH67">
        <f t="shared" si="21"/>
        <v>604880.55008426995</v>
      </c>
      <c r="AI67">
        <f t="shared" si="22"/>
        <v>53540.634554018914</v>
      </c>
    </row>
    <row r="68" spans="1:35" customFormat="1" x14ac:dyDescent="0.25">
      <c r="A68" s="14">
        <v>66</v>
      </c>
      <c r="B68" s="77">
        <v>44910.000000081018</v>
      </c>
      <c r="C68" s="14" t="s">
        <v>11</v>
      </c>
      <c r="D68" s="14" t="s">
        <v>86</v>
      </c>
      <c r="E68" s="14" t="s">
        <v>23</v>
      </c>
      <c r="F68" s="14">
        <v>4998.7032519799995</v>
      </c>
      <c r="G68" s="14">
        <v>26069.2859419087</v>
      </c>
      <c r="H68" s="14">
        <v>5.21520975096543</v>
      </c>
      <c r="I68" s="14">
        <v>0</v>
      </c>
      <c r="J68" s="14" t="s">
        <v>88</v>
      </c>
      <c r="K68" s="24">
        <v>44910.000000081018</v>
      </c>
      <c r="L68" s="14">
        <v>1</v>
      </c>
      <c r="M68" s="14" t="s">
        <v>23</v>
      </c>
      <c r="N68" s="46">
        <f t="shared" si="18"/>
        <v>1</v>
      </c>
      <c r="O68" s="47">
        <f t="shared" si="19"/>
        <v>4998.7032519799995</v>
      </c>
      <c r="P68" s="48">
        <f t="shared" si="20"/>
        <v>26069.2859419087</v>
      </c>
      <c r="Q68" s="25">
        <f t="shared" si="23"/>
        <v>0</v>
      </c>
      <c r="R68" s="26" t="str">
        <f t="shared" si="24"/>
        <v>COIN</v>
      </c>
      <c r="S68" s="26" t="str">
        <f t="shared" si="17"/>
        <v>LONG</v>
      </c>
      <c r="T68" s="26" t="str">
        <f t="shared" si="25"/>
        <v>COIN LONG</v>
      </c>
      <c r="U68" s="17">
        <f t="shared" si="26"/>
        <v>26069.2859419087</v>
      </c>
      <c r="V68" s="17">
        <f t="shared" si="27"/>
        <v>5.21520975096543</v>
      </c>
      <c r="W68" s="40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Shifted'!$AE$32:$AO$75,MATCH($R68,'Futures &amp; Perps Shifted'!$AE$30:$AO$30,0),FALSE),0),0)))</f>
        <v>0</v>
      </c>
      <c r="X68" s="17">
        <f t="shared" si="28"/>
        <v>0</v>
      </c>
      <c r="Y68" s="14" t="str">
        <f t="shared" si="29"/>
        <v>BINE</v>
      </c>
      <c r="Z68" t="str">
        <f t="shared" si="30"/>
        <v>DOT COIN LONG</v>
      </c>
      <c r="AG68">
        <f t="shared" si="31"/>
        <v>1</v>
      </c>
      <c r="AH68">
        <f t="shared" si="21"/>
        <v>4998.7032519799995</v>
      </c>
      <c r="AI68">
        <f t="shared" si="22"/>
        <v>26069.2859419087</v>
      </c>
    </row>
    <row r="69" spans="1:35" customFormat="1" x14ac:dyDescent="0.25">
      <c r="A69" s="14">
        <v>67</v>
      </c>
      <c r="B69" s="77">
        <v>44910.000000081018</v>
      </c>
      <c r="C69" s="14" t="s">
        <v>11</v>
      </c>
      <c r="D69" s="14" t="s">
        <v>86</v>
      </c>
      <c r="E69" s="14" t="s">
        <v>29</v>
      </c>
      <c r="F69" s="14">
        <v>30831.324700000001</v>
      </c>
      <c r="G69" s="14">
        <v>9257.5375131300498</v>
      </c>
      <c r="H69" s="14">
        <v>0.30026402054434098</v>
      </c>
      <c r="I69" s="14">
        <v>0</v>
      </c>
      <c r="J69" s="14" t="s">
        <v>88</v>
      </c>
      <c r="K69" s="24">
        <v>44910.000000081018</v>
      </c>
      <c r="L69" s="14">
        <v>1</v>
      </c>
      <c r="M69" s="14" t="s">
        <v>29</v>
      </c>
      <c r="N69" s="46">
        <f t="shared" si="18"/>
        <v>1</v>
      </c>
      <c r="O69" s="47">
        <f t="shared" si="19"/>
        <v>30831.324700000001</v>
      </c>
      <c r="P69" s="48">
        <f t="shared" si="20"/>
        <v>9257.537513130048</v>
      </c>
      <c r="Q69" s="25">
        <f t="shared" si="23"/>
        <v>0</v>
      </c>
      <c r="R69" s="26" t="str">
        <f t="shared" si="24"/>
        <v>COIN</v>
      </c>
      <c r="S69" s="26" t="str">
        <f t="shared" si="17"/>
        <v>LONG</v>
      </c>
      <c r="T69" s="26" t="str">
        <f t="shared" si="25"/>
        <v>COIN LONG</v>
      </c>
      <c r="U69" s="17">
        <f t="shared" si="26"/>
        <v>9257.5375131300498</v>
      </c>
      <c r="V69" s="17">
        <f t="shared" si="27"/>
        <v>0.30026402054434098</v>
      </c>
      <c r="W69" s="40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Shifted'!$AE$32:$AO$75,MATCH($R69,'Futures &amp; Perps Shifted'!$AE$30:$AO$30,0),FALSE),0),0)))</f>
        <v>0</v>
      </c>
      <c r="X69" s="17">
        <f t="shared" si="28"/>
        <v>0</v>
      </c>
      <c r="Y69" s="14" t="str">
        <f t="shared" si="29"/>
        <v>BINE</v>
      </c>
      <c r="Z69" t="str">
        <f t="shared" si="30"/>
        <v>ENJ COIN LONG</v>
      </c>
      <c r="AG69">
        <f t="shared" si="31"/>
        <v>1</v>
      </c>
      <c r="AH69">
        <f t="shared" si="21"/>
        <v>30831.324700000001</v>
      </c>
      <c r="AI69">
        <f t="shared" si="22"/>
        <v>9257.537513130048</v>
      </c>
    </row>
    <row r="70" spans="1:35" customFormat="1" x14ac:dyDescent="0.25">
      <c r="A70" s="14">
        <v>68</v>
      </c>
      <c r="B70" s="77">
        <v>44910.000000081018</v>
      </c>
      <c r="C70" s="14" t="s">
        <v>11</v>
      </c>
      <c r="D70" s="14" t="s">
        <v>86</v>
      </c>
      <c r="E70" s="14" t="s">
        <v>24</v>
      </c>
      <c r="F70" s="14">
        <v>79109.898400000005</v>
      </c>
      <c r="G70" s="14">
        <v>77371.168578658195</v>
      </c>
      <c r="H70" s="14">
        <v>0.97802133669101299</v>
      </c>
      <c r="I70" s="14">
        <v>0</v>
      </c>
      <c r="J70" s="14" t="s">
        <v>88</v>
      </c>
      <c r="K70" s="24">
        <v>44910.000000081018</v>
      </c>
      <c r="L70" s="14">
        <v>1</v>
      </c>
      <c r="M70" s="14" t="s">
        <v>24</v>
      </c>
      <c r="N70" s="46">
        <f t="shared" si="18"/>
        <v>1</v>
      </c>
      <c r="O70" s="47">
        <f t="shared" si="19"/>
        <v>79109.898400000005</v>
      </c>
      <c r="P70" s="48">
        <f t="shared" si="20"/>
        <v>77371.168578658238</v>
      </c>
      <c r="Q70" s="25">
        <f t="shared" si="23"/>
        <v>0</v>
      </c>
      <c r="R70" s="26" t="str">
        <f t="shared" si="24"/>
        <v>COIN</v>
      </c>
      <c r="S70" s="26" t="str">
        <f t="shared" si="17"/>
        <v>LONG</v>
      </c>
      <c r="T70" s="26" t="str">
        <f t="shared" si="25"/>
        <v>COIN LONG</v>
      </c>
      <c r="U70" s="17">
        <f t="shared" si="26"/>
        <v>77371.168578658195</v>
      </c>
      <c r="V70" s="17">
        <f t="shared" si="27"/>
        <v>0.97802133669101299</v>
      </c>
      <c r="W70" s="40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Shifted'!$AE$32:$AO$75,MATCH($R70,'Futures &amp; Perps Shifted'!$AE$30:$AO$30,0),FALSE),0),0)))</f>
        <v>0</v>
      </c>
      <c r="X70" s="17">
        <f t="shared" si="28"/>
        <v>0</v>
      </c>
      <c r="Y70" s="14" t="str">
        <f t="shared" si="29"/>
        <v>BINE</v>
      </c>
      <c r="Z70" t="str">
        <f t="shared" si="30"/>
        <v>EOS COIN LONG</v>
      </c>
      <c r="AG70">
        <f t="shared" si="31"/>
        <v>1</v>
      </c>
      <c r="AH70">
        <f t="shared" si="21"/>
        <v>79109.898400000005</v>
      </c>
      <c r="AI70">
        <f t="shared" si="22"/>
        <v>77371.168578658238</v>
      </c>
    </row>
    <row r="71" spans="1:35" customFormat="1" x14ac:dyDescent="0.25">
      <c r="A71" s="14">
        <v>69</v>
      </c>
      <c r="B71" s="77">
        <v>44910.000000081018</v>
      </c>
      <c r="C71" s="14" t="s">
        <v>11</v>
      </c>
      <c r="D71" s="14" t="s">
        <v>86</v>
      </c>
      <c r="E71" s="14" t="s">
        <v>16</v>
      </c>
      <c r="F71" s="14">
        <v>207.5909</v>
      </c>
      <c r="G71" s="14">
        <v>271804.71844032197</v>
      </c>
      <c r="H71" s="14">
        <v>1309.32867693296</v>
      </c>
      <c r="I71" s="14">
        <v>0</v>
      </c>
      <c r="J71" s="14" t="s">
        <v>88</v>
      </c>
      <c r="K71" s="24">
        <v>44910.000000081018</v>
      </c>
      <c r="L71" s="14">
        <v>1</v>
      </c>
      <c r="M71" s="14" t="s">
        <v>16</v>
      </c>
      <c r="N71" s="46">
        <f t="shared" si="18"/>
        <v>1</v>
      </c>
      <c r="O71" s="47">
        <f t="shared" si="19"/>
        <v>207.5909</v>
      </c>
      <c r="P71" s="48">
        <f t="shared" si="20"/>
        <v>271804.71844032238</v>
      </c>
      <c r="Q71" s="25">
        <f t="shared" si="23"/>
        <v>0</v>
      </c>
      <c r="R71" s="26" t="str">
        <f t="shared" si="24"/>
        <v>COIN</v>
      </c>
      <c r="S71" s="26" t="str">
        <f t="shared" si="17"/>
        <v>LONG</v>
      </c>
      <c r="T71" s="26" t="str">
        <f t="shared" si="25"/>
        <v>COIN LONG</v>
      </c>
      <c r="U71" s="17">
        <f t="shared" si="26"/>
        <v>271804.71844032197</v>
      </c>
      <c r="V71" s="17">
        <f t="shared" si="27"/>
        <v>1309.32867693296</v>
      </c>
      <c r="W71" s="40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Shifted'!$AE$32:$AO$75,MATCH($R71,'Futures &amp; Perps Shifted'!$AE$30:$AO$30,0),FALSE),0),0)))</f>
        <v>0</v>
      </c>
      <c r="X71" s="17">
        <f t="shared" si="28"/>
        <v>0</v>
      </c>
      <c r="Y71" s="14" t="str">
        <f t="shared" si="29"/>
        <v>BINE</v>
      </c>
      <c r="Z71" t="str">
        <f t="shared" si="30"/>
        <v>ETH COIN LONG</v>
      </c>
      <c r="AG71">
        <f t="shared" si="31"/>
        <v>1</v>
      </c>
      <c r="AH71">
        <f t="shared" si="21"/>
        <v>207.5909</v>
      </c>
      <c r="AI71">
        <f t="shared" si="22"/>
        <v>271804.71844032238</v>
      </c>
    </row>
    <row r="72" spans="1:35" customFormat="1" x14ac:dyDescent="0.25">
      <c r="A72" s="14">
        <v>70</v>
      </c>
      <c r="B72" s="77">
        <v>44910.000000081018</v>
      </c>
      <c r="C72" s="14" t="s">
        <v>11</v>
      </c>
      <c r="D72" s="14" t="s">
        <v>86</v>
      </c>
      <c r="E72" s="14" t="s">
        <v>110</v>
      </c>
      <c r="F72" s="14">
        <v>796684.29277635005</v>
      </c>
      <c r="G72" s="14">
        <v>851073.92944419105</v>
      </c>
      <c r="H72" s="14">
        <v>1.0682700000000001</v>
      </c>
      <c r="I72" s="14">
        <v>0</v>
      </c>
      <c r="J72" s="14" t="s">
        <v>88</v>
      </c>
      <c r="K72" s="24">
        <v>44910.000000081018</v>
      </c>
      <c r="L72" s="14">
        <v>1</v>
      </c>
      <c r="M72" s="14" t="s">
        <v>110</v>
      </c>
      <c r="N72" s="46">
        <f t="shared" si="18"/>
        <v>1</v>
      </c>
      <c r="O72" s="47">
        <f t="shared" si="19"/>
        <v>796684.29277635005</v>
      </c>
      <c r="P72" s="48">
        <f t="shared" si="20"/>
        <v>851073.92944419151</v>
      </c>
      <c r="Q72" s="25">
        <f t="shared" si="23"/>
        <v>0</v>
      </c>
      <c r="R72" s="26" t="str">
        <f t="shared" si="24"/>
        <v>CASH</v>
      </c>
      <c r="S72" s="26" t="str">
        <f t="shared" si="17"/>
        <v>LONG</v>
      </c>
      <c r="T72" s="26" t="str">
        <f t="shared" si="25"/>
        <v>CASH LONG</v>
      </c>
      <c r="U72" s="17">
        <f t="shared" si="26"/>
        <v>851073.92944419105</v>
      </c>
      <c r="V72" s="17">
        <f t="shared" si="27"/>
        <v>1.0682700000000001</v>
      </c>
      <c r="W72" s="40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Shifted'!$AE$32:$AO$75,MATCH($R72,'Futures &amp; Perps Shifted'!$AE$30:$AO$30,0),FALSE),0),0)))</f>
        <v>0</v>
      </c>
      <c r="X72" s="17">
        <f t="shared" si="28"/>
        <v>0</v>
      </c>
      <c r="Y72" s="14" t="str">
        <f t="shared" si="29"/>
        <v>BINE</v>
      </c>
      <c r="Z72" t="str">
        <f t="shared" si="30"/>
        <v>EUR CASH LONG</v>
      </c>
      <c r="AG72">
        <f t="shared" si="31"/>
        <v>1</v>
      </c>
      <c r="AH72">
        <f t="shared" si="21"/>
        <v>796684.29277635005</v>
      </c>
      <c r="AI72">
        <f t="shared" si="22"/>
        <v>851073.92944419151</v>
      </c>
    </row>
    <row r="73" spans="1:35" customFormat="1" x14ac:dyDescent="0.25">
      <c r="A73" s="14">
        <v>71</v>
      </c>
      <c r="B73" s="77">
        <v>44910.000000081018</v>
      </c>
      <c r="C73" s="14" t="s">
        <v>11</v>
      </c>
      <c r="D73" s="14" t="s">
        <v>86</v>
      </c>
      <c r="E73" s="14" t="s">
        <v>31</v>
      </c>
      <c r="F73" s="14">
        <v>0.19800000000000001</v>
      </c>
      <c r="G73" s="14">
        <v>0.83755776247018499</v>
      </c>
      <c r="H73" s="14">
        <v>4.2300897094453704</v>
      </c>
      <c r="I73" s="14">
        <v>0</v>
      </c>
      <c r="J73" s="14" t="s">
        <v>88</v>
      </c>
      <c r="K73" s="24">
        <v>44910.000000081018</v>
      </c>
      <c r="L73" s="14">
        <v>1</v>
      </c>
      <c r="M73" s="14" t="s">
        <v>31</v>
      </c>
      <c r="N73" s="46">
        <f t="shared" si="18"/>
        <v>1</v>
      </c>
      <c r="O73" s="47">
        <f t="shared" si="19"/>
        <v>0.19800000000000001</v>
      </c>
      <c r="P73" s="48">
        <f t="shared" si="20"/>
        <v>0.83755776247018343</v>
      </c>
      <c r="Q73" s="25">
        <f t="shared" si="23"/>
        <v>0</v>
      </c>
      <c r="R73" s="26" t="str">
        <f t="shared" si="24"/>
        <v>COIN</v>
      </c>
      <c r="S73" s="26" t="str">
        <f t="shared" si="17"/>
        <v>LONG</v>
      </c>
      <c r="T73" s="26" t="str">
        <f t="shared" si="25"/>
        <v>COIN LONG</v>
      </c>
      <c r="U73" s="17">
        <f t="shared" si="26"/>
        <v>0.83755776247018499</v>
      </c>
      <c r="V73" s="17">
        <f t="shared" si="27"/>
        <v>4.2300897094453704</v>
      </c>
      <c r="W73" s="40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Shifted'!$AE$32:$AO$75,MATCH($R73,'Futures &amp; Perps Shifted'!$AE$30:$AO$30,0),FALSE),0),0)))</f>
        <v>0</v>
      </c>
      <c r="X73" s="17">
        <f t="shared" si="28"/>
        <v>0</v>
      </c>
      <c r="Y73" s="14" t="str">
        <f t="shared" si="29"/>
        <v>BINE</v>
      </c>
      <c r="Z73" t="str">
        <f t="shared" si="30"/>
        <v>FIL COIN LONG</v>
      </c>
      <c r="AG73">
        <f t="shared" si="31"/>
        <v>1</v>
      </c>
      <c r="AH73">
        <f t="shared" si="21"/>
        <v>0.19800000000000001</v>
      </c>
      <c r="AI73">
        <f t="shared" si="22"/>
        <v>0.83755776247018343</v>
      </c>
    </row>
    <row r="74" spans="1:35" customFormat="1" x14ac:dyDescent="0.25">
      <c r="A74" s="14">
        <v>72</v>
      </c>
      <c r="B74" s="77">
        <v>44910.000000081018</v>
      </c>
      <c r="C74" s="14" t="s">
        <v>11</v>
      </c>
      <c r="D74" s="14" t="s">
        <v>86</v>
      </c>
      <c r="E74" s="14" t="s">
        <v>194</v>
      </c>
      <c r="F74" s="14">
        <v>142175.21349967</v>
      </c>
      <c r="G74" s="14">
        <v>34210.1105541367</v>
      </c>
      <c r="H74" s="14">
        <v>0.24061937177408299</v>
      </c>
      <c r="I74" s="14">
        <v>0</v>
      </c>
      <c r="J74" s="14" t="s">
        <v>88</v>
      </c>
      <c r="K74" s="24">
        <v>44910.000000081018</v>
      </c>
      <c r="L74" s="14">
        <v>1</v>
      </c>
      <c r="M74" s="14" t="s">
        <v>194</v>
      </c>
      <c r="N74" s="46">
        <f t="shared" si="18"/>
        <v>1</v>
      </c>
      <c r="O74" s="47">
        <f t="shared" si="19"/>
        <v>142175.21349967</v>
      </c>
      <c r="P74" s="48">
        <f t="shared" si="20"/>
        <v>34210.110554136721</v>
      </c>
      <c r="Q74" s="25">
        <f t="shared" si="23"/>
        <v>0</v>
      </c>
      <c r="R74" s="26" t="str">
        <f t="shared" si="24"/>
        <v>COIN</v>
      </c>
      <c r="S74" s="26" t="str">
        <f t="shared" si="17"/>
        <v>LONG</v>
      </c>
      <c r="T74" s="26" t="str">
        <f t="shared" si="25"/>
        <v>COIN LONG</v>
      </c>
      <c r="U74" s="17">
        <f t="shared" si="26"/>
        <v>34210.1105541367</v>
      </c>
      <c r="V74" s="17">
        <f t="shared" si="27"/>
        <v>0.24061937177408299</v>
      </c>
      <c r="W74" s="40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Shifted'!$AE$32:$AO$75,MATCH($R74,'Futures &amp; Perps Shifted'!$AE$30:$AO$30,0),FALSE),0),0)))</f>
        <v>0</v>
      </c>
      <c r="X74" s="17">
        <f t="shared" si="28"/>
        <v>0</v>
      </c>
      <c r="Y74" s="14" t="str">
        <f t="shared" si="29"/>
        <v>BINE</v>
      </c>
      <c r="Z74" t="str">
        <f t="shared" si="30"/>
        <v>FTM COIN LONG</v>
      </c>
      <c r="AG74">
        <f t="shared" si="31"/>
        <v>1</v>
      </c>
      <c r="AH74">
        <f t="shared" si="21"/>
        <v>142175.21349967</v>
      </c>
      <c r="AI74">
        <f t="shared" si="22"/>
        <v>34210.110554136721</v>
      </c>
    </row>
    <row r="75" spans="1:35" customFormat="1" x14ac:dyDescent="0.25">
      <c r="A75" s="14">
        <v>73</v>
      </c>
      <c r="B75" s="77">
        <v>44910.000000081018</v>
      </c>
      <c r="C75" s="14" t="s">
        <v>11</v>
      </c>
      <c r="D75" s="23" t="s">
        <v>86</v>
      </c>
      <c r="E75" s="23" t="s">
        <v>635</v>
      </c>
      <c r="F75" s="23">
        <v>239455.44699999999</v>
      </c>
      <c r="G75" s="23">
        <v>15735.0778713698</v>
      </c>
      <c r="H75" s="23">
        <v>6.5711922900504302E-2</v>
      </c>
      <c r="I75" s="23">
        <v>0</v>
      </c>
      <c r="J75" s="14" t="s">
        <v>88</v>
      </c>
      <c r="K75" s="24">
        <v>44910.000000081018</v>
      </c>
      <c r="L75" s="23">
        <v>1</v>
      </c>
      <c r="M75" s="23" t="s">
        <v>635</v>
      </c>
      <c r="N75" s="46">
        <f t="shared" si="18"/>
        <v>1</v>
      </c>
      <c r="O75" s="47">
        <f t="shared" si="19"/>
        <v>239455.44699999999</v>
      </c>
      <c r="P75" s="48">
        <f t="shared" si="20"/>
        <v>15735.077871369793</v>
      </c>
      <c r="Q75" s="25">
        <f t="shared" si="23"/>
        <v>0</v>
      </c>
      <c r="R75" s="26" t="str">
        <f t="shared" si="24"/>
        <v>COIN</v>
      </c>
      <c r="S75" s="26" t="str">
        <f t="shared" si="17"/>
        <v>LONG</v>
      </c>
      <c r="T75" s="26" t="str">
        <f t="shared" si="25"/>
        <v>COIN LONG</v>
      </c>
      <c r="U75" s="17">
        <f t="shared" si="26"/>
        <v>15735.0778713698</v>
      </c>
      <c r="V75" s="17">
        <f t="shared" si="27"/>
        <v>6.5711922900504302E-2</v>
      </c>
      <c r="W75" s="40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Shifted'!$AE$32:$AO$75,MATCH($R75,'Futures &amp; Perps Shifted'!$AE$30:$AO$30,0),FALSE),0),0)))</f>
        <v>0</v>
      </c>
      <c r="X75" s="17">
        <f t="shared" si="28"/>
        <v>0</v>
      </c>
      <c r="Y75" s="14" t="str">
        <f t="shared" si="29"/>
        <v>BINE</v>
      </c>
      <c r="Z75" t="str">
        <f t="shared" si="30"/>
        <v>GRT COIN LONG</v>
      </c>
      <c r="AG75">
        <f t="shared" si="31"/>
        <v>1</v>
      </c>
      <c r="AH75">
        <f t="shared" si="21"/>
        <v>239455.44699999999</v>
      </c>
      <c r="AI75">
        <f t="shared" si="22"/>
        <v>15735.077871369793</v>
      </c>
    </row>
    <row r="76" spans="1:35" customFormat="1" x14ac:dyDescent="0.25">
      <c r="A76" s="14">
        <v>74</v>
      </c>
      <c r="B76" s="77">
        <v>44910.000000081018</v>
      </c>
      <c r="C76" s="14" t="s">
        <v>11</v>
      </c>
      <c r="D76" s="23" t="s">
        <v>86</v>
      </c>
      <c r="E76" s="23" t="s">
        <v>138</v>
      </c>
      <c r="F76" s="23">
        <v>622005.60076897999</v>
      </c>
      <c r="G76" s="23">
        <v>29034.5185808321</v>
      </c>
      <c r="H76" s="23">
        <v>4.6678870005249097E-2</v>
      </c>
      <c r="I76" s="23">
        <v>0</v>
      </c>
      <c r="J76" s="14" t="s">
        <v>88</v>
      </c>
      <c r="K76" s="24">
        <v>44910.000000081018</v>
      </c>
      <c r="L76" s="23">
        <v>1</v>
      </c>
      <c r="M76" s="23" t="s">
        <v>138</v>
      </c>
      <c r="N76" s="46">
        <f t="shared" si="18"/>
        <v>1</v>
      </c>
      <c r="O76" s="47">
        <f t="shared" si="19"/>
        <v>622005.60076897999</v>
      </c>
      <c r="P76" s="48">
        <f t="shared" si="20"/>
        <v>29034.518580832086</v>
      </c>
      <c r="Q76" s="25">
        <f t="shared" si="23"/>
        <v>0</v>
      </c>
      <c r="R76" s="26" t="str">
        <f t="shared" si="24"/>
        <v>COIN</v>
      </c>
      <c r="S76" s="26" t="str">
        <f t="shared" si="17"/>
        <v>LONG</v>
      </c>
      <c r="T76" s="26" t="str">
        <f t="shared" si="25"/>
        <v>COIN LONG</v>
      </c>
      <c r="U76" s="17">
        <f t="shared" si="26"/>
        <v>29034.5185808321</v>
      </c>
      <c r="V76" s="17">
        <f t="shared" si="27"/>
        <v>4.6678870005249097E-2</v>
      </c>
      <c r="W76" s="40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Shifted'!$AE$32:$AO$75,MATCH($R76,'Futures &amp; Perps Shifted'!$AE$30:$AO$30,0),FALSE),0),0)))</f>
        <v>0</v>
      </c>
      <c r="X76" s="17">
        <f t="shared" si="28"/>
        <v>0</v>
      </c>
      <c r="Y76" s="14" t="str">
        <f t="shared" si="29"/>
        <v>BINE</v>
      </c>
      <c r="Z76" t="str">
        <f t="shared" si="30"/>
        <v>HBAR COIN LONG</v>
      </c>
      <c r="AG76">
        <f t="shared" si="31"/>
        <v>1</v>
      </c>
      <c r="AH76">
        <f t="shared" si="21"/>
        <v>622005.60076897999</v>
      </c>
      <c r="AI76">
        <f t="shared" si="22"/>
        <v>29034.518580832086</v>
      </c>
    </row>
    <row r="77" spans="1:35" customFormat="1" x14ac:dyDescent="0.25">
      <c r="A77" s="14">
        <v>75</v>
      </c>
      <c r="B77" s="77">
        <v>44910.000000081018</v>
      </c>
      <c r="C77" s="14" t="s">
        <v>11</v>
      </c>
      <c r="D77" s="23" t="s">
        <v>86</v>
      </c>
      <c r="E77" s="23" t="s">
        <v>28</v>
      </c>
      <c r="F77" s="23">
        <v>9313.9301735600002</v>
      </c>
      <c r="G77" s="23">
        <v>62671.8346783046</v>
      </c>
      <c r="H77" s="23">
        <v>6.72882805759214</v>
      </c>
      <c r="I77" s="23">
        <v>0</v>
      </c>
      <c r="J77" s="14" t="s">
        <v>88</v>
      </c>
      <c r="K77" s="24">
        <v>44910.000000081018</v>
      </c>
      <c r="L77" s="23">
        <v>1</v>
      </c>
      <c r="M77" s="23" t="s">
        <v>28</v>
      </c>
      <c r="N77" s="46">
        <f t="shared" si="18"/>
        <v>1</v>
      </c>
      <c r="O77" s="47">
        <f t="shared" si="19"/>
        <v>9313.9301735600002</v>
      </c>
      <c r="P77" s="48">
        <f t="shared" si="20"/>
        <v>62671.834678304556</v>
      </c>
      <c r="Q77" s="25">
        <f t="shared" si="23"/>
        <v>0</v>
      </c>
      <c r="R77" s="26" t="str">
        <f t="shared" si="24"/>
        <v>COIN</v>
      </c>
      <c r="S77" s="26" t="str">
        <f t="shared" si="17"/>
        <v>LONG</v>
      </c>
      <c r="T77" s="26" t="str">
        <f t="shared" si="25"/>
        <v>COIN LONG</v>
      </c>
      <c r="U77" s="17">
        <f t="shared" si="26"/>
        <v>62671.8346783046</v>
      </c>
      <c r="V77" s="17">
        <f t="shared" si="27"/>
        <v>6.72882805759214</v>
      </c>
      <c r="W77" s="40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Shifted'!$AE$32:$AO$75,MATCH($R77,'Futures &amp; Perps Shifted'!$AE$30:$AO$30,0),FALSE),0),0)))</f>
        <v>0</v>
      </c>
      <c r="X77" s="17">
        <f t="shared" si="28"/>
        <v>0</v>
      </c>
      <c r="Y77" s="14" t="str">
        <f t="shared" si="29"/>
        <v>BINE</v>
      </c>
      <c r="Z77" t="str">
        <f t="shared" si="30"/>
        <v>LINK COIN LONG</v>
      </c>
      <c r="AG77">
        <f t="shared" si="31"/>
        <v>1</v>
      </c>
      <c r="AH77">
        <f t="shared" si="21"/>
        <v>9313.9301735600002</v>
      </c>
      <c r="AI77">
        <f t="shared" si="22"/>
        <v>62671.834678304556</v>
      </c>
    </row>
    <row r="78" spans="1:35" customFormat="1" x14ac:dyDescent="0.25">
      <c r="A78" s="14">
        <v>76</v>
      </c>
      <c r="B78" s="77">
        <v>44910.000000081018</v>
      </c>
      <c r="C78" s="14" t="s">
        <v>11</v>
      </c>
      <c r="D78" s="23" t="s">
        <v>86</v>
      </c>
      <c r="E78" s="23" t="s">
        <v>25</v>
      </c>
      <c r="F78" s="23">
        <v>690.72668716999999</v>
      </c>
      <c r="G78" s="23">
        <v>52133.193257589402</v>
      </c>
      <c r="H78" s="23">
        <v>75.475863646134997</v>
      </c>
      <c r="I78" s="23">
        <v>0</v>
      </c>
      <c r="J78" s="23" t="s">
        <v>88</v>
      </c>
      <c r="K78" s="24">
        <v>44910.000000081018</v>
      </c>
      <c r="L78" s="23">
        <v>1</v>
      </c>
      <c r="M78" s="23" t="s">
        <v>25</v>
      </c>
      <c r="N78" s="46">
        <f t="shared" si="18"/>
        <v>1</v>
      </c>
      <c r="O78" s="47">
        <f t="shared" si="19"/>
        <v>690.72668716999999</v>
      </c>
      <c r="P78" s="48">
        <f t="shared" si="20"/>
        <v>52133.193257589461</v>
      </c>
      <c r="Q78" s="25">
        <f t="shared" si="23"/>
        <v>0</v>
      </c>
      <c r="R78" s="26" t="str">
        <f t="shared" si="24"/>
        <v>COIN</v>
      </c>
      <c r="S78" s="26" t="str">
        <f t="shared" si="17"/>
        <v>LONG</v>
      </c>
      <c r="T78" s="26" t="str">
        <f t="shared" si="25"/>
        <v>COIN LONG</v>
      </c>
      <c r="U78" s="17">
        <f t="shared" si="26"/>
        <v>52133.193257589402</v>
      </c>
      <c r="V78" s="17">
        <f t="shared" si="27"/>
        <v>75.475863646134997</v>
      </c>
      <c r="W78" s="40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Shifted'!$AE$32:$AO$75,MATCH($R78,'Futures &amp; Perps Shifted'!$AE$30:$AO$30,0),FALSE),0),0)))</f>
        <v>0</v>
      </c>
      <c r="X78" s="17">
        <f t="shared" si="28"/>
        <v>0</v>
      </c>
      <c r="Y78" s="14" t="str">
        <f t="shared" si="29"/>
        <v>BINE</v>
      </c>
      <c r="Z78" t="str">
        <f t="shared" si="30"/>
        <v>LTC COIN LONG</v>
      </c>
      <c r="AG78">
        <f t="shared" si="31"/>
        <v>1</v>
      </c>
      <c r="AH78">
        <f t="shared" si="21"/>
        <v>690.72668716999999</v>
      </c>
      <c r="AI78">
        <f t="shared" si="22"/>
        <v>52133.193257589461</v>
      </c>
    </row>
    <row r="79" spans="1:35" customFormat="1" x14ac:dyDescent="0.25">
      <c r="A79" s="14">
        <v>77</v>
      </c>
      <c r="B79" s="77">
        <v>44910.000000081018</v>
      </c>
      <c r="C79" s="14" t="s">
        <v>11</v>
      </c>
      <c r="D79" s="23" t="s">
        <v>86</v>
      </c>
      <c r="E79" s="23" t="s">
        <v>195</v>
      </c>
      <c r="F79" s="23">
        <v>51976.868269259998</v>
      </c>
      <c r="G79" s="23">
        <v>19847.9074793933</v>
      </c>
      <c r="H79" s="23">
        <v>0.38186039560085799</v>
      </c>
      <c r="I79" s="23">
        <v>0</v>
      </c>
      <c r="J79" s="23" t="s">
        <v>88</v>
      </c>
      <c r="K79" s="24">
        <v>44910.000000081018</v>
      </c>
      <c r="L79" s="23">
        <v>1</v>
      </c>
      <c r="M79" s="23" t="s">
        <v>195</v>
      </c>
      <c r="N79" s="46">
        <f t="shared" si="18"/>
        <v>1</v>
      </c>
      <c r="O79" s="47">
        <f t="shared" si="19"/>
        <v>51976.868269259998</v>
      </c>
      <c r="P79" s="48">
        <f t="shared" si="20"/>
        <v>19847.907479393307</v>
      </c>
      <c r="Q79" s="25">
        <f t="shared" si="23"/>
        <v>0</v>
      </c>
      <c r="R79" s="26" t="str">
        <f t="shared" si="24"/>
        <v>COIN</v>
      </c>
      <c r="S79" s="26" t="str">
        <f t="shared" si="17"/>
        <v>LONG</v>
      </c>
      <c r="T79" s="26" t="str">
        <f t="shared" si="25"/>
        <v>COIN LONG</v>
      </c>
      <c r="U79" s="17">
        <f t="shared" si="26"/>
        <v>19847.9074793933</v>
      </c>
      <c r="V79" s="17">
        <f t="shared" si="27"/>
        <v>0.38186039560085799</v>
      </c>
      <c r="W79" s="40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Shifted'!$AE$32:$AO$75,MATCH($R79,'Futures &amp; Perps Shifted'!$AE$30:$AO$30,0),FALSE),0),0)))</f>
        <v>0</v>
      </c>
      <c r="X79" s="17">
        <f t="shared" si="28"/>
        <v>0</v>
      </c>
      <c r="Y79" s="14" t="str">
        <f t="shared" si="29"/>
        <v>BINE</v>
      </c>
      <c r="Z79" t="str">
        <f t="shared" si="30"/>
        <v>MANA COIN LONG</v>
      </c>
      <c r="AG79">
        <f t="shared" si="31"/>
        <v>1</v>
      </c>
      <c r="AH79">
        <f>IF($C79="","",IF($A79="",0,IF($L79=1,$F79*$N79,$AA$2*$F79*$N79/$H79)))</f>
        <v>51976.868269259998</v>
      </c>
      <c r="AI79">
        <f t="shared" si="22"/>
        <v>19847.907479393307</v>
      </c>
    </row>
    <row r="80" spans="1:35" customFormat="1" x14ac:dyDescent="0.25">
      <c r="A80" s="14">
        <v>78</v>
      </c>
      <c r="B80" s="77">
        <v>44910.000000081018</v>
      </c>
      <c r="C80" s="14" t="s">
        <v>11</v>
      </c>
      <c r="D80" s="23" t="s">
        <v>86</v>
      </c>
      <c r="E80" s="23" t="s">
        <v>196</v>
      </c>
      <c r="F80" s="23">
        <v>56026.01335152</v>
      </c>
      <c r="G80" s="23">
        <v>50610.950902394499</v>
      </c>
      <c r="H80" s="23">
        <v>0.90334735375244002</v>
      </c>
      <c r="I80" s="23">
        <v>0</v>
      </c>
      <c r="J80" s="23" t="s">
        <v>88</v>
      </c>
      <c r="K80" s="24">
        <v>44910.000000081018</v>
      </c>
      <c r="L80" s="23">
        <v>1</v>
      </c>
      <c r="M80" s="23" t="s">
        <v>196</v>
      </c>
      <c r="N80" s="46">
        <f t="shared" si="18"/>
        <v>1</v>
      </c>
      <c r="O80" s="47">
        <f t="shared" si="19"/>
        <v>56026.01335152</v>
      </c>
      <c r="P80" s="48">
        <f t="shared" si="20"/>
        <v>50610.950902394463</v>
      </c>
      <c r="Q80" s="25">
        <f t="shared" si="23"/>
        <v>0</v>
      </c>
      <c r="R80" s="26" t="str">
        <f t="shared" si="24"/>
        <v>COIN</v>
      </c>
      <c r="S80" s="26" t="str">
        <f t="shared" si="17"/>
        <v>LONG</v>
      </c>
      <c r="T80" s="26" t="str">
        <f t="shared" si="25"/>
        <v>COIN LONG</v>
      </c>
      <c r="U80" s="17">
        <f t="shared" si="26"/>
        <v>50610.950902394499</v>
      </c>
      <c r="V80" s="17">
        <f t="shared" si="27"/>
        <v>0.90334735375244002</v>
      </c>
      <c r="W80" s="40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Shifted'!$AE$32:$AO$75,MATCH($R80,'Futures &amp; Perps Shifted'!$AE$30:$AO$30,0),FALSE),0),0)))</f>
        <v>0</v>
      </c>
      <c r="X80" s="17">
        <f t="shared" si="28"/>
        <v>0</v>
      </c>
      <c r="Y80" s="14" t="str">
        <f t="shared" si="29"/>
        <v>BINE</v>
      </c>
      <c r="Z80" t="str">
        <f t="shared" si="30"/>
        <v>MATIC COIN LONG</v>
      </c>
      <c r="AG80">
        <f>IF($C80="","",IF($A80="",0,IF($L80=1,ROUND($G80/$H80/$F80,3),POWER(10,ROUND(LOG($G80/$F80),1)))))</f>
        <v>1</v>
      </c>
      <c r="AH80">
        <f>IF($C80="","",IF($A80="",0,IF($L80=1,$F80*$N80,$AA$2*$F80*$N80/$H80)))</f>
        <v>56026.01335152</v>
      </c>
    </row>
    <row r="81" spans="1:34" customFormat="1" x14ac:dyDescent="0.25">
      <c r="A81" s="14">
        <v>79</v>
      </c>
      <c r="B81" s="77">
        <v>44910.000000081018</v>
      </c>
      <c r="C81" s="14" t="s">
        <v>11</v>
      </c>
      <c r="D81" s="23" t="s">
        <v>86</v>
      </c>
      <c r="E81" s="23" t="s">
        <v>567</v>
      </c>
      <c r="F81" s="23">
        <v>14.148957319999999</v>
      </c>
      <c r="G81" s="23">
        <v>8576.4989890877805</v>
      </c>
      <c r="H81" s="23">
        <v>606.15766908594901</v>
      </c>
      <c r="I81" s="23">
        <v>0</v>
      </c>
      <c r="J81" s="23" t="s">
        <v>88</v>
      </c>
      <c r="K81" s="24">
        <v>44910.000000081018</v>
      </c>
      <c r="L81" s="23">
        <v>1</v>
      </c>
      <c r="M81" s="23" t="s">
        <v>567</v>
      </c>
      <c r="N81" s="46">
        <f t="shared" si="18"/>
        <v>1</v>
      </c>
      <c r="O81" s="47">
        <f t="shared" si="19"/>
        <v>14.148957319999999</v>
      </c>
      <c r="P81" s="48">
        <f t="shared" si="20"/>
        <v>8576.498989087775</v>
      </c>
      <c r="Q81" s="25">
        <f t="shared" si="23"/>
        <v>0</v>
      </c>
      <c r="R81" s="26" t="str">
        <f t="shared" si="24"/>
        <v>COIN</v>
      </c>
      <c r="S81" s="26" t="str">
        <f t="shared" si="17"/>
        <v>LONG</v>
      </c>
      <c r="T81" s="26" t="str">
        <f t="shared" si="25"/>
        <v>COIN LONG</v>
      </c>
      <c r="U81" s="17">
        <f t="shared" si="26"/>
        <v>8576.4989890877805</v>
      </c>
      <c r="V81" s="17">
        <f t="shared" si="27"/>
        <v>606.15766908594901</v>
      </c>
      <c r="W81" s="40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Shifted'!$AE$32:$AO$75,MATCH($R81,'Futures &amp; Perps Shifted'!$AE$30:$AO$30,0),FALSE),0),0)))</f>
        <v>0</v>
      </c>
      <c r="X81" s="17">
        <f t="shared" si="28"/>
        <v>0</v>
      </c>
      <c r="Y81" s="14" t="str">
        <f t="shared" si="29"/>
        <v>BINE</v>
      </c>
      <c r="Z81" t="str">
        <f t="shared" si="30"/>
        <v>MKR COIN LONG</v>
      </c>
      <c r="AG81">
        <f>IF($C81="","",IF($A81="",0,IF($L81=1,ROUND($G81/$H81/$F81,3),POWER(10,ROUND(LOG($G81/$F81),1)))))</f>
        <v>1</v>
      </c>
      <c r="AH81">
        <f>IF($C81="","",IF($A81="",0,IF($L81=1,$F81*$N81,$AA$2*$F81*$N81/$H81)))</f>
        <v>14.148957319999999</v>
      </c>
    </row>
    <row r="82" spans="1:34" customFormat="1" x14ac:dyDescent="0.25">
      <c r="A82" s="14">
        <v>80</v>
      </c>
      <c r="B82" s="77">
        <v>44910.000000081018</v>
      </c>
      <c r="C82" s="14" t="s">
        <v>11</v>
      </c>
      <c r="D82" s="23" t="s">
        <v>86</v>
      </c>
      <c r="E82" s="23" t="s">
        <v>153</v>
      </c>
      <c r="F82" s="23">
        <v>24304.849819300001</v>
      </c>
      <c r="G82" s="23">
        <v>28626.799650125002</v>
      </c>
      <c r="H82" s="23">
        <v>1.1778225277242</v>
      </c>
      <c r="I82" s="23">
        <v>0</v>
      </c>
      <c r="J82" s="23" t="s">
        <v>88</v>
      </c>
      <c r="K82" s="24">
        <v>44910.000000081018</v>
      </c>
      <c r="L82" s="23">
        <v>1</v>
      </c>
      <c r="M82" s="23" t="s">
        <v>153</v>
      </c>
      <c r="N82" s="46">
        <f t="shared" si="18"/>
        <v>1</v>
      </c>
      <c r="O82" s="47">
        <f t="shared" si="19"/>
        <v>24304.849819300001</v>
      </c>
      <c r="P82" s="48">
        <f t="shared" si="20"/>
        <v>28626.799650124995</v>
      </c>
      <c r="Q82" s="25">
        <f t="shared" si="23"/>
        <v>0</v>
      </c>
      <c r="R82" s="26" t="str">
        <f t="shared" si="24"/>
        <v>COIN</v>
      </c>
      <c r="S82" s="26" t="str">
        <f t="shared" si="17"/>
        <v>LONG</v>
      </c>
      <c r="T82" s="26" t="str">
        <f t="shared" si="25"/>
        <v>COIN LONG</v>
      </c>
      <c r="U82" s="17">
        <f t="shared" si="26"/>
        <v>28626.799650125002</v>
      </c>
      <c r="V82" s="17">
        <f t="shared" si="27"/>
        <v>1.1778225277242</v>
      </c>
      <c r="W82" s="40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Shifted'!$AE$32:$AO$75,MATCH($R82,'Futures &amp; Perps Shifted'!$AE$30:$AO$30,0),FALSE),0),0)))</f>
        <v>0</v>
      </c>
      <c r="X82" s="17">
        <f t="shared" si="28"/>
        <v>0</v>
      </c>
      <c r="Y82" s="14" t="str">
        <f t="shared" si="29"/>
        <v>BINE</v>
      </c>
      <c r="Z82" t="str">
        <f t="shared" si="30"/>
        <v>OMG COIN LONG</v>
      </c>
    </row>
    <row r="83" spans="1:34" customFormat="1" x14ac:dyDescent="0.25">
      <c r="A83" s="14">
        <v>81</v>
      </c>
      <c r="B83" s="77">
        <v>44910.000000081018</v>
      </c>
      <c r="C83" s="14" t="s">
        <v>11</v>
      </c>
      <c r="D83" s="23" t="s">
        <v>86</v>
      </c>
      <c r="E83" s="23" t="s">
        <v>92</v>
      </c>
      <c r="F83" s="23">
        <v>579497.75941952004</v>
      </c>
      <c r="G83" s="23">
        <v>47042.394575068101</v>
      </c>
      <c r="H83" s="23">
        <v>8.1177871372945895E-2</v>
      </c>
      <c r="I83" s="23">
        <v>0</v>
      </c>
      <c r="J83" s="23" t="s">
        <v>88</v>
      </c>
      <c r="K83" s="24">
        <v>44910.000000081018</v>
      </c>
      <c r="L83" s="23">
        <v>1</v>
      </c>
      <c r="M83" s="23" t="s">
        <v>92</v>
      </c>
      <c r="N83" s="46">
        <f t="shared" si="18"/>
        <v>1</v>
      </c>
      <c r="O83" s="47">
        <f t="shared" si="19"/>
        <v>579497.75941952004</v>
      </c>
      <c r="P83" s="48">
        <f t="shared" si="20"/>
        <v>47042.394575068145</v>
      </c>
      <c r="Q83" s="25">
        <f t="shared" si="23"/>
        <v>0</v>
      </c>
      <c r="R83" s="26" t="str">
        <f t="shared" si="24"/>
        <v>COIN</v>
      </c>
      <c r="S83" s="26" t="str">
        <f t="shared" si="17"/>
        <v>LONG</v>
      </c>
      <c r="T83" s="26" t="str">
        <f t="shared" si="25"/>
        <v>COIN LONG</v>
      </c>
      <c r="U83" s="17">
        <f t="shared" si="26"/>
        <v>47042.394575068101</v>
      </c>
      <c r="V83" s="17">
        <f t="shared" si="27"/>
        <v>8.1177871372945895E-2</v>
      </c>
      <c r="W83" s="40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Shifted'!$AE$32:$AO$75,MATCH($R83,'Futures &amp; Perps Shifted'!$AE$30:$AO$30,0),FALSE),0),0)))</f>
        <v>0</v>
      </c>
      <c r="X83" s="17">
        <f t="shared" si="28"/>
        <v>0</v>
      </c>
      <c r="Y83" s="14" t="str">
        <f t="shared" si="29"/>
        <v>BINE</v>
      </c>
      <c r="Z83" t="str">
        <f t="shared" si="30"/>
        <v>OXT COIN LONG</v>
      </c>
    </row>
    <row r="84" spans="1:34" customFormat="1" x14ac:dyDescent="0.25">
      <c r="A84" s="14">
        <v>82</v>
      </c>
      <c r="B84" s="77">
        <v>44910.000000081018</v>
      </c>
      <c r="C84" s="14" t="s">
        <v>11</v>
      </c>
      <c r="D84" s="23" t="s">
        <v>86</v>
      </c>
      <c r="E84" s="23" t="s">
        <v>38</v>
      </c>
      <c r="F84" s="23">
        <v>3891093088.6999998</v>
      </c>
      <c r="G84" s="23">
        <v>34913.829521849402</v>
      </c>
      <c r="H84" s="23">
        <v>8.9727561705582505E-6</v>
      </c>
      <c r="I84" s="23">
        <v>0</v>
      </c>
      <c r="J84" s="23" t="s">
        <v>88</v>
      </c>
      <c r="K84" s="24">
        <v>44910.000000081018</v>
      </c>
      <c r="L84" s="23">
        <v>1</v>
      </c>
      <c r="M84" s="23" t="s">
        <v>38</v>
      </c>
      <c r="N84" s="46">
        <f t="shared" si="18"/>
        <v>1</v>
      </c>
      <c r="O84" s="47">
        <f t="shared" si="19"/>
        <v>3891093088.6999998</v>
      </c>
      <c r="P84" s="48">
        <f t="shared" si="20"/>
        <v>34913.829521849482</v>
      </c>
      <c r="Q84" s="25">
        <f t="shared" si="23"/>
        <v>0</v>
      </c>
      <c r="R84" s="26" t="str">
        <f t="shared" si="24"/>
        <v>COIN</v>
      </c>
      <c r="S84" s="26" t="str">
        <f t="shared" si="17"/>
        <v>LONG</v>
      </c>
      <c r="T84" s="26" t="str">
        <f t="shared" si="25"/>
        <v>COIN LONG</v>
      </c>
      <c r="U84" s="17">
        <f t="shared" si="26"/>
        <v>34913.829521849402</v>
      </c>
      <c r="V84" s="17">
        <f t="shared" si="27"/>
        <v>8.9727561705582505E-6</v>
      </c>
      <c r="W84" s="40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Shifted'!$AE$32:$AO$75,MATCH($R84,'Futures &amp; Perps Shifted'!$AE$30:$AO$30,0),FALSE),0),0)))</f>
        <v>0</v>
      </c>
      <c r="X84" s="17">
        <f t="shared" si="28"/>
        <v>0</v>
      </c>
      <c r="Y84" s="14" t="str">
        <f t="shared" si="29"/>
        <v>BINE</v>
      </c>
      <c r="Z84" t="str">
        <f t="shared" si="30"/>
        <v>SHIB COIN LONG</v>
      </c>
    </row>
    <row r="85" spans="1:34" customFormat="1" x14ac:dyDescent="0.25">
      <c r="A85" s="14">
        <v>83</v>
      </c>
      <c r="B85" s="77">
        <v>44910.000000081018</v>
      </c>
      <c r="C85" s="14" t="s">
        <v>11</v>
      </c>
      <c r="D85" s="23" t="s">
        <v>86</v>
      </c>
      <c r="E85" s="23" t="s">
        <v>157</v>
      </c>
      <c r="F85" s="23">
        <v>4911.3312864700001</v>
      </c>
      <c r="G85" s="23">
        <v>69448.808727044394</v>
      </c>
      <c r="H85" s="23">
        <v>14.1405261987448</v>
      </c>
      <c r="I85" s="23">
        <v>0</v>
      </c>
      <c r="J85" s="23" t="s">
        <v>88</v>
      </c>
      <c r="K85" s="24">
        <v>44910.000000081018</v>
      </c>
      <c r="L85" s="23">
        <v>1</v>
      </c>
      <c r="M85" s="23" t="s">
        <v>157</v>
      </c>
      <c r="N85" s="46">
        <f t="shared" si="18"/>
        <v>1</v>
      </c>
      <c r="O85" s="47">
        <f t="shared" si="19"/>
        <v>4911.3312864700001</v>
      </c>
      <c r="P85" s="48">
        <f t="shared" si="20"/>
        <v>69448.808727044045</v>
      </c>
      <c r="Q85" s="25">
        <f t="shared" si="23"/>
        <v>0</v>
      </c>
      <c r="R85" s="26" t="str">
        <f t="shared" si="24"/>
        <v>COIN</v>
      </c>
      <c r="S85" s="26" t="str">
        <f t="shared" si="17"/>
        <v>LONG</v>
      </c>
      <c r="T85" s="26" t="str">
        <f t="shared" si="25"/>
        <v>COIN LONG</v>
      </c>
      <c r="U85" s="17">
        <f t="shared" si="26"/>
        <v>69448.808727044394</v>
      </c>
      <c r="V85" s="17">
        <f t="shared" si="27"/>
        <v>14.1405261987448</v>
      </c>
      <c r="W85" s="40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Shifted'!$AE$32:$AO$75,MATCH($R85,'Futures &amp; Perps Shifted'!$AE$30:$AO$30,0),FALSE),0),0)))</f>
        <v>0</v>
      </c>
      <c r="X85" s="17">
        <f t="shared" si="28"/>
        <v>0</v>
      </c>
      <c r="Y85" s="14" t="str">
        <f t="shared" si="29"/>
        <v>BINE</v>
      </c>
      <c r="Z85" t="str">
        <f t="shared" si="30"/>
        <v>SOL COIN LONG</v>
      </c>
    </row>
    <row r="86" spans="1:34" customFormat="1" x14ac:dyDescent="0.25">
      <c r="A86" s="14">
        <v>84</v>
      </c>
      <c r="B86" s="77">
        <v>44910.000000081018</v>
      </c>
      <c r="C86" s="14" t="s">
        <v>11</v>
      </c>
      <c r="D86" s="23" t="s">
        <v>86</v>
      </c>
      <c r="E86" s="23" t="s">
        <v>615</v>
      </c>
      <c r="F86" s="23">
        <v>28471.638187349999</v>
      </c>
      <c r="G86" s="23">
        <v>31878.4033128544</v>
      </c>
      <c r="H86" s="23">
        <v>1.1196546929645199</v>
      </c>
      <c r="I86" s="23">
        <v>0</v>
      </c>
      <c r="J86" s="23" t="s">
        <v>88</v>
      </c>
      <c r="K86" s="24">
        <v>44910.000000081018</v>
      </c>
      <c r="L86" s="23">
        <v>1</v>
      </c>
      <c r="M86" s="23" t="s">
        <v>615</v>
      </c>
      <c r="N86" s="46">
        <f t="shared" si="18"/>
        <v>1</v>
      </c>
      <c r="O86" s="47">
        <f t="shared" si="19"/>
        <v>28471.638187349999</v>
      </c>
      <c r="P86" s="48">
        <f t="shared" si="20"/>
        <v>31878.403312854265</v>
      </c>
      <c r="Q86" s="25">
        <f t="shared" si="23"/>
        <v>0</v>
      </c>
      <c r="R86" s="26" t="str">
        <f t="shared" si="24"/>
        <v>COIN</v>
      </c>
      <c r="S86" s="26" t="str">
        <f t="shared" si="17"/>
        <v>LONG</v>
      </c>
      <c r="T86" s="26" t="str">
        <f t="shared" si="25"/>
        <v>COIN LONG</v>
      </c>
      <c r="U86" s="17">
        <f t="shared" si="26"/>
        <v>31878.4033128544</v>
      </c>
      <c r="V86" s="17">
        <f t="shared" si="27"/>
        <v>1.1196546929645199</v>
      </c>
      <c r="W86" s="40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Shifted'!$AE$32:$AO$75,MATCH($R86,'Futures &amp; Perps Shifted'!$AE$30:$AO$30,0),FALSE),0),0)))</f>
        <v>0</v>
      </c>
      <c r="X86" s="17">
        <f t="shared" si="28"/>
        <v>0</v>
      </c>
      <c r="Y86" s="14" t="str">
        <f t="shared" si="29"/>
        <v>BINE</v>
      </c>
      <c r="Z86" t="str">
        <f t="shared" si="30"/>
        <v>SUSHI COIN LONG</v>
      </c>
    </row>
    <row r="87" spans="1:34" customFormat="1" x14ac:dyDescent="0.25">
      <c r="A87" s="14">
        <v>85</v>
      </c>
      <c r="B87" s="77">
        <v>44910.000000081018</v>
      </c>
      <c r="C87" s="14" t="s">
        <v>11</v>
      </c>
      <c r="D87" s="23" t="s">
        <v>86</v>
      </c>
      <c r="E87" s="23" t="s">
        <v>162</v>
      </c>
      <c r="F87" s="23">
        <v>5519.2358653000001</v>
      </c>
      <c r="G87" s="23">
        <v>32671.8752635192</v>
      </c>
      <c r="H87" s="23">
        <v>5.9196374391119297</v>
      </c>
      <c r="I87" s="23">
        <v>0</v>
      </c>
      <c r="J87" s="23" t="s">
        <v>88</v>
      </c>
      <c r="K87" s="24">
        <v>44910.000000081018</v>
      </c>
      <c r="L87" s="23">
        <v>1</v>
      </c>
      <c r="M87" s="23" t="s">
        <v>162</v>
      </c>
      <c r="N87" s="46">
        <f t="shared" si="18"/>
        <v>1</v>
      </c>
      <c r="O87" s="47">
        <f t="shared" si="19"/>
        <v>5519.2358653000001</v>
      </c>
      <c r="P87" s="48">
        <f t="shared" si="20"/>
        <v>32671.875263519207</v>
      </c>
      <c r="Q87" s="25">
        <f t="shared" si="23"/>
        <v>0</v>
      </c>
      <c r="R87" s="26" t="str">
        <f t="shared" si="24"/>
        <v>COIN</v>
      </c>
      <c r="S87" s="26" t="str">
        <f t="shared" si="17"/>
        <v>LONG</v>
      </c>
      <c r="T87" s="26" t="str">
        <f t="shared" si="25"/>
        <v>COIN LONG</v>
      </c>
      <c r="U87" s="17">
        <f t="shared" si="26"/>
        <v>32671.8752635192</v>
      </c>
      <c r="V87" s="17">
        <f t="shared" si="27"/>
        <v>5.9196374391119297</v>
      </c>
      <c r="W87" s="40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Shifted'!$AE$32:$AO$75,MATCH($R87,'Futures &amp; Perps Shifted'!$AE$30:$AO$30,0),FALSE),0),0)))</f>
        <v>0</v>
      </c>
      <c r="X87" s="17">
        <f t="shared" si="28"/>
        <v>0</v>
      </c>
      <c r="Y87" s="14" t="str">
        <f t="shared" si="29"/>
        <v>BINE</v>
      </c>
      <c r="Z87" t="str">
        <f t="shared" si="30"/>
        <v>UNI COIN LONG</v>
      </c>
    </row>
    <row r="88" spans="1:34" customFormat="1" x14ac:dyDescent="0.25">
      <c r="A88" s="14">
        <v>86</v>
      </c>
      <c r="B88" s="77">
        <v>44910.000000081018</v>
      </c>
      <c r="C88" s="14" t="s">
        <v>11</v>
      </c>
      <c r="D88" s="23" t="s">
        <v>86</v>
      </c>
      <c r="E88" s="23" t="s">
        <v>39</v>
      </c>
      <c r="F88" s="23">
        <v>1097551.0372077101</v>
      </c>
      <c r="G88" s="23">
        <v>1097666.7304187301</v>
      </c>
      <c r="H88" s="23">
        <v>1.0001054103245299</v>
      </c>
      <c r="I88" s="23">
        <v>0</v>
      </c>
      <c r="J88" s="23" t="s">
        <v>88</v>
      </c>
      <c r="K88" s="24">
        <v>44910.000000081018</v>
      </c>
      <c r="L88" s="23">
        <v>1</v>
      </c>
      <c r="M88" s="23" t="s">
        <v>39</v>
      </c>
      <c r="N88" s="46">
        <f t="shared" si="18"/>
        <v>1</v>
      </c>
      <c r="O88" s="47">
        <f t="shared" si="19"/>
        <v>1097551.0372077101</v>
      </c>
      <c r="P88" s="48">
        <f t="shared" si="20"/>
        <v>1097666.7304187303</v>
      </c>
      <c r="Q88" s="25">
        <f t="shared" si="23"/>
        <v>0</v>
      </c>
      <c r="R88" s="26" t="str">
        <f t="shared" si="24"/>
        <v>COIN</v>
      </c>
      <c r="S88" s="26" t="str">
        <f t="shared" si="17"/>
        <v>LONG</v>
      </c>
      <c r="T88" s="26" t="str">
        <f t="shared" si="25"/>
        <v>COIN LONG</v>
      </c>
      <c r="U88" s="17">
        <f t="shared" si="26"/>
        <v>1097666.7304187301</v>
      </c>
      <c r="V88" s="17">
        <f t="shared" si="27"/>
        <v>1.0001054103245299</v>
      </c>
      <c r="W88" s="40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Shifted'!$AE$32:$AO$75,MATCH($R88,'Futures &amp; Perps Shifted'!$AE$30:$AO$30,0),FALSE),0),0)))</f>
        <v>0</v>
      </c>
      <c r="X88" s="17">
        <f t="shared" si="28"/>
        <v>0</v>
      </c>
      <c r="Y88" s="14" t="str">
        <f t="shared" si="29"/>
        <v>BINE</v>
      </c>
      <c r="Z88" t="str">
        <f t="shared" si="30"/>
        <v>USDT COIN LONG</v>
      </c>
    </row>
    <row r="89" spans="1:34" customFormat="1" x14ac:dyDescent="0.25">
      <c r="A89" s="14">
        <v>87</v>
      </c>
      <c r="B89" s="77">
        <v>44910.000000081018</v>
      </c>
      <c r="C89" s="14" t="s">
        <v>11</v>
      </c>
      <c r="D89" s="23" t="s">
        <v>86</v>
      </c>
      <c r="E89" s="23" t="s">
        <v>166</v>
      </c>
      <c r="F89" s="23">
        <v>497026.08497730002</v>
      </c>
      <c r="G89" s="23">
        <v>41260.018665677497</v>
      </c>
      <c r="H89" s="23">
        <v>8.3013789241186201E-2</v>
      </c>
      <c r="I89" s="23">
        <v>0</v>
      </c>
      <c r="J89" s="23" t="s">
        <v>88</v>
      </c>
      <c r="K89" s="24">
        <v>44910.000000081018</v>
      </c>
      <c r="L89" s="23">
        <v>1</v>
      </c>
      <c r="M89" s="23" t="s">
        <v>166</v>
      </c>
      <c r="N89" s="46">
        <f t="shared" si="18"/>
        <v>1</v>
      </c>
      <c r="O89" s="47">
        <f t="shared" si="19"/>
        <v>497026.08497730002</v>
      </c>
      <c r="P89" s="48">
        <f t="shared" si="20"/>
        <v>41260.018665677489</v>
      </c>
      <c r="Q89" s="25">
        <f t="shared" si="23"/>
        <v>0</v>
      </c>
      <c r="R89" s="26" t="str">
        <f t="shared" si="24"/>
        <v>COIN</v>
      </c>
      <c r="S89" s="26" t="str">
        <f t="shared" si="17"/>
        <v>LONG</v>
      </c>
      <c r="T89" s="26" t="str">
        <f t="shared" si="25"/>
        <v>COIN LONG</v>
      </c>
      <c r="U89" s="17">
        <f t="shared" si="26"/>
        <v>41260.018665677497</v>
      </c>
      <c r="V89" s="17">
        <f t="shared" si="27"/>
        <v>8.3013789241186201E-2</v>
      </c>
      <c r="W89" s="40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Shifted'!$AE$32:$AO$75,MATCH($R89,'Futures &amp; Perps Shifted'!$AE$30:$AO$30,0),FALSE),0),0)))</f>
        <v>0</v>
      </c>
      <c r="X89" s="17">
        <f t="shared" si="28"/>
        <v>0</v>
      </c>
      <c r="Y89" s="14" t="str">
        <f t="shared" si="29"/>
        <v>BINE</v>
      </c>
      <c r="Z89" t="str">
        <f t="shared" si="30"/>
        <v>XLM COIN LONG</v>
      </c>
    </row>
    <row r="90" spans="1:34" customFormat="1" x14ac:dyDescent="0.25">
      <c r="A90" s="14">
        <v>88</v>
      </c>
      <c r="B90" s="77">
        <v>44910.000000081018</v>
      </c>
      <c r="C90" s="14" t="s">
        <v>11</v>
      </c>
      <c r="D90" s="23" t="s">
        <v>86</v>
      </c>
      <c r="E90" s="23" t="s">
        <v>167</v>
      </c>
      <c r="F90" s="23">
        <v>39920.39445</v>
      </c>
      <c r="G90" s="23">
        <v>37982.312929221203</v>
      </c>
      <c r="H90" s="23">
        <v>0.95145134341780602</v>
      </c>
      <c r="I90" s="23">
        <v>0</v>
      </c>
      <c r="J90" s="23" t="s">
        <v>88</v>
      </c>
      <c r="K90" s="24">
        <v>44910.000000081018</v>
      </c>
      <c r="L90" s="23">
        <v>1</v>
      </c>
      <c r="M90" s="23" t="s">
        <v>167</v>
      </c>
      <c r="N90" s="46">
        <f t="shared" si="18"/>
        <v>1</v>
      </c>
      <c r="O90" s="47">
        <f t="shared" si="19"/>
        <v>39920.39445</v>
      </c>
      <c r="P90" s="48">
        <f t="shared" si="20"/>
        <v>37982.312929221225</v>
      </c>
      <c r="Q90" s="25">
        <f t="shared" si="23"/>
        <v>0</v>
      </c>
      <c r="R90" s="26" t="str">
        <f t="shared" si="24"/>
        <v>COIN</v>
      </c>
      <c r="S90" s="26" t="str">
        <f t="shared" si="17"/>
        <v>LONG</v>
      </c>
      <c r="T90" s="26" t="str">
        <f t="shared" si="25"/>
        <v>COIN LONG</v>
      </c>
      <c r="U90" s="17">
        <f t="shared" si="26"/>
        <v>37982.312929221203</v>
      </c>
      <c r="V90" s="17">
        <f t="shared" si="27"/>
        <v>0.95145134341780602</v>
      </c>
      <c r="W90" s="40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Shifted'!$AE$32:$AO$75,MATCH($R90,'Futures &amp; Perps Shifted'!$AE$30:$AO$30,0),FALSE),0),0)))</f>
        <v>0</v>
      </c>
      <c r="X90" s="17">
        <f t="shared" si="28"/>
        <v>0</v>
      </c>
      <c r="Y90" s="14" t="str">
        <f t="shared" si="29"/>
        <v>BINE</v>
      </c>
      <c r="Z90" t="str">
        <f t="shared" si="30"/>
        <v>XTZ COIN LONG</v>
      </c>
    </row>
    <row r="91" spans="1:34" customFormat="1" x14ac:dyDescent="0.25">
      <c r="A91" s="14">
        <v>89</v>
      </c>
      <c r="B91" s="77">
        <v>44910.000000081018</v>
      </c>
      <c r="C91" s="14" t="s">
        <v>11</v>
      </c>
      <c r="D91" s="23" t="s">
        <v>86</v>
      </c>
      <c r="E91" s="23" t="s">
        <v>174</v>
      </c>
      <c r="F91" s="23">
        <v>4.1090000000000002E-2</v>
      </c>
      <c r="G91" s="23">
        <v>265.14477758245903</v>
      </c>
      <c r="H91" s="23">
        <v>6452.7811531384496</v>
      </c>
      <c r="I91" s="23">
        <v>0</v>
      </c>
      <c r="J91" s="23" t="s">
        <v>88</v>
      </c>
      <c r="K91" s="24">
        <v>44910.000000081018</v>
      </c>
      <c r="L91" s="23">
        <v>1</v>
      </c>
      <c r="M91" s="23" t="s">
        <v>174</v>
      </c>
      <c r="N91" s="46">
        <f t="shared" si="18"/>
        <v>1</v>
      </c>
      <c r="O91" s="47">
        <f t="shared" si="19"/>
        <v>4.1090000000000002E-2</v>
      </c>
      <c r="P91" s="48">
        <f t="shared" si="20"/>
        <v>265.14477758245891</v>
      </c>
      <c r="Q91" s="25">
        <f t="shared" si="23"/>
        <v>0</v>
      </c>
      <c r="R91" s="26" t="str">
        <f t="shared" si="24"/>
        <v>COIN</v>
      </c>
      <c r="S91" s="26" t="str">
        <f t="shared" si="17"/>
        <v>LONG</v>
      </c>
      <c r="T91" s="26" t="str">
        <f t="shared" si="25"/>
        <v>COIN LONG</v>
      </c>
      <c r="U91" s="17">
        <f t="shared" si="26"/>
        <v>265.14477758245903</v>
      </c>
      <c r="V91" s="17">
        <f t="shared" si="27"/>
        <v>6452.7811531384496</v>
      </c>
      <c r="W91" s="40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Shifted'!$AE$32:$AO$75,MATCH($R91,'Futures &amp; Perps Shifted'!$AE$30:$AO$30,0),FALSE),0),0)))</f>
        <v>0</v>
      </c>
      <c r="X91" s="17">
        <f t="shared" si="28"/>
        <v>0</v>
      </c>
      <c r="Y91" s="14" t="str">
        <f t="shared" si="29"/>
        <v>BINE</v>
      </c>
      <c r="Z91" t="str">
        <f t="shared" si="30"/>
        <v>YFI COIN LONG</v>
      </c>
    </row>
    <row r="92" spans="1:34" customFormat="1" x14ac:dyDescent="0.25">
      <c r="A92" s="14">
        <v>90</v>
      </c>
      <c r="B92" s="77">
        <v>44910.000002511573</v>
      </c>
      <c r="C92" s="14" t="s">
        <v>11</v>
      </c>
      <c r="D92" s="23" t="s">
        <v>12</v>
      </c>
      <c r="E92" s="23" t="s">
        <v>15</v>
      </c>
      <c r="F92" s="23">
        <v>755.24808492</v>
      </c>
      <c r="G92" s="23">
        <v>13455235.434330299</v>
      </c>
      <c r="H92" s="23">
        <v>17815.649854650899</v>
      </c>
      <c r="I92" s="23">
        <v>0</v>
      </c>
      <c r="J92" s="23" t="s">
        <v>88</v>
      </c>
      <c r="K92" s="24">
        <v>44910.000002511573</v>
      </c>
      <c r="L92" s="23">
        <v>1</v>
      </c>
      <c r="M92" s="23" t="s">
        <v>15</v>
      </c>
      <c r="N92" s="46">
        <f t="shared" si="18"/>
        <v>1</v>
      </c>
      <c r="O92" s="47">
        <f t="shared" si="19"/>
        <v>755.24808492</v>
      </c>
      <c r="P92" s="48">
        <f t="shared" si="20"/>
        <v>13455235.434330368</v>
      </c>
      <c r="Q92" s="25">
        <f t="shared" si="23"/>
        <v>0</v>
      </c>
      <c r="R92" s="26" t="str">
        <f t="shared" si="24"/>
        <v>COIN</v>
      </c>
      <c r="S92" s="26" t="str">
        <f t="shared" si="17"/>
        <v>LONG</v>
      </c>
      <c r="T92" s="26" t="str">
        <f t="shared" si="25"/>
        <v>COIN LONG</v>
      </c>
      <c r="U92" s="17">
        <f t="shared" si="26"/>
        <v>13455235.434330299</v>
      </c>
      <c r="V92" s="17">
        <f t="shared" si="27"/>
        <v>17815.649854650899</v>
      </c>
      <c r="W92" s="40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Shifted'!$AE$32:$AO$75,MATCH($R92,'Futures &amp; Perps Shifted'!$AE$30:$AO$30,0),FALSE),0),0)))</f>
        <v>0</v>
      </c>
      <c r="X92" s="17">
        <f t="shared" si="28"/>
        <v>0</v>
      </c>
      <c r="Y92" s="14" t="str">
        <f t="shared" si="29"/>
        <v>BINE</v>
      </c>
      <c r="Z92" t="str">
        <f t="shared" si="30"/>
        <v>BTC COIN LONG</v>
      </c>
    </row>
    <row r="93" spans="1:34" customFormat="1" x14ac:dyDescent="0.25">
      <c r="A93" s="14">
        <v>91</v>
      </c>
      <c r="B93" s="77">
        <v>44910.000002511573</v>
      </c>
      <c r="C93" s="14" t="s">
        <v>11</v>
      </c>
      <c r="D93" s="23" t="s">
        <v>12</v>
      </c>
      <c r="E93" s="23" t="s">
        <v>15</v>
      </c>
      <c r="F93" s="23">
        <v>-1.3556931999999999</v>
      </c>
      <c r="G93" s="23">
        <v>-24152.555361531198</v>
      </c>
      <c r="H93" s="23">
        <v>17815.649854650899</v>
      </c>
      <c r="I93" s="23">
        <v>0</v>
      </c>
      <c r="J93" s="23" t="s">
        <v>256</v>
      </c>
      <c r="K93" s="24">
        <v>44910.000002511573</v>
      </c>
      <c r="L93" s="23">
        <v>1</v>
      </c>
      <c r="M93" s="23" t="s">
        <v>15</v>
      </c>
      <c r="N93" s="46">
        <f t="shared" si="18"/>
        <v>1</v>
      </c>
      <c r="O93" s="47">
        <f t="shared" si="19"/>
        <v>-1.3556931999999999</v>
      </c>
      <c r="P93" s="48">
        <f t="shared" si="20"/>
        <v>-24152.555361531213</v>
      </c>
      <c r="Q93" s="25">
        <f t="shared" si="23"/>
        <v>0</v>
      </c>
      <c r="R93" s="26" t="str">
        <f t="shared" si="24"/>
        <v>COIN</v>
      </c>
      <c r="S93" s="26" t="str">
        <f t="shared" si="17"/>
        <v>SHORT</v>
      </c>
      <c r="T93" s="26" t="str">
        <f t="shared" si="25"/>
        <v>COIN SHORT</v>
      </c>
      <c r="U93" s="17">
        <f t="shared" si="26"/>
        <v>-24152.555361531198</v>
      </c>
      <c r="V93" s="17">
        <f t="shared" si="27"/>
        <v>17815.649854650899</v>
      </c>
      <c r="W93" s="40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Shifted'!$AE$32:$AO$75,MATCH($R93,'Futures &amp; Perps Shifted'!$AE$30:$AO$30,0),FALSE),0),0)))</f>
        <v>0</v>
      </c>
      <c r="X93" s="17">
        <f t="shared" si="28"/>
        <v>0</v>
      </c>
      <c r="Y93" s="14" t="str">
        <f t="shared" si="29"/>
        <v>BINE</v>
      </c>
      <c r="Z93" t="str">
        <f t="shared" si="30"/>
        <v>BTC COIN SHORT</v>
      </c>
    </row>
    <row r="94" spans="1:34" customFormat="1" x14ac:dyDescent="0.25">
      <c r="A94" s="14">
        <v>92</v>
      </c>
      <c r="B94" s="77">
        <v>44910.000002511573</v>
      </c>
      <c r="C94" s="14" t="s">
        <v>11</v>
      </c>
      <c r="D94" s="23" t="s">
        <v>12</v>
      </c>
      <c r="E94" s="23" t="s">
        <v>16</v>
      </c>
      <c r="F94" s="23">
        <v>6196.1898552499997</v>
      </c>
      <c r="G94" s="23">
        <v>8112849.06519992</v>
      </c>
      <c r="H94" s="23">
        <v>1309.32867693296</v>
      </c>
      <c r="I94" s="23">
        <v>0</v>
      </c>
      <c r="J94" s="23" t="s">
        <v>88</v>
      </c>
      <c r="K94" s="24">
        <v>44910.000002511573</v>
      </c>
      <c r="L94" s="23">
        <v>1</v>
      </c>
      <c r="M94" s="23" t="s">
        <v>16</v>
      </c>
      <c r="N94" s="46">
        <f t="shared" si="18"/>
        <v>1</v>
      </c>
      <c r="O94" s="47">
        <f t="shared" si="19"/>
        <v>6196.1898552499997</v>
      </c>
      <c r="P94" s="48">
        <f t="shared" si="20"/>
        <v>8112849.0651999107</v>
      </c>
      <c r="Q94" s="25">
        <f t="shared" si="23"/>
        <v>0</v>
      </c>
      <c r="R94" s="26" t="str">
        <f t="shared" si="24"/>
        <v>COIN</v>
      </c>
      <c r="S94" s="26" t="str">
        <f t="shared" si="17"/>
        <v>LONG</v>
      </c>
      <c r="T94" s="26" t="str">
        <f t="shared" si="25"/>
        <v>COIN LONG</v>
      </c>
      <c r="U94" s="17">
        <f t="shared" si="26"/>
        <v>8112849.06519992</v>
      </c>
      <c r="V94" s="17">
        <f t="shared" si="27"/>
        <v>1309.32867693296</v>
      </c>
      <c r="W94" s="40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Shifted'!$AE$32:$AO$75,MATCH($R94,'Futures &amp; Perps Shifted'!$AE$30:$AO$30,0),FALSE),0),0)))</f>
        <v>0</v>
      </c>
      <c r="X94" s="17">
        <f t="shared" si="28"/>
        <v>0</v>
      </c>
      <c r="Y94" s="14" t="str">
        <f t="shared" si="29"/>
        <v>BINE</v>
      </c>
      <c r="Z94" t="str">
        <f t="shared" si="30"/>
        <v>ETH COIN LONG</v>
      </c>
    </row>
    <row r="95" spans="1:34" customFormat="1" x14ac:dyDescent="0.25">
      <c r="A95" s="14">
        <v>93</v>
      </c>
      <c r="B95" s="77">
        <v>44910.000002511573</v>
      </c>
      <c r="C95" s="14" t="s">
        <v>11</v>
      </c>
      <c r="D95" s="23" t="s">
        <v>12</v>
      </c>
      <c r="E95" s="23" t="s">
        <v>16</v>
      </c>
      <c r="F95" s="23">
        <v>45.487666580000003</v>
      </c>
      <c r="G95" s="23">
        <v>59558.306299959098</v>
      </c>
      <c r="H95" s="23">
        <v>1309.32867693296</v>
      </c>
      <c r="I95" s="23">
        <v>0</v>
      </c>
      <c r="J95" s="23" t="s">
        <v>256</v>
      </c>
      <c r="K95" s="24">
        <v>44910.000002511573</v>
      </c>
      <c r="L95" s="23">
        <v>1</v>
      </c>
      <c r="M95" s="23" t="s">
        <v>16</v>
      </c>
      <c r="N95" s="46">
        <f t="shared" si="18"/>
        <v>1</v>
      </c>
      <c r="O95" s="47">
        <f t="shared" si="19"/>
        <v>45.487666580000003</v>
      </c>
      <c r="P95" s="48">
        <f t="shared" si="20"/>
        <v>59558.306299959026</v>
      </c>
      <c r="Q95" s="25">
        <f t="shared" si="23"/>
        <v>0</v>
      </c>
      <c r="R95" s="26" t="str">
        <f t="shared" si="24"/>
        <v>COIN</v>
      </c>
      <c r="S95" s="26" t="str">
        <f t="shared" si="17"/>
        <v>LONG</v>
      </c>
      <c r="T95" s="26" t="str">
        <f t="shared" si="25"/>
        <v>COIN LONG</v>
      </c>
      <c r="U95" s="17">
        <f t="shared" si="26"/>
        <v>59558.306299959098</v>
      </c>
      <c r="V95" s="17">
        <f t="shared" si="27"/>
        <v>1309.32867693296</v>
      </c>
      <c r="W95" s="40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Shifted'!$AE$32:$AO$75,MATCH($R95,'Futures &amp; Perps Shifted'!$AE$30:$AO$30,0),FALSE),0),0)))</f>
        <v>0</v>
      </c>
      <c r="X95" s="17">
        <f t="shared" si="28"/>
        <v>0</v>
      </c>
      <c r="Y95" s="14" t="str">
        <f t="shared" si="29"/>
        <v>BINE</v>
      </c>
      <c r="Z95" t="str">
        <f t="shared" si="30"/>
        <v>ETH COIN LONG</v>
      </c>
    </row>
    <row r="96" spans="1:34" customFormat="1" x14ac:dyDescent="0.25">
      <c r="A96" s="14">
        <v>94</v>
      </c>
      <c r="B96" s="77">
        <v>44910.000002928238</v>
      </c>
      <c r="C96" s="14" t="s">
        <v>11</v>
      </c>
      <c r="D96" s="23" t="s">
        <v>94</v>
      </c>
      <c r="E96" s="23" t="s">
        <v>90</v>
      </c>
      <c r="F96" s="23">
        <v>2425.4498470899998</v>
      </c>
      <c r="G96" s="23">
        <v>650582.15023098805</v>
      </c>
      <c r="H96" s="23">
        <v>268.231541052701</v>
      </c>
      <c r="I96" s="23">
        <v>0</v>
      </c>
      <c r="J96" s="23" t="s">
        <v>88</v>
      </c>
      <c r="K96" s="24">
        <v>44910.000002928238</v>
      </c>
      <c r="L96" s="23">
        <v>1</v>
      </c>
      <c r="M96" s="23" t="s">
        <v>90</v>
      </c>
      <c r="N96" s="46">
        <f t="shared" si="18"/>
        <v>1</v>
      </c>
      <c r="O96" s="47">
        <f t="shared" si="19"/>
        <v>2425.4498470899998</v>
      </c>
      <c r="P96" s="48">
        <f t="shared" si="20"/>
        <v>650582.15023098863</v>
      </c>
      <c r="Q96" s="25">
        <f t="shared" si="23"/>
        <v>0</v>
      </c>
      <c r="R96" s="26" t="str">
        <f t="shared" si="24"/>
        <v>COIN</v>
      </c>
      <c r="S96" s="26" t="str">
        <f t="shared" si="17"/>
        <v>LONG</v>
      </c>
      <c r="T96" s="26" t="str">
        <f t="shared" si="25"/>
        <v>COIN LONG</v>
      </c>
      <c r="U96" s="17">
        <f t="shared" si="26"/>
        <v>650582.15023098805</v>
      </c>
      <c r="V96" s="17">
        <f t="shared" si="27"/>
        <v>268.231541052701</v>
      </c>
      <c r="W96" s="40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Shifted'!$AE$32:$AO$75,MATCH($R96,'Futures &amp; Perps Shifted'!$AE$30:$AO$30,0),FALSE),0),0)))</f>
        <v>0</v>
      </c>
      <c r="X96" s="17">
        <f t="shared" si="28"/>
        <v>0</v>
      </c>
      <c r="Y96" s="14" t="str">
        <f t="shared" si="29"/>
        <v>BINE</v>
      </c>
      <c r="Z96" t="str">
        <f t="shared" si="30"/>
        <v>BNB COIN LONG</v>
      </c>
    </row>
    <row r="97" spans="1:26" customFormat="1" x14ac:dyDescent="0.25">
      <c r="A97" s="14">
        <v>95</v>
      </c>
      <c r="B97" s="77">
        <v>44910.000002928238</v>
      </c>
      <c r="C97" s="14" t="s">
        <v>11</v>
      </c>
      <c r="D97" s="23" t="s">
        <v>94</v>
      </c>
      <c r="E97" s="23" t="s">
        <v>15</v>
      </c>
      <c r="F97" s="23">
        <v>713.93965645000003</v>
      </c>
      <c r="G97" s="23">
        <v>12719298.936662899</v>
      </c>
      <c r="H97" s="23">
        <v>17815.649854650899</v>
      </c>
      <c r="I97" s="23">
        <v>0</v>
      </c>
      <c r="J97" s="23" t="s">
        <v>88</v>
      </c>
      <c r="K97" s="24">
        <v>44910.000002928238</v>
      </c>
      <c r="L97" s="23">
        <v>1</v>
      </c>
      <c r="M97" s="23" t="s">
        <v>15</v>
      </c>
      <c r="N97" s="46">
        <f t="shared" si="18"/>
        <v>1</v>
      </c>
      <c r="O97" s="47">
        <f t="shared" si="19"/>
        <v>713.93965645000003</v>
      </c>
      <c r="P97" s="48">
        <f t="shared" si="20"/>
        <v>12719298.936662955</v>
      </c>
      <c r="Q97" s="25">
        <f t="shared" si="23"/>
        <v>0</v>
      </c>
      <c r="R97" s="26" t="str">
        <f t="shared" si="24"/>
        <v>COIN</v>
      </c>
      <c r="S97" s="26" t="str">
        <f t="shared" si="17"/>
        <v>LONG</v>
      </c>
      <c r="T97" s="26" t="str">
        <f t="shared" si="25"/>
        <v>COIN LONG</v>
      </c>
      <c r="U97" s="17">
        <f t="shared" si="26"/>
        <v>12719298.936662899</v>
      </c>
      <c r="V97" s="17">
        <f t="shared" si="27"/>
        <v>17815.649854650899</v>
      </c>
      <c r="W97" s="40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Shifted'!$AE$32:$AO$75,MATCH($R97,'Futures &amp; Perps Shifted'!$AE$30:$AO$30,0),FALSE),0),0)))</f>
        <v>0</v>
      </c>
      <c r="X97" s="17">
        <f t="shared" si="28"/>
        <v>0</v>
      </c>
      <c r="Y97" s="14" t="str">
        <f t="shared" si="29"/>
        <v>BINE</v>
      </c>
      <c r="Z97" t="str">
        <f t="shared" si="30"/>
        <v>BTC COIN LONG</v>
      </c>
    </row>
    <row r="98" spans="1:26" customFormat="1" x14ac:dyDescent="0.25">
      <c r="A98" s="14">
        <v>96</v>
      </c>
      <c r="B98" s="77">
        <v>44910.000002928238</v>
      </c>
      <c r="C98" s="14" t="s">
        <v>11</v>
      </c>
      <c r="D98" s="23" t="s">
        <v>94</v>
      </c>
      <c r="E98" s="23" t="s">
        <v>24</v>
      </c>
      <c r="F98" s="23">
        <v>27051.7</v>
      </c>
      <c r="G98" s="23">
        <v>26457.1397937642</v>
      </c>
      <c r="H98" s="23">
        <v>0.97802133669101299</v>
      </c>
      <c r="I98" s="23">
        <v>0</v>
      </c>
      <c r="J98" s="23" t="s">
        <v>88</v>
      </c>
      <c r="K98" s="24">
        <v>44910.000002928238</v>
      </c>
      <c r="L98" s="23">
        <v>1</v>
      </c>
      <c r="M98" s="23" t="s">
        <v>24</v>
      </c>
      <c r="N98" s="46">
        <f t="shared" si="18"/>
        <v>1</v>
      </c>
      <c r="O98" s="47">
        <f t="shared" si="19"/>
        <v>27051.7</v>
      </c>
      <c r="P98" s="48">
        <f t="shared" si="20"/>
        <v>26457.139793764276</v>
      </c>
      <c r="Q98" s="25">
        <f t="shared" si="23"/>
        <v>0</v>
      </c>
      <c r="R98" s="26" t="str">
        <f t="shared" si="24"/>
        <v>COIN</v>
      </c>
      <c r="S98" s="26" t="str">
        <f t="shared" si="17"/>
        <v>LONG</v>
      </c>
      <c r="T98" s="26" t="str">
        <f t="shared" si="25"/>
        <v>COIN LONG</v>
      </c>
      <c r="U98" s="17">
        <f t="shared" si="26"/>
        <v>26457.1397937642</v>
      </c>
      <c r="V98" s="17">
        <f t="shared" si="27"/>
        <v>0.97802133669101299</v>
      </c>
      <c r="W98" s="40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Shifted'!$AE$32:$AO$75,MATCH($R98,'Futures &amp; Perps Shifted'!$AE$30:$AO$30,0),FALSE),0),0)))</f>
        <v>0</v>
      </c>
      <c r="X98" s="17">
        <f t="shared" si="28"/>
        <v>0</v>
      </c>
      <c r="Y98" s="14" t="str">
        <f t="shared" si="29"/>
        <v>BINE</v>
      </c>
      <c r="Z98" t="str">
        <f t="shared" si="30"/>
        <v>EOS COIN LONG</v>
      </c>
    </row>
    <row r="99" spans="1:26" customFormat="1" x14ac:dyDescent="0.25">
      <c r="A99" s="14">
        <v>97</v>
      </c>
      <c r="B99" s="77">
        <v>44910.000002928238</v>
      </c>
      <c r="C99" s="14" t="s">
        <v>11</v>
      </c>
      <c r="D99" s="23" t="s">
        <v>94</v>
      </c>
      <c r="E99" s="23" t="s">
        <v>30</v>
      </c>
      <c r="F99" s="23">
        <v>0.15721859999999999</v>
      </c>
      <c r="G99" s="23">
        <v>2.9537738832896201</v>
      </c>
      <c r="H99" s="23">
        <v>18.787687228417099</v>
      </c>
      <c r="I99" s="23">
        <v>0</v>
      </c>
      <c r="J99" s="23" t="s">
        <v>88</v>
      </c>
      <c r="K99" s="24">
        <v>44910.000002928238</v>
      </c>
      <c r="L99" s="23">
        <v>1</v>
      </c>
      <c r="M99" s="23" t="s">
        <v>30</v>
      </c>
      <c r="N99" s="46">
        <f t="shared" si="18"/>
        <v>1</v>
      </c>
      <c r="O99" s="47">
        <f t="shared" si="19"/>
        <v>0.15721859999999999</v>
      </c>
      <c r="P99" s="48">
        <f t="shared" si="20"/>
        <v>2.9537738832896161</v>
      </c>
      <c r="Q99" s="25">
        <f t="shared" si="23"/>
        <v>0</v>
      </c>
      <c r="R99" s="26" t="str">
        <f t="shared" si="24"/>
        <v>COIN</v>
      </c>
      <c r="S99" s="26" t="str">
        <f t="shared" si="17"/>
        <v>LONG</v>
      </c>
      <c r="T99" s="26" t="str">
        <f t="shared" si="25"/>
        <v>COIN LONG</v>
      </c>
      <c r="U99" s="17">
        <f t="shared" si="26"/>
        <v>2.9537738832896201</v>
      </c>
      <c r="V99" s="17">
        <f t="shared" si="27"/>
        <v>18.787687228417099</v>
      </c>
      <c r="W99" s="40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Shifted'!$AE$32:$AO$75,MATCH($R99,'Futures &amp; Perps Shifted'!$AE$30:$AO$30,0),FALSE),0),0)))</f>
        <v>0</v>
      </c>
      <c r="X99" s="17">
        <f t="shared" si="28"/>
        <v>0</v>
      </c>
      <c r="Y99" s="14" t="str">
        <f t="shared" si="29"/>
        <v>BINE</v>
      </c>
      <c r="Z99" t="str">
        <f t="shared" si="30"/>
        <v>ETC COIN LONG</v>
      </c>
    </row>
    <row r="100" spans="1:26" customFormat="1" x14ac:dyDescent="0.25">
      <c r="A100" s="14">
        <v>98</v>
      </c>
      <c r="B100" s="77">
        <v>44910.000002928238</v>
      </c>
      <c r="C100" s="14" t="s">
        <v>11</v>
      </c>
      <c r="D100" s="23" t="s">
        <v>94</v>
      </c>
      <c r="E100" s="23" t="s">
        <v>16</v>
      </c>
      <c r="F100" s="23">
        <v>9580.5062999999991</v>
      </c>
      <c r="G100" s="23">
        <v>12544031.6381269</v>
      </c>
      <c r="H100" s="23">
        <v>1309.32867693296</v>
      </c>
      <c r="I100" s="23">
        <v>0</v>
      </c>
      <c r="J100" s="23" t="s">
        <v>88</v>
      </c>
      <c r="K100" s="24">
        <v>44910.000002928238</v>
      </c>
      <c r="L100" s="23">
        <v>1</v>
      </c>
      <c r="M100" s="23" t="s">
        <v>16</v>
      </c>
      <c r="N100" s="46">
        <f t="shared" si="18"/>
        <v>1</v>
      </c>
      <c r="O100" s="47">
        <f t="shared" si="19"/>
        <v>9580.5062999999991</v>
      </c>
      <c r="P100" s="48">
        <f t="shared" si="20"/>
        <v>12544031.638126887</v>
      </c>
      <c r="Q100" s="25">
        <f t="shared" si="23"/>
        <v>0</v>
      </c>
      <c r="R100" s="26" t="str">
        <f t="shared" si="24"/>
        <v>COIN</v>
      </c>
      <c r="S100" s="26" t="str">
        <f t="shared" si="17"/>
        <v>LONG</v>
      </c>
      <c r="T100" s="26" t="str">
        <f t="shared" si="25"/>
        <v>COIN LONG</v>
      </c>
      <c r="U100" s="17">
        <f t="shared" si="26"/>
        <v>12544031.6381269</v>
      </c>
      <c r="V100" s="17">
        <f t="shared" si="27"/>
        <v>1309.32867693296</v>
      </c>
      <c r="W100" s="40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Shifted'!$AE$32:$AO$75,MATCH($R100,'Futures &amp; Perps Shifted'!$AE$30:$AO$30,0),FALSE),0),0)))</f>
        <v>0</v>
      </c>
      <c r="X100" s="17">
        <f t="shared" si="28"/>
        <v>0</v>
      </c>
      <c r="Y100" s="14" t="str">
        <f t="shared" si="29"/>
        <v>BINE</v>
      </c>
      <c r="Z100" t="str">
        <f t="shared" si="30"/>
        <v>ETH COIN LONG</v>
      </c>
    </row>
    <row r="101" spans="1:26" customFormat="1" x14ac:dyDescent="0.25">
      <c r="A101" s="14">
        <v>99</v>
      </c>
      <c r="B101" s="77">
        <v>44910.000001307868</v>
      </c>
      <c r="C101" s="14" t="s">
        <v>11</v>
      </c>
      <c r="D101" s="23" t="s">
        <v>19</v>
      </c>
      <c r="E101" s="23" t="s">
        <v>90</v>
      </c>
      <c r="F101" s="23">
        <v>66.815459570000002</v>
      </c>
      <c r="G101" s="23">
        <v>17922.0136866055</v>
      </c>
      <c r="H101" s="23">
        <v>268.231541052701</v>
      </c>
      <c r="I101" s="23">
        <v>0</v>
      </c>
      <c r="J101" s="23" t="s">
        <v>88</v>
      </c>
      <c r="K101" s="24">
        <v>44910.000001307868</v>
      </c>
      <c r="L101" s="23">
        <v>1</v>
      </c>
      <c r="M101" s="23" t="s">
        <v>90</v>
      </c>
      <c r="N101" s="46">
        <f t="shared" si="18"/>
        <v>1</v>
      </c>
      <c r="O101" s="47">
        <f t="shared" si="19"/>
        <v>66.815459570000002</v>
      </c>
      <c r="P101" s="48">
        <f t="shared" si="20"/>
        <v>17922.01368660554</v>
      </c>
      <c r="Q101" s="25">
        <f t="shared" si="23"/>
        <v>0</v>
      </c>
      <c r="R101" s="26" t="str">
        <f t="shared" si="24"/>
        <v>COIN</v>
      </c>
      <c r="S101" s="26" t="str">
        <f t="shared" si="17"/>
        <v>LONG</v>
      </c>
      <c r="T101" s="26" t="str">
        <f t="shared" si="25"/>
        <v>COIN LONG</v>
      </c>
      <c r="U101" s="17">
        <f t="shared" si="26"/>
        <v>17922.0136866055</v>
      </c>
      <c r="V101" s="17">
        <f t="shared" si="27"/>
        <v>268.231541052701</v>
      </c>
      <c r="W101" s="40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Shifted'!$AE$32:$AO$75,MATCH($R101,'Futures &amp; Perps Shifted'!$AE$30:$AO$30,0),FALSE),0),0)))</f>
        <v>0</v>
      </c>
      <c r="X101" s="17">
        <f t="shared" si="28"/>
        <v>0</v>
      </c>
      <c r="Y101" s="14" t="str">
        <f t="shared" si="29"/>
        <v>BINE</v>
      </c>
      <c r="Z101" t="str">
        <f t="shared" si="30"/>
        <v>BNB COIN LONG</v>
      </c>
    </row>
    <row r="102" spans="1:26" customFormat="1" x14ac:dyDescent="0.25">
      <c r="A102" s="14">
        <v>100</v>
      </c>
      <c r="B102" s="77">
        <v>44910.000001307868</v>
      </c>
      <c r="C102" s="14" t="s">
        <v>11</v>
      </c>
      <c r="D102" s="23" t="s">
        <v>19</v>
      </c>
      <c r="E102" s="23" t="s">
        <v>91</v>
      </c>
      <c r="F102" s="23">
        <v>24200000</v>
      </c>
      <c r="G102" s="23">
        <v>24206098.503885299</v>
      </c>
      <c r="H102" s="23">
        <v>1.0002520042927801</v>
      </c>
      <c r="I102" s="23">
        <v>0</v>
      </c>
      <c r="J102" s="23" t="s">
        <v>88</v>
      </c>
      <c r="K102" s="24">
        <v>44910.000001307868</v>
      </c>
      <c r="L102" s="23">
        <v>1</v>
      </c>
      <c r="M102" s="23" t="s">
        <v>91</v>
      </c>
      <c r="N102" s="46">
        <f t="shared" si="18"/>
        <v>1</v>
      </c>
      <c r="O102" s="47">
        <f t="shared" si="19"/>
        <v>24200000</v>
      </c>
      <c r="P102" s="48">
        <f t="shared" si="20"/>
        <v>24206098.503885277</v>
      </c>
      <c r="Q102" s="25">
        <f t="shared" si="23"/>
        <v>0</v>
      </c>
      <c r="R102" s="26" t="str">
        <f t="shared" si="24"/>
        <v>COIN</v>
      </c>
      <c r="S102" s="26" t="str">
        <f t="shared" si="17"/>
        <v>LONG</v>
      </c>
      <c r="T102" s="26" t="str">
        <f t="shared" si="25"/>
        <v>COIN LONG</v>
      </c>
      <c r="U102" s="17">
        <f t="shared" si="26"/>
        <v>24206098.503885299</v>
      </c>
      <c r="V102" s="17">
        <f t="shared" si="27"/>
        <v>1.0002520042927801</v>
      </c>
      <c r="W102" s="40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Shifted'!$AE$32:$AO$75,MATCH($R102,'Futures &amp; Perps Shifted'!$AE$30:$AO$30,0),FALSE),0),0)))</f>
        <v>0</v>
      </c>
      <c r="X102" s="17">
        <f t="shared" si="28"/>
        <v>0</v>
      </c>
      <c r="Y102" s="14" t="str">
        <f t="shared" si="29"/>
        <v>BINE</v>
      </c>
      <c r="Z102" t="str">
        <f t="shared" si="30"/>
        <v>BUSD COIN LONG</v>
      </c>
    </row>
    <row r="103" spans="1:26" customFormat="1" x14ac:dyDescent="0.25">
      <c r="A103" s="14">
        <v>101</v>
      </c>
      <c r="B103" s="77">
        <v>44910.000001307868</v>
      </c>
      <c r="C103" s="14" t="s">
        <v>11</v>
      </c>
      <c r="D103" s="23" t="s">
        <v>19</v>
      </c>
      <c r="E103" s="23" t="s">
        <v>39</v>
      </c>
      <c r="F103" s="23">
        <v>16280293.7164532</v>
      </c>
      <c r="G103" s="23">
        <v>16282009.8274974</v>
      </c>
      <c r="H103" s="23">
        <v>1.0001054103245299</v>
      </c>
      <c r="I103" s="23">
        <v>0</v>
      </c>
      <c r="J103" s="23" t="s">
        <v>88</v>
      </c>
      <c r="K103" s="24">
        <v>44910.000001307868</v>
      </c>
      <c r="L103" s="23">
        <v>1</v>
      </c>
      <c r="M103" s="23" t="s">
        <v>39</v>
      </c>
      <c r="N103" s="46">
        <f t="shared" si="18"/>
        <v>1</v>
      </c>
      <c r="O103" s="47">
        <f t="shared" si="19"/>
        <v>16280293.7164532</v>
      </c>
      <c r="P103" s="48">
        <f t="shared" si="20"/>
        <v>16282009.827497294</v>
      </c>
      <c r="Q103" s="25">
        <f t="shared" si="23"/>
        <v>0</v>
      </c>
      <c r="R103" s="26" t="str">
        <f t="shared" si="24"/>
        <v>COIN</v>
      </c>
      <c r="S103" s="26" t="str">
        <f t="shared" si="17"/>
        <v>LONG</v>
      </c>
      <c r="T103" s="26" t="str">
        <f t="shared" si="25"/>
        <v>COIN LONG</v>
      </c>
      <c r="U103" s="17">
        <f t="shared" si="26"/>
        <v>16282009.8274974</v>
      </c>
      <c r="V103" s="17">
        <f t="shared" si="27"/>
        <v>1.0001054103245299</v>
      </c>
      <c r="W103" s="40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Shifted'!$AE$32:$AO$75,MATCH($R103,'Futures &amp; Perps Shifted'!$AE$30:$AO$30,0),FALSE),0),0)))</f>
        <v>0</v>
      </c>
      <c r="X103" s="17">
        <f t="shared" si="28"/>
        <v>0</v>
      </c>
      <c r="Y103" s="14" t="str">
        <f t="shared" si="29"/>
        <v>BINE</v>
      </c>
      <c r="Z103" t="str">
        <f t="shared" si="30"/>
        <v>USDT COIN LONG</v>
      </c>
    </row>
    <row r="104" spans="1:26" customFormat="1" x14ac:dyDescent="0.25">
      <c r="A104" s="14">
        <v>102</v>
      </c>
      <c r="B104" s="77">
        <v>44910.000001307868</v>
      </c>
      <c r="C104" s="14" t="s">
        <v>11</v>
      </c>
      <c r="D104" s="23" t="s">
        <v>19</v>
      </c>
      <c r="E104" s="23" t="s">
        <v>39</v>
      </c>
      <c r="F104" s="23">
        <v>198854.41619873</v>
      </c>
      <c r="G104" s="23">
        <v>198875.37750727701</v>
      </c>
      <c r="H104" s="23">
        <v>1.0001054103245299</v>
      </c>
      <c r="I104" s="23">
        <v>0</v>
      </c>
      <c r="J104" s="23" t="s">
        <v>256</v>
      </c>
      <c r="K104" s="24">
        <v>44910.000001307868</v>
      </c>
      <c r="L104" s="23">
        <v>1</v>
      </c>
      <c r="M104" s="23" t="s">
        <v>39</v>
      </c>
      <c r="N104" s="46">
        <f t="shared" si="18"/>
        <v>1</v>
      </c>
      <c r="O104" s="47">
        <f t="shared" si="19"/>
        <v>198854.41619873</v>
      </c>
      <c r="P104" s="48">
        <f t="shared" si="20"/>
        <v>198875.37750727573</v>
      </c>
      <c r="Q104" s="25">
        <f t="shared" si="23"/>
        <v>0</v>
      </c>
      <c r="R104" s="26" t="str">
        <f t="shared" si="24"/>
        <v>COIN</v>
      </c>
      <c r="S104" s="26" t="str">
        <f t="shared" si="17"/>
        <v>LONG</v>
      </c>
      <c r="T104" s="26" t="str">
        <f t="shared" si="25"/>
        <v>COIN LONG</v>
      </c>
      <c r="U104" s="17">
        <f t="shared" si="26"/>
        <v>198875.37750727701</v>
      </c>
      <c r="V104" s="17">
        <f t="shared" si="27"/>
        <v>1.0001054103245299</v>
      </c>
      <c r="W104" s="40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Shifted'!$AE$32:$AO$75,MATCH($R104,'Futures &amp; Perps Shifted'!$AE$30:$AO$30,0),FALSE),0),0)))</f>
        <v>0</v>
      </c>
      <c r="X104" s="17">
        <f t="shared" si="28"/>
        <v>0</v>
      </c>
      <c r="Y104" s="14" t="str">
        <f t="shared" si="29"/>
        <v>BINE</v>
      </c>
      <c r="Z104" t="str">
        <f t="shared" si="30"/>
        <v>USDT COIN LONG</v>
      </c>
    </row>
    <row r="105" spans="1:26" customFormat="1" x14ac:dyDescent="0.25">
      <c r="A105" s="14">
        <v>103</v>
      </c>
      <c r="B105" s="77">
        <v>44910.000004664354</v>
      </c>
      <c r="C105" s="14" t="s">
        <v>11</v>
      </c>
      <c r="D105" s="23" t="s">
        <v>306</v>
      </c>
      <c r="E105" s="23" t="s">
        <v>39</v>
      </c>
      <c r="F105" s="23">
        <v>2083043.21306778</v>
      </c>
      <c r="G105" s="23">
        <v>2083262.7873288901</v>
      </c>
      <c r="H105" s="23">
        <v>1.0001054103245299</v>
      </c>
      <c r="I105" s="23">
        <v>0</v>
      </c>
      <c r="J105" s="23" t="s">
        <v>88</v>
      </c>
      <c r="K105" s="24">
        <v>44910.000004664354</v>
      </c>
      <c r="L105" s="23">
        <v>1</v>
      </c>
      <c r="M105" s="23" t="s">
        <v>39</v>
      </c>
      <c r="N105" s="46">
        <f t="shared" si="18"/>
        <v>1</v>
      </c>
      <c r="O105" s="47">
        <f t="shared" si="19"/>
        <v>2083043.21306778</v>
      </c>
      <c r="P105" s="48">
        <f t="shared" si="20"/>
        <v>2083262.7873288793</v>
      </c>
      <c r="Q105" s="25">
        <f t="shared" si="23"/>
        <v>0</v>
      </c>
      <c r="R105" s="26" t="str">
        <f t="shared" si="24"/>
        <v>COIN</v>
      </c>
      <c r="S105" s="26" t="str">
        <f t="shared" si="17"/>
        <v>LONG</v>
      </c>
      <c r="T105" s="26" t="str">
        <f t="shared" si="25"/>
        <v>COIN LONG</v>
      </c>
      <c r="U105" s="17">
        <f t="shared" si="26"/>
        <v>2083262.7873288901</v>
      </c>
      <c r="V105" s="17">
        <f t="shared" si="27"/>
        <v>1.0001054103245299</v>
      </c>
      <c r="W105" s="40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Shifted'!$AE$32:$AO$75,MATCH($R105,'Futures &amp; Perps Shifted'!$AE$30:$AO$30,0),FALSE),0),0)))</f>
        <v>0</v>
      </c>
      <c r="X105" s="17">
        <f t="shared" si="28"/>
        <v>0</v>
      </c>
      <c r="Y105" s="14" t="str">
        <f t="shared" si="29"/>
        <v>BINE</v>
      </c>
      <c r="Z105" t="str">
        <f t="shared" si="30"/>
        <v>USDT COIN LONG</v>
      </c>
    </row>
    <row r="106" spans="1:26" customFormat="1" x14ac:dyDescent="0.25">
      <c r="A106" s="14">
        <v>104</v>
      </c>
      <c r="B106" s="77">
        <v>44910.000004664354</v>
      </c>
      <c r="C106" s="14" t="s">
        <v>11</v>
      </c>
      <c r="D106" s="23" t="s">
        <v>306</v>
      </c>
      <c r="E106" s="23" t="s">
        <v>39</v>
      </c>
      <c r="F106" s="23">
        <v>-2190.8285996300001</v>
      </c>
      <c r="G106" s="23">
        <v>-2191.0595355836899</v>
      </c>
      <c r="H106" s="23">
        <v>1.0001054103245299</v>
      </c>
      <c r="I106" s="23">
        <v>0</v>
      </c>
      <c r="J106" s="23" t="s">
        <v>256</v>
      </c>
      <c r="K106" s="24">
        <v>44910.000004664354</v>
      </c>
      <c r="L106" s="23">
        <v>1</v>
      </c>
      <c r="M106" s="23" t="s">
        <v>39</v>
      </c>
      <c r="N106" s="46">
        <f t="shared" si="18"/>
        <v>1</v>
      </c>
      <c r="O106" s="47">
        <f t="shared" si="19"/>
        <v>-2190.8285996300001</v>
      </c>
      <c r="P106" s="48">
        <f t="shared" si="20"/>
        <v>-2191.0595355836767</v>
      </c>
      <c r="Q106" s="25">
        <f t="shared" si="23"/>
        <v>0</v>
      </c>
      <c r="R106" s="26" t="str">
        <f t="shared" si="24"/>
        <v>COIN</v>
      </c>
      <c r="S106" s="26" t="str">
        <f t="shared" si="17"/>
        <v>SHORT</v>
      </c>
      <c r="T106" s="26" t="str">
        <f t="shared" si="25"/>
        <v>COIN SHORT</v>
      </c>
      <c r="U106" s="17">
        <f t="shared" si="26"/>
        <v>-2191.0595355836899</v>
      </c>
      <c r="V106" s="17">
        <f t="shared" si="27"/>
        <v>1.0001054103245299</v>
      </c>
      <c r="W106" s="40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Shifted'!$AE$32:$AO$75,MATCH($R106,'Futures &amp; Perps Shifted'!$AE$30:$AO$30,0),FALSE),0),0)))</f>
        <v>0</v>
      </c>
      <c r="X106" s="17">
        <f t="shared" si="28"/>
        <v>0</v>
      </c>
      <c r="Y106" s="14" t="str">
        <f t="shared" si="29"/>
        <v>BINE</v>
      </c>
      <c r="Z106" t="str">
        <f t="shared" si="30"/>
        <v>USDT COIN SHORT</v>
      </c>
    </row>
    <row r="107" spans="1:26" customFormat="1" x14ac:dyDescent="0.25">
      <c r="A107" s="14">
        <v>105</v>
      </c>
      <c r="B107" s="77">
        <v>44910.000000231485</v>
      </c>
      <c r="C107" s="14" t="s">
        <v>220</v>
      </c>
      <c r="D107" s="23" t="s">
        <v>96</v>
      </c>
      <c r="E107" s="23" t="s">
        <v>15</v>
      </c>
      <c r="F107" s="23">
        <v>7.9996000000000008E-3</v>
      </c>
      <c r="G107" s="23">
        <v>142.518072577265</v>
      </c>
      <c r="H107" s="23">
        <v>17815.649854650899</v>
      </c>
      <c r="I107" s="23">
        <v>0</v>
      </c>
      <c r="J107" s="23" t="s">
        <v>88</v>
      </c>
      <c r="K107" s="24">
        <v>44910.000000231485</v>
      </c>
      <c r="L107" s="23">
        <v>1</v>
      </c>
      <c r="M107" s="23" t="s">
        <v>15</v>
      </c>
      <c r="N107" s="46">
        <f t="shared" si="18"/>
        <v>1</v>
      </c>
      <c r="O107" s="47">
        <f t="shared" si="19"/>
        <v>7.9996000000000008E-3</v>
      </c>
      <c r="P107" s="48">
        <f t="shared" si="20"/>
        <v>142.51807257726534</v>
      </c>
      <c r="Q107" s="25">
        <f t="shared" si="23"/>
        <v>0</v>
      </c>
      <c r="R107" s="26" t="str">
        <f t="shared" si="24"/>
        <v>COIN</v>
      </c>
      <c r="S107" s="26" t="str">
        <f t="shared" si="17"/>
        <v>LONG</v>
      </c>
      <c r="T107" s="26" t="str">
        <f t="shared" si="25"/>
        <v>COIN LONG</v>
      </c>
      <c r="U107" s="17">
        <f t="shared" si="26"/>
        <v>142.518072577265</v>
      </c>
      <c r="V107" s="17">
        <f t="shared" si="27"/>
        <v>17815.649854650899</v>
      </c>
      <c r="W107" s="40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Shifted'!$AE$32:$AO$75,MATCH($R107,'Futures &amp; Perps Shifted'!$AE$30:$AO$30,0),FALSE),0),0)))</f>
        <v>0</v>
      </c>
      <c r="X107" s="17">
        <f t="shared" si="28"/>
        <v>0</v>
      </c>
      <c r="Y107" s="14" t="str">
        <f t="shared" si="29"/>
        <v>BTFX</v>
      </c>
      <c r="Z107" t="str">
        <f t="shared" si="30"/>
        <v>BTC COIN LONG</v>
      </c>
    </row>
    <row r="108" spans="1:26" customFormat="1" x14ac:dyDescent="0.25">
      <c r="A108" s="14">
        <v>106</v>
      </c>
      <c r="B108" s="77">
        <v>44910.000000231485</v>
      </c>
      <c r="C108" s="14" t="s">
        <v>220</v>
      </c>
      <c r="D108" s="23" t="s">
        <v>96</v>
      </c>
      <c r="E108" s="23" t="s">
        <v>16</v>
      </c>
      <c r="F108" s="23">
        <v>0.02</v>
      </c>
      <c r="G108" s="23">
        <v>26.1865735386592</v>
      </c>
      <c r="H108" s="23">
        <v>1309.32867693296</v>
      </c>
      <c r="I108" s="23">
        <v>0</v>
      </c>
      <c r="J108" s="23" t="s">
        <v>88</v>
      </c>
      <c r="K108" s="24">
        <v>44910.000000231485</v>
      </c>
      <c r="L108" s="23">
        <v>1</v>
      </c>
      <c r="M108" s="23" t="s">
        <v>16</v>
      </c>
      <c r="N108" s="46">
        <f t="shared" si="18"/>
        <v>1</v>
      </c>
      <c r="O108" s="47">
        <f t="shared" si="19"/>
        <v>0.02</v>
      </c>
      <c r="P108" s="48">
        <f t="shared" si="20"/>
        <v>26.1865735386592</v>
      </c>
      <c r="Q108" s="25">
        <f t="shared" si="23"/>
        <v>0</v>
      </c>
      <c r="R108" s="26" t="str">
        <f t="shared" si="24"/>
        <v>COIN</v>
      </c>
      <c r="S108" s="26" t="str">
        <f t="shared" si="17"/>
        <v>LONG</v>
      </c>
      <c r="T108" s="26" t="str">
        <f t="shared" si="25"/>
        <v>COIN LONG</v>
      </c>
      <c r="U108" s="17">
        <f t="shared" si="26"/>
        <v>26.1865735386592</v>
      </c>
      <c r="V108" s="17">
        <f t="shared" si="27"/>
        <v>1309.32867693296</v>
      </c>
      <c r="W108" s="40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Shifted'!$AE$32:$AO$75,MATCH($R108,'Futures &amp; Perps Shifted'!$AE$30:$AO$30,0),FALSE),0),0)))</f>
        <v>0</v>
      </c>
      <c r="X108" s="17">
        <f t="shared" si="28"/>
        <v>0</v>
      </c>
      <c r="Y108" s="14" t="str">
        <f t="shared" si="29"/>
        <v>BTFX</v>
      </c>
      <c r="Z108" t="str">
        <f t="shared" si="30"/>
        <v>ETH COIN LONG</v>
      </c>
    </row>
    <row r="109" spans="1:26" customFormat="1" x14ac:dyDescent="0.25">
      <c r="A109" s="14">
        <v>107</v>
      </c>
      <c r="B109" s="77">
        <v>44910.000000231485</v>
      </c>
      <c r="C109" s="14" t="s">
        <v>220</v>
      </c>
      <c r="D109" s="23" t="s">
        <v>96</v>
      </c>
      <c r="E109" s="23" t="s">
        <v>275</v>
      </c>
      <c r="F109" s="23">
        <v>0.02</v>
      </c>
      <c r="G109" s="23">
        <v>7.0810243384961197E-2</v>
      </c>
      <c r="H109" s="23">
        <v>3.5405121692480601</v>
      </c>
      <c r="I109" s="23">
        <v>0</v>
      </c>
      <c r="J109" s="23" t="s">
        <v>88</v>
      </c>
      <c r="K109" s="24">
        <v>44910.000000231485</v>
      </c>
      <c r="L109" s="23">
        <v>1</v>
      </c>
      <c r="M109" s="23" t="s">
        <v>275</v>
      </c>
      <c r="N109" s="46">
        <f t="shared" si="18"/>
        <v>1</v>
      </c>
      <c r="O109" s="47">
        <f t="shared" si="19"/>
        <v>0.02</v>
      </c>
      <c r="P109" s="48">
        <f t="shared" si="20"/>
        <v>7.0810243384961211E-2</v>
      </c>
      <c r="Q109" s="25">
        <f t="shared" si="23"/>
        <v>0</v>
      </c>
      <c r="R109" s="26" t="str">
        <f t="shared" si="24"/>
        <v>COIN</v>
      </c>
      <c r="S109" s="26" t="str">
        <f t="shared" si="17"/>
        <v>LONG</v>
      </c>
      <c r="T109" s="26" t="str">
        <f t="shared" si="25"/>
        <v>COIN LONG</v>
      </c>
      <c r="U109" s="17">
        <f t="shared" si="26"/>
        <v>7.0810243384961197E-2</v>
      </c>
      <c r="V109" s="17">
        <f t="shared" si="27"/>
        <v>3.5405121692480601</v>
      </c>
      <c r="W109" s="40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Shifted'!$AE$32:$AO$75,MATCH($R109,'Futures &amp; Perps Shifted'!$AE$30:$AO$30,0),FALSE),0),0)))</f>
        <v>0</v>
      </c>
      <c r="X109" s="17">
        <f t="shared" si="28"/>
        <v>0</v>
      </c>
      <c r="Y109" s="14" t="str">
        <f t="shared" si="29"/>
        <v>BTFX</v>
      </c>
      <c r="Z109" t="str">
        <f t="shared" si="30"/>
        <v>ETHW COIN LONG</v>
      </c>
    </row>
    <row r="110" spans="1:26" customFormat="1" x14ac:dyDescent="0.25">
      <c r="A110" s="14">
        <v>108</v>
      </c>
      <c r="B110" s="77">
        <v>44910.000000231485</v>
      </c>
      <c r="C110" s="14" t="s">
        <v>220</v>
      </c>
      <c r="D110" s="23" t="s">
        <v>96</v>
      </c>
      <c r="E110" s="23" t="s">
        <v>98</v>
      </c>
      <c r="F110" s="23">
        <v>2.755467E-2</v>
      </c>
      <c r="G110" s="23">
        <v>2.755467E-2</v>
      </c>
      <c r="H110" s="23">
        <v>1</v>
      </c>
      <c r="I110" s="23">
        <v>0</v>
      </c>
      <c r="J110" s="23" t="s">
        <v>88</v>
      </c>
      <c r="K110" s="24">
        <v>44910.000000231485</v>
      </c>
      <c r="L110" s="23">
        <v>1</v>
      </c>
      <c r="M110" s="23" t="s">
        <v>98</v>
      </c>
      <c r="N110" s="46">
        <f t="shared" si="18"/>
        <v>1</v>
      </c>
      <c r="O110" s="47">
        <f t="shared" si="19"/>
        <v>2.755467E-2</v>
      </c>
      <c r="P110" s="48">
        <f t="shared" si="20"/>
        <v>2.755467E-2</v>
      </c>
      <c r="Q110" s="25">
        <f t="shared" si="23"/>
        <v>0</v>
      </c>
      <c r="R110" s="26" t="str">
        <f t="shared" si="24"/>
        <v>CASH</v>
      </c>
      <c r="S110" s="26" t="str">
        <f t="shared" si="17"/>
        <v>LONG</v>
      </c>
      <c r="T110" s="26" t="str">
        <f t="shared" si="25"/>
        <v>CASH LONG</v>
      </c>
      <c r="U110" s="17">
        <f t="shared" si="26"/>
        <v>2.755467E-2</v>
      </c>
      <c r="V110" s="17">
        <f t="shared" si="27"/>
        <v>1</v>
      </c>
      <c r="W110" s="40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Shifted'!$AE$32:$AO$75,MATCH($R110,'Futures &amp; Perps Shifted'!$AE$30:$AO$30,0),FALSE),0),0)))</f>
        <v>0</v>
      </c>
      <c r="X110" s="17">
        <f t="shared" si="28"/>
        <v>0</v>
      </c>
      <c r="Y110" s="14" t="str">
        <f t="shared" si="29"/>
        <v>BTFX</v>
      </c>
      <c r="Z110" t="str">
        <f t="shared" si="30"/>
        <v>USD CASH LONG</v>
      </c>
    </row>
    <row r="111" spans="1:26" customFormat="1" x14ac:dyDescent="0.25">
      <c r="A111" s="14">
        <v>109</v>
      </c>
      <c r="B111" s="77">
        <v>44910.000000231485</v>
      </c>
      <c r="C111" s="14" t="s">
        <v>220</v>
      </c>
      <c r="D111" s="23" t="s">
        <v>96</v>
      </c>
      <c r="E111" s="23" t="s">
        <v>99</v>
      </c>
      <c r="F111" s="23">
        <v>29.9885932</v>
      </c>
      <c r="G111" s="23">
        <v>0</v>
      </c>
      <c r="H111" s="23">
        <v>0</v>
      </c>
      <c r="I111" s="23">
        <v>0</v>
      </c>
      <c r="J111" s="23" t="s">
        <v>88</v>
      </c>
      <c r="K111" s="24">
        <v>44910.000000231485</v>
      </c>
      <c r="L111" s="23">
        <v>1</v>
      </c>
      <c r="M111" s="23" t="s">
        <v>99</v>
      </c>
      <c r="N111" s="46">
        <f t="shared" si="18"/>
        <v>1</v>
      </c>
      <c r="O111" s="47">
        <f t="shared" si="19"/>
        <v>29.9885932</v>
      </c>
      <c r="P111" s="48">
        <f t="shared" si="20"/>
        <v>0</v>
      </c>
      <c r="Q111" s="25">
        <f t="shared" si="23"/>
        <v>0</v>
      </c>
      <c r="R111" s="26" t="str">
        <f t="shared" si="24"/>
        <v>COIN</v>
      </c>
      <c r="S111" s="26" t="str">
        <f t="shared" si="17"/>
        <v>SHORT</v>
      </c>
      <c r="T111" s="26" t="str">
        <f t="shared" si="25"/>
        <v>COIN SHORT</v>
      </c>
      <c r="U111" s="17">
        <f t="shared" si="26"/>
        <v>0</v>
      </c>
      <c r="V111" s="17">
        <f t="shared" si="27"/>
        <v>0</v>
      </c>
      <c r="W111" s="40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Shifted'!$AE$32:$AO$75,MATCH($R111,'Futures &amp; Perps Shifted'!$AE$30:$AO$30,0),FALSE),0),0)))</f>
        <v>0</v>
      </c>
      <c r="X111" s="17">
        <f t="shared" si="28"/>
        <v>0</v>
      </c>
      <c r="Y111" s="14" t="str">
        <f t="shared" si="29"/>
        <v>BTFX</v>
      </c>
      <c r="Z111" t="str">
        <f t="shared" si="30"/>
        <v>UST COIN SHORT</v>
      </c>
    </row>
    <row r="112" spans="1:26" customFormat="1" x14ac:dyDescent="0.25">
      <c r="A112" s="14">
        <v>110</v>
      </c>
      <c r="B112" s="77">
        <v>44909.003277777774</v>
      </c>
      <c r="C112" s="14" t="s">
        <v>100</v>
      </c>
      <c r="D112" s="23" t="s">
        <v>100</v>
      </c>
      <c r="E112" s="23" t="s">
        <v>21</v>
      </c>
      <c r="F112" s="23">
        <v>0.21932823000000001</v>
      </c>
      <c r="G112" s="23">
        <v>23.9305732953496</v>
      </c>
      <c r="H112" s="23">
        <v>109.10849595307199</v>
      </c>
      <c r="I112" s="23">
        <v>0</v>
      </c>
      <c r="J112" s="23" t="s">
        <v>88</v>
      </c>
      <c r="K112" s="24">
        <v>44909.003277777774</v>
      </c>
      <c r="L112" s="23">
        <v>1</v>
      </c>
      <c r="M112" s="23" t="s">
        <v>21</v>
      </c>
      <c r="N112" s="46">
        <f t="shared" si="18"/>
        <v>1</v>
      </c>
      <c r="O112" s="47">
        <f t="shared" si="19"/>
        <v>0.21932823000000001</v>
      </c>
      <c r="P112" s="48">
        <f t="shared" si="20"/>
        <v>23.930573295349443</v>
      </c>
      <c r="Q112" s="25">
        <f t="shared" si="23"/>
        <v>0</v>
      </c>
      <c r="R112" s="26" t="str">
        <f t="shared" si="24"/>
        <v>COIN</v>
      </c>
      <c r="S112" s="26" t="str">
        <f t="shared" si="17"/>
        <v>LONG</v>
      </c>
      <c r="T112" s="26" t="str">
        <f t="shared" si="25"/>
        <v>COIN LONG</v>
      </c>
      <c r="U112" s="17">
        <f t="shared" si="26"/>
        <v>23.9305732953496</v>
      </c>
      <c r="V112" s="17">
        <f t="shared" si="27"/>
        <v>109.10849595307199</v>
      </c>
      <c r="W112" s="40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Shifted'!$AE$32:$AO$75,MATCH($R112,'Futures &amp; Perps Shifted'!$AE$30:$AO$30,0),FALSE),0),0)))</f>
        <v>0</v>
      </c>
      <c r="X112" s="17">
        <f t="shared" si="28"/>
        <v>0</v>
      </c>
      <c r="Y112" s="14" t="str">
        <f t="shared" si="29"/>
        <v>BTSE</v>
      </c>
      <c r="Z112" t="str">
        <f t="shared" si="30"/>
        <v>BCH COIN LONG</v>
      </c>
    </row>
    <row r="113" spans="1:26" customFormat="1" x14ac:dyDescent="0.25">
      <c r="A113" s="14">
        <v>111</v>
      </c>
      <c r="B113" s="77">
        <v>44909.003290474539</v>
      </c>
      <c r="C113" s="14" t="s">
        <v>100</v>
      </c>
      <c r="D113" s="23" t="s">
        <v>100</v>
      </c>
      <c r="E113" s="23" t="s">
        <v>15</v>
      </c>
      <c r="F113" s="23">
        <v>5.7861299999999997E-2</v>
      </c>
      <c r="G113" s="23">
        <v>1030.83666093491</v>
      </c>
      <c r="H113" s="23">
        <v>17815.649854650899</v>
      </c>
      <c r="I113" s="23">
        <v>0</v>
      </c>
      <c r="J113" s="23" t="s">
        <v>88</v>
      </c>
      <c r="K113" s="24">
        <v>44909.003290474539</v>
      </c>
      <c r="L113" s="23">
        <v>1</v>
      </c>
      <c r="M113" s="23" t="s">
        <v>15</v>
      </c>
      <c r="N113" s="46">
        <f t="shared" si="18"/>
        <v>1</v>
      </c>
      <c r="O113" s="47">
        <f t="shared" si="19"/>
        <v>5.7861299999999997E-2</v>
      </c>
      <c r="P113" s="48">
        <f t="shared" si="20"/>
        <v>1030.8366609349121</v>
      </c>
      <c r="Q113" s="25">
        <f t="shared" si="23"/>
        <v>0</v>
      </c>
      <c r="R113" s="26" t="str">
        <f t="shared" si="24"/>
        <v>COIN</v>
      </c>
      <c r="S113" s="26" t="str">
        <f t="shared" si="17"/>
        <v>LONG</v>
      </c>
      <c r="T113" s="26" t="str">
        <f t="shared" si="25"/>
        <v>COIN LONG</v>
      </c>
      <c r="U113" s="17">
        <f t="shared" si="26"/>
        <v>1030.83666093491</v>
      </c>
      <c r="V113" s="17">
        <f t="shared" si="27"/>
        <v>17815.649854650899</v>
      </c>
      <c r="W113" s="40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Shifted'!$AE$32:$AO$75,MATCH($R113,'Futures &amp; Perps Shifted'!$AE$30:$AO$30,0),FALSE),0),0)))</f>
        <v>0</v>
      </c>
      <c r="X113" s="17">
        <f t="shared" si="28"/>
        <v>0</v>
      </c>
      <c r="Y113" s="14" t="str">
        <f t="shared" si="29"/>
        <v>BTSE</v>
      </c>
      <c r="Z113" t="str">
        <f t="shared" si="30"/>
        <v>BTC COIN LONG</v>
      </c>
    </row>
    <row r="114" spans="1:26" customFormat="1" x14ac:dyDescent="0.25">
      <c r="A114" s="14">
        <v>112</v>
      </c>
      <c r="B114" s="77">
        <v>44909.003303391204</v>
      </c>
      <c r="C114" s="14" t="s">
        <v>100</v>
      </c>
      <c r="D114" s="23" t="s">
        <v>100</v>
      </c>
      <c r="E114" s="23" t="s">
        <v>16</v>
      </c>
      <c r="F114" s="23">
        <v>0.73541904000000002</v>
      </c>
      <c r="G114" s="23">
        <v>962.90523863450903</v>
      </c>
      <c r="H114" s="23">
        <v>1309.32867693296</v>
      </c>
      <c r="I114" s="23">
        <v>0</v>
      </c>
      <c r="J114" s="23" t="s">
        <v>88</v>
      </c>
      <c r="K114" s="24">
        <v>44909.003303391204</v>
      </c>
      <c r="L114" s="23">
        <v>1</v>
      </c>
      <c r="M114" s="23" t="s">
        <v>16</v>
      </c>
      <c r="N114" s="46">
        <f t="shared" si="18"/>
        <v>1</v>
      </c>
      <c r="O114" s="47">
        <f t="shared" si="19"/>
        <v>0.73541904000000002</v>
      </c>
      <c r="P114" s="48">
        <f t="shared" si="20"/>
        <v>962.90523863450755</v>
      </c>
      <c r="Q114" s="25">
        <f t="shared" si="23"/>
        <v>0</v>
      </c>
      <c r="R114" s="26" t="str">
        <f t="shared" si="24"/>
        <v>COIN</v>
      </c>
      <c r="S114" s="26" t="str">
        <f t="shared" si="17"/>
        <v>LONG</v>
      </c>
      <c r="T114" s="26" t="str">
        <f t="shared" si="25"/>
        <v>COIN LONG</v>
      </c>
      <c r="U114" s="17">
        <f t="shared" si="26"/>
        <v>962.90523863450903</v>
      </c>
      <c r="V114" s="17">
        <f t="shared" si="27"/>
        <v>1309.32867693296</v>
      </c>
      <c r="W114" s="40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Shifted'!$AE$32:$AO$75,MATCH($R114,'Futures &amp; Perps Shifted'!$AE$30:$AO$30,0),FALSE),0),0)))</f>
        <v>0</v>
      </c>
      <c r="X114" s="17">
        <f t="shared" si="28"/>
        <v>0</v>
      </c>
      <c r="Y114" s="14" t="str">
        <f t="shared" si="29"/>
        <v>BTSE</v>
      </c>
      <c r="Z114" t="str">
        <f t="shared" si="30"/>
        <v>ETH COIN LONG</v>
      </c>
    </row>
    <row r="115" spans="1:26" customFormat="1" x14ac:dyDescent="0.25">
      <c r="A115" s="14">
        <v>113</v>
      </c>
      <c r="B115" s="77">
        <v>44909.003316168979</v>
      </c>
      <c r="C115" s="14" t="s">
        <v>100</v>
      </c>
      <c r="D115" s="23" t="s">
        <v>100</v>
      </c>
      <c r="E115" s="23" t="s">
        <v>101</v>
      </c>
      <c r="F115" s="23">
        <v>22277.5319929</v>
      </c>
      <c r="G115" s="23">
        <v>265.095232665955</v>
      </c>
      <c r="H115" s="23">
        <v>1.1899667914311201E-2</v>
      </c>
      <c r="I115" s="23">
        <v>0</v>
      </c>
      <c r="J115" s="23" t="s">
        <v>88</v>
      </c>
      <c r="K115" s="24">
        <v>44909.003316168979</v>
      </c>
      <c r="L115" s="23">
        <v>1</v>
      </c>
      <c r="M115" s="23" t="s">
        <v>101</v>
      </c>
      <c r="N115" s="46">
        <f t="shared" si="18"/>
        <v>1</v>
      </c>
      <c r="O115" s="47">
        <f t="shared" si="19"/>
        <v>22277.5319929</v>
      </c>
      <c r="P115" s="48">
        <f t="shared" si="20"/>
        <v>265.0952326659534</v>
      </c>
      <c r="Q115" s="25">
        <f t="shared" si="23"/>
        <v>0</v>
      </c>
      <c r="R115" s="26" t="str">
        <f t="shared" si="24"/>
        <v>COIN</v>
      </c>
      <c r="S115" s="26" t="str">
        <f t="shared" si="17"/>
        <v>LONG</v>
      </c>
      <c r="T115" s="26" t="str">
        <f t="shared" si="25"/>
        <v>COIN LONG</v>
      </c>
      <c r="U115" s="17">
        <f t="shared" si="26"/>
        <v>265.095232665955</v>
      </c>
      <c r="V115" s="17">
        <f t="shared" si="27"/>
        <v>1.1899667914311201E-2</v>
      </c>
      <c r="W115" s="40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Shifted'!$AE$32:$AO$75,MATCH($R115,'Futures &amp; Perps Shifted'!$AE$30:$AO$30,0),FALSE),0),0)))</f>
        <v>0</v>
      </c>
      <c r="X115" s="17">
        <f t="shared" si="28"/>
        <v>0</v>
      </c>
      <c r="Y115" s="14" t="str">
        <f t="shared" si="29"/>
        <v>BTSE</v>
      </c>
      <c r="Z115" t="str">
        <f t="shared" si="30"/>
        <v>SGB COIN LONG</v>
      </c>
    </row>
    <row r="116" spans="1:26" customFormat="1" x14ac:dyDescent="0.25">
      <c r="A116" s="14">
        <v>114</v>
      </c>
      <c r="B116" s="77">
        <v>44909.003329016203</v>
      </c>
      <c r="C116" s="14" t="s">
        <v>100</v>
      </c>
      <c r="D116" s="23" t="s">
        <v>100</v>
      </c>
      <c r="E116" s="23" t="s">
        <v>98</v>
      </c>
      <c r="F116" s="23">
        <v>114736.84</v>
      </c>
      <c r="G116" s="23">
        <v>114736.84</v>
      </c>
      <c r="H116" s="23">
        <v>1</v>
      </c>
      <c r="I116" s="23">
        <v>0</v>
      </c>
      <c r="J116" s="23" t="s">
        <v>88</v>
      </c>
      <c r="K116" s="24">
        <v>44909.003329016203</v>
      </c>
      <c r="L116" s="23">
        <v>1</v>
      </c>
      <c r="M116" s="23" t="s">
        <v>98</v>
      </c>
      <c r="N116" s="46">
        <f t="shared" si="18"/>
        <v>1</v>
      </c>
      <c r="O116" s="47">
        <f t="shared" si="19"/>
        <v>114736.84</v>
      </c>
      <c r="P116" s="48">
        <f t="shared" si="20"/>
        <v>114736.84</v>
      </c>
      <c r="Q116" s="25">
        <f t="shared" si="23"/>
        <v>0</v>
      </c>
      <c r="R116" s="26" t="str">
        <f t="shared" si="24"/>
        <v>CASH</v>
      </c>
      <c r="S116" s="26" t="str">
        <f t="shared" si="17"/>
        <v>LONG</v>
      </c>
      <c r="T116" s="26" t="str">
        <f t="shared" si="25"/>
        <v>CASH LONG</v>
      </c>
      <c r="U116" s="17">
        <f t="shared" si="26"/>
        <v>114736.84</v>
      </c>
      <c r="V116" s="17">
        <f t="shared" si="27"/>
        <v>1</v>
      </c>
      <c r="W116" s="40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Shifted'!$AE$32:$AO$75,MATCH($R116,'Futures &amp; Perps Shifted'!$AE$30:$AO$30,0),FALSE),0),0)))</f>
        <v>0</v>
      </c>
      <c r="X116" s="17">
        <f t="shared" si="28"/>
        <v>0</v>
      </c>
      <c r="Y116" s="14" t="str">
        <f t="shared" si="29"/>
        <v>BTSE</v>
      </c>
      <c r="Z116" t="str">
        <f t="shared" si="30"/>
        <v>USD CASH LONG</v>
      </c>
    </row>
    <row r="117" spans="1:26" customFormat="1" x14ac:dyDescent="0.25">
      <c r="A117" s="14">
        <v>115</v>
      </c>
      <c r="B117" s="77">
        <v>44909.00334166667</v>
      </c>
      <c r="C117" s="14" t="s">
        <v>100</v>
      </c>
      <c r="D117" s="23" t="s">
        <v>100</v>
      </c>
      <c r="E117" s="23" t="s">
        <v>102</v>
      </c>
      <c r="F117" s="23">
        <v>116647.68407285</v>
      </c>
      <c r="G117" s="23">
        <v>45074.265272861601</v>
      </c>
      <c r="H117" s="23">
        <v>0.38641371777866901</v>
      </c>
      <c r="I117" s="23">
        <v>0</v>
      </c>
      <c r="J117" s="23" t="s">
        <v>88</v>
      </c>
      <c r="K117" s="24">
        <v>44909.00334166667</v>
      </c>
      <c r="L117" s="23">
        <v>1</v>
      </c>
      <c r="M117" s="23" t="s">
        <v>102</v>
      </c>
      <c r="N117" s="46">
        <f t="shared" si="18"/>
        <v>1</v>
      </c>
      <c r="O117" s="47">
        <f t="shared" si="19"/>
        <v>116647.68407285</v>
      </c>
      <c r="P117" s="48">
        <f t="shared" si="20"/>
        <v>45074.265272861601</v>
      </c>
      <c r="Q117" s="25">
        <f t="shared" si="23"/>
        <v>0</v>
      </c>
      <c r="R117" s="26" t="str">
        <f t="shared" si="24"/>
        <v>COIN</v>
      </c>
      <c r="S117" s="26" t="str">
        <f t="shared" si="17"/>
        <v>LONG</v>
      </c>
      <c r="T117" s="26" t="str">
        <f t="shared" si="25"/>
        <v>COIN LONG</v>
      </c>
      <c r="U117" s="17">
        <f t="shared" si="26"/>
        <v>45074.265272861601</v>
      </c>
      <c r="V117" s="17">
        <f t="shared" si="27"/>
        <v>0.38641371777866901</v>
      </c>
      <c r="W117" s="40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Shifted'!$AE$32:$AO$75,MATCH($R117,'Futures &amp; Perps Shifted'!$AE$30:$AO$30,0),FALSE),0),0)))</f>
        <v>0</v>
      </c>
      <c r="X117" s="17">
        <f t="shared" si="28"/>
        <v>0</v>
      </c>
      <c r="Y117" s="14" t="str">
        <f t="shared" si="29"/>
        <v>BTSE</v>
      </c>
      <c r="Z117" t="str">
        <f t="shared" si="30"/>
        <v>XRP COIN LONG</v>
      </c>
    </row>
    <row r="118" spans="1:26" customFormat="1" x14ac:dyDescent="0.25">
      <c r="A118" s="14">
        <v>116</v>
      </c>
      <c r="B118" s="77">
        <v>44910.000005324073</v>
      </c>
      <c r="C118" s="14" t="s">
        <v>104</v>
      </c>
      <c r="D118" s="23" t="s">
        <v>103</v>
      </c>
      <c r="E118" s="23" t="s">
        <v>15</v>
      </c>
      <c r="F118" s="23">
        <v>1811.18993475</v>
      </c>
      <c r="G118" s="23">
        <v>32267525.697774</v>
      </c>
      <c r="H118" s="23">
        <v>17815.649854650899</v>
      </c>
      <c r="I118" s="23">
        <v>0</v>
      </c>
      <c r="J118" s="23" t="s">
        <v>88</v>
      </c>
      <c r="K118" s="24">
        <v>44910.000005324073</v>
      </c>
      <c r="L118" s="23">
        <v>1</v>
      </c>
      <c r="M118" s="23" t="s">
        <v>15</v>
      </c>
      <c r="N118" s="46">
        <f t="shared" si="18"/>
        <v>1</v>
      </c>
      <c r="O118" s="47">
        <f t="shared" si="19"/>
        <v>1811.18993475</v>
      </c>
      <c r="P118" s="48">
        <f t="shared" si="20"/>
        <v>32267525.697774008</v>
      </c>
      <c r="Q118" s="25">
        <f t="shared" si="23"/>
        <v>0</v>
      </c>
      <c r="R118" s="26" t="str">
        <f t="shared" si="24"/>
        <v>COIN</v>
      </c>
      <c r="S118" s="26" t="str">
        <f t="shared" si="17"/>
        <v>LONG</v>
      </c>
      <c r="T118" s="26" t="str">
        <f t="shared" si="25"/>
        <v>COIN LONG</v>
      </c>
      <c r="U118" s="17">
        <f t="shared" si="26"/>
        <v>32267525.697774</v>
      </c>
      <c r="V118" s="17">
        <f t="shared" si="27"/>
        <v>17815.649854650899</v>
      </c>
      <c r="W118" s="40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Shifted'!$AE$32:$AO$75,MATCH($R118,'Futures &amp; Perps Shifted'!$AE$30:$AO$30,0),FALSE),0),0)))</f>
        <v>0</v>
      </c>
      <c r="X118" s="17">
        <f t="shared" si="28"/>
        <v>0</v>
      </c>
      <c r="Y118" s="14" t="str">
        <f t="shared" si="29"/>
        <v>BULL</v>
      </c>
      <c r="Z118" t="str">
        <f t="shared" si="30"/>
        <v>BTC COIN LONG</v>
      </c>
    </row>
    <row r="119" spans="1:26" customFormat="1" x14ac:dyDescent="0.25">
      <c r="A119" s="14">
        <v>117</v>
      </c>
      <c r="B119" s="77">
        <v>44910.000005324073</v>
      </c>
      <c r="C119" s="14" t="s">
        <v>104</v>
      </c>
      <c r="D119" s="23" t="s">
        <v>103</v>
      </c>
      <c r="E119" s="23" t="s">
        <v>98</v>
      </c>
      <c r="F119" s="23">
        <v>62054507.6281</v>
      </c>
      <c r="G119" s="23">
        <v>62054507.6281</v>
      </c>
      <c r="H119" s="23">
        <v>1</v>
      </c>
      <c r="I119" s="23">
        <v>0</v>
      </c>
      <c r="J119" s="23" t="s">
        <v>88</v>
      </c>
      <c r="K119" s="24">
        <v>44910.000005324073</v>
      </c>
      <c r="L119" s="23">
        <v>1</v>
      </c>
      <c r="M119" s="23" t="s">
        <v>98</v>
      </c>
      <c r="N119" s="46">
        <f t="shared" si="18"/>
        <v>1</v>
      </c>
      <c r="O119" s="47">
        <f t="shared" si="19"/>
        <v>62054507.6281</v>
      </c>
      <c r="P119" s="48">
        <f t="shared" si="20"/>
        <v>62054507.6281</v>
      </c>
      <c r="Q119" s="25">
        <f t="shared" si="23"/>
        <v>0</v>
      </c>
      <c r="R119" s="26" t="str">
        <f t="shared" si="24"/>
        <v>CASH</v>
      </c>
      <c r="S119" s="26" t="str">
        <f t="shared" si="17"/>
        <v>LONG</v>
      </c>
      <c r="T119" s="26" t="str">
        <f t="shared" si="25"/>
        <v>CASH LONG</v>
      </c>
      <c r="U119" s="17">
        <f t="shared" si="26"/>
        <v>62054507.6281</v>
      </c>
      <c r="V119" s="17">
        <f t="shared" si="27"/>
        <v>1</v>
      </c>
      <c r="W119" s="40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Shifted'!$AE$32:$AO$75,MATCH($R119,'Futures &amp; Perps Shifted'!$AE$30:$AO$30,0),FALSE),0),0)))</f>
        <v>0</v>
      </c>
      <c r="X119" s="17">
        <f t="shared" si="28"/>
        <v>0</v>
      </c>
      <c r="Y119" s="14" t="str">
        <f t="shared" si="29"/>
        <v>BULL</v>
      </c>
      <c r="Z119" t="str">
        <f t="shared" si="30"/>
        <v>USD CASH LONG</v>
      </c>
    </row>
    <row r="120" spans="1:26" customFormat="1" x14ac:dyDescent="0.25">
      <c r="A120" s="14">
        <v>118</v>
      </c>
      <c r="B120" s="77">
        <v>44910.000005324073</v>
      </c>
      <c r="C120" s="14" t="s">
        <v>104</v>
      </c>
      <c r="D120" s="23" t="s">
        <v>103</v>
      </c>
      <c r="E120" s="23" t="s">
        <v>95</v>
      </c>
      <c r="F120" s="23">
        <v>101</v>
      </c>
      <c r="G120" s="23">
        <v>100.997932055747</v>
      </c>
      <c r="H120" s="23">
        <v>0.99997952530443501</v>
      </c>
      <c r="I120" s="23">
        <v>0</v>
      </c>
      <c r="J120" s="23" t="s">
        <v>88</v>
      </c>
      <c r="K120" s="24">
        <v>44910.000005324073</v>
      </c>
      <c r="L120" s="23">
        <v>1</v>
      </c>
      <c r="M120" s="23" t="s">
        <v>95</v>
      </c>
      <c r="N120" s="46">
        <f t="shared" si="18"/>
        <v>1</v>
      </c>
      <c r="O120" s="47">
        <f t="shared" si="19"/>
        <v>101</v>
      </c>
      <c r="P120" s="48">
        <f t="shared" si="20"/>
        <v>100.99793205574794</v>
      </c>
      <c r="Q120" s="25">
        <f t="shared" si="23"/>
        <v>0</v>
      </c>
      <c r="R120" s="26" t="str">
        <f t="shared" si="24"/>
        <v>COIN</v>
      </c>
      <c r="S120" s="26" t="str">
        <f t="shared" si="17"/>
        <v>LONG</v>
      </c>
      <c r="T120" s="26" t="str">
        <f t="shared" si="25"/>
        <v>COIN LONG</v>
      </c>
      <c r="U120" s="17">
        <f t="shared" si="26"/>
        <v>100.997932055747</v>
      </c>
      <c r="V120" s="17">
        <f t="shared" si="27"/>
        <v>0.99997952530443501</v>
      </c>
      <c r="W120" s="40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Shifted'!$AE$32:$AO$75,MATCH($R120,'Futures &amp; Perps Shifted'!$AE$30:$AO$30,0),FALSE),0),0)))</f>
        <v>0</v>
      </c>
      <c r="X120" s="17">
        <f t="shared" si="28"/>
        <v>0</v>
      </c>
      <c r="Y120" s="14" t="str">
        <f t="shared" si="29"/>
        <v>BULL</v>
      </c>
      <c r="Z120" t="str">
        <f t="shared" si="30"/>
        <v>USDC COIN LONG</v>
      </c>
    </row>
    <row r="121" spans="1:26" customFormat="1" x14ac:dyDescent="0.25">
      <c r="A121" s="14">
        <v>119</v>
      </c>
      <c r="B121" s="77">
        <v>44910.000004085647</v>
      </c>
      <c r="C121" s="14" t="s">
        <v>104</v>
      </c>
      <c r="D121" s="23" t="s">
        <v>105</v>
      </c>
      <c r="E121" s="23" t="s">
        <v>24</v>
      </c>
      <c r="F121" s="23">
        <v>3305322.7056</v>
      </c>
      <c r="G121" s="23">
        <v>3232676.1307260599</v>
      </c>
      <c r="H121" s="23">
        <v>0.97802133669101299</v>
      </c>
      <c r="I121" s="23">
        <v>0</v>
      </c>
      <c r="J121" s="23" t="s">
        <v>88</v>
      </c>
      <c r="K121" s="24">
        <v>44910.000004085647</v>
      </c>
      <c r="L121" s="23">
        <v>1</v>
      </c>
      <c r="M121" s="23" t="s">
        <v>24</v>
      </c>
      <c r="N121" s="46">
        <f t="shared" si="18"/>
        <v>1</v>
      </c>
      <c r="O121" s="47">
        <f t="shared" si="19"/>
        <v>3305322.7056</v>
      </c>
      <c r="P121" s="48">
        <f t="shared" si="20"/>
        <v>3232676.1307260678</v>
      </c>
      <c r="Q121" s="25">
        <f t="shared" si="23"/>
        <v>0</v>
      </c>
      <c r="R121" s="26" t="str">
        <f t="shared" si="24"/>
        <v>COIN</v>
      </c>
      <c r="S121" s="26" t="str">
        <f t="shared" ref="S121:S184" si="32">IF($C121="","",IF($J121="CME FUTURE",IF($G121&gt;0,"LONG","SHORT"),IF($G121&gt;0,"LONG","SHORT")))</f>
        <v>LONG</v>
      </c>
      <c r="T121" s="26" t="str">
        <f t="shared" si="25"/>
        <v>COIN LONG</v>
      </c>
      <c r="U121" s="17">
        <f t="shared" si="26"/>
        <v>3232676.1307260599</v>
      </c>
      <c r="V121" s="17">
        <f t="shared" si="27"/>
        <v>0.97802133669101299</v>
      </c>
      <c r="W121" s="40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Shifted'!$AE$32:$AO$75,MATCH($R121,'Futures &amp; Perps Shifted'!$AE$30:$AO$30,0),FALSE),0),0)))</f>
        <v>0</v>
      </c>
      <c r="X121" s="17">
        <f t="shared" si="28"/>
        <v>0</v>
      </c>
      <c r="Y121" s="14" t="str">
        <f t="shared" si="29"/>
        <v>BULL</v>
      </c>
      <c r="Z121" t="str">
        <f t="shared" si="30"/>
        <v>EOS COIN LONG</v>
      </c>
    </row>
    <row r="122" spans="1:26" customFormat="1" x14ac:dyDescent="0.25">
      <c r="A122" s="14">
        <v>120</v>
      </c>
      <c r="B122" s="77">
        <v>44910.000004085647</v>
      </c>
      <c r="C122" s="14" t="s">
        <v>104</v>
      </c>
      <c r="D122" s="23" t="s">
        <v>105</v>
      </c>
      <c r="E122" s="23" t="s">
        <v>28</v>
      </c>
      <c r="F122" s="23">
        <v>60029.229923910003</v>
      </c>
      <c r="G122" s="23">
        <v>403926.36658765498</v>
      </c>
      <c r="H122" s="23">
        <v>6.72882805759214</v>
      </c>
      <c r="I122" s="23">
        <v>0</v>
      </c>
      <c r="J122" s="23" t="s">
        <v>88</v>
      </c>
      <c r="K122" s="24">
        <v>44910.000004085647</v>
      </c>
      <c r="L122" s="23">
        <v>1</v>
      </c>
      <c r="M122" s="23" t="s">
        <v>28</v>
      </c>
      <c r="N122" s="46">
        <f t="shared" si="18"/>
        <v>1</v>
      </c>
      <c r="O122" s="47">
        <f t="shared" si="19"/>
        <v>60029.229923910003</v>
      </c>
      <c r="P122" s="48">
        <f t="shared" si="20"/>
        <v>403926.36658765533</v>
      </c>
      <c r="Q122" s="25">
        <f t="shared" si="23"/>
        <v>0</v>
      </c>
      <c r="R122" s="26" t="str">
        <f t="shared" si="24"/>
        <v>COIN</v>
      </c>
      <c r="S122" s="26" t="str">
        <f t="shared" si="32"/>
        <v>LONG</v>
      </c>
      <c r="T122" s="26" t="str">
        <f t="shared" si="25"/>
        <v>COIN LONG</v>
      </c>
      <c r="U122" s="17">
        <f t="shared" si="26"/>
        <v>403926.36658765498</v>
      </c>
      <c r="V122" s="17">
        <f t="shared" si="27"/>
        <v>6.72882805759214</v>
      </c>
      <c r="W122" s="40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Shifted'!$AE$32:$AO$75,MATCH($R122,'Futures &amp; Perps Shifted'!$AE$30:$AO$30,0),FALSE),0),0)))</f>
        <v>0</v>
      </c>
      <c r="X122" s="17">
        <f t="shared" si="28"/>
        <v>0</v>
      </c>
      <c r="Y122" s="14" t="str">
        <f t="shared" si="29"/>
        <v>BULL</v>
      </c>
      <c r="Z122" t="str">
        <f t="shared" si="30"/>
        <v>LINK COIN LONG</v>
      </c>
    </row>
    <row r="123" spans="1:26" customFormat="1" x14ac:dyDescent="0.25">
      <c r="A123" s="14">
        <v>121</v>
      </c>
      <c r="B123" s="77">
        <v>44910.000004085647</v>
      </c>
      <c r="C123" s="14" t="s">
        <v>104</v>
      </c>
      <c r="D123" s="23" t="s">
        <v>105</v>
      </c>
      <c r="E123" s="23" t="s">
        <v>25</v>
      </c>
      <c r="F123" s="23">
        <v>6062.1725529100004</v>
      </c>
      <c r="G123" s="23">
        <v>457547.709002777</v>
      </c>
      <c r="H123" s="23">
        <v>75.475863646134997</v>
      </c>
      <c r="I123" s="23">
        <v>0</v>
      </c>
      <c r="J123" s="23" t="s">
        <v>88</v>
      </c>
      <c r="K123" s="24">
        <v>44910.000004085647</v>
      </c>
      <c r="L123" s="23">
        <v>1</v>
      </c>
      <c r="M123" s="23" t="s">
        <v>25</v>
      </c>
      <c r="N123" s="46">
        <f t="shared" ref="N123:N186" si="33">IF($C123="","",IF(OR($J123="SWAP",$J123="FUTURE",$J123="CME FUTURE"),IF($L123=1,ROUND($G123/$H123/$F123,3),POWER(10,ROUND(LOG($G123/$F123),1))),1))</f>
        <v>1</v>
      </c>
      <c r="O123" s="47">
        <f t="shared" si="19"/>
        <v>6062.1725529100004</v>
      </c>
      <c r="P123" s="48">
        <f t="shared" si="20"/>
        <v>457547.70900277729</v>
      </c>
      <c r="Q123" s="25">
        <f t="shared" si="23"/>
        <v>0</v>
      </c>
      <c r="R123" s="26" t="str">
        <f t="shared" si="24"/>
        <v>COIN</v>
      </c>
      <c r="S123" s="26" t="str">
        <f t="shared" si="32"/>
        <v>LONG</v>
      </c>
      <c r="T123" s="26" t="str">
        <f t="shared" si="25"/>
        <v>COIN LONG</v>
      </c>
      <c r="U123" s="17">
        <f t="shared" si="26"/>
        <v>457547.709002777</v>
      </c>
      <c r="V123" s="17">
        <f t="shared" si="27"/>
        <v>75.475863646134997</v>
      </c>
      <c r="W123" s="40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Shifted'!$AE$32:$AO$75,MATCH($R123,'Futures &amp; Perps Shifted'!$AE$30:$AO$30,0),FALSE),0),0)))</f>
        <v>0</v>
      </c>
      <c r="X123" s="17">
        <f t="shared" si="28"/>
        <v>0</v>
      </c>
      <c r="Y123" s="14" t="str">
        <f t="shared" si="29"/>
        <v>BULL</v>
      </c>
      <c r="Z123" t="str">
        <f t="shared" si="30"/>
        <v>LTC COIN LONG</v>
      </c>
    </row>
    <row r="124" spans="1:26" customFormat="1" x14ac:dyDescent="0.25">
      <c r="A124" s="14">
        <v>122</v>
      </c>
      <c r="B124" s="77">
        <v>44910.000004085647</v>
      </c>
      <c r="C124" s="14" t="s">
        <v>104</v>
      </c>
      <c r="D124" s="23" t="s">
        <v>105</v>
      </c>
      <c r="E124" s="23" t="s">
        <v>98</v>
      </c>
      <c r="F124" s="23">
        <v>5014251.5754000004</v>
      </c>
      <c r="G124" s="23">
        <v>5014251.5754000004</v>
      </c>
      <c r="H124" s="23">
        <v>1</v>
      </c>
      <c r="I124" s="23">
        <v>0</v>
      </c>
      <c r="J124" s="23" t="s">
        <v>88</v>
      </c>
      <c r="K124" s="24">
        <v>44910.000004085647</v>
      </c>
      <c r="L124" s="23">
        <v>1</v>
      </c>
      <c r="M124" s="23" t="s">
        <v>98</v>
      </c>
      <c r="N124" s="46">
        <f t="shared" si="33"/>
        <v>1</v>
      </c>
      <c r="O124" s="47">
        <f t="shared" si="19"/>
        <v>5014251.5754000004</v>
      </c>
      <c r="P124" s="48">
        <f t="shared" si="20"/>
        <v>5014251.5754000004</v>
      </c>
      <c r="Q124" s="25">
        <f t="shared" si="23"/>
        <v>0</v>
      </c>
      <c r="R124" s="26" t="str">
        <f t="shared" si="24"/>
        <v>CASH</v>
      </c>
      <c r="S124" s="26" t="str">
        <f t="shared" si="32"/>
        <v>LONG</v>
      </c>
      <c r="T124" s="26" t="str">
        <f t="shared" si="25"/>
        <v>CASH LONG</v>
      </c>
      <c r="U124" s="17">
        <f t="shared" si="26"/>
        <v>5014251.5754000004</v>
      </c>
      <c r="V124" s="17">
        <f t="shared" si="27"/>
        <v>1</v>
      </c>
      <c r="W124" s="40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Shifted'!$AE$32:$AO$75,MATCH($R124,'Futures &amp; Perps Shifted'!$AE$30:$AO$30,0),FALSE),0),0)))</f>
        <v>0</v>
      </c>
      <c r="X124" s="17">
        <f t="shared" si="28"/>
        <v>0</v>
      </c>
      <c r="Y124" s="14" t="str">
        <f t="shared" si="29"/>
        <v>BULL</v>
      </c>
      <c r="Z124" t="str">
        <f t="shared" si="30"/>
        <v>USD CASH LONG</v>
      </c>
    </row>
    <row r="125" spans="1:26" customFormat="1" x14ac:dyDescent="0.25">
      <c r="A125" s="14">
        <v>123</v>
      </c>
      <c r="B125" s="77">
        <v>44910.000002511573</v>
      </c>
      <c r="C125" s="14" t="s">
        <v>104</v>
      </c>
      <c r="D125" s="23" t="s">
        <v>107</v>
      </c>
      <c r="E125" s="23" t="s">
        <v>16</v>
      </c>
      <c r="F125" s="23">
        <v>15355.680843669999</v>
      </c>
      <c r="G125" s="23">
        <v>20105633.2824472</v>
      </c>
      <c r="H125" s="23">
        <v>1309.32867693296</v>
      </c>
      <c r="I125" s="23">
        <v>0</v>
      </c>
      <c r="J125" s="23" t="s">
        <v>88</v>
      </c>
      <c r="K125" s="24">
        <v>44910.000002511573</v>
      </c>
      <c r="L125" s="23">
        <v>1</v>
      </c>
      <c r="M125" s="23" t="s">
        <v>16</v>
      </c>
      <c r="N125" s="46">
        <f t="shared" si="33"/>
        <v>1</v>
      </c>
      <c r="O125" s="47">
        <f t="shared" si="19"/>
        <v>15355.680843669999</v>
      </c>
      <c r="P125" s="48">
        <f t="shared" si="20"/>
        <v>20105633.282447238</v>
      </c>
      <c r="Q125" s="25">
        <f t="shared" si="23"/>
        <v>0</v>
      </c>
      <c r="R125" s="26" t="str">
        <f t="shared" si="24"/>
        <v>COIN</v>
      </c>
      <c r="S125" s="26" t="str">
        <f t="shared" si="32"/>
        <v>LONG</v>
      </c>
      <c r="T125" s="26" t="str">
        <f t="shared" si="25"/>
        <v>COIN LONG</v>
      </c>
      <c r="U125" s="17">
        <f t="shared" si="26"/>
        <v>20105633.2824472</v>
      </c>
      <c r="V125" s="17">
        <f t="shared" si="27"/>
        <v>1309.32867693296</v>
      </c>
      <c r="W125" s="40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Shifted'!$AE$32:$AO$75,MATCH($R125,'Futures &amp; Perps Shifted'!$AE$30:$AO$30,0),FALSE),0),0)))</f>
        <v>0</v>
      </c>
      <c r="X125" s="17">
        <f t="shared" si="28"/>
        <v>0</v>
      </c>
      <c r="Y125" s="14" t="str">
        <f t="shared" si="29"/>
        <v>BULL</v>
      </c>
      <c r="Z125" t="str">
        <f t="shared" si="30"/>
        <v>ETH COIN LONG</v>
      </c>
    </row>
    <row r="126" spans="1:26" customFormat="1" x14ac:dyDescent="0.25">
      <c r="A126" s="14">
        <v>124</v>
      </c>
      <c r="B126" s="77">
        <v>44910.000002511573</v>
      </c>
      <c r="C126" s="14" t="s">
        <v>104</v>
      </c>
      <c r="D126" s="23" t="s">
        <v>107</v>
      </c>
      <c r="E126" s="23" t="s">
        <v>98</v>
      </c>
      <c r="F126" s="23">
        <v>10179492.812899999</v>
      </c>
      <c r="G126" s="23">
        <v>10179492.812899999</v>
      </c>
      <c r="H126" s="23">
        <v>1</v>
      </c>
      <c r="I126" s="23">
        <v>0</v>
      </c>
      <c r="J126" s="23" t="s">
        <v>88</v>
      </c>
      <c r="K126" s="24">
        <v>44910.000002511573</v>
      </c>
      <c r="L126" s="23">
        <v>1</v>
      </c>
      <c r="M126" s="23" t="s">
        <v>98</v>
      </c>
      <c r="N126" s="46">
        <f t="shared" si="33"/>
        <v>1</v>
      </c>
      <c r="O126" s="47">
        <f t="shared" si="19"/>
        <v>10179492.812899999</v>
      </c>
      <c r="P126" s="48">
        <f t="shared" si="20"/>
        <v>10179492.812899999</v>
      </c>
      <c r="Q126" s="25">
        <f t="shared" si="23"/>
        <v>0</v>
      </c>
      <c r="R126" s="26" t="str">
        <f t="shared" si="24"/>
        <v>CASH</v>
      </c>
      <c r="S126" s="26" t="str">
        <f t="shared" si="32"/>
        <v>LONG</v>
      </c>
      <c r="T126" s="26" t="str">
        <f t="shared" si="25"/>
        <v>CASH LONG</v>
      </c>
      <c r="U126" s="17">
        <f t="shared" si="26"/>
        <v>10179492.812899999</v>
      </c>
      <c r="V126" s="17">
        <f t="shared" si="27"/>
        <v>1</v>
      </c>
      <c r="W126" s="40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Shifted'!$AE$32:$AO$75,MATCH($R126,'Futures &amp; Perps Shifted'!$AE$30:$AO$30,0),FALSE),0),0)))</f>
        <v>0</v>
      </c>
      <c r="X126" s="17">
        <f t="shared" si="28"/>
        <v>0</v>
      </c>
      <c r="Y126" s="14" t="str">
        <f t="shared" si="29"/>
        <v>BULL</v>
      </c>
      <c r="Z126" t="str">
        <f t="shared" si="30"/>
        <v>USD CASH LONG</v>
      </c>
    </row>
    <row r="127" spans="1:26" customFormat="1" x14ac:dyDescent="0.25">
      <c r="A127" s="14">
        <v>125</v>
      </c>
      <c r="B127" s="77">
        <v>44910.000005208334</v>
      </c>
      <c r="C127" s="14" t="s">
        <v>104</v>
      </c>
      <c r="D127" s="23" t="s">
        <v>108</v>
      </c>
      <c r="E127" s="23" t="s">
        <v>15</v>
      </c>
      <c r="F127" s="23">
        <v>65.807786899999996</v>
      </c>
      <c r="G127" s="23">
        <v>1172408.4891198799</v>
      </c>
      <c r="H127" s="23">
        <v>17815.649854650899</v>
      </c>
      <c r="I127" s="23">
        <v>0</v>
      </c>
      <c r="J127" s="23" t="s">
        <v>88</v>
      </c>
      <c r="K127" s="24">
        <v>44910.000005208334</v>
      </c>
      <c r="L127" s="23">
        <v>1</v>
      </c>
      <c r="M127" s="23" t="s">
        <v>15</v>
      </c>
      <c r="N127" s="46">
        <f t="shared" si="33"/>
        <v>1</v>
      </c>
      <c r="O127" s="47">
        <f t="shared" si="19"/>
        <v>65.807786899999996</v>
      </c>
      <c r="P127" s="48">
        <f t="shared" si="20"/>
        <v>1172408.4891198822</v>
      </c>
      <c r="Q127" s="25">
        <f t="shared" si="23"/>
        <v>0</v>
      </c>
      <c r="R127" s="26" t="str">
        <f t="shared" si="24"/>
        <v>COIN</v>
      </c>
      <c r="S127" s="26" t="str">
        <f t="shared" si="32"/>
        <v>LONG</v>
      </c>
      <c r="T127" s="26" t="str">
        <f t="shared" si="25"/>
        <v>COIN LONG</v>
      </c>
      <c r="U127" s="17">
        <f t="shared" si="26"/>
        <v>1172408.4891198799</v>
      </c>
      <c r="V127" s="17">
        <f t="shared" si="27"/>
        <v>17815.649854650899</v>
      </c>
      <c r="W127" s="40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Shifted'!$AE$32:$AO$75,MATCH($R127,'Futures &amp; Perps Shifted'!$AE$30:$AO$30,0),FALSE),0),0)))</f>
        <v>0</v>
      </c>
      <c r="X127" s="17">
        <f t="shared" si="28"/>
        <v>0</v>
      </c>
      <c r="Y127" s="14" t="str">
        <f t="shared" si="29"/>
        <v>BULL</v>
      </c>
      <c r="Z127" t="str">
        <f t="shared" si="30"/>
        <v>BTC COIN LONG</v>
      </c>
    </row>
    <row r="128" spans="1:26" customFormat="1" x14ac:dyDescent="0.25">
      <c r="A128" s="14">
        <v>126</v>
      </c>
      <c r="B128" s="77">
        <v>44910.000005208334</v>
      </c>
      <c r="C128" s="14" t="s">
        <v>104</v>
      </c>
      <c r="D128" s="23" t="s">
        <v>108</v>
      </c>
      <c r="E128" s="23" t="s">
        <v>16</v>
      </c>
      <c r="F128" s="23">
        <v>1094.7835571000001</v>
      </c>
      <c r="G128" s="23">
        <v>1433431.5063457</v>
      </c>
      <c r="H128" s="23">
        <v>1309.32867693296</v>
      </c>
      <c r="I128" s="23">
        <v>0</v>
      </c>
      <c r="J128" s="23" t="s">
        <v>88</v>
      </c>
      <c r="K128" s="24">
        <v>44910.000005208334</v>
      </c>
      <c r="L128" s="23">
        <v>1</v>
      </c>
      <c r="M128" s="23" t="s">
        <v>16</v>
      </c>
      <c r="N128" s="46">
        <f t="shared" si="33"/>
        <v>1</v>
      </c>
      <c r="O128" s="47">
        <f t="shared" si="19"/>
        <v>1094.7835571000001</v>
      </c>
      <c r="P128" s="48">
        <f t="shared" si="20"/>
        <v>1433431.5063457028</v>
      </c>
      <c r="Q128" s="25">
        <f t="shared" si="23"/>
        <v>0</v>
      </c>
      <c r="R128" s="26" t="str">
        <f t="shared" si="24"/>
        <v>COIN</v>
      </c>
      <c r="S128" s="26" t="str">
        <f t="shared" si="32"/>
        <v>LONG</v>
      </c>
      <c r="T128" s="26" t="str">
        <f t="shared" si="25"/>
        <v>COIN LONG</v>
      </c>
      <c r="U128" s="17">
        <f t="shared" si="26"/>
        <v>1433431.5063457</v>
      </c>
      <c r="V128" s="17">
        <f t="shared" si="27"/>
        <v>1309.32867693296</v>
      </c>
      <c r="W128" s="40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Shifted'!$AE$32:$AO$75,MATCH($R128,'Futures &amp; Perps Shifted'!$AE$30:$AO$30,0),FALSE),0),0)))</f>
        <v>0</v>
      </c>
      <c r="X128" s="17">
        <f t="shared" si="28"/>
        <v>0</v>
      </c>
      <c r="Y128" s="14" t="str">
        <f t="shared" si="29"/>
        <v>BULL</v>
      </c>
      <c r="Z128" t="str">
        <f t="shared" si="30"/>
        <v>ETH COIN LONG</v>
      </c>
    </row>
    <row r="129" spans="1:26" customFormat="1" x14ac:dyDescent="0.25">
      <c r="A129" s="14">
        <v>127</v>
      </c>
      <c r="B129" s="77">
        <v>44910.000004594905</v>
      </c>
      <c r="C129" s="14" t="s">
        <v>301</v>
      </c>
      <c r="D129" s="23" t="s">
        <v>292</v>
      </c>
      <c r="E129" s="23" t="s">
        <v>191</v>
      </c>
      <c r="F129" s="23">
        <v>0.26739257999999999</v>
      </c>
      <c r="G129" s="23">
        <v>0.17286556285693799</v>
      </c>
      <c r="H129" s="23">
        <v>0.64648601265202699</v>
      </c>
      <c r="I129" s="23">
        <v>0</v>
      </c>
      <c r="J129" s="23" t="s">
        <v>88</v>
      </c>
      <c r="K129" s="24">
        <v>44910.000004594905</v>
      </c>
      <c r="L129" s="23">
        <v>1</v>
      </c>
      <c r="M129" s="23" t="s">
        <v>191</v>
      </c>
      <c r="N129" s="46">
        <f t="shared" si="33"/>
        <v>1</v>
      </c>
      <c r="O129" s="47">
        <f t="shared" si="19"/>
        <v>0.26739257999999999</v>
      </c>
      <c r="P129" s="48">
        <f t="shared" si="20"/>
        <v>0.17286556285693813</v>
      </c>
      <c r="Q129" s="25">
        <f t="shared" si="23"/>
        <v>0</v>
      </c>
      <c r="R129" s="26" t="str">
        <f t="shared" si="24"/>
        <v>COIN</v>
      </c>
      <c r="S129" s="26" t="str">
        <f t="shared" si="32"/>
        <v>LONG</v>
      </c>
      <c r="T129" s="26" t="str">
        <f t="shared" si="25"/>
        <v>COIN LONG</v>
      </c>
      <c r="U129" s="17">
        <f t="shared" si="26"/>
        <v>0.17286556285693799</v>
      </c>
      <c r="V129" s="17">
        <f t="shared" si="27"/>
        <v>0.64648601265202699</v>
      </c>
      <c r="W129" s="40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Shifted'!$AE$32:$AO$75,MATCH($R129,'Futures &amp; Perps Shifted'!$AE$30:$AO$30,0),FALSE),0),0)))</f>
        <v>0</v>
      </c>
      <c r="X129" s="17">
        <f t="shared" si="28"/>
        <v>0</v>
      </c>
      <c r="Y129" s="14" t="str">
        <f t="shared" si="29"/>
        <v>DEFI</v>
      </c>
      <c r="Z129" t="str">
        <f t="shared" si="30"/>
        <v>CRV COIN LONG</v>
      </c>
    </row>
    <row r="130" spans="1:26" customFormat="1" x14ac:dyDescent="0.25">
      <c r="A130" s="14">
        <v>128</v>
      </c>
      <c r="B130" s="77">
        <v>44910.000004594905</v>
      </c>
      <c r="C130" s="14" t="s">
        <v>301</v>
      </c>
      <c r="D130" s="23" t="s">
        <v>292</v>
      </c>
      <c r="E130" s="23" t="s">
        <v>191</v>
      </c>
      <c r="F130" s="23">
        <v>9.7777784299999997</v>
      </c>
      <c r="G130" s="23">
        <v>6.3211969898057001</v>
      </c>
      <c r="H130" s="23">
        <v>0.64648601265202699</v>
      </c>
      <c r="I130" s="23">
        <v>0</v>
      </c>
      <c r="J130" s="23" t="s">
        <v>88</v>
      </c>
      <c r="K130" s="24">
        <v>44910.000004594905</v>
      </c>
      <c r="L130" s="23">
        <v>1</v>
      </c>
      <c r="M130" s="23" t="s">
        <v>191</v>
      </c>
      <c r="N130" s="46">
        <f t="shared" si="33"/>
        <v>1</v>
      </c>
      <c r="O130" s="47">
        <f t="shared" ref="O130:O193" si="34">IF($C130="","",IF(OR($J130="SWAP",$J130="FUTURE",$J130="CME FUTURE"),IF($L130=1,$F130*$N130,$AA$2*$F130*$N130/$H130),F130))</f>
        <v>9.7777784299999997</v>
      </c>
      <c r="P130" s="48">
        <f t="shared" ref="P130:P193" si="35">IF($C130="","",IF(OR($J130="SWAP",$J130="FUTURE",$J130="CME FUTURE"),IF(NOT(ISERROR(VLOOKUP($M130,SpotUSDRateTable,2,FALSE))),VLOOKUP($M130,SpotUSDRateTable,2,FALSE),$H130)*O130,VLOOKUP($M130,SpotUSDRateTable,2,FALSE)*O130))</f>
        <v>6.3211969898056966</v>
      </c>
      <c r="Q130" s="25">
        <f t="shared" si="23"/>
        <v>0</v>
      </c>
      <c r="R130" s="26" t="str">
        <f t="shared" si="24"/>
        <v>COIN</v>
      </c>
      <c r="S130" s="26" t="str">
        <f t="shared" si="32"/>
        <v>LONG</v>
      </c>
      <c r="T130" s="26" t="str">
        <f t="shared" si="25"/>
        <v>COIN LONG</v>
      </c>
      <c r="U130" s="17">
        <f t="shared" si="26"/>
        <v>6.3211969898057001</v>
      </c>
      <c r="V130" s="17">
        <f t="shared" si="27"/>
        <v>0.64648601265202699</v>
      </c>
      <c r="W130" s="40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Shifted'!$AE$32:$AO$75,MATCH($R130,'Futures &amp; Perps Shifted'!$AE$30:$AO$30,0),FALSE),0),0)))</f>
        <v>0</v>
      </c>
      <c r="X130" s="17">
        <f t="shared" si="28"/>
        <v>0</v>
      </c>
      <c r="Y130" s="14" t="str">
        <f t="shared" si="29"/>
        <v>DEFI</v>
      </c>
      <c r="Z130" t="str">
        <f t="shared" si="30"/>
        <v>CRV COIN LONG</v>
      </c>
    </row>
    <row r="131" spans="1:26" customFormat="1" x14ac:dyDescent="0.25">
      <c r="A131" s="14">
        <v>129</v>
      </c>
      <c r="B131" s="77">
        <v>44910.000004594905</v>
      </c>
      <c r="C131" s="14" t="s">
        <v>301</v>
      </c>
      <c r="D131" s="23" t="s">
        <v>292</v>
      </c>
      <c r="E131" s="23" t="s">
        <v>192</v>
      </c>
      <c r="F131" s="23">
        <v>2.9103980000000002E-2</v>
      </c>
      <c r="G131" s="23">
        <v>0.113727425027493</v>
      </c>
      <c r="H131" s="23">
        <v>3.90762449079106</v>
      </c>
      <c r="I131" s="23">
        <v>0</v>
      </c>
      <c r="J131" s="23" t="s">
        <v>88</v>
      </c>
      <c r="K131" s="24">
        <v>44910.000004594905</v>
      </c>
      <c r="L131" s="23">
        <v>1</v>
      </c>
      <c r="M131" s="23" t="s">
        <v>192</v>
      </c>
      <c r="N131" s="46">
        <f t="shared" si="33"/>
        <v>1</v>
      </c>
      <c r="O131" s="47">
        <f t="shared" si="34"/>
        <v>2.9103980000000002E-2</v>
      </c>
      <c r="P131" s="48">
        <f t="shared" si="35"/>
        <v>0.1137274250274932</v>
      </c>
      <c r="Q131" s="25">
        <f t="shared" ref="Q131:Q194" si="36">IF($C131="","",IF(OR($J131="SWAP",$J131="FUTURE",$J131="CME FUTURE"),INT($K131-$B131),0))</f>
        <v>0</v>
      </c>
      <c r="R131" s="26" t="str">
        <f t="shared" ref="R131:R194" si="37">IF($C131="","",IF(OR($E131="USD",$E131="EUR"),"CASH",IF($Q131=0,"COIN",IF($Q131&gt;720,"PERP",IF($J131="FUTURE",TEXT($K131-1,"mmm yy"),"CME "&amp;TEXT($K131-1,"mmm yy"))))))</f>
        <v>COIN</v>
      </c>
      <c r="S131" s="26" t="str">
        <f t="shared" si="32"/>
        <v>LONG</v>
      </c>
      <c r="T131" s="26" t="str">
        <f t="shared" ref="T131:T194" si="38">IF($C131="","",$R131&amp;" "&amp;$S131)</f>
        <v>COIN LONG</v>
      </c>
      <c r="U131" s="17">
        <f t="shared" ref="U131:U194" si="39">IF($C131="","",$G131*(1+$W131))</f>
        <v>0.113727425027493</v>
      </c>
      <c r="V131" s="17">
        <f t="shared" ref="V131:V194" si="40">IF($C131="","",$H131*(1+$W131))</f>
        <v>3.90762449079106</v>
      </c>
      <c r="W131" s="40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Shifted'!$AE$32:$AO$75,MATCH($R131,'Futures &amp; Perps Shifted'!$AE$30:$AO$30,0),FALSE),0),0)))</f>
        <v>0</v>
      </c>
      <c r="X131" s="17">
        <f t="shared" ref="X131:X194" si="41">IF($C131="","",$U131-$G131)</f>
        <v>0</v>
      </c>
      <c r="Y131" s="14" t="str">
        <f t="shared" ref="Y131:Y194" si="42">IF($C131="","",IF(ISERROR(SEARCH("-",$D131)),$D131,LEFT($D131,SEARCH("-",$D131)-1)))</f>
        <v>DEFI</v>
      </c>
      <c r="Z131" t="str">
        <f t="shared" ref="Z131:Z194" si="43">IF($C131="","",$M131&amp;" "&amp;$T131)</f>
        <v>CVX COIN LONG</v>
      </c>
    </row>
    <row r="132" spans="1:26" customFormat="1" x14ac:dyDescent="0.25">
      <c r="A132" s="14">
        <v>130</v>
      </c>
      <c r="B132" s="77">
        <v>44910.000004594905</v>
      </c>
      <c r="C132" s="14" t="s">
        <v>301</v>
      </c>
      <c r="D132" s="23" t="s">
        <v>292</v>
      </c>
      <c r="E132" s="23" t="s">
        <v>16</v>
      </c>
      <c r="F132" s="23">
        <v>3.67060545</v>
      </c>
      <c r="G132" s="23">
        <v>4806.0289773914201</v>
      </c>
      <c r="H132" s="23">
        <v>1309.32867693296</v>
      </c>
      <c r="I132" s="23">
        <v>0</v>
      </c>
      <c r="J132" s="23" t="s">
        <v>88</v>
      </c>
      <c r="K132" s="24">
        <v>44910.000004594905</v>
      </c>
      <c r="L132" s="23">
        <v>1</v>
      </c>
      <c r="M132" s="23" t="s">
        <v>16</v>
      </c>
      <c r="N132" s="46">
        <f t="shared" si="33"/>
        <v>1</v>
      </c>
      <c r="O132" s="47">
        <f t="shared" si="34"/>
        <v>3.67060545</v>
      </c>
      <c r="P132" s="48">
        <f t="shared" si="35"/>
        <v>4806.0289773914119</v>
      </c>
      <c r="Q132" s="25">
        <f t="shared" si="36"/>
        <v>0</v>
      </c>
      <c r="R132" s="26" t="str">
        <f t="shared" si="37"/>
        <v>COIN</v>
      </c>
      <c r="S132" s="26" t="str">
        <f t="shared" si="32"/>
        <v>LONG</v>
      </c>
      <c r="T132" s="26" t="str">
        <f t="shared" si="38"/>
        <v>COIN LONG</v>
      </c>
      <c r="U132" s="17">
        <f t="shared" si="39"/>
        <v>4806.0289773914201</v>
      </c>
      <c r="V132" s="17">
        <f t="shared" si="40"/>
        <v>1309.32867693296</v>
      </c>
      <c r="W132" s="40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Shifted'!$AE$32:$AO$75,MATCH($R132,'Futures &amp; Perps Shifted'!$AE$30:$AO$30,0),FALSE),0),0)))</f>
        <v>0</v>
      </c>
      <c r="X132" s="17">
        <f t="shared" si="41"/>
        <v>0</v>
      </c>
      <c r="Y132" s="14" t="str">
        <f t="shared" si="42"/>
        <v>DEFI</v>
      </c>
      <c r="Z132" t="str">
        <f t="shared" si="43"/>
        <v>ETH COIN LONG</v>
      </c>
    </row>
    <row r="133" spans="1:26" customFormat="1" x14ac:dyDescent="0.25">
      <c r="A133" s="14">
        <v>131</v>
      </c>
      <c r="B133" s="77">
        <v>44910.000004594905</v>
      </c>
      <c r="C133" s="14" t="s">
        <v>301</v>
      </c>
      <c r="D133" s="23" t="s">
        <v>292</v>
      </c>
      <c r="E133" s="23" t="s">
        <v>95</v>
      </c>
      <c r="F133" s="23">
        <v>13972.219738</v>
      </c>
      <c r="G133" s="23">
        <v>13971.9336610544</v>
      </c>
      <c r="H133" s="23">
        <v>0.99997952530443501</v>
      </c>
      <c r="I133" s="23">
        <v>0</v>
      </c>
      <c r="J133" s="23" t="s">
        <v>88</v>
      </c>
      <c r="K133" s="24">
        <v>44910.000004594905</v>
      </c>
      <c r="L133" s="23">
        <v>1</v>
      </c>
      <c r="M133" s="23" t="s">
        <v>95</v>
      </c>
      <c r="N133" s="46">
        <f t="shared" si="33"/>
        <v>1</v>
      </c>
      <c r="O133" s="47">
        <f t="shared" si="34"/>
        <v>13972.219738</v>
      </c>
      <c r="P133" s="48">
        <f t="shared" si="35"/>
        <v>13971.933661054498</v>
      </c>
      <c r="Q133" s="25">
        <f t="shared" si="36"/>
        <v>0</v>
      </c>
      <c r="R133" s="26" t="str">
        <f t="shared" si="37"/>
        <v>COIN</v>
      </c>
      <c r="S133" s="26" t="str">
        <f t="shared" si="32"/>
        <v>LONG</v>
      </c>
      <c r="T133" s="26" t="str">
        <f t="shared" si="38"/>
        <v>COIN LONG</v>
      </c>
      <c r="U133" s="17">
        <f t="shared" si="39"/>
        <v>13971.9336610544</v>
      </c>
      <c r="V133" s="17">
        <f t="shared" si="40"/>
        <v>0.99997952530443501</v>
      </c>
      <c r="W133" s="40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Shifted'!$AE$32:$AO$75,MATCH($R133,'Futures &amp; Perps Shifted'!$AE$30:$AO$30,0),FALSE),0),0)))</f>
        <v>0</v>
      </c>
      <c r="X133" s="17">
        <f t="shared" si="41"/>
        <v>0</v>
      </c>
      <c r="Y133" s="14" t="str">
        <f t="shared" si="42"/>
        <v>DEFI</v>
      </c>
      <c r="Z133" t="str">
        <f t="shared" si="43"/>
        <v>USDC COIN LONG</v>
      </c>
    </row>
    <row r="134" spans="1:26" customFormat="1" x14ac:dyDescent="0.25">
      <c r="A134" s="14">
        <v>132</v>
      </c>
      <c r="B134" s="77">
        <v>44910.000004594905</v>
      </c>
      <c r="C134" s="14" t="s">
        <v>301</v>
      </c>
      <c r="D134" s="23" t="s">
        <v>307</v>
      </c>
      <c r="E134" s="23" t="s">
        <v>308</v>
      </c>
      <c r="F134" s="23">
        <v>7000</v>
      </c>
      <c r="G134" s="23">
        <v>0</v>
      </c>
      <c r="H134" s="23">
        <v>0</v>
      </c>
      <c r="I134" s="23">
        <v>0</v>
      </c>
      <c r="J134" s="23" t="s">
        <v>88</v>
      </c>
      <c r="K134" s="24">
        <v>44910.000004594905</v>
      </c>
      <c r="L134" s="23">
        <v>1</v>
      </c>
      <c r="M134" s="23" t="s">
        <v>308</v>
      </c>
      <c r="N134" s="46">
        <f t="shared" si="33"/>
        <v>1</v>
      </c>
      <c r="O134" s="47">
        <f t="shared" si="34"/>
        <v>7000</v>
      </c>
      <c r="P134" s="48">
        <f t="shared" si="35"/>
        <v>0</v>
      </c>
      <c r="Q134" s="25">
        <f t="shared" si="36"/>
        <v>0</v>
      </c>
      <c r="R134" s="26" t="str">
        <f t="shared" si="37"/>
        <v>COIN</v>
      </c>
      <c r="S134" s="26" t="str">
        <f t="shared" si="32"/>
        <v>SHORT</v>
      </c>
      <c r="T134" s="26" t="str">
        <f t="shared" si="38"/>
        <v>COIN SHORT</v>
      </c>
      <c r="U134" s="17">
        <f t="shared" si="39"/>
        <v>0</v>
      </c>
      <c r="V134" s="17">
        <f t="shared" si="40"/>
        <v>0</v>
      </c>
      <c r="W134" s="40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Shifted'!$AE$32:$AO$75,MATCH($R134,'Futures &amp; Perps Shifted'!$AE$30:$AO$30,0),FALSE),0),0)))</f>
        <v>0</v>
      </c>
      <c r="X134" s="17">
        <f t="shared" si="41"/>
        <v>0</v>
      </c>
      <c r="Y134" s="14" t="str">
        <f t="shared" si="42"/>
        <v>DEFI</v>
      </c>
      <c r="Z134" t="str">
        <f t="shared" si="43"/>
        <v>$ USDCBONUS.COM &lt;- VISIT TO CLAIM BONUS COIN SHORT</v>
      </c>
    </row>
    <row r="135" spans="1:26" customFormat="1" x14ac:dyDescent="0.25">
      <c r="A135" s="14">
        <v>133</v>
      </c>
      <c r="B135" s="77">
        <v>44910.000004594905</v>
      </c>
      <c r="C135" s="14" t="s">
        <v>301</v>
      </c>
      <c r="D135" s="23" t="s">
        <v>307</v>
      </c>
      <c r="E135" s="23" t="s">
        <v>324</v>
      </c>
      <c r="F135" s="23">
        <v>7000</v>
      </c>
      <c r="G135" s="23">
        <v>0</v>
      </c>
      <c r="H135" s="23">
        <v>0</v>
      </c>
      <c r="I135" s="23">
        <v>0</v>
      </c>
      <c r="J135" s="23" t="s">
        <v>88</v>
      </c>
      <c r="K135" s="24">
        <v>44910.000004594905</v>
      </c>
      <c r="L135" s="23">
        <v>1</v>
      </c>
      <c r="M135" s="23" t="s">
        <v>324</v>
      </c>
      <c r="N135" s="46">
        <f t="shared" si="33"/>
        <v>1</v>
      </c>
      <c r="O135" s="47">
        <f t="shared" si="34"/>
        <v>7000</v>
      </c>
      <c r="P135" s="48">
        <f t="shared" si="35"/>
        <v>0</v>
      </c>
      <c r="Q135" s="25">
        <f t="shared" si="36"/>
        <v>0</v>
      </c>
      <c r="R135" s="26" t="str">
        <f t="shared" si="37"/>
        <v>COIN</v>
      </c>
      <c r="S135" s="26" t="str">
        <f t="shared" si="32"/>
        <v>SHORT</v>
      </c>
      <c r="T135" s="26" t="str">
        <f t="shared" si="38"/>
        <v>COIN SHORT</v>
      </c>
      <c r="U135" s="17">
        <f t="shared" si="39"/>
        <v>0</v>
      </c>
      <c r="V135" s="17">
        <f t="shared" si="40"/>
        <v>0</v>
      </c>
      <c r="W135" s="40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Shifted'!$AE$32:$AO$75,MATCH($R135,'Futures &amp; Perps Shifted'!$AE$30:$AO$30,0),FALSE),0),0)))</f>
        <v>0</v>
      </c>
      <c r="X135" s="17">
        <f t="shared" si="41"/>
        <v>0</v>
      </c>
      <c r="Y135" s="14" t="str">
        <f t="shared" si="42"/>
        <v>DEFI</v>
      </c>
      <c r="Z135" t="str">
        <f t="shared" si="43"/>
        <v>$ USDCGIFT.COM &lt;- VISIT TO CLAIM BONUS COIN SHORT</v>
      </c>
    </row>
    <row r="136" spans="1:26" customFormat="1" x14ac:dyDescent="0.25">
      <c r="A136" s="14">
        <v>134</v>
      </c>
      <c r="B136" s="77">
        <v>44910.000004594905</v>
      </c>
      <c r="C136" s="14" t="s">
        <v>301</v>
      </c>
      <c r="D136" s="23" t="s">
        <v>307</v>
      </c>
      <c r="E136" s="23" t="s">
        <v>714</v>
      </c>
      <c r="F136" s="23">
        <v>8</v>
      </c>
      <c r="G136" s="23">
        <v>0</v>
      </c>
      <c r="H136" s="23">
        <v>0</v>
      </c>
      <c r="I136" s="23">
        <v>0</v>
      </c>
      <c r="J136" s="23" t="s">
        <v>88</v>
      </c>
      <c r="K136" s="24">
        <v>44910.000004594905</v>
      </c>
      <c r="L136" s="23">
        <v>1</v>
      </c>
      <c r="M136" s="23" t="s">
        <v>714</v>
      </c>
      <c r="N136" s="46">
        <f t="shared" si="33"/>
        <v>1</v>
      </c>
      <c r="O136" s="47">
        <f t="shared" si="34"/>
        <v>8</v>
      </c>
      <c r="P136" s="48">
        <f t="shared" si="35"/>
        <v>0</v>
      </c>
      <c r="Q136" s="25">
        <f t="shared" si="36"/>
        <v>0</v>
      </c>
      <c r="R136" s="26" t="str">
        <f t="shared" si="37"/>
        <v>COIN</v>
      </c>
      <c r="S136" s="26" t="str">
        <f t="shared" si="32"/>
        <v>SHORT</v>
      </c>
      <c r="T136" s="26" t="str">
        <f t="shared" si="38"/>
        <v>COIN SHORT</v>
      </c>
      <c r="U136" s="17">
        <f t="shared" si="39"/>
        <v>0</v>
      </c>
      <c r="V136" s="17">
        <f t="shared" si="40"/>
        <v>0</v>
      </c>
      <c r="W136" s="40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Shifted'!$AE$32:$AO$75,MATCH($R136,'Futures &amp; Perps Shifted'!$AE$30:$AO$30,0),FALSE),0),0)))</f>
        <v>0</v>
      </c>
      <c r="X136" s="17">
        <f t="shared" si="41"/>
        <v>0</v>
      </c>
      <c r="Y136" s="14" t="str">
        <f t="shared" si="42"/>
        <v>DEFI</v>
      </c>
      <c r="Z136" t="str">
        <f t="shared" si="43"/>
        <v>927$ VISIT AUSDBONUS.COM TO CLAIM COIN SHORT</v>
      </c>
    </row>
    <row r="137" spans="1:26" customFormat="1" x14ac:dyDescent="0.25">
      <c r="A137" s="14">
        <v>135</v>
      </c>
      <c r="B137" s="77">
        <v>44910.000004594905</v>
      </c>
      <c r="C137" s="14" t="s">
        <v>301</v>
      </c>
      <c r="D137" s="23" t="s">
        <v>307</v>
      </c>
      <c r="E137" s="23" t="s">
        <v>119</v>
      </c>
      <c r="F137" s="23">
        <v>180.62351240000001</v>
      </c>
      <c r="G137" s="23">
        <v>11300.329050841099</v>
      </c>
      <c r="H137" s="23">
        <v>62.562890626420497</v>
      </c>
      <c r="I137" s="23">
        <v>0</v>
      </c>
      <c r="J137" s="23" t="s">
        <v>88</v>
      </c>
      <c r="K137" s="24">
        <v>44910.000004594905</v>
      </c>
      <c r="L137" s="23">
        <v>1</v>
      </c>
      <c r="M137" s="23" t="s">
        <v>119</v>
      </c>
      <c r="N137" s="46">
        <f t="shared" si="33"/>
        <v>1</v>
      </c>
      <c r="O137" s="47">
        <f t="shared" si="34"/>
        <v>180.62351240000001</v>
      </c>
      <c r="P137" s="48">
        <f t="shared" si="35"/>
        <v>11300.329050841106</v>
      </c>
      <c r="Q137" s="25">
        <f t="shared" si="36"/>
        <v>0</v>
      </c>
      <c r="R137" s="26" t="str">
        <f t="shared" si="37"/>
        <v>COIN</v>
      </c>
      <c r="S137" s="26" t="str">
        <f t="shared" si="32"/>
        <v>LONG</v>
      </c>
      <c r="T137" s="26" t="str">
        <f t="shared" si="38"/>
        <v>COIN LONG</v>
      </c>
      <c r="U137" s="17">
        <f t="shared" si="39"/>
        <v>11300.329050841099</v>
      </c>
      <c r="V137" s="17">
        <f t="shared" si="40"/>
        <v>62.562890626420497</v>
      </c>
      <c r="W137" s="40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Shifted'!$AE$32:$AO$75,MATCH($R137,'Futures &amp; Perps Shifted'!$AE$30:$AO$30,0),FALSE),0),0)))</f>
        <v>0</v>
      </c>
      <c r="X137" s="17">
        <f t="shared" si="41"/>
        <v>0</v>
      </c>
      <c r="Y137" s="14" t="str">
        <f t="shared" si="42"/>
        <v>DEFI</v>
      </c>
      <c r="Z137" t="str">
        <f t="shared" si="43"/>
        <v>AAVE COIN LONG</v>
      </c>
    </row>
    <row r="138" spans="1:26" customFormat="1" x14ac:dyDescent="0.25">
      <c r="A138" s="14">
        <v>136</v>
      </c>
      <c r="B138" s="77">
        <v>44910.000004594905</v>
      </c>
      <c r="C138" s="14" t="s">
        <v>301</v>
      </c>
      <c r="D138" s="23" t="s">
        <v>307</v>
      </c>
      <c r="E138" s="23" t="s">
        <v>190</v>
      </c>
      <c r="F138" s="23">
        <v>69.006194350000001</v>
      </c>
      <c r="G138" s="23">
        <v>947.28664425413604</v>
      </c>
      <c r="H138" s="23">
        <v>13.7275595789196</v>
      </c>
      <c r="I138" s="23">
        <v>0</v>
      </c>
      <c r="J138" s="23" t="s">
        <v>88</v>
      </c>
      <c r="K138" s="24">
        <v>44910.000004594905</v>
      </c>
      <c r="L138" s="23">
        <v>1</v>
      </c>
      <c r="M138" s="23" t="s">
        <v>190</v>
      </c>
      <c r="N138" s="46">
        <f t="shared" si="33"/>
        <v>1</v>
      </c>
      <c r="O138" s="47">
        <f t="shared" si="34"/>
        <v>69.006194350000001</v>
      </c>
      <c r="P138" s="48">
        <f t="shared" si="35"/>
        <v>947.28664425413012</v>
      </c>
      <c r="Q138" s="25">
        <f t="shared" si="36"/>
        <v>0</v>
      </c>
      <c r="R138" s="26" t="str">
        <f t="shared" si="37"/>
        <v>COIN</v>
      </c>
      <c r="S138" s="26" t="str">
        <f t="shared" si="32"/>
        <v>LONG</v>
      </c>
      <c r="T138" s="26" t="str">
        <f t="shared" si="38"/>
        <v>COIN LONG</v>
      </c>
      <c r="U138" s="17">
        <f t="shared" si="39"/>
        <v>947.28664425413604</v>
      </c>
      <c r="V138" s="17">
        <f t="shared" si="40"/>
        <v>13.7275595789196</v>
      </c>
      <c r="W138" s="40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Shifted'!$AE$32:$AO$75,MATCH($R138,'Futures &amp; Perps Shifted'!$AE$30:$AO$30,0),FALSE),0),0)))</f>
        <v>0</v>
      </c>
      <c r="X138" s="17">
        <f t="shared" si="41"/>
        <v>0</v>
      </c>
      <c r="Y138" s="14" t="str">
        <f t="shared" si="42"/>
        <v>DEFI</v>
      </c>
      <c r="Z138" t="str">
        <f t="shared" si="43"/>
        <v>AVAX COIN LONG</v>
      </c>
    </row>
    <row r="139" spans="1:26" customFormat="1" x14ac:dyDescent="0.25">
      <c r="A139" s="14">
        <v>137</v>
      </c>
      <c r="B139" s="77">
        <v>44910.000004594905</v>
      </c>
      <c r="C139" s="14" t="s">
        <v>301</v>
      </c>
      <c r="D139" s="23" t="s">
        <v>307</v>
      </c>
      <c r="E139" s="23" t="s">
        <v>747</v>
      </c>
      <c r="F139" s="23">
        <v>25</v>
      </c>
      <c r="G139" s="23">
        <v>0</v>
      </c>
      <c r="H139" s="23">
        <v>0</v>
      </c>
      <c r="I139" s="23">
        <v>0</v>
      </c>
      <c r="J139" s="23" t="s">
        <v>88</v>
      </c>
      <c r="K139" s="24">
        <v>44910.000004594905</v>
      </c>
      <c r="L139" s="23">
        <v>1</v>
      </c>
      <c r="M139" s="23" t="s">
        <v>747</v>
      </c>
      <c r="N139" s="46">
        <f t="shared" si="33"/>
        <v>1</v>
      </c>
      <c r="O139" s="47">
        <f t="shared" si="34"/>
        <v>25</v>
      </c>
      <c r="P139" s="48">
        <f t="shared" si="35"/>
        <v>0</v>
      </c>
      <c r="Q139" s="25">
        <f t="shared" si="36"/>
        <v>0</v>
      </c>
      <c r="R139" s="26" t="str">
        <f t="shared" si="37"/>
        <v>COIN</v>
      </c>
      <c r="S139" s="26" t="str">
        <f t="shared" si="32"/>
        <v>SHORT</v>
      </c>
      <c r="T139" s="26" t="str">
        <f t="shared" si="38"/>
        <v>COIN SHORT</v>
      </c>
      <c r="U139" s="17">
        <f t="shared" si="39"/>
        <v>0</v>
      </c>
      <c r="V139" s="17">
        <f t="shared" si="40"/>
        <v>0</v>
      </c>
      <c r="W139" s="40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Shifted'!$AE$32:$AO$75,MATCH($R139,'Futures &amp; Perps Shifted'!$AE$30:$AO$30,0),FALSE),0),0)))</f>
        <v>0</v>
      </c>
      <c r="X139" s="17">
        <f t="shared" si="41"/>
        <v>0</v>
      </c>
      <c r="Y139" s="14" t="str">
        <f t="shared" si="42"/>
        <v>DEFI</v>
      </c>
      <c r="Z139" t="str">
        <f t="shared" si="43"/>
        <v>BONUS. VISIT HTTPS://BITBONUS.TECH TO CLAIM REWARD. COIN SHORT</v>
      </c>
    </row>
    <row r="140" spans="1:26" customFormat="1" x14ac:dyDescent="0.25">
      <c r="A140" s="14">
        <v>138</v>
      </c>
      <c r="B140" s="77">
        <v>44910.000004594905</v>
      </c>
      <c r="C140" s="14" t="s">
        <v>301</v>
      </c>
      <c r="D140" s="23" t="s">
        <v>307</v>
      </c>
      <c r="E140" s="23" t="s">
        <v>16</v>
      </c>
      <c r="F140" s="23">
        <v>16.894087620000001</v>
      </c>
      <c r="G140" s="23">
        <v>22119.9133914841</v>
      </c>
      <c r="H140" s="23">
        <v>1309.32867693296</v>
      </c>
      <c r="I140" s="23">
        <v>0</v>
      </c>
      <c r="J140" s="23" t="s">
        <v>88</v>
      </c>
      <c r="K140" s="24">
        <v>44910.000004594905</v>
      </c>
      <c r="L140" s="23">
        <v>1</v>
      </c>
      <c r="M140" s="23" t="s">
        <v>16</v>
      </c>
      <c r="N140" s="46">
        <f t="shared" si="33"/>
        <v>1</v>
      </c>
      <c r="O140" s="47">
        <f t="shared" si="34"/>
        <v>16.894087620000001</v>
      </c>
      <c r="P140" s="48">
        <f t="shared" si="35"/>
        <v>22119.9133914841</v>
      </c>
      <c r="Q140" s="25">
        <f t="shared" si="36"/>
        <v>0</v>
      </c>
      <c r="R140" s="26" t="str">
        <f t="shared" si="37"/>
        <v>COIN</v>
      </c>
      <c r="S140" s="26" t="str">
        <f t="shared" si="32"/>
        <v>LONG</v>
      </c>
      <c r="T140" s="26" t="str">
        <f t="shared" si="38"/>
        <v>COIN LONG</v>
      </c>
      <c r="U140" s="17">
        <f t="shared" si="39"/>
        <v>22119.9133914841</v>
      </c>
      <c r="V140" s="17">
        <f t="shared" si="40"/>
        <v>1309.32867693296</v>
      </c>
      <c r="W140" s="40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Shifted'!$AE$32:$AO$75,MATCH($R140,'Futures &amp; Perps Shifted'!$AE$30:$AO$30,0),FALSE),0),0)))</f>
        <v>0</v>
      </c>
      <c r="X140" s="17">
        <f t="shared" si="41"/>
        <v>0</v>
      </c>
      <c r="Y140" s="14" t="str">
        <f t="shared" si="42"/>
        <v>DEFI</v>
      </c>
      <c r="Z140" t="str">
        <f t="shared" si="43"/>
        <v>ETH COIN LONG</v>
      </c>
    </row>
    <row r="141" spans="1:26" customFormat="1" x14ac:dyDescent="0.25">
      <c r="A141" s="14">
        <v>139</v>
      </c>
      <c r="B141" s="77">
        <v>44910.000004594905</v>
      </c>
      <c r="C141" s="14" t="s">
        <v>301</v>
      </c>
      <c r="D141" s="23" t="s">
        <v>307</v>
      </c>
      <c r="E141" s="23" t="s">
        <v>715</v>
      </c>
      <c r="F141" s="23">
        <v>480000</v>
      </c>
      <c r="G141" s="23">
        <v>0</v>
      </c>
      <c r="H141" s="23">
        <v>0</v>
      </c>
      <c r="I141" s="23">
        <v>0</v>
      </c>
      <c r="J141" s="23" t="s">
        <v>88</v>
      </c>
      <c r="K141" s="24">
        <v>44910.000004594905</v>
      </c>
      <c r="L141" s="23">
        <v>1</v>
      </c>
      <c r="M141" s="23" t="s">
        <v>715</v>
      </c>
      <c r="N141" s="46">
        <f t="shared" si="33"/>
        <v>1</v>
      </c>
      <c r="O141" s="47">
        <f t="shared" si="34"/>
        <v>480000</v>
      </c>
      <c r="P141" s="48">
        <f t="shared" si="35"/>
        <v>0</v>
      </c>
      <c r="Q141" s="25">
        <f t="shared" si="36"/>
        <v>0</v>
      </c>
      <c r="R141" s="26" t="str">
        <f t="shared" si="37"/>
        <v>COIN</v>
      </c>
      <c r="S141" s="26" t="str">
        <f t="shared" si="32"/>
        <v>SHORT</v>
      </c>
      <c r="T141" s="26" t="str">
        <f t="shared" si="38"/>
        <v>COIN SHORT</v>
      </c>
      <c r="U141" s="17">
        <f t="shared" si="39"/>
        <v>0</v>
      </c>
      <c r="V141" s="17">
        <f t="shared" si="40"/>
        <v>0</v>
      </c>
      <c r="W141" s="40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Shifted'!$AE$32:$AO$75,MATCH($R141,'Futures &amp; Perps Shifted'!$AE$30:$AO$30,0),FALSE),0),0)))</f>
        <v>0</v>
      </c>
      <c r="X141" s="17">
        <f t="shared" si="41"/>
        <v>0</v>
      </c>
      <c r="Y141" s="14" t="str">
        <f t="shared" si="42"/>
        <v>DEFI</v>
      </c>
      <c r="Z141" t="str">
        <f t="shared" si="43"/>
        <v>INVITATION TOKEN. PLEASE VISIT HTTPS://AAKER.SITE AND CLAIM REWARDS. COIN SHORT</v>
      </c>
    </row>
    <row r="142" spans="1:26" customFormat="1" x14ac:dyDescent="0.25">
      <c r="A142" s="14">
        <v>140</v>
      </c>
      <c r="B142" s="77">
        <v>44910.000004594905</v>
      </c>
      <c r="C142" s="14" t="s">
        <v>301</v>
      </c>
      <c r="D142" s="23" t="s">
        <v>307</v>
      </c>
      <c r="E142" s="23" t="s">
        <v>716</v>
      </c>
      <c r="F142" s="23">
        <v>34311.93215886</v>
      </c>
      <c r="G142" s="23">
        <v>0</v>
      </c>
      <c r="H142" s="23">
        <v>0</v>
      </c>
      <c r="I142" s="23">
        <v>0</v>
      </c>
      <c r="J142" s="23" t="s">
        <v>88</v>
      </c>
      <c r="K142" s="24">
        <v>44910.000004594905</v>
      </c>
      <c r="L142" s="23">
        <v>1</v>
      </c>
      <c r="M142" s="23" t="s">
        <v>716</v>
      </c>
      <c r="N142" s="46">
        <f t="shared" si="33"/>
        <v>1</v>
      </c>
      <c r="O142" s="47">
        <f t="shared" si="34"/>
        <v>34311.93215886</v>
      </c>
      <c r="P142" s="48">
        <f t="shared" si="35"/>
        <v>0</v>
      </c>
      <c r="Q142" s="25">
        <f t="shared" si="36"/>
        <v>0</v>
      </c>
      <c r="R142" s="26" t="str">
        <f t="shared" si="37"/>
        <v>COIN</v>
      </c>
      <c r="S142" s="26" t="str">
        <f t="shared" si="32"/>
        <v>SHORT</v>
      </c>
      <c r="T142" s="26" t="str">
        <f t="shared" si="38"/>
        <v>COIN SHORT</v>
      </c>
      <c r="U142" s="17">
        <f t="shared" si="39"/>
        <v>0</v>
      </c>
      <c r="V142" s="17">
        <f t="shared" si="40"/>
        <v>0</v>
      </c>
      <c r="W142" s="40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Shifted'!$AE$32:$AO$75,MATCH($R142,'Futures &amp; Perps Shifted'!$AE$30:$AO$30,0),FALSE),0),0)))</f>
        <v>0</v>
      </c>
      <c r="X142" s="17">
        <f t="shared" si="41"/>
        <v>0</v>
      </c>
      <c r="Y142" s="14" t="str">
        <f t="shared" si="42"/>
        <v>DEFI</v>
      </c>
      <c r="Z142" t="str">
        <f t="shared" si="43"/>
        <v>OAAVEUSDC/AAVE-02DEC22-67.5C COIN SHORT</v>
      </c>
    </row>
    <row r="143" spans="1:26" customFormat="1" x14ac:dyDescent="0.25">
      <c r="A143" s="14">
        <v>141</v>
      </c>
      <c r="B143" s="77">
        <v>44910.000004594905</v>
      </c>
      <c r="C143" s="14" t="s">
        <v>301</v>
      </c>
      <c r="D143" s="23" t="s">
        <v>307</v>
      </c>
      <c r="E143" s="23" t="s">
        <v>748</v>
      </c>
      <c r="F143" s="23">
        <v>33793.379334129997</v>
      </c>
      <c r="G143" s="23">
        <v>0</v>
      </c>
      <c r="H143" s="23">
        <v>0</v>
      </c>
      <c r="I143" s="23">
        <v>0</v>
      </c>
      <c r="J143" s="23" t="s">
        <v>88</v>
      </c>
      <c r="K143" s="24">
        <v>44910.000004594905</v>
      </c>
      <c r="L143" s="23">
        <v>1</v>
      </c>
      <c r="M143" s="23" t="s">
        <v>748</v>
      </c>
      <c r="N143" s="46">
        <f t="shared" si="33"/>
        <v>1</v>
      </c>
      <c r="O143" s="47">
        <f t="shared" si="34"/>
        <v>33793.379334129997</v>
      </c>
      <c r="P143" s="48">
        <f t="shared" si="35"/>
        <v>0</v>
      </c>
      <c r="Q143" s="25">
        <f t="shared" si="36"/>
        <v>0</v>
      </c>
      <c r="R143" s="26" t="str">
        <f t="shared" si="37"/>
        <v>COIN</v>
      </c>
      <c r="S143" s="26" t="str">
        <f t="shared" si="32"/>
        <v>SHORT</v>
      </c>
      <c r="T143" s="26" t="str">
        <f t="shared" si="38"/>
        <v>COIN SHORT</v>
      </c>
      <c r="U143" s="17">
        <f t="shared" si="39"/>
        <v>0</v>
      </c>
      <c r="V143" s="17">
        <f t="shared" si="40"/>
        <v>0</v>
      </c>
      <c r="W143" s="40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Shifted'!$AE$32:$AO$75,MATCH($R143,'Futures &amp; Perps Shifted'!$AE$30:$AO$30,0),FALSE),0),0)))</f>
        <v>0</v>
      </c>
      <c r="X143" s="17">
        <f t="shared" si="41"/>
        <v>0</v>
      </c>
      <c r="Y143" s="14" t="str">
        <f t="shared" si="42"/>
        <v>DEFI</v>
      </c>
      <c r="Z143" t="str">
        <f t="shared" si="43"/>
        <v>OAAVEUSDC/AAVE-16DEC22-72.5C COIN SHORT</v>
      </c>
    </row>
    <row r="144" spans="1:26" customFormat="1" x14ac:dyDescent="0.25">
      <c r="A144" s="14">
        <v>142</v>
      </c>
      <c r="B144" s="77">
        <v>44910.000004594905</v>
      </c>
      <c r="C144" s="14" t="s">
        <v>301</v>
      </c>
      <c r="D144" s="23" t="s">
        <v>307</v>
      </c>
      <c r="E144" s="23" t="s">
        <v>704</v>
      </c>
      <c r="F144" s="23">
        <v>33991.374100820001</v>
      </c>
      <c r="G144" s="23">
        <v>0</v>
      </c>
      <c r="H144" s="23">
        <v>0</v>
      </c>
      <c r="I144" s="23">
        <v>0</v>
      </c>
      <c r="J144" s="23" t="s">
        <v>88</v>
      </c>
      <c r="K144" s="24">
        <v>44910.000004594905</v>
      </c>
      <c r="L144" s="23">
        <v>1</v>
      </c>
      <c r="M144" s="23" t="s">
        <v>704</v>
      </c>
      <c r="N144" s="46">
        <f t="shared" si="33"/>
        <v>1</v>
      </c>
      <c r="O144" s="47">
        <f t="shared" si="34"/>
        <v>33991.374100820001</v>
      </c>
      <c r="P144" s="48">
        <f t="shared" si="35"/>
        <v>0</v>
      </c>
      <c r="Q144" s="25">
        <f t="shared" si="36"/>
        <v>0</v>
      </c>
      <c r="R144" s="26" t="str">
        <f t="shared" si="37"/>
        <v>COIN</v>
      </c>
      <c r="S144" s="26" t="str">
        <f t="shared" si="32"/>
        <v>SHORT</v>
      </c>
      <c r="T144" s="26" t="str">
        <f t="shared" si="38"/>
        <v>COIN SHORT</v>
      </c>
      <c r="U144" s="17">
        <f t="shared" si="39"/>
        <v>0</v>
      </c>
      <c r="V144" s="17">
        <f t="shared" si="40"/>
        <v>0</v>
      </c>
      <c r="W144" s="40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Shifted'!$AE$32:$AO$75,MATCH($R144,'Futures &amp; Perps Shifted'!$AE$30:$AO$30,0),FALSE),0),0)))</f>
        <v>0</v>
      </c>
      <c r="X144" s="17">
        <f t="shared" si="41"/>
        <v>0</v>
      </c>
      <c r="Y144" s="14" t="str">
        <f t="shared" si="42"/>
        <v>DEFI</v>
      </c>
      <c r="Z144" t="str">
        <f t="shared" si="43"/>
        <v>OAAVEUSDC/AAVE-25NOV22-72.5C COIN SHORT</v>
      </c>
    </row>
    <row r="145" spans="1:26" customFormat="1" x14ac:dyDescent="0.25">
      <c r="A145" s="14">
        <v>143</v>
      </c>
      <c r="B145" s="77">
        <v>44910.000004594905</v>
      </c>
      <c r="C145" s="14" t="s">
        <v>301</v>
      </c>
      <c r="D145" s="23" t="s">
        <v>307</v>
      </c>
      <c r="E145" s="23" t="s">
        <v>730</v>
      </c>
      <c r="F145" s="23">
        <v>29214.150499390002</v>
      </c>
      <c r="G145" s="23">
        <v>0</v>
      </c>
      <c r="H145" s="23">
        <v>0</v>
      </c>
      <c r="I145" s="23">
        <v>0</v>
      </c>
      <c r="J145" s="23" t="s">
        <v>88</v>
      </c>
      <c r="K145" s="24">
        <v>44910.000004594905</v>
      </c>
      <c r="L145" s="23">
        <v>1</v>
      </c>
      <c r="M145" s="23" t="s">
        <v>730</v>
      </c>
      <c r="N145" s="46">
        <f t="shared" si="33"/>
        <v>1</v>
      </c>
      <c r="O145" s="47">
        <f t="shared" si="34"/>
        <v>29214.150499390002</v>
      </c>
      <c r="P145" s="48">
        <f t="shared" si="35"/>
        <v>0</v>
      </c>
      <c r="Q145" s="25">
        <f t="shared" si="36"/>
        <v>0</v>
      </c>
      <c r="R145" s="26" t="str">
        <f t="shared" si="37"/>
        <v>COIN</v>
      </c>
      <c r="S145" s="26" t="str">
        <f t="shared" si="32"/>
        <v>SHORT</v>
      </c>
      <c r="T145" s="26" t="str">
        <f t="shared" si="38"/>
        <v>COIN SHORT</v>
      </c>
      <c r="U145" s="17">
        <f t="shared" si="39"/>
        <v>0</v>
      </c>
      <c r="V145" s="17">
        <f t="shared" si="40"/>
        <v>0</v>
      </c>
      <c r="W145" s="40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Shifted'!$AE$32:$AO$75,MATCH($R145,'Futures &amp; Perps Shifted'!$AE$30:$AO$30,0),FALSE),0),0)))</f>
        <v>0</v>
      </c>
      <c r="X145" s="17">
        <f t="shared" si="41"/>
        <v>0</v>
      </c>
      <c r="Y145" s="14" t="str">
        <f t="shared" si="42"/>
        <v>DEFI</v>
      </c>
      <c r="Z145" t="str">
        <f t="shared" si="43"/>
        <v>OWAVAXUSDC.E/WAVAX-09DEC22-15.5C COIN SHORT</v>
      </c>
    </row>
    <row r="146" spans="1:26" customFormat="1" x14ac:dyDescent="0.25">
      <c r="A146" s="14">
        <v>144</v>
      </c>
      <c r="B146" s="77">
        <v>44910.000004594905</v>
      </c>
      <c r="C146" s="14" t="s">
        <v>301</v>
      </c>
      <c r="D146" s="23" t="s">
        <v>307</v>
      </c>
      <c r="E146" s="23" t="s">
        <v>749</v>
      </c>
      <c r="F146" s="23">
        <v>20213.414599259999</v>
      </c>
      <c r="G146" s="23">
        <v>0</v>
      </c>
      <c r="H146" s="23">
        <v>0</v>
      </c>
      <c r="I146" s="23">
        <v>0</v>
      </c>
      <c r="J146" s="23" t="s">
        <v>88</v>
      </c>
      <c r="K146" s="24">
        <v>44910.000004594905</v>
      </c>
      <c r="L146" s="23">
        <v>1</v>
      </c>
      <c r="M146" s="23" t="s">
        <v>749</v>
      </c>
      <c r="N146" s="46">
        <f t="shared" si="33"/>
        <v>1</v>
      </c>
      <c r="O146" s="47">
        <f t="shared" si="34"/>
        <v>20213.414599259999</v>
      </c>
      <c r="P146" s="48">
        <f t="shared" si="35"/>
        <v>0</v>
      </c>
      <c r="Q146" s="25">
        <f t="shared" si="36"/>
        <v>0</v>
      </c>
      <c r="R146" s="26" t="str">
        <f t="shared" si="37"/>
        <v>COIN</v>
      </c>
      <c r="S146" s="26" t="str">
        <f t="shared" si="32"/>
        <v>SHORT</v>
      </c>
      <c r="T146" s="26" t="str">
        <f t="shared" si="38"/>
        <v>COIN SHORT</v>
      </c>
      <c r="U146" s="17">
        <f t="shared" si="39"/>
        <v>0</v>
      </c>
      <c r="V146" s="17">
        <f t="shared" si="40"/>
        <v>0</v>
      </c>
      <c r="W146" s="40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Shifted'!$AE$32:$AO$75,MATCH($R146,'Futures &amp; Perps Shifted'!$AE$30:$AO$30,0),FALSE),0),0)))</f>
        <v>0</v>
      </c>
      <c r="X146" s="17">
        <f t="shared" si="41"/>
        <v>0</v>
      </c>
      <c r="Y146" s="14" t="str">
        <f t="shared" si="42"/>
        <v>DEFI</v>
      </c>
      <c r="Z146" t="str">
        <f t="shared" si="43"/>
        <v>OWAVAXUSDC.E/WAVAX-16DEC22-15.25C COIN SHORT</v>
      </c>
    </row>
    <row r="147" spans="1:26" customFormat="1" x14ac:dyDescent="0.25">
      <c r="A147" s="14">
        <v>145</v>
      </c>
      <c r="B147" s="77">
        <v>44910.000004594905</v>
      </c>
      <c r="C147" s="14" t="s">
        <v>301</v>
      </c>
      <c r="D147" s="23" t="s">
        <v>307</v>
      </c>
      <c r="E147" s="23" t="s">
        <v>731</v>
      </c>
      <c r="F147" s="23">
        <v>31925.004081070001</v>
      </c>
      <c r="G147" s="23">
        <v>0</v>
      </c>
      <c r="H147" s="23">
        <v>0</v>
      </c>
      <c r="I147" s="23">
        <v>0</v>
      </c>
      <c r="J147" s="23" t="s">
        <v>88</v>
      </c>
      <c r="K147" s="24">
        <v>44910.000004594905</v>
      </c>
      <c r="L147" s="23">
        <v>1</v>
      </c>
      <c r="M147" s="23" t="s">
        <v>731</v>
      </c>
      <c r="N147" s="46">
        <f t="shared" si="33"/>
        <v>1</v>
      </c>
      <c r="O147" s="47">
        <f t="shared" si="34"/>
        <v>31925.004081070001</v>
      </c>
      <c r="P147" s="48">
        <f t="shared" si="35"/>
        <v>0</v>
      </c>
      <c r="Q147" s="25">
        <f t="shared" si="36"/>
        <v>0</v>
      </c>
      <c r="R147" s="26" t="str">
        <f t="shared" si="37"/>
        <v>COIN</v>
      </c>
      <c r="S147" s="26" t="str">
        <f t="shared" si="32"/>
        <v>SHORT</v>
      </c>
      <c r="T147" s="26" t="str">
        <f t="shared" si="38"/>
        <v>COIN SHORT</v>
      </c>
      <c r="U147" s="17">
        <f t="shared" si="39"/>
        <v>0</v>
      </c>
      <c r="V147" s="17">
        <f t="shared" si="40"/>
        <v>0</v>
      </c>
      <c r="W147" s="40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Shifted'!$AE$32:$AO$75,MATCH($R147,'Futures &amp; Perps Shifted'!$AE$30:$AO$30,0),FALSE),0),0)))</f>
        <v>0</v>
      </c>
      <c r="X147" s="17">
        <f t="shared" si="41"/>
        <v>0</v>
      </c>
      <c r="Y147" s="14" t="str">
        <f t="shared" si="42"/>
        <v>DEFI</v>
      </c>
      <c r="Z147" t="str">
        <f t="shared" si="43"/>
        <v>OWAVAXUSDC.E/WAVAX-25NOV22-15.5C COIN SHORT</v>
      </c>
    </row>
    <row r="148" spans="1:26" customFormat="1" x14ac:dyDescent="0.25">
      <c r="A148" s="14">
        <v>146</v>
      </c>
      <c r="B148" s="77">
        <v>44910.000004594905</v>
      </c>
      <c r="C148" s="14" t="s">
        <v>301</v>
      </c>
      <c r="D148" s="23" t="s">
        <v>307</v>
      </c>
      <c r="E148" s="23" t="s">
        <v>720</v>
      </c>
      <c r="F148" s="23">
        <v>2698</v>
      </c>
      <c r="G148" s="23">
        <v>0</v>
      </c>
      <c r="H148" s="23">
        <v>0</v>
      </c>
      <c r="I148" s="23">
        <v>0</v>
      </c>
      <c r="J148" s="23" t="s">
        <v>88</v>
      </c>
      <c r="K148" s="24">
        <v>44910.000004594905</v>
      </c>
      <c r="L148" s="23">
        <v>1</v>
      </c>
      <c r="M148" s="23" t="s">
        <v>720</v>
      </c>
      <c r="N148" s="46">
        <f t="shared" si="33"/>
        <v>1</v>
      </c>
      <c r="O148" s="47">
        <f t="shared" si="34"/>
        <v>2698</v>
      </c>
      <c r="P148" s="48">
        <f t="shared" si="35"/>
        <v>0</v>
      </c>
      <c r="Q148" s="25">
        <f t="shared" si="36"/>
        <v>0</v>
      </c>
      <c r="R148" s="26" t="str">
        <f t="shared" si="37"/>
        <v>COIN</v>
      </c>
      <c r="S148" s="26" t="str">
        <f t="shared" si="32"/>
        <v>SHORT</v>
      </c>
      <c r="T148" s="26" t="str">
        <f t="shared" si="38"/>
        <v>COIN SHORT</v>
      </c>
      <c r="U148" s="17">
        <f t="shared" si="39"/>
        <v>0</v>
      </c>
      <c r="V148" s="17">
        <f t="shared" si="40"/>
        <v>0</v>
      </c>
      <c r="W148" s="40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Shifted'!$AE$32:$AO$75,MATCH($R148,'Futures &amp; Perps Shifted'!$AE$30:$AO$30,0),FALSE),0),0)))</f>
        <v>0</v>
      </c>
      <c r="X148" s="17">
        <f t="shared" si="41"/>
        <v>0</v>
      </c>
      <c r="Y148" s="14" t="str">
        <f t="shared" si="42"/>
        <v>DEFI</v>
      </c>
      <c r="Z148" t="str">
        <f t="shared" si="43"/>
        <v>OWETHUSDC/WETH-09DEC22-1450C COIN SHORT</v>
      </c>
    </row>
    <row r="149" spans="1:26" customFormat="1" x14ac:dyDescent="0.25">
      <c r="A149" s="14">
        <v>147</v>
      </c>
      <c r="B149" s="77">
        <v>44910.000004594905</v>
      </c>
      <c r="C149" s="14" t="s">
        <v>301</v>
      </c>
      <c r="D149" s="23" t="s">
        <v>307</v>
      </c>
      <c r="E149" s="23" t="s">
        <v>750</v>
      </c>
      <c r="F149" s="23">
        <v>2891</v>
      </c>
      <c r="G149" s="23">
        <v>0</v>
      </c>
      <c r="H149" s="23">
        <v>0</v>
      </c>
      <c r="I149" s="23">
        <v>0</v>
      </c>
      <c r="J149" s="23" t="s">
        <v>88</v>
      </c>
      <c r="K149" s="24">
        <v>44910.000004594905</v>
      </c>
      <c r="L149" s="23">
        <v>1</v>
      </c>
      <c r="M149" s="23" t="s">
        <v>750</v>
      </c>
      <c r="N149" s="46">
        <f t="shared" si="33"/>
        <v>1</v>
      </c>
      <c r="O149" s="47">
        <f t="shared" si="34"/>
        <v>2891</v>
      </c>
      <c r="P149" s="48">
        <f t="shared" si="35"/>
        <v>0</v>
      </c>
      <c r="Q149" s="25">
        <f t="shared" si="36"/>
        <v>0</v>
      </c>
      <c r="R149" s="26" t="str">
        <f t="shared" si="37"/>
        <v>COIN</v>
      </c>
      <c r="S149" s="26" t="str">
        <f t="shared" si="32"/>
        <v>SHORT</v>
      </c>
      <c r="T149" s="26" t="str">
        <f t="shared" si="38"/>
        <v>COIN SHORT</v>
      </c>
      <c r="U149" s="17">
        <f t="shared" si="39"/>
        <v>0</v>
      </c>
      <c r="V149" s="17">
        <f t="shared" si="40"/>
        <v>0</v>
      </c>
      <c r="W149" s="40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Shifted'!$AE$32:$AO$75,MATCH($R149,'Futures &amp; Perps Shifted'!$AE$30:$AO$30,0),FALSE),0),0)))</f>
        <v>0</v>
      </c>
      <c r="X149" s="17">
        <f t="shared" si="41"/>
        <v>0</v>
      </c>
      <c r="Y149" s="14" t="str">
        <f t="shared" si="42"/>
        <v>DEFI</v>
      </c>
      <c r="Z149" t="str">
        <f t="shared" si="43"/>
        <v>OWETHUSDC/WETH-16DEC22-1450C COIN SHORT</v>
      </c>
    </row>
    <row r="150" spans="1:26" customFormat="1" x14ac:dyDescent="0.25">
      <c r="A150" s="14">
        <v>148</v>
      </c>
      <c r="B150" s="77">
        <v>44910.000004594905</v>
      </c>
      <c r="C150" s="14" t="s">
        <v>301</v>
      </c>
      <c r="D150" s="23" t="s">
        <v>307</v>
      </c>
      <c r="E150" s="23" t="s">
        <v>705</v>
      </c>
      <c r="F150" s="23">
        <v>2904</v>
      </c>
      <c r="G150" s="23">
        <v>0</v>
      </c>
      <c r="H150" s="23">
        <v>0</v>
      </c>
      <c r="I150" s="23">
        <v>0</v>
      </c>
      <c r="J150" s="23" t="s">
        <v>88</v>
      </c>
      <c r="K150" s="24">
        <v>44910.000004594905</v>
      </c>
      <c r="L150" s="23">
        <v>1</v>
      </c>
      <c r="M150" s="23" t="s">
        <v>705</v>
      </c>
      <c r="N150" s="46">
        <f t="shared" si="33"/>
        <v>1</v>
      </c>
      <c r="O150" s="47">
        <f t="shared" si="34"/>
        <v>2904</v>
      </c>
      <c r="P150" s="48">
        <f t="shared" si="35"/>
        <v>0</v>
      </c>
      <c r="Q150" s="25">
        <f t="shared" si="36"/>
        <v>0</v>
      </c>
      <c r="R150" s="26" t="str">
        <f t="shared" si="37"/>
        <v>COIN</v>
      </c>
      <c r="S150" s="26" t="str">
        <f t="shared" si="32"/>
        <v>SHORT</v>
      </c>
      <c r="T150" s="26" t="str">
        <f t="shared" si="38"/>
        <v>COIN SHORT</v>
      </c>
      <c r="U150" s="17">
        <f t="shared" si="39"/>
        <v>0</v>
      </c>
      <c r="V150" s="17">
        <f t="shared" si="40"/>
        <v>0</v>
      </c>
      <c r="W150" s="40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Shifted'!$AE$32:$AO$75,MATCH($R150,'Futures &amp; Perps Shifted'!$AE$30:$AO$30,0),FALSE),0),0)))</f>
        <v>0</v>
      </c>
      <c r="X150" s="17">
        <f t="shared" si="41"/>
        <v>0</v>
      </c>
      <c r="Y150" s="14" t="str">
        <f t="shared" si="42"/>
        <v>DEFI</v>
      </c>
      <c r="Z150" t="str">
        <f t="shared" si="43"/>
        <v>OWETHUSDC/WETH-25NOV22-1400C COIN SHORT</v>
      </c>
    </row>
    <row r="151" spans="1:26" customFormat="1" x14ac:dyDescent="0.25">
      <c r="A151" s="14">
        <v>149</v>
      </c>
      <c r="B151" s="77">
        <v>44910.000004594905</v>
      </c>
      <c r="C151" s="14" t="s">
        <v>301</v>
      </c>
      <c r="D151" s="23" t="s">
        <v>307</v>
      </c>
      <c r="E151" s="23" t="s">
        <v>717</v>
      </c>
      <c r="F151" s="23">
        <v>9472.1338239899997</v>
      </c>
      <c r="G151" s="23">
        <v>0</v>
      </c>
      <c r="H151" s="23">
        <v>0</v>
      </c>
      <c r="I151" s="23">
        <v>0</v>
      </c>
      <c r="J151" s="23" t="s">
        <v>88</v>
      </c>
      <c r="K151" s="24">
        <v>44910.000004594905</v>
      </c>
      <c r="L151" s="23">
        <v>1</v>
      </c>
      <c r="M151" s="23" t="s">
        <v>717</v>
      </c>
      <c r="N151" s="46">
        <f t="shared" si="33"/>
        <v>1</v>
      </c>
      <c r="O151" s="47">
        <f t="shared" si="34"/>
        <v>9472.1338239899997</v>
      </c>
      <c r="P151" s="48">
        <f t="shared" si="35"/>
        <v>0</v>
      </c>
      <c r="Q151" s="25">
        <f t="shared" si="36"/>
        <v>0</v>
      </c>
      <c r="R151" s="26" t="str">
        <f t="shared" si="37"/>
        <v>COIN</v>
      </c>
      <c r="S151" s="26" t="str">
        <f t="shared" si="32"/>
        <v>SHORT</v>
      </c>
      <c r="T151" s="26" t="str">
        <f t="shared" si="38"/>
        <v>COIN SHORT</v>
      </c>
      <c r="U151" s="17">
        <f t="shared" si="39"/>
        <v>0</v>
      </c>
      <c r="V151" s="17">
        <f t="shared" si="40"/>
        <v>0</v>
      </c>
      <c r="W151" s="40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Shifted'!$AE$32:$AO$75,MATCH($R151,'Futures &amp; Perps Shifted'!$AE$30:$AO$30,0),FALSE),0),0)))</f>
        <v>0</v>
      </c>
      <c r="X151" s="17">
        <f t="shared" si="41"/>
        <v>0</v>
      </c>
      <c r="Y151" s="14" t="str">
        <f t="shared" si="42"/>
        <v>DEFI</v>
      </c>
      <c r="Z151" t="str">
        <f t="shared" si="43"/>
        <v>OWETHUSDC/WSTETH-02DEC22-1350C COIN SHORT</v>
      </c>
    </row>
    <row r="152" spans="1:26" customFormat="1" x14ac:dyDescent="0.25">
      <c r="A152" s="14">
        <v>150</v>
      </c>
      <c r="B152" s="77">
        <v>44910.000004594905</v>
      </c>
      <c r="C152" s="14" t="s">
        <v>301</v>
      </c>
      <c r="D152" s="23" t="s">
        <v>307</v>
      </c>
      <c r="E152" s="23" t="s">
        <v>309</v>
      </c>
      <c r="F152" s="23">
        <v>5625.02729593</v>
      </c>
      <c r="G152" s="23">
        <v>0</v>
      </c>
      <c r="H152" s="23">
        <v>0</v>
      </c>
      <c r="I152" s="23">
        <v>0</v>
      </c>
      <c r="J152" s="23" t="s">
        <v>88</v>
      </c>
      <c r="K152" s="24">
        <v>44910.000004594905</v>
      </c>
      <c r="L152" s="23">
        <v>1</v>
      </c>
      <c r="M152" s="23" t="s">
        <v>309</v>
      </c>
      <c r="N152" s="46">
        <f t="shared" si="33"/>
        <v>1</v>
      </c>
      <c r="O152" s="47">
        <f t="shared" si="34"/>
        <v>5625.02729593</v>
      </c>
      <c r="P152" s="48">
        <f t="shared" si="35"/>
        <v>0</v>
      </c>
      <c r="Q152" s="25">
        <f t="shared" si="36"/>
        <v>0</v>
      </c>
      <c r="R152" s="26" t="str">
        <f t="shared" si="37"/>
        <v>COIN</v>
      </c>
      <c r="S152" s="26" t="str">
        <f t="shared" si="32"/>
        <v>SHORT</v>
      </c>
      <c r="T152" s="26" t="str">
        <f t="shared" si="38"/>
        <v>COIN SHORT</v>
      </c>
      <c r="U152" s="17">
        <f t="shared" si="39"/>
        <v>0</v>
      </c>
      <c r="V152" s="17">
        <f t="shared" si="40"/>
        <v>0</v>
      </c>
      <c r="W152" s="40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Shifted'!$AE$32:$AO$75,MATCH($R152,'Futures &amp; Perps Shifted'!$AE$30:$AO$30,0),FALSE),0),0)))</f>
        <v>0</v>
      </c>
      <c r="X152" s="17">
        <f t="shared" si="41"/>
        <v>0</v>
      </c>
      <c r="Y152" s="14" t="str">
        <f t="shared" si="42"/>
        <v>DEFI</v>
      </c>
      <c r="Z152" t="str">
        <f t="shared" si="43"/>
        <v>OWETHUSDC/WSTETH-04NOV22-1700C COIN SHORT</v>
      </c>
    </row>
    <row r="153" spans="1:26" customFormat="1" x14ac:dyDescent="0.25">
      <c r="A153" s="14">
        <v>151</v>
      </c>
      <c r="B153" s="77">
        <v>44910.000004594905</v>
      </c>
      <c r="C153" s="14" t="s">
        <v>301</v>
      </c>
      <c r="D153" s="23" t="s">
        <v>307</v>
      </c>
      <c r="E153" s="23" t="s">
        <v>310</v>
      </c>
      <c r="F153" s="23">
        <v>5968</v>
      </c>
      <c r="G153" s="23">
        <v>0</v>
      </c>
      <c r="H153" s="23">
        <v>0</v>
      </c>
      <c r="I153" s="23">
        <v>0</v>
      </c>
      <c r="J153" s="23" t="s">
        <v>88</v>
      </c>
      <c r="K153" s="24">
        <v>44910.000004594905</v>
      </c>
      <c r="L153" s="23">
        <v>1</v>
      </c>
      <c r="M153" s="23" t="s">
        <v>310</v>
      </c>
      <c r="N153" s="46">
        <f t="shared" si="33"/>
        <v>1</v>
      </c>
      <c r="O153" s="47">
        <f t="shared" si="34"/>
        <v>5968</v>
      </c>
      <c r="P153" s="48">
        <f t="shared" si="35"/>
        <v>0</v>
      </c>
      <c r="Q153" s="25">
        <f t="shared" si="36"/>
        <v>0</v>
      </c>
      <c r="R153" s="26" t="str">
        <f t="shared" si="37"/>
        <v>COIN</v>
      </c>
      <c r="S153" s="26" t="str">
        <f t="shared" si="32"/>
        <v>SHORT</v>
      </c>
      <c r="T153" s="26" t="str">
        <f t="shared" si="38"/>
        <v>COIN SHORT</v>
      </c>
      <c r="U153" s="17">
        <f t="shared" si="39"/>
        <v>0</v>
      </c>
      <c r="V153" s="17">
        <f t="shared" si="40"/>
        <v>0</v>
      </c>
      <c r="W153" s="40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Shifted'!$AE$32:$AO$75,MATCH($R153,'Futures &amp; Perps Shifted'!$AE$30:$AO$30,0),FALSE),0),0)))</f>
        <v>0</v>
      </c>
      <c r="X153" s="17">
        <f t="shared" si="41"/>
        <v>0</v>
      </c>
      <c r="Y153" s="14" t="str">
        <f t="shared" si="42"/>
        <v>DEFI</v>
      </c>
      <c r="Z153" t="str">
        <f t="shared" si="43"/>
        <v>OWETHUSDC/WSTETH-09SEP22-1900C COIN SHORT</v>
      </c>
    </row>
    <row r="154" spans="1:26" customFormat="1" x14ac:dyDescent="0.25">
      <c r="A154" s="14">
        <v>152</v>
      </c>
      <c r="B154" s="77">
        <v>44910.000004594905</v>
      </c>
      <c r="C154" s="14" t="s">
        <v>301</v>
      </c>
      <c r="D154" s="23" t="s">
        <v>307</v>
      </c>
      <c r="E154" s="23" t="s">
        <v>95</v>
      </c>
      <c r="F154" s="23">
        <v>60000</v>
      </c>
      <c r="G154" s="23">
        <v>59998.771518266098</v>
      </c>
      <c r="H154" s="23">
        <v>0.99997952530443501</v>
      </c>
      <c r="I154" s="23">
        <v>0</v>
      </c>
      <c r="J154" s="23" t="s">
        <v>88</v>
      </c>
      <c r="K154" s="24">
        <v>44910.000004594905</v>
      </c>
      <c r="L154" s="23">
        <v>1</v>
      </c>
      <c r="M154" s="23" t="s">
        <v>95</v>
      </c>
      <c r="N154" s="46">
        <f t="shared" si="33"/>
        <v>1</v>
      </c>
      <c r="O154" s="47">
        <f t="shared" si="34"/>
        <v>60000</v>
      </c>
      <c r="P154" s="48">
        <f t="shared" si="35"/>
        <v>59998.771518266098</v>
      </c>
      <c r="Q154" s="25">
        <f t="shared" si="36"/>
        <v>0</v>
      </c>
      <c r="R154" s="26" t="str">
        <f t="shared" si="37"/>
        <v>COIN</v>
      </c>
      <c r="S154" s="26" t="str">
        <f t="shared" si="32"/>
        <v>LONG</v>
      </c>
      <c r="T154" s="26" t="str">
        <f t="shared" si="38"/>
        <v>COIN LONG</v>
      </c>
      <c r="U154" s="17">
        <f t="shared" si="39"/>
        <v>59998.771518266098</v>
      </c>
      <c r="V154" s="17">
        <f t="shared" si="40"/>
        <v>0.99997952530443501</v>
      </c>
      <c r="W154" s="40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Shifted'!$AE$32:$AO$75,MATCH($R154,'Futures &amp; Perps Shifted'!$AE$30:$AO$30,0),FALSE),0),0)))</f>
        <v>0</v>
      </c>
      <c r="X154" s="17">
        <f t="shared" si="41"/>
        <v>0</v>
      </c>
      <c r="Y154" s="14" t="str">
        <f t="shared" si="42"/>
        <v>DEFI</v>
      </c>
      <c r="Z154" t="str">
        <f t="shared" si="43"/>
        <v>USDC COIN LONG</v>
      </c>
    </row>
    <row r="155" spans="1:26" customFormat="1" x14ac:dyDescent="0.25">
      <c r="A155" s="14">
        <v>153</v>
      </c>
      <c r="B155" s="77">
        <v>44910.000004594905</v>
      </c>
      <c r="C155" s="14" t="s">
        <v>301</v>
      </c>
      <c r="D155" s="23" t="s">
        <v>307</v>
      </c>
      <c r="E155" s="23" t="s">
        <v>732</v>
      </c>
      <c r="F155" s="23">
        <v>188.04277877999999</v>
      </c>
      <c r="G155" s="23">
        <v>2579.1970989751999</v>
      </c>
      <c r="H155" s="23">
        <v>13.7160124717829</v>
      </c>
      <c r="I155" s="23">
        <v>0</v>
      </c>
      <c r="J155" s="23" t="s">
        <v>88</v>
      </c>
      <c r="K155" s="24">
        <v>44910.000004594905</v>
      </c>
      <c r="L155" s="23">
        <v>1</v>
      </c>
      <c r="M155" s="23" t="s">
        <v>732</v>
      </c>
      <c r="N155" s="46">
        <f t="shared" si="33"/>
        <v>1</v>
      </c>
      <c r="O155" s="47">
        <f t="shared" si="34"/>
        <v>188.04277877999999</v>
      </c>
      <c r="P155" s="48">
        <f t="shared" si="35"/>
        <v>2579.1970989751926</v>
      </c>
      <c r="Q155" s="25">
        <f t="shared" si="36"/>
        <v>0</v>
      </c>
      <c r="R155" s="26" t="str">
        <f t="shared" si="37"/>
        <v>COIN</v>
      </c>
      <c r="S155" s="26" t="str">
        <f t="shared" si="32"/>
        <v>LONG</v>
      </c>
      <c r="T155" s="26" t="str">
        <f t="shared" si="38"/>
        <v>COIN LONG</v>
      </c>
      <c r="U155" s="17">
        <f t="shared" si="39"/>
        <v>2579.1970989751999</v>
      </c>
      <c r="V155" s="17">
        <f t="shared" si="40"/>
        <v>13.7160124717829</v>
      </c>
      <c r="W155" s="40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Shifted'!$AE$32:$AO$75,MATCH($R155,'Futures &amp; Perps Shifted'!$AE$30:$AO$30,0),FALSE),0),0)))</f>
        <v>0</v>
      </c>
      <c r="X155" s="17">
        <f t="shared" si="41"/>
        <v>0</v>
      </c>
      <c r="Y155" s="14" t="str">
        <f t="shared" si="42"/>
        <v>DEFI</v>
      </c>
      <c r="Z155" t="str">
        <f t="shared" si="43"/>
        <v>WAVAX COIN LONG</v>
      </c>
    </row>
    <row r="156" spans="1:26" customFormat="1" x14ac:dyDescent="0.25">
      <c r="A156" s="14">
        <v>154</v>
      </c>
      <c r="B156" s="77">
        <v>44910.000004594905</v>
      </c>
      <c r="C156" s="14" t="s">
        <v>301</v>
      </c>
      <c r="D156" s="23" t="s">
        <v>307</v>
      </c>
      <c r="E156" s="23" t="s">
        <v>260</v>
      </c>
      <c r="F156" s="23">
        <v>154.70349367</v>
      </c>
      <c r="G156" s="23">
        <v>202282.976567092</v>
      </c>
      <c r="H156" s="23">
        <v>1307.5527369704</v>
      </c>
      <c r="I156" s="23">
        <v>0</v>
      </c>
      <c r="J156" s="23" t="s">
        <v>88</v>
      </c>
      <c r="K156" s="24">
        <v>44910.000004594905</v>
      </c>
      <c r="L156" s="23">
        <v>1</v>
      </c>
      <c r="M156" s="23" t="s">
        <v>260</v>
      </c>
      <c r="N156" s="46">
        <f t="shared" si="33"/>
        <v>1</v>
      </c>
      <c r="O156" s="47">
        <f t="shared" si="34"/>
        <v>154.70349367</v>
      </c>
      <c r="P156" s="48">
        <f t="shared" si="35"/>
        <v>202282.97656709145</v>
      </c>
      <c r="Q156" s="25">
        <f t="shared" si="36"/>
        <v>0</v>
      </c>
      <c r="R156" s="26" t="str">
        <f t="shared" si="37"/>
        <v>COIN</v>
      </c>
      <c r="S156" s="26" t="str">
        <f t="shared" si="32"/>
        <v>LONG</v>
      </c>
      <c r="T156" s="26" t="str">
        <f t="shared" si="38"/>
        <v>COIN LONG</v>
      </c>
      <c r="U156" s="17">
        <f t="shared" si="39"/>
        <v>202282.976567092</v>
      </c>
      <c r="V156" s="17">
        <f t="shared" si="40"/>
        <v>1307.5527369704</v>
      </c>
      <c r="W156" s="40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Shifted'!$AE$32:$AO$75,MATCH($R156,'Futures &amp; Perps Shifted'!$AE$30:$AO$30,0),FALSE),0),0)))</f>
        <v>0</v>
      </c>
      <c r="X156" s="17">
        <f t="shared" si="41"/>
        <v>0</v>
      </c>
      <c r="Y156" s="14" t="str">
        <f t="shared" si="42"/>
        <v>DEFI</v>
      </c>
      <c r="Z156" t="str">
        <f t="shared" si="43"/>
        <v>WETH COIN LONG</v>
      </c>
    </row>
    <row r="157" spans="1:26" customFormat="1" x14ac:dyDescent="0.25">
      <c r="A157" s="14">
        <v>155</v>
      </c>
      <c r="B157" s="77">
        <v>44910.000004594905</v>
      </c>
      <c r="C157" s="14" t="s">
        <v>301</v>
      </c>
      <c r="D157" s="23" t="s">
        <v>311</v>
      </c>
      <c r="E157" s="23" t="s">
        <v>191</v>
      </c>
      <c r="F157" s="23">
        <v>95.239435409999999</v>
      </c>
      <c r="G157" s="23">
        <v>61.570962845441201</v>
      </c>
      <c r="H157" s="23">
        <v>0.64648601265202699</v>
      </c>
      <c r="I157" s="23">
        <v>0</v>
      </c>
      <c r="J157" s="23" t="s">
        <v>88</v>
      </c>
      <c r="K157" s="24">
        <v>44910.000004594905</v>
      </c>
      <c r="L157" s="23">
        <v>1</v>
      </c>
      <c r="M157" s="23" t="s">
        <v>191</v>
      </c>
      <c r="N157" s="46">
        <f t="shared" si="33"/>
        <v>1</v>
      </c>
      <c r="O157" s="47">
        <f t="shared" si="34"/>
        <v>95.239435409999999</v>
      </c>
      <c r="P157" s="48">
        <f t="shared" si="35"/>
        <v>61.570962845441166</v>
      </c>
      <c r="Q157" s="25">
        <f t="shared" si="36"/>
        <v>0</v>
      </c>
      <c r="R157" s="26" t="str">
        <f t="shared" si="37"/>
        <v>COIN</v>
      </c>
      <c r="S157" s="26" t="str">
        <f t="shared" si="32"/>
        <v>LONG</v>
      </c>
      <c r="T157" s="26" t="str">
        <f t="shared" si="38"/>
        <v>COIN LONG</v>
      </c>
      <c r="U157" s="17">
        <f t="shared" si="39"/>
        <v>61.570962845441201</v>
      </c>
      <c r="V157" s="17">
        <f t="shared" si="40"/>
        <v>0.64648601265202699</v>
      </c>
      <c r="W157" s="40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Shifted'!$AE$32:$AO$75,MATCH($R157,'Futures &amp; Perps Shifted'!$AE$30:$AO$30,0),FALSE),0),0)))</f>
        <v>0</v>
      </c>
      <c r="X157" s="17">
        <f t="shared" si="41"/>
        <v>0</v>
      </c>
      <c r="Y157" s="14" t="str">
        <f t="shared" si="42"/>
        <v>DEFI</v>
      </c>
      <c r="Z157" t="str">
        <f t="shared" si="43"/>
        <v>CRV COIN LONG</v>
      </c>
    </row>
    <row r="158" spans="1:26" customFormat="1" x14ac:dyDescent="0.25">
      <c r="A158" s="14">
        <v>156</v>
      </c>
      <c r="B158" s="77">
        <v>44910.000004594905</v>
      </c>
      <c r="C158" s="14" t="s">
        <v>301</v>
      </c>
      <c r="D158" s="23" t="s">
        <v>311</v>
      </c>
      <c r="E158" s="23" t="s">
        <v>192</v>
      </c>
      <c r="F158" s="23">
        <v>3.4335947500000001</v>
      </c>
      <c r="G158" s="23">
        <v>13.4171989365516</v>
      </c>
      <c r="H158" s="23">
        <v>3.90762449079106</v>
      </c>
      <c r="I158" s="23">
        <v>0</v>
      </c>
      <c r="J158" s="23" t="s">
        <v>88</v>
      </c>
      <c r="K158" s="24">
        <v>44910.000004594905</v>
      </c>
      <c r="L158" s="23">
        <v>1</v>
      </c>
      <c r="M158" s="23" t="s">
        <v>192</v>
      </c>
      <c r="N158" s="46">
        <f t="shared" si="33"/>
        <v>1</v>
      </c>
      <c r="O158" s="47">
        <f t="shared" si="34"/>
        <v>3.4335947500000001</v>
      </c>
      <c r="P158" s="48">
        <f t="shared" si="35"/>
        <v>13.417198936551607</v>
      </c>
      <c r="Q158" s="25">
        <f t="shared" si="36"/>
        <v>0</v>
      </c>
      <c r="R158" s="26" t="str">
        <f t="shared" si="37"/>
        <v>COIN</v>
      </c>
      <c r="S158" s="26" t="str">
        <f t="shared" si="32"/>
        <v>LONG</v>
      </c>
      <c r="T158" s="26" t="str">
        <f t="shared" si="38"/>
        <v>COIN LONG</v>
      </c>
      <c r="U158" s="17">
        <f t="shared" si="39"/>
        <v>13.4171989365516</v>
      </c>
      <c r="V158" s="17">
        <f t="shared" si="40"/>
        <v>3.90762449079106</v>
      </c>
      <c r="W158" s="40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Shifted'!$AE$32:$AO$75,MATCH($R158,'Futures &amp; Perps Shifted'!$AE$30:$AO$30,0),FALSE),0),0)))</f>
        <v>0</v>
      </c>
      <c r="X158" s="17">
        <f t="shared" si="41"/>
        <v>0</v>
      </c>
      <c r="Y158" s="14" t="str">
        <f t="shared" si="42"/>
        <v>DEFI</v>
      </c>
      <c r="Z158" t="str">
        <f t="shared" si="43"/>
        <v>CVX COIN LONG</v>
      </c>
    </row>
    <row r="159" spans="1:26" customFormat="1" x14ac:dyDescent="0.25">
      <c r="A159" s="14">
        <v>157</v>
      </c>
      <c r="B159" s="77">
        <v>44910.000004594905</v>
      </c>
      <c r="C159" s="14" t="s">
        <v>301</v>
      </c>
      <c r="D159" s="23" t="s">
        <v>311</v>
      </c>
      <c r="E159" s="23" t="s">
        <v>670</v>
      </c>
      <c r="F159" s="23">
        <v>168347.15939687999</v>
      </c>
      <c r="G159" s="23">
        <v>168275.44119131</v>
      </c>
      <c r="H159" s="23">
        <v>0.99957398624469695</v>
      </c>
      <c r="I159" s="23">
        <v>0</v>
      </c>
      <c r="J159" s="23" t="s">
        <v>88</v>
      </c>
      <c r="K159" s="24">
        <v>44910.000004594905</v>
      </c>
      <c r="L159" s="23">
        <v>1</v>
      </c>
      <c r="M159" s="23" t="s">
        <v>670</v>
      </c>
      <c r="N159" s="46">
        <f t="shared" si="33"/>
        <v>1</v>
      </c>
      <c r="O159" s="47">
        <f t="shared" si="34"/>
        <v>168347.15939687999</v>
      </c>
      <c r="P159" s="48">
        <f t="shared" si="35"/>
        <v>168275.44119131073</v>
      </c>
      <c r="Q159" s="25">
        <f t="shared" si="36"/>
        <v>0</v>
      </c>
      <c r="R159" s="26" t="str">
        <f t="shared" si="37"/>
        <v>COIN</v>
      </c>
      <c r="S159" s="26" t="str">
        <f t="shared" si="32"/>
        <v>LONG</v>
      </c>
      <c r="T159" s="26" t="str">
        <f t="shared" si="38"/>
        <v>COIN LONG</v>
      </c>
      <c r="U159" s="17">
        <f t="shared" si="39"/>
        <v>168275.44119131</v>
      </c>
      <c r="V159" s="17">
        <f t="shared" si="40"/>
        <v>0.99957398624469695</v>
      </c>
      <c r="W159" s="40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Shifted'!$AE$32:$AO$75,MATCH($R159,'Futures &amp; Perps Shifted'!$AE$30:$AO$30,0),FALSE),0),0)))</f>
        <v>0</v>
      </c>
      <c r="X159" s="17">
        <f t="shared" si="41"/>
        <v>0</v>
      </c>
      <c r="Y159" s="14" t="str">
        <f t="shared" si="42"/>
        <v>DEFI</v>
      </c>
      <c r="Z159" t="str">
        <f t="shared" si="43"/>
        <v>DAI COIN LONG</v>
      </c>
    </row>
    <row r="160" spans="1:26" customFormat="1" x14ac:dyDescent="0.25">
      <c r="A160" s="14">
        <v>158</v>
      </c>
      <c r="B160" s="77">
        <v>44910.000004594905</v>
      </c>
      <c r="C160" s="14" t="s">
        <v>301</v>
      </c>
      <c r="D160" s="23" t="s">
        <v>311</v>
      </c>
      <c r="E160" s="23" t="s">
        <v>16</v>
      </c>
      <c r="F160" s="23">
        <v>0.56165878999999996</v>
      </c>
      <c r="G160" s="23">
        <v>735.39596039846799</v>
      </c>
      <c r="H160" s="23">
        <v>1309.32867693296</v>
      </c>
      <c r="I160" s="23">
        <v>0</v>
      </c>
      <c r="J160" s="23" t="s">
        <v>88</v>
      </c>
      <c r="K160" s="24">
        <v>44910.000004594905</v>
      </c>
      <c r="L160" s="23">
        <v>1</v>
      </c>
      <c r="M160" s="23" t="s">
        <v>16</v>
      </c>
      <c r="N160" s="46">
        <f t="shared" si="33"/>
        <v>1</v>
      </c>
      <c r="O160" s="47">
        <f t="shared" si="34"/>
        <v>0.56165878999999996</v>
      </c>
      <c r="P160" s="48">
        <f t="shared" si="35"/>
        <v>735.3959603984672</v>
      </c>
      <c r="Q160" s="25">
        <f t="shared" si="36"/>
        <v>0</v>
      </c>
      <c r="R160" s="26" t="str">
        <f t="shared" si="37"/>
        <v>COIN</v>
      </c>
      <c r="S160" s="26" t="str">
        <f t="shared" si="32"/>
        <v>LONG</v>
      </c>
      <c r="T160" s="26" t="str">
        <f t="shared" si="38"/>
        <v>COIN LONG</v>
      </c>
      <c r="U160" s="17">
        <f t="shared" si="39"/>
        <v>735.39596039846799</v>
      </c>
      <c r="V160" s="17">
        <f t="shared" si="40"/>
        <v>1309.32867693296</v>
      </c>
      <c r="W160" s="40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Shifted'!$AE$32:$AO$75,MATCH($R160,'Futures &amp; Perps Shifted'!$AE$30:$AO$30,0),FALSE),0),0)))</f>
        <v>0</v>
      </c>
      <c r="X160" s="17">
        <f t="shared" si="41"/>
        <v>0</v>
      </c>
      <c r="Y160" s="14" t="str">
        <f t="shared" si="42"/>
        <v>DEFI</v>
      </c>
      <c r="Z160" t="str">
        <f t="shared" si="43"/>
        <v>ETH COIN LONG</v>
      </c>
    </row>
    <row r="161" spans="1:26" customFormat="1" x14ac:dyDescent="0.25">
      <c r="A161" s="14">
        <v>159</v>
      </c>
      <c r="B161" s="77">
        <v>44910.000004594905</v>
      </c>
      <c r="C161" s="14" t="s">
        <v>301</v>
      </c>
      <c r="D161" s="23" t="s">
        <v>311</v>
      </c>
      <c r="E161" s="23" t="s">
        <v>1176</v>
      </c>
      <c r="F161" s="23">
        <v>524889.41030044004</v>
      </c>
      <c r="G161" s="23">
        <v>522674.40974300198</v>
      </c>
      <c r="H161" s="23">
        <v>0.99578006240177297</v>
      </c>
      <c r="I161" s="23">
        <v>0</v>
      </c>
      <c r="J161" s="23" t="s">
        <v>88</v>
      </c>
      <c r="K161" s="24">
        <v>44910.000004594905</v>
      </c>
      <c r="L161" s="23">
        <v>1</v>
      </c>
      <c r="M161" s="23" t="s">
        <v>1176</v>
      </c>
      <c r="N161" s="46">
        <f t="shared" si="33"/>
        <v>1</v>
      </c>
      <c r="O161" s="47">
        <f t="shared" si="34"/>
        <v>524889.41030044004</v>
      </c>
      <c r="P161" s="48">
        <f t="shared" si="35"/>
        <v>522674.40974300198</v>
      </c>
      <c r="Q161" s="25">
        <f t="shared" si="36"/>
        <v>0</v>
      </c>
      <c r="R161" s="26" t="str">
        <f t="shared" si="37"/>
        <v>COIN</v>
      </c>
      <c r="S161" s="26" t="str">
        <f t="shared" si="32"/>
        <v>LONG</v>
      </c>
      <c r="T161" s="26" t="str">
        <f t="shared" si="38"/>
        <v>COIN LONG</v>
      </c>
      <c r="U161" s="17">
        <f t="shared" si="39"/>
        <v>522674.40974300198</v>
      </c>
      <c r="V161" s="17">
        <f t="shared" si="40"/>
        <v>0.99578006240177297</v>
      </c>
      <c r="W161" s="40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Shifted'!$AE$32:$AO$75,MATCH($R161,'Futures &amp; Perps Shifted'!$AE$30:$AO$30,0),FALSE),0),0)))</f>
        <v>0</v>
      </c>
      <c r="X161" s="17">
        <f t="shared" si="41"/>
        <v>0</v>
      </c>
      <c r="Y161" s="14" t="str">
        <f t="shared" si="42"/>
        <v>DEFI</v>
      </c>
      <c r="Z161" t="str">
        <f t="shared" si="43"/>
        <v>MIM COIN LONG</v>
      </c>
    </row>
    <row r="162" spans="1:26" customFormat="1" x14ac:dyDescent="0.25">
      <c r="A162" s="14">
        <v>160</v>
      </c>
      <c r="B162" s="77">
        <v>44910.000004594905</v>
      </c>
      <c r="C162" s="14" t="s">
        <v>301</v>
      </c>
      <c r="D162" s="23" t="s">
        <v>311</v>
      </c>
      <c r="E162" s="23" t="s">
        <v>95</v>
      </c>
      <c r="F162" s="23">
        <v>160870.93304174001</v>
      </c>
      <c r="G162" s="23">
        <v>160867.63925836</v>
      </c>
      <c r="H162" s="23">
        <v>0.99997952530443501</v>
      </c>
      <c r="I162" s="23">
        <v>0</v>
      </c>
      <c r="J162" s="23" t="s">
        <v>88</v>
      </c>
      <c r="K162" s="24">
        <v>44910.000004594905</v>
      </c>
      <c r="L162" s="23">
        <v>1</v>
      </c>
      <c r="M162" s="23" t="s">
        <v>95</v>
      </c>
      <c r="N162" s="46">
        <f t="shared" si="33"/>
        <v>1</v>
      </c>
      <c r="O162" s="47">
        <f t="shared" si="34"/>
        <v>160870.93304174001</v>
      </c>
      <c r="P162" s="48">
        <f t="shared" si="35"/>
        <v>160867.63925836072</v>
      </c>
      <c r="Q162" s="25">
        <f t="shared" si="36"/>
        <v>0</v>
      </c>
      <c r="R162" s="26" t="str">
        <f t="shared" si="37"/>
        <v>COIN</v>
      </c>
      <c r="S162" s="26" t="str">
        <f t="shared" si="32"/>
        <v>LONG</v>
      </c>
      <c r="T162" s="26" t="str">
        <f t="shared" si="38"/>
        <v>COIN LONG</v>
      </c>
      <c r="U162" s="17">
        <f t="shared" si="39"/>
        <v>160867.63925836</v>
      </c>
      <c r="V162" s="17">
        <f t="shared" si="40"/>
        <v>0.99997952530443501</v>
      </c>
      <c r="W162" s="40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Shifted'!$AE$32:$AO$75,MATCH($R162,'Futures &amp; Perps Shifted'!$AE$30:$AO$30,0),FALSE),0),0)))</f>
        <v>0</v>
      </c>
      <c r="X162" s="17">
        <f t="shared" si="41"/>
        <v>0</v>
      </c>
      <c r="Y162" s="14" t="str">
        <f t="shared" si="42"/>
        <v>DEFI</v>
      </c>
      <c r="Z162" t="str">
        <f t="shared" si="43"/>
        <v>USDC COIN LONG</v>
      </c>
    </row>
    <row r="163" spans="1:26" customFormat="1" x14ac:dyDescent="0.25">
      <c r="A163" s="14">
        <v>161</v>
      </c>
      <c r="B163" s="77">
        <v>44909.666671840278</v>
      </c>
      <c r="C163" s="14" t="s">
        <v>301</v>
      </c>
      <c r="D163" s="23" t="s">
        <v>311</v>
      </c>
      <c r="E163" s="23" t="s">
        <v>95</v>
      </c>
      <c r="F163" s="23">
        <v>1006533.600838</v>
      </c>
      <c r="G163" s="23">
        <v>1006512.99236894</v>
      </c>
      <c r="H163" s="23">
        <v>0.99997952530443501</v>
      </c>
      <c r="I163" s="23">
        <v>0</v>
      </c>
      <c r="J163" s="23" t="s">
        <v>88</v>
      </c>
      <c r="K163" s="24">
        <v>44909.666671840278</v>
      </c>
      <c r="L163" s="23">
        <v>1</v>
      </c>
      <c r="M163" s="23" t="s">
        <v>95</v>
      </c>
      <c r="N163" s="46">
        <f t="shared" si="33"/>
        <v>1</v>
      </c>
      <c r="O163" s="47">
        <f t="shared" si="34"/>
        <v>1006533.600838</v>
      </c>
      <c r="P163" s="48">
        <f t="shared" si="35"/>
        <v>1006512.9923689469</v>
      </c>
      <c r="Q163" s="25">
        <f t="shared" si="36"/>
        <v>0</v>
      </c>
      <c r="R163" s="26" t="str">
        <f t="shared" si="37"/>
        <v>COIN</v>
      </c>
      <c r="S163" s="26" t="str">
        <f t="shared" si="32"/>
        <v>LONG</v>
      </c>
      <c r="T163" s="26" t="str">
        <f t="shared" si="38"/>
        <v>COIN LONG</v>
      </c>
      <c r="U163" s="17">
        <f t="shared" si="39"/>
        <v>1006512.99236894</v>
      </c>
      <c r="V163" s="17">
        <f t="shared" si="40"/>
        <v>0.99997952530443501</v>
      </c>
      <c r="W163" s="40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Shifted'!$AE$32:$AO$75,MATCH($R163,'Futures &amp; Perps Shifted'!$AE$30:$AO$30,0),FALSE),0),0)))</f>
        <v>0</v>
      </c>
      <c r="X163" s="17">
        <f t="shared" si="41"/>
        <v>0</v>
      </c>
      <c r="Y163" s="14" t="str">
        <f t="shared" si="42"/>
        <v>DEFI</v>
      </c>
      <c r="Z163" t="str">
        <f t="shared" si="43"/>
        <v>USDC COIN LONG</v>
      </c>
    </row>
    <row r="164" spans="1:26" customFormat="1" x14ac:dyDescent="0.25">
      <c r="A164" s="14">
        <v>162</v>
      </c>
      <c r="B164" s="77">
        <v>44910.000004594905</v>
      </c>
      <c r="C164" s="14" t="s">
        <v>301</v>
      </c>
      <c r="D164" s="23" t="s">
        <v>311</v>
      </c>
      <c r="E164" s="23" t="s">
        <v>39</v>
      </c>
      <c r="F164" s="23">
        <v>152185.53478941999</v>
      </c>
      <c r="G164" s="23">
        <v>152201.576716032</v>
      </c>
      <c r="H164" s="23">
        <v>1.0001054103245299</v>
      </c>
      <c r="I164" s="23">
        <v>0</v>
      </c>
      <c r="J164" s="23" t="s">
        <v>88</v>
      </c>
      <c r="K164" s="24">
        <v>44910.000004594905</v>
      </c>
      <c r="L164" s="23">
        <v>1</v>
      </c>
      <c r="M164" s="23" t="s">
        <v>39</v>
      </c>
      <c r="N164" s="46">
        <f t="shared" si="33"/>
        <v>1</v>
      </c>
      <c r="O164" s="47">
        <f t="shared" si="34"/>
        <v>152185.53478941999</v>
      </c>
      <c r="P164" s="48">
        <f t="shared" si="35"/>
        <v>152201.57671603092</v>
      </c>
      <c r="Q164" s="25">
        <f t="shared" si="36"/>
        <v>0</v>
      </c>
      <c r="R164" s="26" t="str">
        <f t="shared" si="37"/>
        <v>COIN</v>
      </c>
      <c r="S164" s="26" t="str">
        <f t="shared" si="32"/>
        <v>LONG</v>
      </c>
      <c r="T164" s="26" t="str">
        <f t="shared" si="38"/>
        <v>COIN LONG</v>
      </c>
      <c r="U164" s="17">
        <f t="shared" si="39"/>
        <v>152201.576716032</v>
      </c>
      <c r="V164" s="17">
        <f t="shared" si="40"/>
        <v>1.0001054103245299</v>
      </c>
      <c r="W164" s="40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Shifted'!$AE$32:$AO$75,MATCH($R164,'Futures &amp; Perps Shifted'!$AE$30:$AO$30,0),FALSE),0),0)))</f>
        <v>0</v>
      </c>
      <c r="X164" s="17">
        <f t="shared" si="41"/>
        <v>0</v>
      </c>
      <c r="Y164" s="14" t="str">
        <f t="shared" si="42"/>
        <v>DEFI</v>
      </c>
      <c r="Z164" t="str">
        <f t="shared" si="43"/>
        <v>USDT COIN LONG</v>
      </c>
    </row>
    <row r="165" spans="1:26" customFormat="1" x14ac:dyDescent="0.25">
      <c r="A165" s="14">
        <v>163</v>
      </c>
      <c r="B165" s="77">
        <v>44910.000004594905</v>
      </c>
      <c r="C165" s="14" t="s">
        <v>301</v>
      </c>
      <c r="D165" s="23" t="s">
        <v>312</v>
      </c>
      <c r="E165" s="23" t="s">
        <v>313</v>
      </c>
      <c r="F165" s="23">
        <v>463.45655553</v>
      </c>
      <c r="G165" s="23">
        <v>26.842364961398999</v>
      </c>
      <c r="H165" s="23">
        <v>5.7917758722179802E-2</v>
      </c>
      <c r="I165" s="23">
        <v>0</v>
      </c>
      <c r="J165" s="23" t="s">
        <v>88</v>
      </c>
      <c r="K165" s="24">
        <v>44910.000004594905</v>
      </c>
      <c r="L165" s="23">
        <v>1</v>
      </c>
      <c r="M165" s="23" t="s">
        <v>313</v>
      </c>
      <c r="N165" s="46">
        <f t="shared" si="33"/>
        <v>1</v>
      </c>
      <c r="O165" s="47">
        <f t="shared" si="34"/>
        <v>463.45655553</v>
      </c>
      <c r="P165" s="48">
        <f t="shared" si="35"/>
        <v>26.842364961399067</v>
      </c>
      <c r="Q165" s="25">
        <f t="shared" si="36"/>
        <v>0</v>
      </c>
      <c r="R165" s="26" t="str">
        <f t="shared" si="37"/>
        <v>COIN</v>
      </c>
      <c r="S165" s="26" t="str">
        <f t="shared" si="32"/>
        <v>LONG</v>
      </c>
      <c r="T165" s="26" t="str">
        <f t="shared" si="38"/>
        <v>COIN LONG</v>
      </c>
      <c r="U165" s="17">
        <f t="shared" si="39"/>
        <v>26.842364961398999</v>
      </c>
      <c r="V165" s="17">
        <f t="shared" si="40"/>
        <v>5.7917758722179802E-2</v>
      </c>
      <c r="W165" s="40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Shifted'!$AE$32:$AO$75,MATCH($R165,'Futures &amp; Perps Shifted'!$AE$30:$AO$30,0),FALSE),0),0)))</f>
        <v>0</v>
      </c>
      <c r="X165" s="17">
        <f t="shared" si="41"/>
        <v>0</v>
      </c>
      <c r="Y165" s="14" t="str">
        <f t="shared" si="42"/>
        <v>DEFI</v>
      </c>
      <c r="Z165" t="str">
        <f t="shared" si="43"/>
        <v>AURA COIN LONG</v>
      </c>
    </row>
    <row r="166" spans="1:26" customFormat="1" x14ac:dyDescent="0.25">
      <c r="A166" s="14">
        <v>164</v>
      </c>
      <c r="B166" s="77">
        <v>44910.000004594905</v>
      </c>
      <c r="C166" s="14" t="s">
        <v>301</v>
      </c>
      <c r="D166" s="23" t="s">
        <v>312</v>
      </c>
      <c r="E166" s="23" t="s">
        <v>314</v>
      </c>
      <c r="F166" s="23">
        <v>128.13018736000001</v>
      </c>
      <c r="G166" s="23">
        <v>787.63144938300502</v>
      </c>
      <c r="H166" s="23">
        <v>6.1471185331996896</v>
      </c>
      <c r="I166" s="23">
        <v>0</v>
      </c>
      <c r="J166" s="23" t="s">
        <v>88</v>
      </c>
      <c r="K166" s="24">
        <v>44910.000004594905</v>
      </c>
      <c r="L166" s="23">
        <v>1</v>
      </c>
      <c r="M166" s="23" t="s">
        <v>314</v>
      </c>
      <c r="N166" s="46">
        <f t="shared" si="33"/>
        <v>1</v>
      </c>
      <c r="O166" s="47">
        <f t="shared" si="34"/>
        <v>128.13018736000001</v>
      </c>
      <c r="P166" s="48">
        <f t="shared" si="35"/>
        <v>787.63144938300468</v>
      </c>
      <c r="Q166" s="25">
        <f t="shared" si="36"/>
        <v>0</v>
      </c>
      <c r="R166" s="26" t="str">
        <f t="shared" si="37"/>
        <v>COIN</v>
      </c>
      <c r="S166" s="26" t="str">
        <f t="shared" si="32"/>
        <v>LONG</v>
      </c>
      <c r="T166" s="26" t="str">
        <f t="shared" si="38"/>
        <v>COIN LONG</v>
      </c>
      <c r="U166" s="17">
        <f t="shared" si="39"/>
        <v>787.63144938300502</v>
      </c>
      <c r="V166" s="17">
        <f t="shared" si="40"/>
        <v>6.1471185331996896</v>
      </c>
      <c r="W166" s="40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Shifted'!$AE$32:$AO$75,MATCH($R166,'Futures &amp; Perps Shifted'!$AE$30:$AO$30,0),FALSE),0),0)))</f>
        <v>0</v>
      </c>
      <c r="X166" s="17">
        <f t="shared" si="41"/>
        <v>0</v>
      </c>
      <c r="Y166" s="14" t="str">
        <f t="shared" si="42"/>
        <v>DEFI</v>
      </c>
      <c r="Z166" t="str">
        <f t="shared" si="43"/>
        <v>BAL COIN LONG</v>
      </c>
    </row>
    <row r="167" spans="1:26" customFormat="1" x14ac:dyDescent="0.25">
      <c r="A167" s="14">
        <v>165</v>
      </c>
      <c r="B167" s="77">
        <v>44910.000004594905</v>
      </c>
      <c r="C167" s="14" t="s">
        <v>301</v>
      </c>
      <c r="D167" s="23" t="s">
        <v>312</v>
      </c>
      <c r="E167" s="23" t="s">
        <v>16</v>
      </c>
      <c r="F167" s="23">
        <v>385.80857076000001</v>
      </c>
      <c r="G167" s="23">
        <v>505150.22550258797</v>
      </c>
      <c r="H167" s="23">
        <v>1309.32867693296</v>
      </c>
      <c r="I167" s="23">
        <v>0</v>
      </c>
      <c r="J167" s="23" t="s">
        <v>88</v>
      </c>
      <c r="K167" s="24">
        <v>44910.000004594905</v>
      </c>
      <c r="L167" s="23">
        <v>1</v>
      </c>
      <c r="M167" s="23" t="s">
        <v>16</v>
      </c>
      <c r="N167" s="46">
        <f t="shared" si="33"/>
        <v>1</v>
      </c>
      <c r="O167" s="47">
        <f t="shared" si="34"/>
        <v>385.80857076000001</v>
      </c>
      <c r="P167" s="48">
        <f t="shared" si="35"/>
        <v>505150.2255025871</v>
      </c>
      <c r="Q167" s="25">
        <f t="shared" si="36"/>
        <v>0</v>
      </c>
      <c r="R167" s="26" t="str">
        <f t="shared" si="37"/>
        <v>COIN</v>
      </c>
      <c r="S167" s="26" t="str">
        <f t="shared" si="32"/>
        <v>LONG</v>
      </c>
      <c r="T167" s="26" t="str">
        <f t="shared" si="38"/>
        <v>COIN LONG</v>
      </c>
      <c r="U167" s="17">
        <f t="shared" si="39"/>
        <v>505150.22550258797</v>
      </c>
      <c r="V167" s="17">
        <f t="shared" si="40"/>
        <v>1309.32867693296</v>
      </c>
      <c r="W167" s="40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Shifted'!$AE$32:$AO$75,MATCH($R167,'Futures &amp; Perps Shifted'!$AE$30:$AO$30,0),FALSE),0),0)))</f>
        <v>0</v>
      </c>
      <c r="X167" s="17">
        <f t="shared" si="41"/>
        <v>0</v>
      </c>
      <c r="Y167" s="14" t="str">
        <f t="shared" si="42"/>
        <v>DEFI</v>
      </c>
      <c r="Z167" t="str">
        <f t="shared" si="43"/>
        <v>ETH COIN LONG</v>
      </c>
    </row>
    <row r="168" spans="1:26" customFormat="1" x14ac:dyDescent="0.25">
      <c r="A168" s="14">
        <v>166</v>
      </c>
      <c r="B168" s="77">
        <v>44910.000004594905</v>
      </c>
      <c r="C168" s="14" t="s">
        <v>301</v>
      </c>
      <c r="D168" s="23" t="s">
        <v>312</v>
      </c>
      <c r="E168" s="23" t="s">
        <v>16</v>
      </c>
      <c r="F168" s="23">
        <v>2.5209147500000002</v>
      </c>
      <c r="G168" s="23">
        <v>3300.7059742782899</v>
      </c>
      <c r="H168" s="23">
        <v>1309.32867693296</v>
      </c>
      <c r="I168" s="23">
        <v>0</v>
      </c>
      <c r="J168" s="23" t="s">
        <v>88</v>
      </c>
      <c r="K168" s="24">
        <v>44910.000004594905</v>
      </c>
      <c r="L168" s="23">
        <v>1</v>
      </c>
      <c r="M168" s="23" t="s">
        <v>16</v>
      </c>
      <c r="N168" s="46">
        <f t="shared" si="33"/>
        <v>1</v>
      </c>
      <c r="O168" s="47">
        <f t="shared" si="34"/>
        <v>2.5209147500000002</v>
      </c>
      <c r="P168" s="48">
        <f t="shared" si="35"/>
        <v>3300.705974278284</v>
      </c>
      <c r="Q168" s="25">
        <f t="shared" si="36"/>
        <v>0</v>
      </c>
      <c r="R168" s="26" t="str">
        <f t="shared" si="37"/>
        <v>COIN</v>
      </c>
      <c r="S168" s="26" t="str">
        <f t="shared" si="32"/>
        <v>LONG</v>
      </c>
      <c r="T168" s="26" t="str">
        <f t="shared" si="38"/>
        <v>COIN LONG</v>
      </c>
      <c r="U168" s="17">
        <f t="shared" si="39"/>
        <v>3300.7059742782899</v>
      </c>
      <c r="V168" s="17">
        <f t="shared" si="40"/>
        <v>1309.32867693296</v>
      </c>
      <c r="W168" s="40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Shifted'!$AE$32:$AO$75,MATCH($R168,'Futures &amp; Perps Shifted'!$AE$30:$AO$30,0),FALSE),0),0)))</f>
        <v>0</v>
      </c>
      <c r="X168" s="17">
        <f t="shared" si="41"/>
        <v>0</v>
      </c>
      <c r="Y168" s="14" t="str">
        <f t="shared" si="42"/>
        <v>DEFI</v>
      </c>
      <c r="Z168" t="str">
        <f t="shared" si="43"/>
        <v>ETH COIN LONG</v>
      </c>
    </row>
    <row r="169" spans="1:26" customFormat="1" x14ac:dyDescent="0.25">
      <c r="A169" s="14">
        <v>167</v>
      </c>
      <c r="B169" s="77">
        <v>44910.000004594905</v>
      </c>
      <c r="C169" s="14" t="s">
        <v>301</v>
      </c>
      <c r="D169" s="23" t="s">
        <v>312</v>
      </c>
      <c r="E169" s="23" t="s">
        <v>315</v>
      </c>
      <c r="F169" s="23">
        <v>623.41986664000001</v>
      </c>
      <c r="G169" s="23">
        <v>799906.53314526705</v>
      </c>
      <c r="H169" s="23">
        <v>1283.0943894304501</v>
      </c>
      <c r="I169" s="23">
        <v>0</v>
      </c>
      <c r="J169" s="23" t="s">
        <v>88</v>
      </c>
      <c r="K169" s="24">
        <v>44910.000004594905</v>
      </c>
      <c r="L169" s="23">
        <v>1</v>
      </c>
      <c r="M169" s="23" t="s">
        <v>315</v>
      </c>
      <c r="N169" s="46">
        <f t="shared" si="33"/>
        <v>1</v>
      </c>
      <c r="O169" s="47">
        <f t="shared" si="34"/>
        <v>623.41986664000001</v>
      </c>
      <c r="P169" s="48">
        <f t="shared" si="35"/>
        <v>799906.53314526344</v>
      </c>
      <c r="Q169" s="25">
        <f t="shared" si="36"/>
        <v>0</v>
      </c>
      <c r="R169" s="26" t="str">
        <f t="shared" si="37"/>
        <v>COIN</v>
      </c>
      <c r="S169" s="26" t="str">
        <f t="shared" si="32"/>
        <v>LONG</v>
      </c>
      <c r="T169" s="26" t="str">
        <f t="shared" si="38"/>
        <v>COIN LONG</v>
      </c>
      <c r="U169" s="17">
        <f t="shared" si="39"/>
        <v>799906.53314526705</v>
      </c>
      <c r="V169" s="17">
        <f t="shared" si="40"/>
        <v>1283.0943894304501</v>
      </c>
      <c r="W169" s="40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Shifted'!$AE$32:$AO$75,MATCH($R169,'Futures &amp; Perps Shifted'!$AE$30:$AO$30,0),FALSE),0),0)))</f>
        <v>0</v>
      </c>
      <c r="X169" s="17">
        <f t="shared" si="41"/>
        <v>0</v>
      </c>
      <c r="Y169" s="14" t="str">
        <f t="shared" si="42"/>
        <v>DEFI</v>
      </c>
      <c r="Z169" t="str">
        <f t="shared" si="43"/>
        <v>STETH COIN LONG</v>
      </c>
    </row>
    <row r="170" spans="1:26" customFormat="1" x14ac:dyDescent="0.25">
      <c r="A170" s="14">
        <v>168</v>
      </c>
      <c r="B170" s="77">
        <v>44910.000004594905</v>
      </c>
      <c r="C170" s="14" t="s">
        <v>301</v>
      </c>
      <c r="D170" s="23" t="s">
        <v>726</v>
      </c>
      <c r="E170" s="23" t="s">
        <v>16</v>
      </c>
      <c r="F170" s="23">
        <v>9.8779060000000002E-2</v>
      </c>
      <c r="G170" s="23">
        <v>129.33425593848099</v>
      </c>
      <c r="H170" s="23">
        <v>1309.32867693296</v>
      </c>
      <c r="I170" s="23">
        <v>0</v>
      </c>
      <c r="J170" s="23" t="s">
        <v>88</v>
      </c>
      <c r="K170" s="24">
        <v>44910.000004594905</v>
      </c>
      <c r="L170" s="23">
        <v>1</v>
      </c>
      <c r="M170" s="23" t="s">
        <v>16</v>
      </c>
      <c r="N170" s="46">
        <f t="shared" si="33"/>
        <v>1</v>
      </c>
      <c r="O170" s="47">
        <f t="shared" si="34"/>
        <v>9.8779060000000002E-2</v>
      </c>
      <c r="P170" s="48">
        <f t="shared" si="35"/>
        <v>129.33425593848148</v>
      </c>
      <c r="Q170" s="25">
        <f t="shared" si="36"/>
        <v>0</v>
      </c>
      <c r="R170" s="26" t="str">
        <f t="shared" si="37"/>
        <v>COIN</v>
      </c>
      <c r="S170" s="26" t="str">
        <f t="shared" si="32"/>
        <v>LONG</v>
      </c>
      <c r="T170" s="26" t="str">
        <f t="shared" si="38"/>
        <v>COIN LONG</v>
      </c>
      <c r="U170" s="17">
        <f t="shared" si="39"/>
        <v>129.33425593848099</v>
      </c>
      <c r="V170" s="17">
        <f t="shared" si="40"/>
        <v>1309.32867693296</v>
      </c>
      <c r="W170" s="40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Shifted'!$AE$32:$AO$75,MATCH($R170,'Futures &amp; Perps Shifted'!$AE$30:$AO$30,0),FALSE),0),0)))</f>
        <v>0</v>
      </c>
      <c r="X170" s="17">
        <f t="shared" si="41"/>
        <v>0</v>
      </c>
      <c r="Y170" s="14" t="str">
        <f t="shared" si="42"/>
        <v>DEFI</v>
      </c>
      <c r="Z170" t="str">
        <f t="shared" si="43"/>
        <v>ETH COIN LONG</v>
      </c>
    </row>
    <row r="171" spans="1:26" customFormat="1" x14ac:dyDescent="0.25">
      <c r="A171" s="14">
        <v>169</v>
      </c>
      <c r="B171" s="77">
        <v>44910.000004594905</v>
      </c>
      <c r="C171" s="14" t="s">
        <v>301</v>
      </c>
      <c r="D171" s="23" t="s">
        <v>726</v>
      </c>
      <c r="E171" s="23" t="s">
        <v>733</v>
      </c>
      <c r="F171" s="23">
        <v>196525.25441796001</v>
      </c>
      <c r="G171" s="23">
        <v>0</v>
      </c>
      <c r="H171" s="23">
        <v>0</v>
      </c>
      <c r="I171" s="23">
        <v>0</v>
      </c>
      <c r="J171" s="23" t="s">
        <v>88</v>
      </c>
      <c r="K171" s="24">
        <v>44910.000004594905</v>
      </c>
      <c r="L171" s="23">
        <v>1</v>
      </c>
      <c r="M171" s="23" t="s">
        <v>733</v>
      </c>
      <c r="N171" s="46">
        <f t="shared" si="33"/>
        <v>1</v>
      </c>
      <c r="O171" s="47">
        <f t="shared" si="34"/>
        <v>196525.25441796001</v>
      </c>
      <c r="P171" s="48">
        <f t="shared" si="35"/>
        <v>0</v>
      </c>
      <c r="Q171" s="25">
        <f t="shared" si="36"/>
        <v>0</v>
      </c>
      <c r="R171" s="26" t="str">
        <f t="shared" si="37"/>
        <v>COIN</v>
      </c>
      <c r="S171" s="26" t="str">
        <f t="shared" si="32"/>
        <v>SHORT</v>
      </c>
      <c r="T171" s="26" t="str">
        <f t="shared" si="38"/>
        <v>COIN SHORT</v>
      </c>
      <c r="U171" s="17">
        <f t="shared" si="39"/>
        <v>0</v>
      </c>
      <c r="V171" s="17">
        <f t="shared" si="40"/>
        <v>0</v>
      </c>
      <c r="W171" s="40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Shifted'!$AE$32:$AO$75,MATCH($R171,'Futures &amp; Perps Shifted'!$AE$30:$AO$30,0),FALSE),0),0)))</f>
        <v>0</v>
      </c>
      <c r="X171" s="17">
        <f t="shared" si="41"/>
        <v>0</v>
      </c>
      <c r="Y171" s="14" t="str">
        <f t="shared" si="42"/>
        <v>DEFI</v>
      </c>
      <c r="Z171" t="str">
        <f t="shared" si="43"/>
        <v>OBALUSDC/BAL-30DEC22-7.6C COIN SHORT</v>
      </c>
    </row>
    <row r="172" spans="1:26" customFormat="1" x14ac:dyDescent="0.25">
      <c r="A172" s="14">
        <v>170</v>
      </c>
      <c r="B172" s="77">
        <v>44910.000004594905</v>
      </c>
      <c r="C172" s="14" t="s">
        <v>301</v>
      </c>
      <c r="D172" s="23" t="s">
        <v>726</v>
      </c>
      <c r="E172" s="23" t="s">
        <v>734</v>
      </c>
      <c r="F172" s="23">
        <v>201000.92417708001</v>
      </c>
      <c r="G172" s="23">
        <v>0</v>
      </c>
      <c r="H172" s="23">
        <v>0</v>
      </c>
      <c r="I172" s="23">
        <v>0</v>
      </c>
      <c r="J172" s="23" t="s">
        <v>88</v>
      </c>
      <c r="K172" s="24">
        <v>44910.000004594905</v>
      </c>
      <c r="L172" s="23">
        <v>1</v>
      </c>
      <c r="M172" s="23" t="s">
        <v>734</v>
      </c>
      <c r="N172" s="46">
        <f t="shared" si="33"/>
        <v>1</v>
      </c>
      <c r="O172" s="47">
        <f t="shared" si="34"/>
        <v>201000.92417708001</v>
      </c>
      <c r="P172" s="48">
        <f t="shared" si="35"/>
        <v>0</v>
      </c>
      <c r="Q172" s="25">
        <f t="shared" si="36"/>
        <v>0</v>
      </c>
      <c r="R172" s="26" t="str">
        <f t="shared" si="37"/>
        <v>COIN</v>
      </c>
      <c r="S172" s="26" t="str">
        <f t="shared" si="32"/>
        <v>SHORT</v>
      </c>
      <c r="T172" s="26" t="str">
        <f t="shared" si="38"/>
        <v>COIN SHORT</v>
      </c>
      <c r="U172" s="17">
        <f t="shared" si="39"/>
        <v>0</v>
      </c>
      <c r="V172" s="17">
        <f t="shared" si="40"/>
        <v>0</v>
      </c>
      <c r="W172" s="40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Shifted'!$AE$32:$AO$75,MATCH($R172,'Futures &amp; Perps Shifted'!$AE$30:$AO$30,0),FALSE),0),0)))</f>
        <v>0</v>
      </c>
      <c r="X172" s="17">
        <f t="shared" si="41"/>
        <v>0</v>
      </c>
      <c r="Y172" s="14" t="str">
        <f t="shared" si="42"/>
        <v>DEFI</v>
      </c>
      <c r="Z172" t="str">
        <f t="shared" si="43"/>
        <v>OPERPUSDC/PERP-30DEC22-0.54C COIN SHORT</v>
      </c>
    </row>
    <row r="173" spans="1:26" customFormat="1" x14ac:dyDescent="0.25">
      <c r="A173" s="14">
        <v>171</v>
      </c>
      <c r="B173" s="77">
        <v>44910.000004594905</v>
      </c>
      <c r="C173" s="14" t="s">
        <v>301</v>
      </c>
      <c r="D173" s="23" t="s">
        <v>726</v>
      </c>
      <c r="E173" s="23" t="s">
        <v>735</v>
      </c>
      <c r="F173" s="23">
        <v>100050250.667</v>
      </c>
      <c r="G173" s="23">
        <v>0</v>
      </c>
      <c r="H173" s="23">
        <v>0</v>
      </c>
      <c r="I173" s="23">
        <v>0</v>
      </c>
      <c r="J173" s="23" t="s">
        <v>88</v>
      </c>
      <c r="K173" s="24">
        <v>44910.000004594905</v>
      </c>
      <c r="L173" s="23">
        <v>1</v>
      </c>
      <c r="M173" s="23" t="s">
        <v>735</v>
      </c>
      <c r="N173" s="46">
        <f t="shared" si="33"/>
        <v>1</v>
      </c>
      <c r="O173" s="47">
        <f t="shared" si="34"/>
        <v>100050250.667</v>
      </c>
      <c r="P173" s="48">
        <f t="shared" si="35"/>
        <v>0</v>
      </c>
      <c r="Q173" s="25">
        <f t="shared" si="36"/>
        <v>0</v>
      </c>
      <c r="R173" s="26" t="str">
        <f t="shared" si="37"/>
        <v>COIN</v>
      </c>
      <c r="S173" s="26" t="str">
        <f t="shared" si="32"/>
        <v>SHORT</v>
      </c>
      <c r="T173" s="26" t="str">
        <f t="shared" si="38"/>
        <v>COIN SHORT</v>
      </c>
      <c r="U173" s="17">
        <f t="shared" si="39"/>
        <v>0</v>
      </c>
      <c r="V173" s="17">
        <f t="shared" si="40"/>
        <v>0</v>
      </c>
      <c r="W173" s="40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Shifted'!$AE$32:$AO$75,MATCH($R173,'Futures &amp; Perps Shifted'!$AE$30:$AO$30,0),FALSE),0),0)))</f>
        <v>0</v>
      </c>
      <c r="X173" s="17">
        <f t="shared" si="41"/>
        <v>0</v>
      </c>
      <c r="Y173" s="14" t="str">
        <f t="shared" si="42"/>
        <v>DEFI</v>
      </c>
      <c r="Z173" t="str">
        <f t="shared" si="43"/>
        <v>OSPELLUSDC/SPELL-30DEC22-0.00079C COIN SHORT</v>
      </c>
    </row>
    <row r="174" spans="1:26" customFormat="1" x14ac:dyDescent="0.25">
      <c r="A174" s="14">
        <v>172</v>
      </c>
      <c r="B174" s="77">
        <v>44907.958337997683</v>
      </c>
      <c r="C174" s="14" t="s">
        <v>301</v>
      </c>
      <c r="D174" s="23" t="s">
        <v>727</v>
      </c>
      <c r="E174" s="23" t="s">
        <v>16</v>
      </c>
      <c r="F174" s="23">
        <v>498.76775994000002</v>
      </c>
      <c r="G174" s="23">
        <v>653050.93121905695</v>
      </c>
      <c r="H174" s="23">
        <v>1309.32867693296</v>
      </c>
      <c r="I174" s="23">
        <v>0</v>
      </c>
      <c r="J174" s="23" t="s">
        <v>88</v>
      </c>
      <c r="K174" s="24">
        <v>44907.958337997683</v>
      </c>
      <c r="L174" s="23">
        <v>1</v>
      </c>
      <c r="M174" s="23" t="s">
        <v>16</v>
      </c>
      <c r="N174" s="46">
        <f t="shared" si="33"/>
        <v>1</v>
      </c>
      <c r="O174" s="47">
        <f t="shared" si="34"/>
        <v>498.76775994000002</v>
      </c>
      <c r="P174" s="48">
        <f t="shared" si="35"/>
        <v>653050.93121905648</v>
      </c>
      <c r="Q174" s="25">
        <f t="shared" si="36"/>
        <v>0</v>
      </c>
      <c r="R174" s="26" t="str">
        <f t="shared" si="37"/>
        <v>COIN</v>
      </c>
      <c r="S174" s="26" t="str">
        <f t="shared" si="32"/>
        <v>LONG</v>
      </c>
      <c r="T174" s="26" t="str">
        <f t="shared" si="38"/>
        <v>COIN LONG</v>
      </c>
      <c r="U174" s="17">
        <f t="shared" si="39"/>
        <v>653050.93121905695</v>
      </c>
      <c r="V174" s="17">
        <f t="shared" si="40"/>
        <v>1309.32867693296</v>
      </c>
      <c r="W174" s="40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Shifted'!$AE$32:$AO$75,MATCH($R174,'Futures &amp; Perps Shifted'!$AE$30:$AO$30,0),FALSE),0),0)))</f>
        <v>0</v>
      </c>
      <c r="X174" s="17">
        <f t="shared" si="41"/>
        <v>0</v>
      </c>
      <c r="Y174" s="14" t="str">
        <f t="shared" si="42"/>
        <v>DEFI</v>
      </c>
      <c r="Z174" t="str">
        <f t="shared" si="43"/>
        <v>ETH COIN LONG</v>
      </c>
    </row>
    <row r="175" spans="1:26" customFormat="1" x14ac:dyDescent="0.25">
      <c r="A175" s="14">
        <v>173</v>
      </c>
      <c r="B175" s="77">
        <v>44910.000004594905</v>
      </c>
      <c r="C175" s="14" t="s">
        <v>301</v>
      </c>
      <c r="D175" s="23" t="s">
        <v>727</v>
      </c>
      <c r="E175" s="23" t="s">
        <v>16</v>
      </c>
      <c r="F175" s="23">
        <v>2.96051419</v>
      </c>
      <c r="G175" s="23">
        <v>3876.2861274339598</v>
      </c>
      <c r="H175" s="23">
        <v>1309.32867693296</v>
      </c>
      <c r="I175" s="23">
        <v>0</v>
      </c>
      <c r="J175" s="23" t="s">
        <v>88</v>
      </c>
      <c r="K175" s="24">
        <v>44910.000004594905</v>
      </c>
      <c r="L175" s="23">
        <v>1</v>
      </c>
      <c r="M175" s="23" t="s">
        <v>16</v>
      </c>
      <c r="N175" s="46">
        <f t="shared" si="33"/>
        <v>1</v>
      </c>
      <c r="O175" s="47">
        <f t="shared" si="34"/>
        <v>2.96051419</v>
      </c>
      <c r="P175" s="48">
        <f t="shared" si="35"/>
        <v>3876.2861274339539</v>
      </c>
      <c r="Q175" s="25">
        <f t="shared" si="36"/>
        <v>0</v>
      </c>
      <c r="R175" s="26" t="str">
        <f t="shared" si="37"/>
        <v>COIN</v>
      </c>
      <c r="S175" s="26" t="str">
        <f t="shared" si="32"/>
        <v>LONG</v>
      </c>
      <c r="T175" s="26" t="str">
        <f t="shared" si="38"/>
        <v>COIN LONG</v>
      </c>
      <c r="U175" s="17">
        <f t="shared" si="39"/>
        <v>3876.2861274339598</v>
      </c>
      <c r="V175" s="17">
        <f t="shared" si="40"/>
        <v>1309.32867693296</v>
      </c>
      <c r="W175" s="40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Shifted'!$AE$32:$AO$75,MATCH($R175,'Futures &amp; Perps Shifted'!$AE$30:$AO$30,0),FALSE),0),0)))</f>
        <v>0</v>
      </c>
      <c r="X175" s="17">
        <f t="shared" si="41"/>
        <v>0</v>
      </c>
      <c r="Y175" s="14" t="str">
        <f t="shared" si="42"/>
        <v>DEFI</v>
      </c>
      <c r="Z175" t="str">
        <f t="shared" si="43"/>
        <v>ETH COIN LONG</v>
      </c>
    </row>
    <row r="176" spans="1:26" customFormat="1" x14ac:dyDescent="0.25">
      <c r="A176" s="14">
        <v>174</v>
      </c>
      <c r="B176" s="77">
        <v>44907.958337997683</v>
      </c>
      <c r="C176" s="14" t="s">
        <v>301</v>
      </c>
      <c r="D176" s="23" t="s">
        <v>727</v>
      </c>
      <c r="E176" s="23" t="s">
        <v>736</v>
      </c>
      <c r="F176" s="23">
        <v>498.37304568000002</v>
      </c>
      <c r="G176" s="23">
        <v>0</v>
      </c>
      <c r="H176" s="23">
        <v>0</v>
      </c>
      <c r="I176" s="23">
        <v>0</v>
      </c>
      <c r="J176" s="23" t="s">
        <v>88</v>
      </c>
      <c r="K176" s="24">
        <v>44907.958337997683</v>
      </c>
      <c r="L176" s="23">
        <v>1</v>
      </c>
      <c r="M176" s="23" t="s">
        <v>736</v>
      </c>
      <c r="N176" s="46">
        <f t="shared" si="33"/>
        <v>1</v>
      </c>
      <c r="O176" s="47">
        <f t="shared" si="34"/>
        <v>498.37304568000002</v>
      </c>
      <c r="P176" s="48">
        <f t="shared" si="35"/>
        <v>0</v>
      </c>
      <c r="Q176" s="25">
        <f t="shared" si="36"/>
        <v>0</v>
      </c>
      <c r="R176" s="26" t="str">
        <f t="shared" si="37"/>
        <v>COIN</v>
      </c>
      <c r="S176" s="26" t="str">
        <f t="shared" si="32"/>
        <v>SHORT</v>
      </c>
      <c r="T176" s="26" t="str">
        <f t="shared" si="38"/>
        <v>COIN SHORT</v>
      </c>
      <c r="U176" s="17">
        <f t="shared" si="39"/>
        <v>0</v>
      </c>
      <c r="V176" s="17">
        <f t="shared" si="40"/>
        <v>0</v>
      </c>
      <c r="W176" s="40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Shifted'!$AE$32:$AO$75,MATCH($R176,'Futures &amp; Perps Shifted'!$AE$30:$AO$30,0),FALSE),0),0)))</f>
        <v>0</v>
      </c>
      <c r="X176" s="17">
        <f t="shared" si="41"/>
        <v>0</v>
      </c>
      <c r="Y176" s="14" t="str">
        <f t="shared" si="42"/>
        <v>DEFI</v>
      </c>
      <c r="Z176" t="str">
        <f t="shared" si="43"/>
        <v>FRXETH COIN SHORT</v>
      </c>
    </row>
    <row r="177" spans="1:26" customFormat="1" x14ac:dyDescent="0.25">
      <c r="A177" s="14">
        <v>175</v>
      </c>
      <c r="B177" s="77">
        <v>44910.000004780093</v>
      </c>
      <c r="C177" s="14" t="s">
        <v>33</v>
      </c>
      <c r="D177" s="23" t="s">
        <v>34</v>
      </c>
      <c r="E177" s="23" t="s">
        <v>95</v>
      </c>
      <c r="F177" s="23">
        <v>172499.35324299999</v>
      </c>
      <c r="G177" s="23">
        <v>172495.82137125701</v>
      </c>
      <c r="H177" s="23">
        <v>0.99997952530443501</v>
      </c>
      <c r="I177" s="23">
        <v>0</v>
      </c>
      <c r="J177" s="23" t="s">
        <v>88</v>
      </c>
      <c r="K177" s="24">
        <v>44910.000004780093</v>
      </c>
      <c r="L177" s="23">
        <v>1</v>
      </c>
      <c r="M177" s="23" t="s">
        <v>95</v>
      </c>
      <c r="N177" s="46">
        <f t="shared" si="33"/>
        <v>1</v>
      </c>
      <c r="O177" s="47">
        <f t="shared" si="34"/>
        <v>172499.35324299999</v>
      </c>
      <c r="P177" s="48">
        <f t="shared" si="35"/>
        <v>172495.82137125719</v>
      </c>
      <c r="Q177" s="25">
        <f t="shared" si="36"/>
        <v>0</v>
      </c>
      <c r="R177" s="26" t="str">
        <f t="shared" si="37"/>
        <v>COIN</v>
      </c>
      <c r="S177" s="26" t="str">
        <f t="shared" si="32"/>
        <v>LONG</v>
      </c>
      <c r="T177" s="26" t="str">
        <f t="shared" si="38"/>
        <v>COIN LONG</v>
      </c>
      <c r="U177" s="17">
        <f t="shared" si="39"/>
        <v>172495.82137125701</v>
      </c>
      <c r="V177" s="17">
        <f t="shared" si="40"/>
        <v>0.99997952530443501</v>
      </c>
      <c r="W177" s="40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Shifted'!$AE$32:$AO$75,MATCH($R177,'Futures &amp; Perps Shifted'!$AE$30:$AO$30,0),FALSE),0),0)))</f>
        <v>0</v>
      </c>
      <c r="X177" s="17">
        <f t="shared" si="41"/>
        <v>0</v>
      </c>
      <c r="Y177" s="14" t="str">
        <f t="shared" si="42"/>
        <v>DYDX</v>
      </c>
      <c r="Z177" t="str">
        <f t="shared" si="43"/>
        <v>USDC COIN LONG</v>
      </c>
    </row>
    <row r="178" spans="1:26" customFormat="1" x14ac:dyDescent="0.25">
      <c r="A178" s="14">
        <v>176</v>
      </c>
      <c r="B178" s="77">
        <v>44910.000000231485</v>
      </c>
      <c r="C178" s="14" t="s">
        <v>40</v>
      </c>
      <c r="D178" s="23" t="s">
        <v>114</v>
      </c>
      <c r="E178" s="23" t="s">
        <v>87</v>
      </c>
      <c r="F178" s="23">
        <v>1E-8</v>
      </c>
      <c r="G178" s="23">
        <v>3.0813425194694101E-9</v>
      </c>
      <c r="H178" s="23">
        <v>0.308134251946941</v>
      </c>
      <c r="I178" s="23">
        <v>0</v>
      </c>
      <c r="J178" s="23" t="s">
        <v>88</v>
      </c>
      <c r="K178" s="24">
        <v>44910.000000231485</v>
      </c>
      <c r="L178" s="23">
        <v>1</v>
      </c>
      <c r="M178" s="23" t="s">
        <v>87</v>
      </c>
      <c r="N178" s="46">
        <f t="shared" si="33"/>
        <v>1</v>
      </c>
      <c r="O178" s="47">
        <f t="shared" si="34"/>
        <v>1E-8</v>
      </c>
      <c r="P178" s="48">
        <f t="shared" si="35"/>
        <v>3.0813425194694101E-9</v>
      </c>
      <c r="Q178" s="25">
        <f t="shared" si="36"/>
        <v>0</v>
      </c>
      <c r="R178" s="26" t="str">
        <f t="shared" si="37"/>
        <v>COIN</v>
      </c>
      <c r="S178" s="26" t="str">
        <f t="shared" si="32"/>
        <v>LONG</v>
      </c>
      <c r="T178" s="26" t="str">
        <f t="shared" si="38"/>
        <v>COIN LONG</v>
      </c>
      <c r="U178" s="17">
        <f t="shared" si="39"/>
        <v>3.0813425194694101E-9</v>
      </c>
      <c r="V178" s="17">
        <f t="shared" si="40"/>
        <v>0.308134251946941</v>
      </c>
      <c r="W178" s="40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Shifted'!$AE$32:$AO$75,MATCH($R178,'Futures &amp; Perps Shifted'!$AE$30:$AO$30,0),FALSE),0),0)))</f>
        <v>0</v>
      </c>
      <c r="X178" s="17">
        <f t="shared" si="41"/>
        <v>0</v>
      </c>
      <c r="Y178" s="14" t="str">
        <f t="shared" si="42"/>
        <v>FUB2</v>
      </c>
      <c r="Z178" t="str">
        <f t="shared" si="43"/>
        <v>ADA COIN LONG</v>
      </c>
    </row>
    <row r="179" spans="1:26" customFormat="1" x14ac:dyDescent="0.25">
      <c r="A179" s="14">
        <v>177</v>
      </c>
      <c r="B179" s="77">
        <v>44910.000000231485</v>
      </c>
      <c r="C179" s="14" t="s">
        <v>40</v>
      </c>
      <c r="D179" s="23" t="s">
        <v>114</v>
      </c>
      <c r="E179" s="23" t="s">
        <v>21</v>
      </c>
      <c r="F179" s="23">
        <v>4.9999999999999998E-8</v>
      </c>
      <c r="G179" s="23">
        <v>5.4554247976536396E-6</v>
      </c>
      <c r="H179" s="23">
        <v>109.10849595307199</v>
      </c>
      <c r="I179" s="23">
        <v>0</v>
      </c>
      <c r="J179" s="23" t="s">
        <v>88</v>
      </c>
      <c r="K179" s="24">
        <v>44910.000000231485</v>
      </c>
      <c r="L179" s="23">
        <v>1</v>
      </c>
      <c r="M179" s="23" t="s">
        <v>21</v>
      </c>
      <c r="N179" s="46">
        <f t="shared" si="33"/>
        <v>1</v>
      </c>
      <c r="O179" s="47">
        <f t="shared" si="34"/>
        <v>4.9999999999999998E-8</v>
      </c>
      <c r="P179" s="48">
        <f t="shared" si="35"/>
        <v>5.4554247976535998E-6</v>
      </c>
      <c r="Q179" s="25">
        <f t="shared" si="36"/>
        <v>0</v>
      </c>
      <c r="R179" s="26" t="str">
        <f t="shared" si="37"/>
        <v>COIN</v>
      </c>
      <c r="S179" s="26" t="str">
        <f t="shared" si="32"/>
        <v>LONG</v>
      </c>
      <c r="T179" s="26" t="str">
        <f t="shared" si="38"/>
        <v>COIN LONG</v>
      </c>
      <c r="U179" s="17">
        <f t="shared" si="39"/>
        <v>5.4554247976536396E-6</v>
      </c>
      <c r="V179" s="17">
        <f t="shared" si="40"/>
        <v>109.10849595307199</v>
      </c>
      <c r="W179" s="40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Shifted'!$AE$32:$AO$75,MATCH($R179,'Futures &amp; Perps Shifted'!$AE$30:$AO$30,0),FALSE),0),0)))</f>
        <v>0</v>
      </c>
      <c r="X179" s="17">
        <f t="shared" si="41"/>
        <v>0</v>
      </c>
      <c r="Y179" s="14" t="str">
        <f t="shared" si="42"/>
        <v>FUB2</v>
      </c>
      <c r="Z179" t="str">
        <f t="shared" si="43"/>
        <v>BCH COIN LONG</v>
      </c>
    </row>
    <row r="180" spans="1:26" customFormat="1" x14ac:dyDescent="0.25">
      <c r="A180" s="14">
        <v>178</v>
      </c>
      <c r="B180" s="77">
        <v>44910.000000231485</v>
      </c>
      <c r="C180" s="14" t="s">
        <v>40</v>
      </c>
      <c r="D180" s="23" t="s">
        <v>114</v>
      </c>
      <c r="E180" s="23" t="s">
        <v>116</v>
      </c>
      <c r="F180" s="23">
        <v>0.47315189000000002</v>
      </c>
      <c r="G180" s="23">
        <v>21.439278037545701</v>
      </c>
      <c r="H180" s="23">
        <v>45.311618722574998</v>
      </c>
      <c r="I180" s="23">
        <v>0</v>
      </c>
      <c r="J180" s="23" t="s">
        <v>88</v>
      </c>
      <c r="K180" s="24">
        <v>44910.000000231485</v>
      </c>
      <c r="L180" s="23">
        <v>1</v>
      </c>
      <c r="M180" s="23" t="s">
        <v>116</v>
      </c>
      <c r="N180" s="46">
        <f t="shared" si="33"/>
        <v>1</v>
      </c>
      <c r="O180" s="47">
        <f t="shared" si="34"/>
        <v>0.47315189000000002</v>
      </c>
      <c r="P180" s="48">
        <f t="shared" si="35"/>
        <v>21.439278037545748</v>
      </c>
      <c r="Q180" s="25">
        <f t="shared" si="36"/>
        <v>0</v>
      </c>
      <c r="R180" s="26" t="str">
        <f t="shared" si="37"/>
        <v>COIN</v>
      </c>
      <c r="S180" s="26" t="str">
        <f t="shared" si="32"/>
        <v>LONG</v>
      </c>
      <c r="T180" s="26" t="str">
        <f t="shared" si="38"/>
        <v>COIN LONG</v>
      </c>
      <c r="U180" s="17">
        <f t="shared" si="39"/>
        <v>21.439278037545701</v>
      </c>
      <c r="V180" s="17">
        <f t="shared" si="40"/>
        <v>45.311618722574998</v>
      </c>
      <c r="W180" s="40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Shifted'!$AE$32:$AO$75,MATCH($R180,'Futures &amp; Perps Shifted'!$AE$30:$AO$30,0),FALSE),0),0)))</f>
        <v>0</v>
      </c>
      <c r="X180" s="17">
        <f t="shared" si="41"/>
        <v>0</v>
      </c>
      <c r="Y180" s="14" t="str">
        <f t="shared" si="42"/>
        <v>FUB2</v>
      </c>
      <c r="Z180" t="str">
        <f t="shared" si="43"/>
        <v>BSV COIN LONG</v>
      </c>
    </row>
    <row r="181" spans="1:26" customFormat="1" x14ac:dyDescent="0.25">
      <c r="A181" s="14">
        <v>179</v>
      </c>
      <c r="B181" s="77">
        <v>44910.000000231485</v>
      </c>
      <c r="C181" s="14" t="s">
        <v>40</v>
      </c>
      <c r="D181" s="23" t="s">
        <v>114</v>
      </c>
      <c r="E181" s="23" t="s">
        <v>15</v>
      </c>
      <c r="F181" s="23">
        <v>4.0000000000000001E-8</v>
      </c>
      <c r="G181" s="23">
        <v>7.1262599418603595E-4</v>
      </c>
      <c r="H181" s="23">
        <v>17815.649854650899</v>
      </c>
      <c r="I181" s="23">
        <v>0</v>
      </c>
      <c r="J181" s="23" t="s">
        <v>88</v>
      </c>
      <c r="K181" s="24">
        <v>44910.000000231485</v>
      </c>
      <c r="L181" s="23">
        <v>1</v>
      </c>
      <c r="M181" s="23" t="s">
        <v>15</v>
      </c>
      <c r="N181" s="46">
        <f t="shared" si="33"/>
        <v>1</v>
      </c>
      <c r="O181" s="47">
        <f t="shared" si="34"/>
        <v>4.0000000000000001E-8</v>
      </c>
      <c r="P181" s="48">
        <f t="shared" si="35"/>
        <v>7.1262599418603595E-4</v>
      </c>
      <c r="Q181" s="25">
        <f t="shared" si="36"/>
        <v>0</v>
      </c>
      <c r="R181" s="26" t="str">
        <f t="shared" si="37"/>
        <v>COIN</v>
      </c>
      <c r="S181" s="26" t="str">
        <f t="shared" si="32"/>
        <v>LONG</v>
      </c>
      <c r="T181" s="26" t="str">
        <f t="shared" si="38"/>
        <v>COIN LONG</v>
      </c>
      <c r="U181" s="17">
        <f t="shared" si="39"/>
        <v>7.1262599418603595E-4</v>
      </c>
      <c r="V181" s="17">
        <f t="shared" si="40"/>
        <v>17815.649854650899</v>
      </c>
      <c r="W181" s="40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Shifted'!$AE$32:$AO$75,MATCH($R181,'Futures &amp; Perps Shifted'!$AE$30:$AO$30,0),FALSE),0),0)))</f>
        <v>0</v>
      </c>
      <c r="X181" s="17">
        <f t="shared" si="41"/>
        <v>0</v>
      </c>
      <c r="Y181" s="14" t="str">
        <f t="shared" si="42"/>
        <v>FUB2</v>
      </c>
      <c r="Z181" t="str">
        <f t="shared" si="43"/>
        <v>BTC COIN LONG</v>
      </c>
    </row>
    <row r="182" spans="1:26" customFormat="1" x14ac:dyDescent="0.25">
      <c r="A182" s="14">
        <v>180</v>
      </c>
      <c r="B182" s="77">
        <v>44910.000000231485</v>
      </c>
      <c r="C182" s="14" t="s">
        <v>40</v>
      </c>
      <c r="D182" s="23" t="s">
        <v>114</v>
      </c>
      <c r="E182" s="23" t="s">
        <v>24</v>
      </c>
      <c r="F182" s="23">
        <v>2.9999999999999997E-8</v>
      </c>
      <c r="G182" s="23">
        <v>2.9340640100730401E-8</v>
      </c>
      <c r="H182" s="23">
        <v>0.97802133669101299</v>
      </c>
      <c r="I182" s="23">
        <v>0</v>
      </c>
      <c r="J182" s="23" t="s">
        <v>88</v>
      </c>
      <c r="K182" s="24">
        <v>44910.000000231485</v>
      </c>
      <c r="L182" s="23">
        <v>1</v>
      </c>
      <c r="M182" s="23" t="s">
        <v>24</v>
      </c>
      <c r="N182" s="46">
        <f t="shared" si="33"/>
        <v>1</v>
      </c>
      <c r="O182" s="47">
        <f t="shared" si="34"/>
        <v>2.9999999999999997E-8</v>
      </c>
      <c r="P182" s="48">
        <f t="shared" si="35"/>
        <v>2.9340640100730388E-8</v>
      </c>
      <c r="Q182" s="25">
        <f t="shared" si="36"/>
        <v>0</v>
      </c>
      <c r="R182" s="26" t="str">
        <f t="shared" si="37"/>
        <v>COIN</v>
      </c>
      <c r="S182" s="26" t="str">
        <f t="shared" si="32"/>
        <v>LONG</v>
      </c>
      <c r="T182" s="26" t="str">
        <f t="shared" si="38"/>
        <v>COIN LONG</v>
      </c>
      <c r="U182" s="17">
        <f t="shared" si="39"/>
        <v>2.9340640100730401E-8</v>
      </c>
      <c r="V182" s="17">
        <f t="shared" si="40"/>
        <v>0.97802133669101299</v>
      </c>
      <c r="W182" s="40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Shifted'!$AE$32:$AO$75,MATCH($R182,'Futures &amp; Perps Shifted'!$AE$30:$AO$30,0),FALSE),0),0)))</f>
        <v>0</v>
      </c>
      <c r="X182" s="17">
        <f t="shared" si="41"/>
        <v>0</v>
      </c>
      <c r="Y182" s="14" t="str">
        <f t="shared" si="42"/>
        <v>FUB2</v>
      </c>
      <c r="Z182" t="str">
        <f t="shared" si="43"/>
        <v>EOS COIN LONG</v>
      </c>
    </row>
    <row r="183" spans="1:26" customFormat="1" x14ac:dyDescent="0.25">
      <c r="A183" s="14">
        <v>181</v>
      </c>
      <c r="B183" s="77">
        <v>44910.000000231485</v>
      </c>
      <c r="C183" s="14" t="s">
        <v>40</v>
      </c>
      <c r="D183" s="23" t="s">
        <v>114</v>
      </c>
      <c r="E183" s="23" t="s">
        <v>30</v>
      </c>
      <c r="F183" s="23">
        <v>1E-8</v>
      </c>
      <c r="G183" s="23">
        <v>1.87876872284171E-7</v>
      </c>
      <c r="H183" s="23">
        <v>18.787687228417099</v>
      </c>
      <c r="I183" s="23">
        <v>0</v>
      </c>
      <c r="J183" s="23" t="s">
        <v>88</v>
      </c>
      <c r="K183" s="24">
        <v>44910.000000231485</v>
      </c>
      <c r="L183" s="23">
        <v>1</v>
      </c>
      <c r="M183" s="23" t="s">
        <v>30</v>
      </c>
      <c r="N183" s="46">
        <f t="shared" si="33"/>
        <v>1</v>
      </c>
      <c r="O183" s="47">
        <f t="shared" si="34"/>
        <v>1E-8</v>
      </c>
      <c r="P183" s="48">
        <f t="shared" si="35"/>
        <v>1.87876872284171E-7</v>
      </c>
      <c r="Q183" s="25">
        <f t="shared" si="36"/>
        <v>0</v>
      </c>
      <c r="R183" s="26" t="str">
        <f t="shared" si="37"/>
        <v>COIN</v>
      </c>
      <c r="S183" s="26" t="str">
        <f t="shared" si="32"/>
        <v>LONG</v>
      </c>
      <c r="T183" s="26" t="str">
        <f t="shared" si="38"/>
        <v>COIN LONG</v>
      </c>
      <c r="U183" s="17">
        <f t="shared" si="39"/>
        <v>1.87876872284171E-7</v>
      </c>
      <c r="V183" s="17">
        <f t="shared" si="40"/>
        <v>18.787687228417099</v>
      </c>
      <c r="W183" s="40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Shifted'!$AE$32:$AO$75,MATCH($R183,'Futures &amp; Perps Shifted'!$AE$30:$AO$30,0),FALSE),0),0)))</f>
        <v>0</v>
      </c>
      <c r="X183" s="17">
        <f t="shared" si="41"/>
        <v>0</v>
      </c>
      <c r="Y183" s="14" t="str">
        <f t="shared" si="42"/>
        <v>FUB2</v>
      </c>
      <c r="Z183" t="str">
        <f t="shared" si="43"/>
        <v>ETC COIN LONG</v>
      </c>
    </row>
    <row r="184" spans="1:26" customFormat="1" x14ac:dyDescent="0.25">
      <c r="A184" s="14">
        <v>182</v>
      </c>
      <c r="B184" s="77">
        <v>44910.000000231485</v>
      </c>
      <c r="C184" s="14" t="s">
        <v>40</v>
      </c>
      <c r="D184" s="23" t="s">
        <v>114</v>
      </c>
      <c r="E184" s="23" t="s">
        <v>16</v>
      </c>
      <c r="F184" s="23">
        <v>2.9999999999999997E-8</v>
      </c>
      <c r="G184" s="23">
        <v>3.9279860307988803E-5</v>
      </c>
      <c r="H184" s="23">
        <v>1309.32867693296</v>
      </c>
      <c r="I184" s="23">
        <v>0</v>
      </c>
      <c r="J184" s="23" t="s">
        <v>88</v>
      </c>
      <c r="K184" s="24">
        <v>44910.000000231485</v>
      </c>
      <c r="L184" s="23">
        <v>1</v>
      </c>
      <c r="M184" s="23" t="s">
        <v>16</v>
      </c>
      <c r="N184" s="46">
        <f t="shared" si="33"/>
        <v>1</v>
      </c>
      <c r="O184" s="47">
        <f t="shared" si="34"/>
        <v>2.9999999999999997E-8</v>
      </c>
      <c r="P184" s="48">
        <f t="shared" si="35"/>
        <v>3.9279860307988797E-5</v>
      </c>
      <c r="Q184" s="25">
        <f t="shared" si="36"/>
        <v>0</v>
      </c>
      <c r="R184" s="26" t="str">
        <f t="shared" si="37"/>
        <v>COIN</v>
      </c>
      <c r="S184" s="26" t="str">
        <f t="shared" si="32"/>
        <v>LONG</v>
      </c>
      <c r="T184" s="26" t="str">
        <f t="shared" si="38"/>
        <v>COIN LONG</v>
      </c>
      <c r="U184" s="17">
        <f t="shared" si="39"/>
        <v>3.9279860307988803E-5</v>
      </c>
      <c r="V184" s="17">
        <f t="shared" si="40"/>
        <v>1309.32867693296</v>
      </c>
      <c r="W184" s="40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Shifted'!$AE$32:$AO$75,MATCH($R184,'Futures &amp; Perps Shifted'!$AE$30:$AO$30,0),FALSE),0),0)))</f>
        <v>0</v>
      </c>
      <c r="X184" s="17">
        <f t="shared" si="41"/>
        <v>0</v>
      </c>
      <c r="Y184" s="14" t="str">
        <f t="shared" si="42"/>
        <v>FUB2</v>
      </c>
      <c r="Z184" t="str">
        <f t="shared" si="43"/>
        <v>ETH COIN LONG</v>
      </c>
    </row>
    <row r="185" spans="1:26" customFormat="1" x14ac:dyDescent="0.25">
      <c r="A185" s="14">
        <v>183</v>
      </c>
      <c r="B185" s="77">
        <v>44910.000000231485</v>
      </c>
      <c r="C185" s="14" t="s">
        <v>40</v>
      </c>
      <c r="D185" s="23" t="s">
        <v>114</v>
      </c>
      <c r="E185" s="23" t="s">
        <v>25</v>
      </c>
      <c r="F185" s="23">
        <v>1E-8</v>
      </c>
      <c r="G185" s="23">
        <v>7.5475863646134999E-7</v>
      </c>
      <c r="H185" s="23">
        <v>75.475863646134997</v>
      </c>
      <c r="I185" s="23">
        <v>0</v>
      </c>
      <c r="J185" s="23" t="s">
        <v>88</v>
      </c>
      <c r="K185" s="24">
        <v>44910.000000231485</v>
      </c>
      <c r="L185" s="23">
        <v>1</v>
      </c>
      <c r="M185" s="23" t="s">
        <v>25</v>
      </c>
      <c r="N185" s="46">
        <f t="shared" si="33"/>
        <v>1</v>
      </c>
      <c r="O185" s="47">
        <f t="shared" si="34"/>
        <v>1E-8</v>
      </c>
      <c r="P185" s="48">
        <f t="shared" si="35"/>
        <v>7.5475863646134999E-7</v>
      </c>
      <c r="Q185" s="25">
        <f t="shared" si="36"/>
        <v>0</v>
      </c>
      <c r="R185" s="26" t="str">
        <f t="shared" si="37"/>
        <v>COIN</v>
      </c>
      <c r="S185" s="26" t="str">
        <f t="shared" ref="S185:S248" si="44">IF($C185="","",IF($J185="CME FUTURE",IF($G185&gt;0,"LONG","SHORT"),IF($G185&gt;0,"LONG","SHORT")))</f>
        <v>LONG</v>
      </c>
      <c r="T185" s="26" t="str">
        <f t="shared" si="38"/>
        <v>COIN LONG</v>
      </c>
      <c r="U185" s="17">
        <f t="shared" si="39"/>
        <v>7.5475863646134999E-7</v>
      </c>
      <c r="V185" s="17">
        <f t="shared" si="40"/>
        <v>75.475863646134997</v>
      </c>
      <c r="W185" s="40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Shifted'!$AE$32:$AO$75,MATCH($R185,'Futures &amp; Perps Shifted'!$AE$30:$AO$30,0),FALSE),0),0)))</f>
        <v>0</v>
      </c>
      <c r="X185" s="17">
        <f t="shared" si="41"/>
        <v>0</v>
      </c>
      <c r="Y185" s="14" t="str">
        <f t="shared" si="42"/>
        <v>FUB2</v>
      </c>
      <c r="Z185" t="str">
        <f t="shared" si="43"/>
        <v>LTC COIN LONG</v>
      </c>
    </row>
    <row r="186" spans="1:26" customFormat="1" x14ac:dyDescent="0.25">
      <c r="A186" s="14">
        <v>184</v>
      </c>
      <c r="B186" s="77">
        <v>44910.000000231485</v>
      </c>
      <c r="C186" s="14" t="s">
        <v>40</v>
      </c>
      <c r="D186" s="23" t="s">
        <v>114</v>
      </c>
      <c r="E186" s="23" t="s">
        <v>26</v>
      </c>
      <c r="F186" s="23">
        <v>1E-8</v>
      </c>
      <c r="G186" s="23">
        <v>5.5666357131219E-10</v>
      </c>
      <c r="H186" s="23">
        <v>5.5666357131219001E-2</v>
      </c>
      <c r="I186" s="23">
        <v>0</v>
      </c>
      <c r="J186" s="23" t="s">
        <v>88</v>
      </c>
      <c r="K186" s="24">
        <v>44910.000000231485</v>
      </c>
      <c r="L186" s="23">
        <v>1</v>
      </c>
      <c r="M186" s="23" t="s">
        <v>26</v>
      </c>
      <c r="N186" s="46">
        <f t="shared" si="33"/>
        <v>1</v>
      </c>
      <c r="O186" s="47">
        <f t="shared" si="34"/>
        <v>1E-8</v>
      </c>
      <c r="P186" s="48">
        <f t="shared" si="35"/>
        <v>5.5666357131219E-10</v>
      </c>
      <c r="Q186" s="25">
        <f t="shared" si="36"/>
        <v>0</v>
      </c>
      <c r="R186" s="26" t="str">
        <f t="shared" si="37"/>
        <v>COIN</v>
      </c>
      <c r="S186" s="26" t="str">
        <f t="shared" si="44"/>
        <v>LONG</v>
      </c>
      <c r="T186" s="26" t="str">
        <f t="shared" si="38"/>
        <v>COIN LONG</v>
      </c>
      <c r="U186" s="17">
        <f t="shared" si="39"/>
        <v>5.5666357131219E-10</v>
      </c>
      <c r="V186" s="17">
        <f t="shared" si="40"/>
        <v>5.5666357131219001E-2</v>
      </c>
      <c r="W186" s="40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Shifted'!$AE$32:$AO$75,MATCH($R186,'Futures &amp; Perps Shifted'!$AE$30:$AO$30,0),FALSE),0),0)))</f>
        <v>0</v>
      </c>
      <c r="X186" s="17">
        <f t="shared" si="41"/>
        <v>0</v>
      </c>
      <c r="Y186" s="14" t="str">
        <f t="shared" si="42"/>
        <v>FUB2</v>
      </c>
      <c r="Z186" t="str">
        <f t="shared" si="43"/>
        <v>TRX COIN LONG</v>
      </c>
    </row>
    <row r="187" spans="1:26" customFormat="1" x14ac:dyDescent="0.25">
      <c r="A187" s="14">
        <v>185</v>
      </c>
      <c r="B187" s="77">
        <v>44910.000000231485</v>
      </c>
      <c r="C187" s="14" t="s">
        <v>40</v>
      </c>
      <c r="D187" s="23" t="s">
        <v>114</v>
      </c>
      <c r="E187" s="23" t="s">
        <v>102</v>
      </c>
      <c r="F187" s="23">
        <v>9.9999999999999995E-8</v>
      </c>
      <c r="G187" s="23">
        <v>3.8641371777866901E-8</v>
      </c>
      <c r="H187" s="23">
        <v>0.38641371777866901</v>
      </c>
      <c r="I187" s="23">
        <v>0</v>
      </c>
      <c r="J187" s="23" t="s">
        <v>88</v>
      </c>
      <c r="K187" s="24">
        <v>44910.000000231485</v>
      </c>
      <c r="L187" s="23">
        <v>1</v>
      </c>
      <c r="M187" s="23" t="s">
        <v>102</v>
      </c>
      <c r="N187" s="46">
        <f t="shared" ref="N187:N250" si="45">IF($C187="","",IF(OR($J187="SWAP",$J187="FUTURE",$J187="CME FUTURE"),IF($L187=1,ROUND($G187/$H187/$F187,3),POWER(10,ROUND(LOG($G187/$F187),1))),1))</f>
        <v>1</v>
      </c>
      <c r="O187" s="47">
        <f t="shared" si="34"/>
        <v>9.9999999999999995E-8</v>
      </c>
      <c r="P187" s="48">
        <f t="shared" si="35"/>
        <v>3.8641371777866901E-8</v>
      </c>
      <c r="Q187" s="25">
        <f t="shared" si="36"/>
        <v>0</v>
      </c>
      <c r="R187" s="26" t="str">
        <f t="shared" si="37"/>
        <v>COIN</v>
      </c>
      <c r="S187" s="26" t="str">
        <f t="shared" si="44"/>
        <v>LONG</v>
      </c>
      <c r="T187" s="26" t="str">
        <f t="shared" si="38"/>
        <v>COIN LONG</v>
      </c>
      <c r="U187" s="17">
        <f t="shared" si="39"/>
        <v>3.8641371777866901E-8</v>
      </c>
      <c r="V187" s="17">
        <f t="shared" si="40"/>
        <v>0.38641371777866901</v>
      </c>
      <c r="W187" s="40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Shifted'!$AE$32:$AO$75,MATCH($R187,'Futures &amp; Perps Shifted'!$AE$30:$AO$30,0),FALSE),0),0)))</f>
        <v>0</v>
      </c>
      <c r="X187" s="17">
        <f t="shared" si="41"/>
        <v>0</v>
      </c>
      <c r="Y187" s="14" t="str">
        <f t="shared" si="42"/>
        <v>FUB2</v>
      </c>
      <c r="Z187" t="str">
        <f t="shared" si="43"/>
        <v>XRP COIN LONG</v>
      </c>
    </row>
    <row r="188" spans="1:26" customFormat="1" x14ac:dyDescent="0.25">
      <c r="A188" s="14">
        <v>186</v>
      </c>
      <c r="B188" s="77">
        <v>44910.000000891203</v>
      </c>
      <c r="C188" s="14" t="s">
        <v>40</v>
      </c>
      <c r="D188" s="23" t="s">
        <v>41</v>
      </c>
      <c r="E188" s="23" t="s">
        <v>87</v>
      </c>
      <c r="F188" s="23">
        <v>5.7406599999999999E-3</v>
      </c>
      <c r="G188" s="23">
        <v>1.7688939747817301E-3</v>
      </c>
      <c r="H188" s="23">
        <v>0.308134251946941</v>
      </c>
      <c r="I188" s="23">
        <v>0</v>
      </c>
      <c r="J188" s="23" t="s">
        <v>88</v>
      </c>
      <c r="K188" s="24">
        <v>44910.000000891203</v>
      </c>
      <c r="L188" s="23">
        <v>1</v>
      </c>
      <c r="M188" s="23" t="s">
        <v>87</v>
      </c>
      <c r="N188" s="46">
        <f t="shared" si="45"/>
        <v>1</v>
      </c>
      <c r="O188" s="47">
        <f t="shared" si="34"/>
        <v>5.7406599999999999E-3</v>
      </c>
      <c r="P188" s="48">
        <f t="shared" si="35"/>
        <v>1.7688939747817262E-3</v>
      </c>
      <c r="Q188" s="25">
        <f t="shared" si="36"/>
        <v>0</v>
      </c>
      <c r="R188" s="26" t="str">
        <f t="shared" si="37"/>
        <v>COIN</v>
      </c>
      <c r="S188" s="26" t="str">
        <f t="shared" si="44"/>
        <v>LONG</v>
      </c>
      <c r="T188" s="26" t="str">
        <f t="shared" si="38"/>
        <v>COIN LONG</v>
      </c>
      <c r="U188" s="17">
        <f t="shared" si="39"/>
        <v>1.7688939747817301E-3</v>
      </c>
      <c r="V188" s="17">
        <f t="shared" si="40"/>
        <v>0.308134251946941</v>
      </c>
      <c r="W188" s="40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Shifted'!$AE$32:$AO$75,MATCH($R188,'Futures &amp; Perps Shifted'!$AE$30:$AO$30,0),FALSE),0),0)))</f>
        <v>0</v>
      </c>
      <c r="X188" s="17">
        <f t="shared" si="41"/>
        <v>0</v>
      </c>
      <c r="Y188" s="14" t="str">
        <f t="shared" si="42"/>
        <v>FUBI</v>
      </c>
      <c r="Z188" t="str">
        <f t="shared" si="43"/>
        <v>ADA COIN LONG</v>
      </c>
    </row>
    <row r="189" spans="1:26" customFormat="1" x14ac:dyDescent="0.25">
      <c r="A189" s="14">
        <v>187</v>
      </c>
      <c r="B189" s="77">
        <v>44910.000000891203</v>
      </c>
      <c r="C189" s="14" t="s">
        <v>40</v>
      </c>
      <c r="D189" s="23" t="s">
        <v>41</v>
      </c>
      <c r="E189" s="23" t="s">
        <v>21</v>
      </c>
      <c r="F189" s="23">
        <v>0.72885027999999996</v>
      </c>
      <c r="G189" s="23">
        <v>79.523757825776002</v>
      </c>
      <c r="H189" s="23">
        <v>109.10849595307199</v>
      </c>
      <c r="I189" s="23">
        <v>0</v>
      </c>
      <c r="J189" s="23" t="s">
        <v>88</v>
      </c>
      <c r="K189" s="24">
        <v>44910.000000891203</v>
      </c>
      <c r="L189" s="23">
        <v>1</v>
      </c>
      <c r="M189" s="23" t="s">
        <v>21</v>
      </c>
      <c r="N189" s="46">
        <f t="shared" si="45"/>
        <v>1</v>
      </c>
      <c r="O189" s="47">
        <f t="shared" si="34"/>
        <v>0.72885027999999996</v>
      </c>
      <c r="P189" s="48">
        <f t="shared" si="35"/>
        <v>79.523757825775391</v>
      </c>
      <c r="Q189" s="25">
        <f t="shared" si="36"/>
        <v>0</v>
      </c>
      <c r="R189" s="26" t="str">
        <f t="shared" si="37"/>
        <v>COIN</v>
      </c>
      <c r="S189" s="26" t="str">
        <f t="shared" si="44"/>
        <v>LONG</v>
      </c>
      <c r="T189" s="26" t="str">
        <f t="shared" si="38"/>
        <v>COIN LONG</v>
      </c>
      <c r="U189" s="17">
        <f t="shared" si="39"/>
        <v>79.523757825776002</v>
      </c>
      <c r="V189" s="17">
        <f t="shared" si="40"/>
        <v>109.10849595307199</v>
      </c>
      <c r="W189" s="40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Shifted'!$AE$32:$AO$75,MATCH($R189,'Futures &amp; Perps Shifted'!$AE$30:$AO$30,0),FALSE),0),0)))</f>
        <v>0</v>
      </c>
      <c r="X189" s="17">
        <f t="shared" si="41"/>
        <v>0</v>
      </c>
      <c r="Y189" s="14" t="str">
        <f t="shared" si="42"/>
        <v>FUBI</v>
      </c>
      <c r="Z189" t="str">
        <f t="shared" si="43"/>
        <v>BCH COIN LONG</v>
      </c>
    </row>
    <row r="190" spans="1:26" customFormat="1" x14ac:dyDescent="0.25">
      <c r="A190" s="14">
        <v>188</v>
      </c>
      <c r="B190" s="77">
        <v>44910.000000891203</v>
      </c>
      <c r="C190" s="14" t="s">
        <v>40</v>
      </c>
      <c r="D190" s="23" t="s">
        <v>41</v>
      </c>
      <c r="E190" s="23" t="s">
        <v>116</v>
      </c>
      <c r="F190" s="23">
        <v>0.11285791000000001</v>
      </c>
      <c r="G190" s="23">
        <v>5.11377458774668</v>
      </c>
      <c r="H190" s="23">
        <v>45.311618722574998</v>
      </c>
      <c r="I190" s="23">
        <v>0</v>
      </c>
      <c r="J190" s="23" t="s">
        <v>88</v>
      </c>
      <c r="K190" s="24">
        <v>44910.000000891203</v>
      </c>
      <c r="L190" s="23">
        <v>1</v>
      </c>
      <c r="M190" s="23" t="s">
        <v>116</v>
      </c>
      <c r="N190" s="46">
        <f t="shared" si="45"/>
        <v>1</v>
      </c>
      <c r="O190" s="47">
        <f t="shared" si="34"/>
        <v>0.11285791000000001</v>
      </c>
      <c r="P190" s="48">
        <f t="shared" si="35"/>
        <v>5.1137745877466845</v>
      </c>
      <c r="Q190" s="25">
        <f t="shared" si="36"/>
        <v>0</v>
      </c>
      <c r="R190" s="26" t="str">
        <f t="shared" si="37"/>
        <v>COIN</v>
      </c>
      <c r="S190" s="26" t="str">
        <f t="shared" si="44"/>
        <v>LONG</v>
      </c>
      <c r="T190" s="26" t="str">
        <f t="shared" si="38"/>
        <v>COIN LONG</v>
      </c>
      <c r="U190" s="17">
        <f t="shared" si="39"/>
        <v>5.11377458774668</v>
      </c>
      <c r="V190" s="17">
        <f t="shared" si="40"/>
        <v>45.311618722574998</v>
      </c>
      <c r="W190" s="40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Shifted'!$AE$32:$AO$75,MATCH($R190,'Futures &amp; Perps Shifted'!$AE$30:$AO$30,0),FALSE),0),0)))</f>
        <v>0</v>
      </c>
      <c r="X190" s="17">
        <f t="shared" si="41"/>
        <v>0</v>
      </c>
      <c r="Y190" s="14" t="str">
        <f t="shared" si="42"/>
        <v>FUBI</v>
      </c>
      <c r="Z190" t="str">
        <f t="shared" si="43"/>
        <v>BSV COIN LONG</v>
      </c>
    </row>
    <row r="191" spans="1:26" customFormat="1" x14ac:dyDescent="0.25">
      <c r="A191" s="14">
        <v>189</v>
      </c>
      <c r="B191" s="77">
        <v>44910.000000891203</v>
      </c>
      <c r="C191" s="14" t="s">
        <v>40</v>
      </c>
      <c r="D191" s="23" t="s">
        <v>41</v>
      </c>
      <c r="E191" s="23" t="s">
        <v>15</v>
      </c>
      <c r="F191" s="23">
        <v>32.481357639999999</v>
      </c>
      <c r="G191" s="23">
        <v>578676.49451792997</v>
      </c>
      <c r="H191" s="23">
        <v>17815.649854650899</v>
      </c>
      <c r="I191" s="23">
        <v>0</v>
      </c>
      <c r="J191" s="23" t="s">
        <v>88</v>
      </c>
      <c r="K191" s="24">
        <v>44910.000000891203</v>
      </c>
      <c r="L191" s="23">
        <v>1</v>
      </c>
      <c r="M191" s="23" t="s">
        <v>15</v>
      </c>
      <c r="N191" s="46">
        <f t="shared" si="45"/>
        <v>1</v>
      </c>
      <c r="O191" s="47">
        <f t="shared" si="34"/>
        <v>32.481357639999999</v>
      </c>
      <c r="P191" s="48">
        <f t="shared" si="35"/>
        <v>578676.49451792985</v>
      </c>
      <c r="Q191" s="25">
        <f t="shared" si="36"/>
        <v>0</v>
      </c>
      <c r="R191" s="26" t="str">
        <f t="shared" si="37"/>
        <v>COIN</v>
      </c>
      <c r="S191" s="26" t="str">
        <f t="shared" si="44"/>
        <v>LONG</v>
      </c>
      <c r="T191" s="26" t="str">
        <f t="shared" si="38"/>
        <v>COIN LONG</v>
      </c>
      <c r="U191" s="17">
        <f t="shared" si="39"/>
        <v>578676.49451792997</v>
      </c>
      <c r="V191" s="17">
        <f t="shared" si="40"/>
        <v>17815.649854650899</v>
      </c>
      <c r="W191" s="40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Shifted'!$AE$32:$AO$75,MATCH($R191,'Futures &amp; Perps Shifted'!$AE$30:$AO$30,0),FALSE),0),0)))</f>
        <v>0</v>
      </c>
      <c r="X191" s="17">
        <f t="shared" si="41"/>
        <v>0</v>
      </c>
      <c r="Y191" s="14" t="str">
        <f t="shared" si="42"/>
        <v>FUBI</v>
      </c>
      <c r="Z191" t="str">
        <f t="shared" si="43"/>
        <v>BTC COIN LONG</v>
      </c>
    </row>
    <row r="192" spans="1:26" customFormat="1" x14ac:dyDescent="0.25">
      <c r="A192" s="14">
        <v>190</v>
      </c>
      <c r="B192" s="77">
        <v>44910.000000891203</v>
      </c>
      <c r="C192" s="14" t="s">
        <v>40</v>
      </c>
      <c r="D192" s="23" t="s">
        <v>41</v>
      </c>
      <c r="E192" s="23" t="s">
        <v>15</v>
      </c>
      <c r="F192" s="23">
        <v>2.2719860000000001E-2</v>
      </c>
      <c r="G192" s="23">
        <v>404.76907050668899</v>
      </c>
      <c r="H192" s="23">
        <v>17815.649854650899</v>
      </c>
      <c r="I192" s="23">
        <v>0</v>
      </c>
      <c r="J192" s="23" t="s">
        <v>256</v>
      </c>
      <c r="K192" s="24">
        <v>44910.000000891203</v>
      </c>
      <c r="L192" s="23">
        <v>1</v>
      </c>
      <c r="M192" s="23" t="s">
        <v>15</v>
      </c>
      <c r="N192" s="46">
        <f t="shared" si="45"/>
        <v>1</v>
      </c>
      <c r="O192" s="47">
        <f t="shared" si="34"/>
        <v>2.2719860000000001E-2</v>
      </c>
      <c r="P192" s="48">
        <f t="shared" si="35"/>
        <v>404.76907050668882</v>
      </c>
      <c r="Q192" s="25">
        <f t="shared" si="36"/>
        <v>0</v>
      </c>
      <c r="R192" s="26" t="str">
        <f t="shared" si="37"/>
        <v>COIN</v>
      </c>
      <c r="S192" s="26" t="str">
        <f t="shared" si="44"/>
        <v>LONG</v>
      </c>
      <c r="T192" s="26" t="str">
        <f t="shared" si="38"/>
        <v>COIN LONG</v>
      </c>
      <c r="U192" s="17">
        <f t="shared" si="39"/>
        <v>404.76907050668899</v>
      </c>
      <c r="V192" s="17">
        <f t="shared" si="40"/>
        <v>17815.649854650899</v>
      </c>
      <c r="W192" s="40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Shifted'!$AE$32:$AO$75,MATCH($R192,'Futures &amp; Perps Shifted'!$AE$30:$AO$30,0),FALSE),0),0)))</f>
        <v>0</v>
      </c>
      <c r="X192" s="17">
        <f t="shared" si="41"/>
        <v>0</v>
      </c>
      <c r="Y192" s="14" t="str">
        <f t="shared" si="42"/>
        <v>FUBI</v>
      </c>
      <c r="Z192" t="str">
        <f t="shared" si="43"/>
        <v>BTC COIN LONG</v>
      </c>
    </row>
    <row r="193" spans="1:26" customFormat="1" x14ac:dyDescent="0.25">
      <c r="A193" s="14">
        <v>191</v>
      </c>
      <c r="B193" s="77">
        <v>44910.000000891203</v>
      </c>
      <c r="C193" s="14" t="s">
        <v>40</v>
      </c>
      <c r="D193" s="23" t="s">
        <v>41</v>
      </c>
      <c r="E193" s="23" t="s">
        <v>23</v>
      </c>
      <c r="F193" s="23">
        <v>0.97764076</v>
      </c>
      <c r="G193" s="23">
        <v>5.0986016244932602</v>
      </c>
      <c r="H193" s="23">
        <v>5.21520975096543</v>
      </c>
      <c r="I193" s="23">
        <v>0</v>
      </c>
      <c r="J193" s="23" t="s">
        <v>88</v>
      </c>
      <c r="K193" s="24">
        <v>44910.000000891203</v>
      </c>
      <c r="L193" s="23">
        <v>1</v>
      </c>
      <c r="M193" s="23" t="s">
        <v>23</v>
      </c>
      <c r="N193" s="46">
        <f t="shared" si="45"/>
        <v>1</v>
      </c>
      <c r="O193" s="47">
        <f t="shared" si="34"/>
        <v>0.97764076</v>
      </c>
      <c r="P193" s="48">
        <f t="shared" si="35"/>
        <v>5.0986016244932539</v>
      </c>
      <c r="Q193" s="25">
        <f t="shared" si="36"/>
        <v>0</v>
      </c>
      <c r="R193" s="26" t="str">
        <f t="shared" si="37"/>
        <v>COIN</v>
      </c>
      <c r="S193" s="26" t="str">
        <f t="shared" si="44"/>
        <v>LONG</v>
      </c>
      <c r="T193" s="26" t="str">
        <f t="shared" si="38"/>
        <v>COIN LONG</v>
      </c>
      <c r="U193" s="17">
        <f t="shared" si="39"/>
        <v>5.0986016244932602</v>
      </c>
      <c r="V193" s="17">
        <f t="shared" si="40"/>
        <v>5.21520975096543</v>
      </c>
      <c r="W193" s="40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Shifted'!$AE$32:$AO$75,MATCH($R193,'Futures &amp; Perps Shifted'!$AE$30:$AO$30,0),FALSE),0),0)))</f>
        <v>0</v>
      </c>
      <c r="X193" s="17">
        <f t="shared" si="41"/>
        <v>0</v>
      </c>
      <c r="Y193" s="14" t="str">
        <f t="shared" si="42"/>
        <v>FUBI</v>
      </c>
      <c r="Z193" t="str">
        <f t="shared" si="43"/>
        <v>DOT COIN LONG</v>
      </c>
    </row>
    <row r="194" spans="1:26" customFormat="1" x14ac:dyDescent="0.25">
      <c r="A194" s="14">
        <v>192</v>
      </c>
      <c r="B194" s="77">
        <v>44910.000000891203</v>
      </c>
      <c r="C194" s="14" t="s">
        <v>40</v>
      </c>
      <c r="D194" s="23" t="s">
        <v>41</v>
      </c>
      <c r="E194" s="23" t="s">
        <v>24</v>
      </c>
      <c r="F194" s="23">
        <v>3.7085149999999997E-2</v>
      </c>
      <c r="G194" s="23">
        <v>3.6270067974386699E-2</v>
      </c>
      <c r="H194" s="23">
        <v>0.97802133669101299</v>
      </c>
      <c r="I194" s="23">
        <v>0</v>
      </c>
      <c r="J194" s="23" t="s">
        <v>88</v>
      </c>
      <c r="K194" s="24">
        <v>44910.000000891203</v>
      </c>
      <c r="L194" s="23">
        <v>1</v>
      </c>
      <c r="M194" s="23" t="s">
        <v>24</v>
      </c>
      <c r="N194" s="46">
        <f t="shared" si="45"/>
        <v>1</v>
      </c>
      <c r="O194" s="47">
        <f t="shared" ref="O194:O257" si="46">IF($C194="","",IF(OR($J194="SWAP",$J194="FUTURE",$J194="CME FUTURE"),IF($L194=1,$F194*$N194,$AA$2*$F194*$N194/$H194),F194))</f>
        <v>3.7085149999999997E-2</v>
      </c>
      <c r="P194" s="48">
        <f t="shared" ref="P194:P257" si="47">IF($C194="","",IF(OR($J194="SWAP",$J194="FUTURE",$J194="CME FUTURE"),IF(NOT(ISERROR(VLOOKUP($M194,SpotUSDRateTable,2,FALSE))),VLOOKUP($M194,SpotUSDRateTable,2,FALSE),$H194)*O194,VLOOKUP($M194,SpotUSDRateTable,2,FALSE)*O194))</f>
        <v>3.627006797438672E-2</v>
      </c>
      <c r="Q194" s="25">
        <f t="shared" si="36"/>
        <v>0</v>
      </c>
      <c r="R194" s="26" t="str">
        <f t="shared" si="37"/>
        <v>COIN</v>
      </c>
      <c r="S194" s="26" t="str">
        <f t="shared" si="44"/>
        <v>LONG</v>
      </c>
      <c r="T194" s="26" t="str">
        <f t="shared" si="38"/>
        <v>COIN LONG</v>
      </c>
      <c r="U194" s="17">
        <f t="shared" si="39"/>
        <v>3.6270067974386699E-2</v>
      </c>
      <c r="V194" s="17">
        <f t="shared" si="40"/>
        <v>0.97802133669101299</v>
      </c>
      <c r="W194" s="40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Shifted'!$AE$32:$AO$75,MATCH($R194,'Futures &amp; Perps Shifted'!$AE$30:$AO$30,0),FALSE),0),0)))</f>
        <v>0</v>
      </c>
      <c r="X194" s="17">
        <f t="shared" si="41"/>
        <v>0</v>
      </c>
      <c r="Y194" s="14" t="str">
        <f t="shared" si="42"/>
        <v>FUBI</v>
      </c>
      <c r="Z194" t="str">
        <f t="shared" si="43"/>
        <v>EOS COIN LONG</v>
      </c>
    </row>
    <row r="195" spans="1:26" customFormat="1" x14ac:dyDescent="0.25">
      <c r="A195" s="14">
        <v>193</v>
      </c>
      <c r="B195" s="77">
        <v>44910.000000891203</v>
      </c>
      <c r="C195" s="14" t="s">
        <v>40</v>
      </c>
      <c r="D195" s="23" t="s">
        <v>41</v>
      </c>
      <c r="E195" s="23" t="s">
        <v>30</v>
      </c>
      <c r="F195" s="23">
        <v>0.70701212999999996</v>
      </c>
      <c r="G195" s="23">
        <v>13.283122765137</v>
      </c>
      <c r="H195" s="23">
        <v>18.787687228417099</v>
      </c>
      <c r="I195" s="23">
        <v>0</v>
      </c>
      <c r="J195" s="23" t="s">
        <v>88</v>
      </c>
      <c r="K195" s="24">
        <v>44910.000000891203</v>
      </c>
      <c r="L195" s="23">
        <v>1</v>
      </c>
      <c r="M195" s="23" t="s">
        <v>30</v>
      </c>
      <c r="N195" s="46">
        <f t="shared" si="45"/>
        <v>1</v>
      </c>
      <c r="O195" s="47">
        <f t="shared" si="46"/>
        <v>0.70701212999999996</v>
      </c>
      <c r="P195" s="48">
        <f t="shared" si="47"/>
        <v>13.283122765136969</v>
      </c>
      <c r="Q195" s="25">
        <f t="shared" ref="Q195:Q258" si="48">IF($C195="","",IF(OR($J195="SWAP",$J195="FUTURE",$J195="CME FUTURE"),INT($K195-$B195),0))</f>
        <v>0</v>
      </c>
      <c r="R195" s="26" t="str">
        <f t="shared" ref="R195:R258" si="49">IF($C195="","",IF(OR($E195="USD",$E195="EUR"),"CASH",IF($Q195=0,"COIN",IF($Q195&gt;720,"PERP",IF($J195="FUTURE",TEXT($K195-1,"mmm yy"),"CME "&amp;TEXT($K195-1,"mmm yy"))))))</f>
        <v>COIN</v>
      </c>
      <c r="S195" s="26" t="str">
        <f t="shared" si="44"/>
        <v>LONG</v>
      </c>
      <c r="T195" s="26" t="str">
        <f t="shared" ref="T195:T258" si="50">IF($C195="","",$R195&amp;" "&amp;$S195)</f>
        <v>COIN LONG</v>
      </c>
      <c r="U195" s="17">
        <f t="shared" ref="U195:U258" si="51">IF($C195="","",$G195*(1+$W195))</f>
        <v>13.283122765137</v>
      </c>
      <c r="V195" s="17">
        <f t="shared" ref="V195:V258" si="52">IF($C195="","",$H195*(1+$W195))</f>
        <v>18.787687228417099</v>
      </c>
      <c r="W195" s="40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Shifted'!$AE$32:$AO$75,MATCH($R195,'Futures &amp; Perps Shifted'!$AE$30:$AO$30,0),FALSE),0),0)))</f>
        <v>0</v>
      </c>
      <c r="X195" s="17">
        <f t="shared" ref="X195:X258" si="53">IF($C195="","",$U195-$G195)</f>
        <v>0</v>
      </c>
      <c r="Y195" s="14" t="str">
        <f t="shared" ref="Y195:Y258" si="54">IF($C195="","",IF(ISERROR(SEARCH("-",$D195)),$D195,LEFT($D195,SEARCH("-",$D195)-1)))</f>
        <v>FUBI</v>
      </c>
      <c r="Z195" t="str">
        <f t="shared" ref="Z195:Z258" si="55">IF($C195="","",$M195&amp;" "&amp;$T195)</f>
        <v>ETC COIN LONG</v>
      </c>
    </row>
    <row r="196" spans="1:26" customFormat="1" x14ac:dyDescent="0.25">
      <c r="A196" s="14">
        <v>194</v>
      </c>
      <c r="B196" s="77">
        <v>44910.000000891203</v>
      </c>
      <c r="C196" s="14" t="s">
        <v>40</v>
      </c>
      <c r="D196" s="23" t="s">
        <v>41</v>
      </c>
      <c r="E196" s="23" t="s">
        <v>16</v>
      </c>
      <c r="F196" s="23">
        <v>535.83104949000005</v>
      </c>
      <c r="G196" s="23">
        <v>701578.95908834203</v>
      </c>
      <c r="H196" s="23">
        <v>1309.32867693296</v>
      </c>
      <c r="I196" s="23">
        <v>0</v>
      </c>
      <c r="J196" s="23" t="s">
        <v>88</v>
      </c>
      <c r="K196" s="24">
        <v>44910.000000891203</v>
      </c>
      <c r="L196" s="23">
        <v>1</v>
      </c>
      <c r="M196" s="23" t="s">
        <v>16</v>
      </c>
      <c r="N196" s="46">
        <f t="shared" si="45"/>
        <v>1</v>
      </c>
      <c r="O196" s="47">
        <f t="shared" si="46"/>
        <v>535.83104949000005</v>
      </c>
      <c r="P196" s="48">
        <f t="shared" si="47"/>
        <v>701578.95908834122</v>
      </c>
      <c r="Q196" s="25">
        <f t="shared" si="48"/>
        <v>0</v>
      </c>
      <c r="R196" s="26" t="str">
        <f t="shared" si="49"/>
        <v>COIN</v>
      </c>
      <c r="S196" s="26" t="str">
        <f t="shared" si="44"/>
        <v>LONG</v>
      </c>
      <c r="T196" s="26" t="str">
        <f t="shared" si="50"/>
        <v>COIN LONG</v>
      </c>
      <c r="U196" s="17">
        <f t="shared" si="51"/>
        <v>701578.95908834203</v>
      </c>
      <c r="V196" s="17">
        <f t="shared" si="52"/>
        <v>1309.32867693296</v>
      </c>
      <c r="W196" s="40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Shifted'!$AE$32:$AO$75,MATCH($R196,'Futures &amp; Perps Shifted'!$AE$30:$AO$30,0),FALSE),0),0)))</f>
        <v>0</v>
      </c>
      <c r="X196" s="17">
        <f t="shared" si="53"/>
        <v>0</v>
      </c>
      <c r="Y196" s="14" t="str">
        <f t="shared" si="54"/>
        <v>FUBI</v>
      </c>
      <c r="Z196" t="str">
        <f t="shared" si="55"/>
        <v>ETH COIN LONG</v>
      </c>
    </row>
    <row r="197" spans="1:26" customFormat="1" x14ac:dyDescent="0.25">
      <c r="A197" s="14">
        <v>195</v>
      </c>
      <c r="B197" s="77">
        <v>44910.000000891203</v>
      </c>
      <c r="C197" s="14" t="s">
        <v>40</v>
      </c>
      <c r="D197" s="23" t="s">
        <v>41</v>
      </c>
      <c r="E197" s="23" t="s">
        <v>16</v>
      </c>
      <c r="F197" s="23">
        <v>-3.7039113700000001</v>
      </c>
      <c r="G197" s="23">
        <v>-4849.6373735590496</v>
      </c>
      <c r="H197" s="23">
        <v>1309.32867693296</v>
      </c>
      <c r="I197" s="23">
        <v>0</v>
      </c>
      <c r="J197" s="23" t="s">
        <v>256</v>
      </c>
      <c r="K197" s="24">
        <v>44910.000000891203</v>
      </c>
      <c r="L197" s="23">
        <v>1</v>
      </c>
      <c r="M197" s="23" t="s">
        <v>16</v>
      </c>
      <c r="N197" s="46">
        <f t="shared" si="45"/>
        <v>1</v>
      </c>
      <c r="O197" s="47">
        <f t="shared" si="46"/>
        <v>-3.7039113700000001</v>
      </c>
      <c r="P197" s="48">
        <f t="shared" si="47"/>
        <v>-4849.6373735590478</v>
      </c>
      <c r="Q197" s="25">
        <f t="shared" si="48"/>
        <v>0</v>
      </c>
      <c r="R197" s="26" t="str">
        <f t="shared" si="49"/>
        <v>COIN</v>
      </c>
      <c r="S197" s="26" t="str">
        <f t="shared" si="44"/>
        <v>SHORT</v>
      </c>
      <c r="T197" s="26" t="str">
        <f t="shared" si="50"/>
        <v>COIN SHORT</v>
      </c>
      <c r="U197" s="17">
        <f t="shared" si="51"/>
        <v>-4849.6373735590496</v>
      </c>
      <c r="V197" s="17">
        <f t="shared" si="52"/>
        <v>1309.32867693296</v>
      </c>
      <c r="W197" s="40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Shifted'!$AE$32:$AO$75,MATCH($R197,'Futures &amp; Perps Shifted'!$AE$30:$AO$30,0),FALSE),0),0)))</f>
        <v>0</v>
      </c>
      <c r="X197" s="17">
        <f t="shared" si="53"/>
        <v>0</v>
      </c>
      <c r="Y197" s="14" t="str">
        <f t="shared" si="54"/>
        <v>FUBI</v>
      </c>
      <c r="Z197" t="str">
        <f t="shared" si="55"/>
        <v>ETH COIN SHORT</v>
      </c>
    </row>
    <row r="198" spans="1:26" customFormat="1" x14ac:dyDescent="0.25">
      <c r="A198" s="14">
        <v>196</v>
      </c>
      <c r="B198" s="77">
        <v>44910.000000891203</v>
      </c>
      <c r="C198" s="14" t="s">
        <v>40</v>
      </c>
      <c r="D198" s="23" t="s">
        <v>41</v>
      </c>
      <c r="E198" s="23" t="s">
        <v>28</v>
      </c>
      <c r="F198" s="23">
        <v>6.244243E-2</v>
      </c>
      <c r="G198" s="23">
        <v>0.420164374968233</v>
      </c>
      <c r="H198" s="23">
        <v>6.72882805759214</v>
      </c>
      <c r="I198" s="23">
        <v>0</v>
      </c>
      <c r="J198" s="23" t="s">
        <v>88</v>
      </c>
      <c r="K198" s="24">
        <v>44910.000000891203</v>
      </c>
      <c r="L198" s="23">
        <v>1</v>
      </c>
      <c r="M198" s="23" t="s">
        <v>28</v>
      </c>
      <c r="N198" s="46">
        <f t="shared" si="45"/>
        <v>1</v>
      </c>
      <c r="O198" s="47">
        <f t="shared" si="46"/>
        <v>6.244243E-2</v>
      </c>
      <c r="P198" s="48">
        <f t="shared" si="47"/>
        <v>0.42016437496823317</v>
      </c>
      <c r="Q198" s="25">
        <f t="shared" si="48"/>
        <v>0</v>
      </c>
      <c r="R198" s="26" t="str">
        <f t="shared" si="49"/>
        <v>COIN</v>
      </c>
      <c r="S198" s="26" t="str">
        <f t="shared" si="44"/>
        <v>LONG</v>
      </c>
      <c r="T198" s="26" t="str">
        <f t="shared" si="50"/>
        <v>COIN LONG</v>
      </c>
      <c r="U198" s="17">
        <f t="shared" si="51"/>
        <v>0.420164374968233</v>
      </c>
      <c r="V198" s="17">
        <f t="shared" si="52"/>
        <v>6.72882805759214</v>
      </c>
      <c r="W198" s="40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Shifted'!$AE$32:$AO$75,MATCH($R198,'Futures &amp; Perps Shifted'!$AE$30:$AO$30,0),FALSE),0),0)))</f>
        <v>0</v>
      </c>
      <c r="X198" s="17">
        <f t="shared" si="53"/>
        <v>0</v>
      </c>
      <c r="Y198" s="14" t="str">
        <f t="shared" si="54"/>
        <v>FUBI</v>
      </c>
      <c r="Z198" t="str">
        <f t="shared" si="55"/>
        <v>LINK COIN LONG</v>
      </c>
    </row>
    <row r="199" spans="1:26" customFormat="1" x14ac:dyDescent="0.25">
      <c r="A199" s="14">
        <v>197</v>
      </c>
      <c r="B199" s="77">
        <v>44910.000000891203</v>
      </c>
      <c r="C199" s="14" t="s">
        <v>40</v>
      </c>
      <c r="D199" s="23" t="s">
        <v>41</v>
      </c>
      <c r="E199" s="23" t="s">
        <v>25</v>
      </c>
      <c r="F199" s="23">
        <v>7.1564416099999999</v>
      </c>
      <c r="G199" s="23">
        <v>540.13861114788597</v>
      </c>
      <c r="H199" s="23">
        <v>75.475863646134997</v>
      </c>
      <c r="I199" s="23">
        <v>0</v>
      </c>
      <c r="J199" s="23" t="s">
        <v>88</v>
      </c>
      <c r="K199" s="24">
        <v>44910.000000891203</v>
      </c>
      <c r="L199" s="23">
        <v>1</v>
      </c>
      <c r="M199" s="23" t="s">
        <v>25</v>
      </c>
      <c r="N199" s="46">
        <f t="shared" si="45"/>
        <v>1</v>
      </c>
      <c r="O199" s="47">
        <f t="shared" si="46"/>
        <v>7.1564416099999999</v>
      </c>
      <c r="P199" s="48">
        <f t="shared" si="47"/>
        <v>540.13861114788676</v>
      </c>
      <c r="Q199" s="25">
        <f t="shared" si="48"/>
        <v>0</v>
      </c>
      <c r="R199" s="26" t="str">
        <f t="shared" si="49"/>
        <v>COIN</v>
      </c>
      <c r="S199" s="26" t="str">
        <f t="shared" si="44"/>
        <v>LONG</v>
      </c>
      <c r="T199" s="26" t="str">
        <f t="shared" si="50"/>
        <v>COIN LONG</v>
      </c>
      <c r="U199" s="17">
        <f t="shared" si="51"/>
        <v>540.13861114788597</v>
      </c>
      <c r="V199" s="17">
        <f t="shared" si="52"/>
        <v>75.475863646134997</v>
      </c>
      <c r="W199" s="40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Shifted'!$AE$32:$AO$75,MATCH($R199,'Futures &amp; Perps Shifted'!$AE$30:$AO$30,0),FALSE),0),0)))</f>
        <v>0</v>
      </c>
      <c r="X199" s="17">
        <f t="shared" si="53"/>
        <v>0</v>
      </c>
      <c r="Y199" s="14" t="str">
        <f t="shared" si="54"/>
        <v>FUBI</v>
      </c>
      <c r="Z199" t="str">
        <f t="shared" si="55"/>
        <v>LTC COIN LONG</v>
      </c>
    </row>
    <row r="200" spans="1:26" customFormat="1" x14ac:dyDescent="0.25">
      <c r="A200" s="14">
        <v>198</v>
      </c>
      <c r="B200" s="77">
        <v>44910.000000891203</v>
      </c>
      <c r="C200" s="14" t="s">
        <v>40</v>
      </c>
      <c r="D200" s="23" t="s">
        <v>41</v>
      </c>
      <c r="E200" s="23" t="s">
        <v>26</v>
      </c>
      <c r="F200" s="23">
        <v>0.95766242000000001</v>
      </c>
      <c r="G200" s="23">
        <v>5.3309578282867497E-2</v>
      </c>
      <c r="H200" s="23">
        <v>5.5666357131219001E-2</v>
      </c>
      <c r="I200" s="23">
        <v>0</v>
      </c>
      <c r="J200" s="23" t="s">
        <v>88</v>
      </c>
      <c r="K200" s="24">
        <v>44910.000000891203</v>
      </c>
      <c r="L200" s="23">
        <v>1</v>
      </c>
      <c r="M200" s="23" t="s">
        <v>26</v>
      </c>
      <c r="N200" s="46">
        <f t="shared" si="45"/>
        <v>1</v>
      </c>
      <c r="O200" s="47">
        <f t="shared" si="46"/>
        <v>0.95766242000000001</v>
      </c>
      <c r="P200" s="48">
        <f t="shared" si="47"/>
        <v>5.3309578282867448E-2</v>
      </c>
      <c r="Q200" s="25">
        <f t="shared" si="48"/>
        <v>0</v>
      </c>
      <c r="R200" s="26" t="str">
        <f t="shared" si="49"/>
        <v>COIN</v>
      </c>
      <c r="S200" s="26" t="str">
        <f t="shared" si="44"/>
        <v>LONG</v>
      </c>
      <c r="T200" s="26" t="str">
        <f t="shared" si="50"/>
        <v>COIN LONG</v>
      </c>
      <c r="U200" s="17">
        <f t="shared" si="51"/>
        <v>5.3309578282867497E-2</v>
      </c>
      <c r="V200" s="17">
        <f t="shared" si="52"/>
        <v>5.5666357131219001E-2</v>
      </c>
      <c r="W200" s="40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Shifted'!$AE$32:$AO$75,MATCH($R200,'Futures &amp; Perps Shifted'!$AE$30:$AO$30,0),FALSE),0),0)))</f>
        <v>0</v>
      </c>
      <c r="X200" s="17">
        <f t="shared" si="53"/>
        <v>0</v>
      </c>
      <c r="Y200" s="14" t="str">
        <f t="shared" si="54"/>
        <v>FUBI</v>
      </c>
      <c r="Z200" t="str">
        <f t="shared" si="55"/>
        <v>TRX COIN LONG</v>
      </c>
    </row>
    <row r="201" spans="1:26" customFormat="1" x14ac:dyDescent="0.25">
      <c r="A201" s="14">
        <v>199</v>
      </c>
      <c r="B201" s="77">
        <v>44910.000000891203</v>
      </c>
      <c r="C201" s="14" t="s">
        <v>40</v>
      </c>
      <c r="D201" s="23" t="s">
        <v>41</v>
      </c>
      <c r="E201" s="23" t="s">
        <v>102</v>
      </c>
      <c r="F201" s="23">
        <v>0.54364484000000002</v>
      </c>
      <c r="G201" s="23">
        <v>0.210071823775589</v>
      </c>
      <c r="H201" s="23">
        <v>0.38641371777866901</v>
      </c>
      <c r="I201" s="23">
        <v>0</v>
      </c>
      <c r="J201" s="23" t="s">
        <v>88</v>
      </c>
      <c r="K201" s="24">
        <v>44910.000000891203</v>
      </c>
      <c r="L201" s="23">
        <v>1</v>
      </c>
      <c r="M201" s="23" t="s">
        <v>102</v>
      </c>
      <c r="N201" s="46">
        <f t="shared" si="45"/>
        <v>1</v>
      </c>
      <c r="O201" s="47">
        <f t="shared" si="46"/>
        <v>0.54364484000000002</v>
      </c>
      <c r="P201" s="48">
        <f t="shared" si="47"/>
        <v>0.21007182377558967</v>
      </c>
      <c r="Q201" s="25">
        <f t="shared" si="48"/>
        <v>0</v>
      </c>
      <c r="R201" s="26" t="str">
        <f t="shared" si="49"/>
        <v>COIN</v>
      </c>
      <c r="S201" s="26" t="str">
        <f t="shared" si="44"/>
        <v>LONG</v>
      </c>
      <c r="T201" s="26" t="str">
        <f t="shared" si="50"/>
        <v>COIN LONG</v>
      </c>
      <c r="U201" s="17">
        <f t="shared" si="51"/>
        <v>0.210071823775589</v>
      </c>
      <c r="V201" s="17">
        <f t="shared" si="52"/>
        <v>0.38641371777866901</v>
      </c>
      <c r="W201" s="40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Shifted'!$AE$32:$AO$75,MATCH($R201,'Futures &amp; Perps Shifted'!$AE$30:$AO$30,0),FALSE),0),0)))</f>
        <v>0</v>
      </c>
      <c r="X201" s="17">
        <f t="shared" si="53"/>
        <v>0</v>
      </c>
      <c r="Y201" s="14" t="str">
        <f t="shared" si="54"/>
        <v>FUBI</v>
      </c>
      <c r="Z201" t="str">
        <f t="shared" si="55"/>
        <v>XRP COIN LONG</v>
      </c>
    </row>
    <row r="202" spans="1:26" customFormat="1" x14ac:dyDescent="0.25">
      <c r="A202" s="14">
        <v>200</v>
      </c>
      <c r="B202" s="77">
        <v>44910.000002743058</v>
      </c>
      <c r="C202" s="14" t="s">
        <v>302</v>
      </c>
      <c r="D202" s="23" t="s">
        <v>728</v>
      </c>
      <c r="E202" s="23" t="s">
        <v>15</v>
      </c>
      <c r="F202" s="23">
        <v>9.9829999999999998E-5</v>
      </c>
      <c r="G202" s="23">
        <v>1.7785363249898001</v>
      </c>
      <c r="H202" s="23">
        <v>17815.649854650899</v>
      </c>
      <c r="I202" s="23">
        <v>0</v>
      </c>
      <c r="J202" s="23" t="s">
        <v>88</v>
      </c>
      <c r="K202" s="24">
        <v>44910.000002743058</v>
      </c>
      <c r="L202" s="23">
        <v>1</v>
      </c>
      <c r="M202" s="23" t="s">
        <v>15</v>
      </c>
      <c r="N202" s="46">
        <f t="shared" si="45"/>
        <v>1</v>
      </c>
      <c r="O202" s="47">
        <f t="shared" si="46"/>
        <v>9.9829999999999998E-5</v>
      </c>
      <c r="P202" s="48">
        <f t="shared" si="47"/>
        <v>1.7785363249897992</v>
      </c>
      <c r="Q202" s="25">
        <f t="shared" si="48"/>
        <v>0</v>
      </c>
      <c r="R202" s="26" t="str">
        <f t="shared" si="49"/>
        <v>COIN</v>
      </c>
      <c r="S202" s="26" t="str">
        <f t="shared" si="44"/>
        <v>LONG</v>
      </c>
      <c r="T202" s="26" t="str">
        <f t="shared" si="50"/>
        <v>COIN LONG</v>
      </c>
      <c r="U202" s="17">
        <f t="shared" si="51"/>
        <v>1.7785363249898001</v>
      </c>
      <c r="V202" s="17">
        <f t="shared" si="52"/>
        <v>17815.649854650899</v>
      </c>
      <c r="W202" s="40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Shifted'!$AE$32:$AO$75,MATCH($R202,'Futures &amp; Perps Shifted'!$AE$30:$AO$30,0),FALSE),0),0)))</f>
        <v>0</v>
      </c>
      <c r="X202" s="17">
        <f t="shared" si="53"/>
        <v>0</v>
      </c>
      <c r="Y202" s="14" t="str">
        <f t="shared" si="54"/>
        <v>GATE</v>
      </c>
      <c r="Z202" t="str">
        <f t="shared" si="55"/>
        <v>BTC COIN LONG</v>
      </c>
    </row>
    <row r="203" spans="1:26" customFormat="1" x14ac:dyDescent="0.25">
      <c r="A203" s="14">
        <v>201</v>
      </c>
      <c r="B203" s="77">
        <v>44910.000002743058</v>
      </c>
      <c r="C203" s="14" t="s">
        <v>302</v>
      </c>
      <c r="D203" s="23" t="s">
        <v>728</v>
      </c>
      <c r="E203" s="23" t="s">
        <v>39</v>
      </c>
      <c r="F203" s="23">
        <v>10195.084654329999</v>
      </c>
      <c r="G203" s="23">
        <v>10196.159321512099</v>
      </c>
      <c r="H203" s="23">
        <v>1.0001054103245299</v>
      </c>
      <c r="I203" s="23">
        <v>0</v>
      </c>
      <c r="J203" s="23" t="s">
        <v>88</v>
      </c>
      <c r="K203" s="24">
        <v>44910.000002743058</v>
      </c>
      <c r="L203" s="23">
        <v>1</v>
      </c>
      <c r="M203" s="23" t="s">
        <v>39</v>
      </c>
      <c r="N203" s="46">
        <f t="shared" si="45"/>
        <v>1</v>
      </c>
      <c r="O203" s="47">
        <f t="shared" si="46"/>
        <v>10195.084654329999</v>
      </c>
      <c r="P203" s="48">
        <f t="shared" si="47"/>
        <v>10196.159321512023</v>
      </c>
      <c r="Q203" s="25">
        <f t="shared" si="48"/>
        <v>0</v>
      </c>
      <c r="R203" s="26" t="str">
        <f t="shared" si="49"/>
        <v>COIN</v>
      </c>
      <c r="S203" s="26" t="str">
        <f t="shared" si="44"/>
        <v>LONG</v>
      </c>
      <c r="T203" s="26" t="str">
        <f t="shared" si="50"/>
        <v>COIN LONG</v>
      </c>
      <c r="U203" s="17">
        <f t="shared" si="51"/>
        <v>10196.159321512099</v>
      </c>
      <c r="V203" s="17">
        <f t="shared" si="52"/>
        <v>1.0001054103245299</v>
      </c>
      <c r="W203" s="40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Shifted'!$AE$32:$AO$75,MATCH($R203,'Futures &amp; Perps Shifted'!$AE$30:$AO$30,0),FALSE),0),0)))</f>
        <v>0</v>
      </c>
      <c r="X203" s="17">
        <f t="shared" si="53"/>
        <v>0</v>
      </c>
      <c r="Y203" s="14" t="str">
        <f t="shared" si="54"/>
        <v>GATE</v>
      </c>
      <c r="Z203" t="str">
        <f t="shared" si="55"/>
        <v>USDT COIN LONG</v>
      </c>
    </row>
    <row r="204" spans="1:26" customFormat="1" x14ac:dyDescent="0.25">
      <c r="A204" s="14">
        <v>202</v>
      </c>
      <c r="B204" s="77">
        <v>44910.000004710651</v>
      </c>
      <c r="C204" s="14" t="s">
        <v>302</v>
      </c>
      <c r="D204" s="23" t="s">
        <v>296</v>
      </c>
      <c r="E204" s="23" t="s">
        <v>15</v>
      </c>
      <c r="F204" s="23">
        <v>1.899957E-2</v>
      </c>
      <c r="G204" s="23">
        <v>338.48968650892903</v>
      </c>
      <c r="H204" s="23">
        <v>17815.649854650899</v>
      </c>
      <c r="I204" s="23">
        <v>0</v>
      </c>
      <c r="J204" s="23" t="s">
        <v>88</v>
      </c>
      <c r="K204" s="24">
        <v>44910.000004710651</v>
      </c>
      <c r="L204" s="23">
        <v>1</v>
      </c>
      <c r="M204" s="23" t="s">
        <v>15</v>
      </c>
      <c r="N204" s="46">
        <f t="shared" si="45"/>
        <v>1</v>
      </c>
      <c r="O204" s="47">
        <f t="shared" si="46"/>
        <v>1.899957E-2</v>
      </c>
      <c r="P204" s="48">
        <f t="shared" si="47"/>
        <v>338.48968650892959</v>
      </c>
      <c r="Q204" s="25">
        <f t="shared" si="48"/>
        <v>0</v>
      </c>
      <c r="R204" s="26" t="str">
        <f t="shared" si="49"/>
        <v>COIN</v>
      </c>
      <c r="S204" s="26" t="str">
        <f t="shared" si="44"/>
        <v>LONG</v>
      </c>
      <c r="T204" s="26" t="str">
        <f t="shared" si="50"/>
        <v>COIN LONG</v>
      </c>
      <c r="U204" s="17">
        <f t="shared" si="51"/>
        <v>338.48968650892903</v>
      </c>
      <c r="V204" s="17">
        <f t="shared" si="52"/>
        <v>17815.649854650899</v>
      </c>
      <c r="W204" s="40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Shifted'!$AE$32:$AO$75,MATCH($R204,'Futures &amp; Perps Shifted'!$AE$30:$AO$30,0),FALSE),0),0)))</f>
        <v>0</v>
      </c>
      <c r="X204" s="17">
        <f t="shared" si="53"/>
        <v>0</v>
      </c>
      <c r="Y204" s="14" t="str">
        <f t="shared" si="54"/>
        <v>GATE</v>
      </c>
      <c r="Z204" t="str">
        <f t="shared" si="55"/>
        <v>BTC COIN LONG</v>
      </c>
    </row>
    <row r="205" spans="1:26" customFormat="1" x14ac:dyDescent="0.25">
      <c r="A205" s="14">
        <v>203</v>
      </c>
      <c r="B205" s="77">
        <v>44910.000004710651</v>
      </c>
      <c r="C205" s="14" t="s">
        <v>302</v>
      </c>
      <c r="D205" s="23" t="s">
        <v>296</v>
      </c>
      <c r="E205" s="23" t="s">
        <v>297</v>
      </c>
      <c r="F205" s="23">
        <v>9.9825000000000001E-4</v>
      </c>
      <c r="G205" s="23">
        <v>2.29614119617888E-4</v>
      </c>
      <c r="H205" s="23">
        <v>0.23001664875320599</v>
      </c>
      <c r="I205" s="23">
        <v>0</v>
      </c>
      <c r="J205" s="23" t="s">
        <v>88</v>
      </c>
      <c r="K205" s="24">
        <v>44910.000004710651</v>
      </c>
      <c r="L205" s="23">
        <v>1</v>
      </c>
      <c r="M205" s="23" t="s">
        <v>297</v>
      </c>
      <c r="N205" s="46">
        <f t="shared" si="45"/>
        <v>1</v>
      </c>
      <c r="O205" s="47">
        <f t="shared" si="46"/>
        <v>9.9825000000000001E-4</v>
      </c>
      <c r="P205" s="48">
        <f t="shared" si="47"/>
        <v>2.2961411961788789E-4</v>
      </c>
      <c r="Q205" s="25">
        <f t="shared" si="48"/>
        <v>0</v>
      </c>
      <c r="R205" s="26" t="str">
        <f t="shared" si="49"/>
        <v>COIN</v>
      </c>
      <c r="S205" s="26" t="str">
        <f t="shared" si="44"/>
        <v>LONG</v>
      </c>
      <c r="T205" s="26" t="str">
        <f t="shared" si="50"/>
        <v>COIN LONG</v>
      </c>
      <c r="U205" s="17">
        <f t="shared" si="51"/>
        <v>2.29614119617888E-4</v>
      </c>
      <c r="V205" s="17">
        <f t="shared" si="52"/>
        <v>0.23001664875320599</v>
      </c>
      <c r="W205" s="40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Shifted'!$AE$32:$AO$75,MATCH($R205,'Futures &amp; Perps Shifted'!$AE$30:$AO$30,0),FALSE),0),0)))</f>
        <v>0</v>
      </c>
      <c r="X205" s="17">
        <f t="shared" si="53"/>
        <v>0</v>
      </c>
      <c r="Y205" s="14" t="str">
        <f t="shared" si="54"/>
        <v>GATE</v>
      </c>
      <c r="Z205" t="str">
        <f t="shared" si="55"/>
        <v>ETHF COIN LONG</v>
      </c>
    </row>
    <row r="206" spans="1:26" customFormat="1" x14ac:dyDescent="0.25">
      <c r="A206" s="14">
        <v>204</v>
      </c>
      <c r="B206" s="77">
        <v>44910.000004710651</v>
      </c>
      <c r="C206" s="14" t="s">
        <v>302</v>
      </c>
      <c r="D206" s="23" t="s">
        <v>296</v>
      </c>
      <c r="E206" s="23" t="s">
        <v>275</v>
      </c>
      <c r="F206" s="23">
        <v>9.9825000000000001E-4</v>
      </c>
      <c r="G206" s="23">
        <v>3.5343162729518799E-3</v>
      </c>
      <c r="H206" s="23">
        <v>3.5405121692480601</v>
      </c>
      <c r="I206" s="23">
        <v>0</v>
      </c>
      <c r="J206" s="23" t="s">
        <v>88</v>
      </c>
      <c r="K206" s="24">
        <v>44910.000004710651</v>
      </c>
      <c r="L206" s="23">
        <v>1</v>
      </c>
      <c r="M206" s="23" t="s">
        <v>275</v>
      </c>
      <c r="N206" s="46">
        <f t="shared" si="45"/>
        <v>1</v>
      </c>
      <c r="O206" s="47">
        <f t="shared" si="46"/>
        <v>9.9825000000000001E-4</v>
      </c>
      <c r="P206" s="48">
        <f t="shared" si="47"/>
        <v>3.534316272951876E-3</v>
      </c>
      <c r="Q206" s="25">
        <f t="shared" si="48"/>
        <v>0</v>
      </c>
      <c r="R206" s="26" t="str">
        <f t="shared" si="49"/>
        <v>COIN</v>
      </c>
      <c r="S206" s="26" t="str">
        <f t="shared" si="44"/>
        <v>LONG</v>
      </c>
      <c r="T206" s="26" t="str">
        <f t="shared" si="50"/>
        <v>COIN LONG</v>
      </c>
      <c r="U206" s="17">
        <f t="shared" si="51"/>
        <v>3.5343162729518799E-3</v>
      </c>
      <c r="V206" s="17">
        <f t="shared" si="52"/>
        <v>3.5405121692480601</v>
      </c>
      <c r="W206" s="40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Shifted'!$AE$32:$AO$75,MATCH($R206,'Futures &amp; Perps Shifted'!$AE$30:$AO$30,0),FALSE),0),0)))</f>
        <v>0</v>
      </c>
      <c r="X206" s="17">
        <f t="shared" si="53"/>
        <v>0</v>
      </c>
      <c r="Y206" s="14" t="str">
        <f t="shared" si="54"/>
        <v>GATE</v>
      </c>
      <c r="Z206" t="str">
        <f t="shared" si="55"/>
        <v>ETHW COIN LONG</v>
      </c>
    </row>
    <row r="207" spans="1:26" customFormat="1" x14ac:dyDescent="0.25">
      <c r="A207" s="14">
        <v>205</v>
      </c>
      <c r="B207" s="77">
        <v>44910.000004710651</v>
      </c>
      <c r="C207" s="14" t="s">
        <v>302</v>
      </c>
      <c r="D207" s="23" t="s">
        <v>296</v>
      </c>
      <c r="E207" s="23" t="s">
        <v>298</v>
      </c>
      <c r="F207" s="23">
        <v>9.5929999999999998E-5</v>
      </c>
      <c r="G207" s="23">
        <v>4.2092775676247699E-6</v>
      </c>
      <c r="H207" s="23">
        <v>4.3878636168297402E-2</v>
      </c>
      <c r="I207" s="23">
        <v>0</v>
      </c>
      <c r="J207" s="23" t="s">
        <v>88</v>
      </c>
      <c r="K207" s="24">
        <v>44910.000004710651</v>
      </c>
      <c r="L207" s="23">
        <v>1</v>
      </c>
      <c r="M207" s="23" t="s">
        <v>298</v>
      </c>
      <c r="N207" s="46">
        <f t="shared" si="45"/>
        <v>1</v>
      </c>
      <c r="O207" s="47">
        <f t="shared" si="46"/>
        <v>9.5929999999999998E-5</v>
      </c>
      <c r="P207" s="48">
        <f t="shared" si="47"/>
        <v>4.2092775676247699E-6</v>
      </c>
      <c r="Q207" s="25">
        <f t="shared" si="48"/>
        <v>0</v>
      </c>
      <c r="R207" s="26" t="str">
        <f t="shared" si="49"/>
        <v>COIN</v>
      </c>
      <c r="S207" s="26" t="str">
        <f t="shared" si="44"/>
        <v>LONG</v>
      </c>
      <c r="T207" s="26" t="str">
        <f t="shared" si="50"/>
        <v>COIN LONG</v>
      </c>
      <c r="U207" s="17">
        <f t="shared" si="51"/>
        <v>4.2092775676247699E-6</v>
      </c>
      <c r="V207" s="17">
        <f t="shared" si="52"/>
        <v>4.3878636168297402E-2</v>
      </c>
      <c r="W207" s="40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Shifted'!$AE$32:$AO$75,MATCH($R207,'Futures &amp; Perps Shifted'!$AE$30:$AO$30,0),FALSE),0),0)))</f>
        <v>0</v>
      </c>
      <c r="X207" s="17">
        <f t="shared" si="53"/>
        <v>0</v>
      </c>
      <c r="Y207" s="14" t="str">
        <f t="shared" si="54"/>
        <v>GATE</v>
      </c>
      <c r="Z207" t="str">
        <f t="shared" si="55"/>
        <v>ROSE COIN LONG</v>
      </c>
    </row>
    <row r="208" spans="1:26" customFormat="1" x14ac:dyDescent="0.25">
      <c r="A208" s="14">
        <v>206</v>
      </c>
      <c r="B208" s="77">
        <v>44910.000004710651</v>
      </c>
      <c r="C208" s="14" t="s">
        <v>302</v>
      </c>
      <c r="D208" s="23" t="s">
        <v>296</v>
      </c>
      <c r="E208" s="23" t="s">
        <v>39</v>
      </c>
      <c r="F208" s="23">
        <v>27.162898349999999</v>
      </c>
      <c r="G208" s="23">
        <v>27.165761599930399</v>
      </c>
      <c r="H208" s="23">
        <v>1.0001054103245299</v>
      </c>
      <c r="I208" s="23">
        <v>0</v>
      </c>
      <c r="J208" s="23" t="s">
        <v>88</v>
      </c>
      <c r="K208" s="24">
        <v>44910.000004710651</v>
      </c>
      <c r="L208" s="23">
        <v>1</v>
      </c>
      <c r="M208" s="23" t="s">
        <v>39</v>
      </c>
      <c r="N208" s="46">
        <f t="shared" si="45"/>
        <v>1</v>
      </c>
      <c r="O208" s="47">
        <f t="shared" si="46"/>
        <v>27.162898349999999</v>
      </c>
      <c r="P208" s="48">
        <f t="shared" si="47"/>
        <v>27.165761599930246</v>
      </c>
      <c r="Q208" s="25">
        <f t="shared" si="48"/>
        <v>0</v>
      </c>
      <c r="R208" s="26" t="str">
        <f t="shared" si="49"/>
        <v>COIN</v>
      </c>
      <c r="S208" s="26" t="str">
        <f t="shared" si="44"/>
        <v>LONG</v>
      </c>
      <c r="T208" s="26" t="str">
        <f t="shared" si="50"/>
        <v>COIN LONG</v>
      </c>
      <c r="U208" s="17">
        <f t="shared" si="51"/>
        <v>27.165761599930399</v>
      </c>
      <c r="V208" s="17">
        <f t="shared" si="52"/>
        <v>1.0001054103245299</v>
      </c>
      <c r="W208" s="40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Shifted'!$AE$32:$AO$75,MATCH($R208,'Futures &amp; Perps Shifted'!$AE$30:$AO$30,0),FALSE),0),0)))</f>
        <v>0</v>
      </c>
      <c r="X208" s="17">
        <f t="shared" si="53"/>
        <v>0</v>
      </c>
      <c r="Y208" s="14" t="str">
        <f t="shared" si="54"/>
        <v>GATE</v>
      </c>
      <c r="Z208" t="str">
        <f t="shared" si="55"/>
        <v>USDT COIN LONG</v>
      </c>
    </row>
    <row r="209" spans="1:26" customFormat="1" x14ac:dyDescent="0.25">
      <c r="A209" s="14">
        <v>207</v>
      </c>
      <c r="B209" s="77">
        <v>44910.000003009256</v>
      </c>
      <c r="C209" s="14" t="s">
        <v>302</v>
      </c>
      <c r="D209" s="23" t="s">
        <v>299</v>
      </c>
      <c r="E209" s="23" t="s">
        <v>15</v>
      </c>
      <c r="F209" s="23">
        <v>1.995E-4</v>
      </c>
      <c r="G209" s="23">
        <v>3.55422214600285</v>
      </c>
      <c r="H209" s="23">
        <v>17815.649854650899</v>
      </c>
      <c r="I209" s="23">
        <v>0</v>
      </c>
      <c r="J209" s="23" t="s">
        <v>88</v>
      </c>
      <c r="K209" s="24">
        <v>44910.000003009256</v>
      </c>
      <c r="L209" s="23">
        <v>1</v>
      </c>
      <c r="M209" s="23" t="s">
        <v>15</v>
      </c>
      <c r="N209" s="46">
        <f t="shared" si="45"/>
        <v>1</v>
      </c>
      <c r="O209" s="47">
        <f t="shared" si="46"/>
        <v>1.995E-4</v>
      </c>
      <c r="P209" s="48">
        <f t="shared" si="47"/>
        <v>3.5542221460028545</v>
      </c>
      <c r="Q209" s="25">
        <f t="shared" si="48"/>
        <v>0</v>
      </c>
      <c r="R209" s="26" t="str">
        <f t="shared" si="49"/>
        <v>COIN</v>
      </c>
      <c r="S209" s="26" t="str">
        <f t="shared" si="44"/>
        <v>LONG</v>
      </c>
      <c r="T209" s="26" t="str">
        <f t="shared" si="50"/>
        <v>COIN LONG</v>
      </c>
      <c r="U209" s="17">
        <f t="shared" si="51"/>
        <v>3.55422214600285</v>
      </c>
      <c r="V209" s="17">
        <f t="shared" si="52"/>
        <v>17815.649854650899</v>
      </c>
      <c r="W209" s="40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Shifted'!$AE$32:$AO$75,MATCH($R209,'Futures &amp; Perps Shifted'!$AE$30:$AO$30,0),FALSE),0),0)))</f>
        <v>0</v>
      </c>
      <c r="X209" s="17">
        <f t="shared" si="53"/>
        <v>0</v>
      </c>
      <c r="Y209" s="14" t="str">
        <f t="shared" si="54"/>
        <v>GATE</v>
      </c>
      <c r="Z209" t="str">
        <f t="shared" si="55"/>
        <v>BTC COIN LONG</v>
      </c>
    </row>
    <row r="210" spans="1:26" customFormat="1" x14ac:dyDescent="0.25">
      <c r="A210" s="14">
        <v>208</v>
      </c>
      <c r="B210" s="77">
        <v>44910.000003009256</v>
      </c>
      <c r="C210" s="14" t="s">
        <v>302</v>
      </c>
      <c r="D210" s="23" t="s">
        <v>299</v>
      </c>
      <c r="E210" s="23" t="s">
        <v>16</v>
      </c>
      <c r="F210" s="23">
        <v>9.9825000000000001E-4</v>
      </c>
      <c r="G210" s="23">
        <v>1.30703735174832</v>
      </c>
      <c r="H210" s="23">
        <v>1309.32867693296</v>
      </c>
      <c r="I210" s="23">
        <v>0</v>
      </c>
      <c r="J210" s="23" t="s">
        <v>88</v>
      </c>
      <c r="K210" s="24">
        <v>44910.000003009256</v>
      </c>
      <c r="L210" s="23">
        <v>1</v>
      </c>
      <c r="M210" s="23" t="s">
        <v>16</v>
      </c>
      <c r="N210" s="46">
        <f t="shared" si="45"/>
        <v>1</v>
      </c>
      <c r="O210" s="47">
        <f t="shared" si="46"/>
        <v>9.9825000000000001E-4</v>
      </c>
      <c r="P210" s="48">
        <f t="shared" si="47"/>
        <v>1.3070373517483274</v>
      </c>
      <c r="Q210" s="25">
        <f t="shared" si="48"/>
        <v>0</v>
      </c>
      <c r="R210" s="26" t="str">
        <f t="shared" si="49"/>
        <v>COIN</v>
      </c>
      <c r="S210" s="26" t="str">
        <f t="shared" si="44"/>
        <v>LONG</v>
      </c>
      <c r="T210" s="26" t="str">
        <f t="shared" si="50"/>
        <v>COIN LONG</v>
      </c>
      <c r="U210" s="17">
        <f t="shared" si="51"/>
        <v>1.30703735174832</v>
      </c>
      <c r="V210" s="17">
        <f t="shared" si="52"/>
        <v>1309.32867693296</v>
      </c>
      <c r="W210" s="40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Shifted'!$AE$32:$AO$75,MATCH($R210,'Futures &amp; Perps Shifted'!$AE$30:$AO$30,0),FALSE),0),0)))</f>
        <v>0</v>
      </c>
      <c r="X210" s="17">
        <f t="shared" si="53"/>
        <v>0</v>
      </c>
      <c r="Y210" s="14" t="str">
        <f t="shared" si="54"/>
        <v>GATE</v>
      </c>
      <c r="Z210" t="str">
        <f t="shared" si="55"/>
        <v>ETH COIN LONG</v>
      </c>
    </row>
    <row r="211" spans="1:26" customFormat="1" x14ac:dyDescent="0.25">
      <c r="A211" s="14">
        <v>209</v>
      </c>
      <c r="B211" s="77">
        <v>44910.000003009256</v>
      </c>
      <c r="C211" s="14" t="s">
        <v>302</v>
      </c>
      <c r="D211" s="23" t="s">
        <v>299</v>
      </c>
      <c r="E211" s="23" t="s">
        <v>39</v>
      </c>
      <c r="F211" s="23">
        <v>59.393906000000001</v>
      </c>
      <c r="G211" s="23">
        <v>59.400166730907003</v>
      </c>
      <c r="H211" s="23">
        <v>1.0001054103245299</v>
      </c>
      <c r="I211" s="23">
        <v>0</v>
      </c>
      <c r="J211" s="23" t="s">
        <v>88</v>
      </c>
      <c r="K211" s="24">
        <v>44910.000003009256</v>
      </c>
      <c r="L211" s="23">
        <v>1</v>
      </c>
      <c r="M211" s="23" t="s">
        <v>39</v>
      </c>
      <c r="N211" s="46">
        <f t="shared" si="45"/>
        <v>1</v>
      </c>
      <c r="O211" s="47">
        <f t="shared" si="46"/>
        <v>59.393906000000001</v>
      </c>
      <c r="P211" s="48">
        <f t="shared" si="47"/>
        <v>59.400166730906562</v>
      </c>
      <c r="Q211" s="25">
        <f t="shared" si="48"/>
        <v>0</v>
      </c>
      <c r="R211" s="26" t="str">
        <f t="shared" si="49"/>
        <v>COIN</v>
      </c>
      <c r="S211" s="26" t="str">
        <f t="shared" si="44"/>
        <v>LONG</v>
      </c>
      <c r="T211" s="26" t="str">
        <f t="shared" si="50"/>
        <v>COIN LONG</v>
      </c>
      <c r="U211" s="17">
        <f t="shared" si="51"/>
        <v>59.400166730907003</v>
      </c>
      <c r="V211" s="17">
        <f t="shared" si="52"/>
        <v>1.0001054103245299</v>
      </c>
      <c r="W211" s="40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Shifted'!$AE$32:$AO$75,MATCH($R211,'Futures &amp; Perps Shifted'!$AE$30:$AO$30,0),FALSE),0),0)))</f>
        <v>0</v>
      </c>
      <c r="X211" s="17">
        <f t="shared" si="53"/>
        <v>0</v>
      </c>
      <c r="Y211" s="14" t="str">
        <f t="shared" si="54"/>
        <v>GATE</v>
      </c>
      <c r="Z211" t="str">
        <f t="shared" si="55"/>
        <v>USDT COIN LONG</v>
      </c>
    </row>
    <row r="212" spans="1:26" customFormat="1" x14ac:dyDescent="0.25">
      <c r="A212" s="14">
        <v>210</v>
      </c>
      <c r="B212" s="77">
        <v>44910.000004895832</v>
      </c>
      <c r="C212" s="14" t="s">
        <v>302</v>
      </c>
      <c r="D212" s="23" t="s">
        <v>729</v>
      </c>
      <c r="E212" s="23" t="s">
        <v>39</v>
      </c>
      <c r="F212" s="23">
        <v>10045.593615</v>
      </c>
      <c r="G212" s="23">
        <v>10046.652524283099</v>
      </c>
      <c r="H212" s="23">
        <v>1.0001054103245299</v>
      </c>
      <c r="I212" s="23">
        <v>0</v>
      </c>
      <c r="J212" s="23" t="s">
        <v>88</v>
      </c>
      <c r="K212" s="24">
        <v>44910.000004895832</v>
      </c>
      <c r="L212" s="23">
        <v>1</v>
      </c>
      <c r="M212" s="23" t="s">
        <v>39</v>
      </c>
      <c r="N212" s="46">
        <f t="shared" si="45"/>
        <v>1</v>
      </c>
      <c r="O212" s="47">
        <f t="shared" si="46"/>
        <v>10045.593615</v>
      </c>
      <c r="P212" s="48">
        <f t="shared" si="47"/>
        <v>10046.652524283052</v>
      </c>
      <c r="Q212" s="25">
        <f t="shared" si="48"/>
        <v>0</v>
      </c>
      <c r="R212" s="26" t="str">
        <f t="shared" si="49"/>
        <v>COIN</v>
      </c>
      <c r="S212" s="26" t="str">
        <f t="shared" si="44"/>
        <v>LONG</v>
      </c>
      <c r="T212" s="26" t="str">
        <f t="shared" si="50"/>
        <v>COIN LONG</v>
      </c>
      <c r="U212" s="17">
        <f t="shared" si="51"/>
        <v>10046.652524283099</v>
      </c>
      <c r="V212" s="17">
        <f t="shared" si="52"/>
        <v>1.0001054103245299</v>
      </c>
      <c r="W212" s="40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Shifted'!$AE$32:$AO$75,MATCH($R212,'Futures &amp; Perps Shifted'!$AE$30:$AO$30,0),FALSE),0),0)))</f>
        <v>0</v>
      </c>
      <c r="X212" s="17">
        <f t="shared" si="53"/>
        <v>0</v>
      </c>
      <c r="Y212" s="14" t="str">
        <f t="shared" si="54"/>
        <v>GATE</v>
      </c>
      <c r="Z212" t="str">
        <f t="shared" si="55"/>
        <v>USDT COIN LONG</v>
      </c>
    </row>
    <row r="213" spans="1:26" customFormat="1" x14ac:dyDescent="0.25">
      <c r="A213" s="14">
        <v>211</v>
      </c>
      <c r="B213" s="77">
        <v>44909.000003009256</v>
      </c>
      <c r="C213" s="14" t="s">
        <v>40</v>
      </c>
      <c r="D213" s="23" t="s">
        <v>117</v>
      </c>
      <c r="E213" s="23" t="s">
        <v>39</v>
      </c>
      <c r="F213" s="23">
        <v>1E-8</v>
      </c>
      <c r="G213" s="23">
        <v>1.00010541032453E-8</v>
      </c>
      <c r="H213" s="23">
        <v>1.0001054103245299</v>
      </c>
      <c r="I213" s="23">
        <v>0</v>
      </c>
      <c r="J213" s="23" t="s">
        <v>88</v>
      </c>
      <c r="K213" s="24">
        <v>44909.000003009256</v>
      </c>
      <c r="L213" s="23">
        <v>1</v>
      </c>
      <c r="M213" s="23" t="s">
        <v>39</v>
      </c>
      <c r="N213" s="46">
        <f t="shared" si="45"/>
        <v>1</v>
      </c>
      <c r="O213" s="47">
        <f t="shared" si="46"/>
        <v>1E-8</v>
      </c>
      <c r="P213" s="48">
        <f t="shared" si="47"/>
        <v>1.00010541032453E-8</v>
      </c>
      <c r="Q213" s="25">
        <f t="shared" si="48"/>
        <v>0</v>
      </c>
      <c r="R213" s="26" t="str">
        <f t="shared" si="49"/>
        <v>COIN</v>
      </c>
      <c r="S213" s="26" t="str">
        <f t="shared" si="44"/>
        <v>LONG</v>
      </c>
      <c r="T213" s="26" t="str">
        <f t="shared" si="50"/>
        <v>COIN LONG</v>
      </c>
      <c r="U213" s="17">
        <f t="shared" si="51"/>
        <v>1.00010541032453E-8</v>
      </c>
      <c r="V213" s="17">
        <f t="shared" si="52"/>
        <v>1.0001054103245299</v>
      </c>
      <c r="W213" s="40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Shifted'!$AE$32:$AO$75,MATCH($R213,'Futures &amp; Perps Shifted'!$AE$30:$AO$30,0),FALSE),0),0)))</f>
        <v>0</v>
      </c>
      <c r="X213" s="17">
        <f t="shared" si="53"/>
        <v>0</v>
      </c>
      <c r="Y213" s="14" t="str">
        <f t="shared" si="54"/>
        <v>HUB2</v>
      </c>
      <c r="Z213" t="str">
        <f t="shared" si="55"/>
        <v>USDT COIN LONG</v>
      </c>
    </row>
    <row r="214" spans="1:26" customFormat="1" x14ac:dyDescent="0.25">
      <c r="A214" s="14">
        <v>212</v>
      </c>
      <c r="B214" s="77">
        <v>44909.000003009256</v>
      </c>
      <c r="C214" s="14" t="s">
        <v>40</v>
      </c>
      <c r="D214" s="23" t="s">
        <v>117</v>
      </c>
      <c r="E214" s="23" t="s">
        <v>102</v>
      </c>
      <c r="F214" s="23">
        <v>7.4209999999999996E-5</v>
      </c>
      <c r="G214" s="23">
        <v>2.8675761996355001E-5</v>
      </c>
      <c r="H214" s="23">
        <v>0.38641371777866901</v>
      </c>
      <c r="I214" s="23">
        <v>0</v>
      </c>
      <c r="J214" s="23" t="s">
        <v>88</v>
      </c>
      <c r="K214" s="24">
        <v>44909.000003009256</v>
      </c>
      <c r="L214" s="23">
        <v>1</v>
      </c>
      <c r="M214" s="23" t="s">
        <v>102</v>
      </c>
      <c r="N214" s="46">
        <f t="shared" si="45"/>
        <v>1</v>
      </c>
      <c r="O214" s="47">
        <f t="shared" si="46"/>
        <v>7.4209999999999996E-5</v>
      </c>
      <c r="P214" s="48">
        <f t="shared" si="47"/>
        <v>2.8675761996355024E-5</v>
      </c>
      <c r="Q214" s="25">
        <f t="shared" si="48"/>
        <v>0</v>
      </c>
      <c r="R214" s="26" t="str">
        <f t="shared" si="49"/>
        <v>COIN</v>
      </c>
      <c r="S214" s="26" t="str">
        <f t="shared" si="44"/>
        <v>LONG</v>
      </c>
      <c r="T214" s="26" t="str">
        <f t="shared" si="50"/>
        <v>COIN LONG</v>
      </c>
      <c r="U214" s="17">
        <f t="shared" si="51"/>
        <v>2.8675761996355001E-5</v>
      </c>
      <c r="V214" s="17">
        <f t="shared" si="52"/>
        <v>0.38641371777866901</v>
      </c>
      <c r="W214" s="40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Shifted'!$AE$32:$AO$75,MATCH($R214,'Futures &amp; Perps Shifted'!$AE$30:$AO$30,0),FALSE),0),0)))</f>
        <v>0</v>
      </c>
      <c r="X214" s="17">
        <f t="shared" si="53"/>
        <v>0</v>
      </c>
      <c r="Y214" s="14" t="str">
        <f t="shared" si="54"/>
        <v>HUB2</v>
      </c>
      <c r="Z214" t="str">
        <f t="shared" si="55"/>
        <v>XRP COIN LONG</v>
      </c>
    </row>
    <row r="215" spans="1:26" customFormat="1" x14ac:dyDescent="0.25">
      <c r="A215" s="14">
        <v>213</v>
      </c>
      <c r="B215" s="77">
        <v>44910.000001273147</v>
      </c>
      <c r="C215" s="14" t="s">
        <v>40</v>
      </c>
      <c r="D215" s="23" t="s">
        <v>118</v>
      </c>
      <c r="E215" s="23" t="s">
        <v>87</v>
      </c>
      <c r="F215" s="23">
        <v>1E-8</v>
      </c>
      <c r="G215" s="23">
        <v>3.0813425194694101E-9</v>
      </c>
      <c r="H215" s="23">
        <v>0.308134251946941</v>
      </c>
      <c r="I215" s="23">
        <v>0</v>
      </c>
      <c r="J215" s="23" t="s">
        <v>88</v>
      </c>
      <c r="K215" s="24">
        <v>44910.000001273147</v>
      </c>
      <c r="L215" s="23">
        <v>1</v>
      </c>
      <c r="M215" s="23" t="s">
        <v>87</v>
      </c>
      <c r="N215" s="46">
        <f t="shared" si="45"/>
        <v>1</v>
      </c>
      <c r="O215" s="47">
        <f t="shared" si="46"/>
        <v>1E-8</v>
      </c>
      <c r="P215" s="48">
        <f t="shared" si="47"/>
        <v>3.0813425194694101E-9</v>
      </c>
      <c r="Q215" s="25">
        <f t="shared" si="48"/>
        <v>0</v>
      </c>
      <c r="R215" s="26" t="str">
        <f t="shared" si="49"/>
        <v>COIN</v>
      </c>
      <c r="S215" s="26" t="str">
        <f t="shared" si="44"/>
        <v>LONG</v>
      </c>
      <c r="T215" s="26" t="str">
        <f t="shared" si="50"/>
        <v>COIN LONG</v>
      </c>
      <c r="U215" s="17">
        <f t="shared" si="51"/>
        <v>3.0813425194694101E-9</v>
      </c>
      <c r="V215" s="17">
        <f t="shared" si="52"/>
        <v>0.308134251946941</v>
      </c>
      <c r="W215" s="40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Shifted'!$AE$32:$AO$75,MATCH($R215,'Futures &amp; Perps Shifted'!$AE$30:$AO$30,0),FALSE),0),0)))</f>
        <v>0</v>
      </c>
      <c r="X215" s="17">
        <f t="shared" si="53"/>
        <v>0</v>
      </c>
      <c r="Y215" s="14" t="str">
        <f t="shared" si="54"/>
        <v>HUB2</v>
      </c>
      <c r="Z215" t="str">
        <f t="shared" si="55"/>
        <v>ADA COIN LONG</v>
      </c>
    </row>
    <row r="216" spans="1:26" customFormat="1" x14ac:dyDescent="0.25">
      <c r="A216" s="14">
        <v>214</v>
      </c>
      <c r="B216" s="77">
        <v>44910.000001273147</v>
      </c>
      <c r="C216" s="14" t="s">
        <v>40</v>
      </c>
      <c r="D216" s="23" t="s">
        <v>118</v>
      </c>
      <c r="E216" s="23" t="s">
        <v>21</v>
      </c>
      <c r="F216" s="23">
        <v>1E-8</v>
      </c>
      <c r="G216" s="23">
        <v>1.0910849595307199E-6</v>
      </c>
      <c r="H216" s="23">
        <v>109.10849595307199</v>
      </c>
      <c r="I216" s="23">
        <v>0</v>
      </c>
      <c r="J216" s="23" t="s">
        <v>88</v>
      </c>
      <c r="K216" s="24">
        <v>44910.000001273147</v>
      </c>
      <c r="L216" s="23">
        <v>1</v>
      </c>
      <c r="M216" s="23" t="s">
        <v>21</v>
      </c>
      <c r="N216" s="46">
        <f t="shared" si="45"/>
        <v>1</v>
      </c>
      <c r="O216" s="47">
        <f t="shared" si="46"/>
        <v>1E-8</v>
      </c>
      <c r="P216" s="48">
        <f t="shared" si="47"/>
        <v>1.0910849595307199E-6</v>
      </c>
      <c r="Q216" s="25">
        <f t="shared" si="48"/>
        <v>0</v>
      </c>
      <c r="R216" s="26" t="str">
        <f t="shared" si="49"/>
        <v>COIN</v>
      </c>
      <c r="S216" s="26" t="str">
        <f t="shared" si="44"/>
        <v>LONG</v>
      </c>
      <c r="T216" s="26" t="str">
        <f t="shared" si="50"/>
        <v>COIN LONG</v>
      </c>
      <c r="U216" s="17">
        <f t="shared" si="51"/>
        <v>1.0910849595307199E-6</v>
      </c>
      <c r="V216" s="17">
        <f t="shared" si="52"/>
        <v>109.10849595307199</v>
      </c>
      <c r="W216" s="40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Shifted'!$AE$32:$AO$75,MATCH($R216,'Futures &amp; Perps Shifted'!$AE$30:$AO$30,0),FALSE),0),0)))</f>
        <v>0</v>
      </c>
      <c r="X216" s="17">
        <f t="shared" si="53"/>
        <v>0</v>
      </c>
      <c r="Y216" s="14" t="str">
        <f t="shared" si="54"/>
        <v>HUB2</v>
      </c>
      <c r="Z216" t="str">
        <f t="shared" si="55"/>
        <v>BCH COIN LONG</v>
      </c>
    </row>
    <row r="217" spans="1:26" customFormat="1" x14ac:dyDescent="0.25">
      <c r="A217" s="14">
        <v>215</v>
      </c>
      <c r="B217" s="77">
        <v>44910.000001273147</v>
      </c>
      <c r="C217" s="14" t="s">
        <v>40</v>
      </c>
      <c r="D217" s="23" t="s">
        <v>118</v>
      </c>
      <c r="E217" s="23" t="s">
        <v>116</v>
      </c>
      <c r="F217" s="23">
        <v>1E-8</v>
      </c>
      <c r="G217" s="23">
        <v>4.5311618722575001E-7</v>
      </c>
      <c r="H217" s="23">
        <v>45.311618722574998</v>
      </c>
      <c r="I217" s="23">
        <v>0</v>
      </c>
      <c r="J217" s="23" t="s">
        <v>88</v>
      </c>
      <c r="K217" s="24">
        <v>44910.000001273147</v>
      </c>
      <c r="L217" s="23">
        <v>1</v>
      </c>
      <c r="M217" s="23" t="s">
        <v>116</v>
      </c>
      <c r="N217" s="46">
        <f t="shared" si="45"/>
        <v>1</v>
      </c>
      <c r="O217" s="47">
        <f t="shared" si="46"/>
        <v>1E-8</v>
      </c>
      <c r="P217" s="48">
        <f t="shared" si="47"/>
        <v>4.5311618722575001E-7</v>
      </c>
      <c r="Q217" s="25">
        <f t="shared" si="48"/>
        <v>0</v>
      </c>
      <c r="R217" s="26" t="str">
        <f t="shared" si="49"/>
        <v>COIN</v>
      </c>
      <c r="S217" s="26" t="str">
        <f t="shared" si="44"/>
        <v>LONG</v>
      </c>
      <c r="T217" s="26" t="str">
        <f t="shared" si="50"/>
        <v>COIN LONG</v>
      </c>
      <c r="U217" s="17">
        <f t="shared" si="51"/>
        <v>4.5311618722575001E-7</v>
      </c>
      <c r="V217" s="17">
        <f t="shared" si="52"/>
        <v>45.311618722574998</v>
      </c>
      <c r="W217" s="40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Shifted'!$AE$32:$AO$75,MATCH($R217,'Futures &amp; Perps Shifted'!$AE$30:$AO$30,0),FALSE),0),0)))</f>
        <v>0</v>
      </c>
      <c r="X217" s="17">
        <f t="shared" si="53"/>
        <v>0</v>
      </c>
      <c r="Y217" s="14" t="str">
        <f t="shared" si="54"/>
        <v>HUB2</v>
      </c>
      <c r="Z217" t="str">
        <f t="shared" si="55"/>
        <v>BSV COIN LONG</v>
      </c>
    </row>
    <row r="218" spans="1:26" customFormat="1" x14ac:dyDescent="0.25">
      <c r="A218" s="14">
        <v>216</v>
      </c>
      <c r="B218" s="77">
        <v>44910.000001273147</v>
      </c>
      <c r="C218" s="14" t="s">
        <v>40</v>
      </c>
      <c r="D218" s="23" t="s">
        <v>118</v>
      </c>
      <c r="E218" s="23" t="s">
        <v>24</v>
      </c>
      <c r="F218" s="23">
        <v>1E-8</v>
      </c>
      <c r="G218" s="23">
        <v>9.7802133669101293E-9</v>
      </c>
      <c r="H218" s="23">
        <v>0.97802133669101299</v>
      </c>
      <c r="I218" s="23">
        <v>0</v>
      </c>
      <c r="J218" s="23" t="s">
        <v>88</v>
      </c>
      <c r="K218" s="24">
        <v>44910.000001273147</v>
      </c>
      <c r="L218" s="23">
        <v>1</v>
      </c>
      <c r="M218" s="23" t="s">
        <v>24</v>
      </c>
      <c r="N218" s="46">
        <f t="shared" si="45"/>
        <v>1</v>
      </c>
      <c r="O218" s="47">
        <f t="shared" si="46"/>
        <v>1E-8</v>
      </c>
      <c r="P218" s="48">
        <f t="shared" si="47"/>
        <v>9.7802133669101293E-9</v>
      </c>
      <c r="Q218" s="25">
        <f t="shared" si="48"/>
        <v>0</v>
      </c>
      <c r="R218" s="26" t="str">
        <f t="shared" si="49"/>
        <v>COIN</v>
      </c>
      <c r="S218" s="26" t="str">
        <f t="shared" si="44"/>
        <v>LONG</v>
      </c>
      <c r="T218" s="26" t="str">
        <f t="shared" si="50"/>
        <v>COIN LONG</v>
      </c>
      <c r="U218" s="17">
        <f t="shared" si="51"/>
        <v>9.7802133669101293E-9</v>
      </c>
      <c r="V218" s="17">
        <f t="shared" si="52"/>
        <v>0.97802133669101299</v>
      </c>
      <c r="W218" s="40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Shifted'!$AE$32:$AO$75,MATCH($R218,'Futures &amp; Perps Shifted'!$AE$30:$AO$30,0),FALSE),0),0)))</f>
        <v>0</v>
      </c>
      <c r="X218" s="17">
        <f t="shared" si="53"/>
        <v>0</v>
      </c>
      <c r="Y218" s="14" t="str">
        <f t="shared" si="54"/>
        <v>HUB2</v>
      </c>
      <c r="Z218" t="str">
        <f t="shared" si="55"/>
        <v>EOS COIN LONG</v>
      </c>
    </row>
    <row r="219" spans="1:26" customFormat="1" x14ac:dyDescent="0.25">
      <c r="A219" s="14">
        <v>217</v>
      </c>
      <c r="B219" s="77">
        <v>44910.000001273147</v>
      </c>
      <c r="C219" s="14" t="s">
        <v>40</v>
      </c>
      <c r="D219" s="23" t="s">
        <v>118</v>
      </c>
      <c r="E219" s="23" t="s">
        <v>30</v>
      </c>
      <c r="F219" s="23">
        <v>1E-8</v>
      </c>
      <c r="G219" s="23">
        <v>1.87876872284171E-7</v>
      </c>
      <c r="H219" s="23">
        <v>18.787687228417099</v>
      </c>
      <c r="I219" s="23">
        <v>0</v>
      </c>
      <c r="J219" s="23" t="s">
        <v>88</v>
      </c>
      <c r="K219" s="24">
        <v>44910.000001273147</v>
      </c>
      <c r="L219" s="23">
        <v>1</v>
      </c>
      <c r="M219" s="23" t="s">
        <v>30</v>
      </c>
      <c r="N219" s="46">
        <f t="shared" si="45"/>
        <v>1</v>
      </c>
      <c r="O219" s="47">
        <f t="shared" si="46"/>
        <v>1E-8</v>
      </c>
      <c r="P219" s="48">
        <f t="shared" si="47"/>
        <v>1.87876872284171E-7</v>
      </c>
      <c r="Q219" s="25">
        <f t="shared" si="48"/>
        <v>0</v>
      </c>
      <c r="R219" s="26" t="str">
        <f t="shared" si="49"/>
        <v>COIN</v>
      </c>
      <c r="S219" s="26" t="str">
        <f t="shared" si="44"/>
        <v>LONG</v>
      </c>
      <c r="T219" s="26" t="str">
        <f t="shared" si="50"/>
        <v>COIN LONG</v>
      </c>
      <c r="U219" s="17">
        <f t="shared" si="51"/>
        <v>1.87876872284171E-7</v>
      </c>
      <c r="V219" s="17">
        <f t="shared" si="52"/>
        <v>18.787687228417099</v>
      </c>
      <c r="W219" s="40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Shifted'!$AE$32:$AO$75,MATCH($R219,'Futures &amp; Perps Shifted'!$AE$30:$AO$30,0),FALSE),0),0)))</f>
        <v>0</v>
      </c>
      <c r="X219" s="17">
        <f t="shared" si="53"/>
        <v>0</v>
      </c>
      <c r="Y219" s="14" t="str">
        <f t="shared" si="54"/>
        <v>HUB2</v>
      </c>
      <c r="Z219" t="str">
        <f t="shared" si="55"/>
        <v>ETC COIN LONG</v>
      </c>
    </row>
    <row r="220" spans="1:26" customFormat="1" x14ac:dyDescent="0.25">
      <c r="A220" s="14">
        <v>218</v>
      </c>
      <c r="B220" s="77">
        <v>44910.000001273147</v>
      </c>
      <c r="C220" s="14" t="s">
        <v>40</v>
      </c>
      <c r="D220" s="23" t="s">
        <v>118</v>
      </c>
      <c r="E220" s="23" t="s">
        <v>16</v>
      </c>
      <c r="F220" s="23">
        <v>1E-8</v>
      </c>
      <c r="G220" s="23">
        <v>1.3093286769329599E-5</v>
      </c>
      <c r="H220" s="23">
        <v>1309.32867693296</v>
      </c>
      <c r="I220" s="23">
        <v>0</v>
      </c>
      <c r="J220" s="23" t="s">
        <v>88</v>
      </c>
      <c r="K220" s="24">
        <v>44910.000001273147</v>
      </c>
      <c r="L220" s="23">
        <v>1</v>
      </c>
      <c r="M220" s="23" t="s">
        <v>16</v>
      </c>
      <c r="N220" s="46">
        <f t="shared" si="45"/>
        <v>1</v>
      </c>
      <c r="O220" s="47">
        <f t="shared" si="46"/>
        <v>1E-8</v>
      </c>
      <c r="P220" s="48">
        <f t="shared" si="47"/>
        <v>1.3093286769329599E-5</v>
      </c>
      <c r="Q220" s="25">
        <f t="shared" si="48"/>
        <v>0</v>
      </c>
      <c r="R220" s="26" t="str">
        <f t="shared" si="49"/>
        <v>COIN</v>
      </c>
      <c r="S220" s="26" t="str">
        <f t="shared" si="44"/>
        <v>LONG</v>
      </c>
      <c r="T220" s="26" t="str">
        <f t="shared" si="50"/>
        <v>COIN LONG</v>
      </c>
      <c r="U220" s="17">
        <f t="shared" si="51"/>
        <v>1.3093286769329599E-5</v>
      </c>
      <c r="V220" s="17">
        <f t="shared" si="52"/>
        <v>1309.32867693296</v>
      </c>
      <c r="W220" s="40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Shifted'!$AE$32:$AO$75,MATCH($R220,'Futures &amp; Perps Shifted'!$AE$30:$AO$30,0),FALSE),0),0)))</f>
        <v>0</v>
      </c>
      <c r="X220" s="17">
        <f t="shared" si="53"/>
        <v>0</v>
      </c>
      <c r="Y220" s="14" t="str">
        <f t="shared" si="54"/>
        <v>HUB2</v>
      </c>
      <c r="Z220" t="str">
        <f t="shared" si="55"/>
        <v>ETH COIN LONG</v>
      </c>
    </row>
    <row r="221" spans="1:26" customFormat="1" x14ac:dyDescent="0.25">
      <c r="A221" s="14">
        <v>219</v>
      </c>
      <c r="B221" s="77">
        <v>44910.000001273147</v>
      </c>
      <c r="C221" s="14" t="s">
        <v>40</v>
      </c>
      <c r="D221" s="23" t="s">
        <v>118</v>
      </c>
      <c r="E221" s="23" t="s">
        <v>28</v>
      </c>
      <c r="F221" s="23">
        <v>1E-8</v>
      </c>
      <c r="G221" s="23">
        <v>6.7288280575921401E-8</v>
      </c>
      <c r="H221" s="23">
        <v>6.72882805759214</v>
      </c>
      <c r="I221" s="23">
        <v>0</v>
      </c>
      <c r="J221" s="23" t="s">
        <v>88</v>
      </c>
      <c r="K221" s="24">
        <v>44910.000001273147</v>
      </c>
      <c r="L221" s="23">
        <v>1</v>
      </c>
      <c r="M221" s="23" t="s">
        <v>28</v>
      </c>
      <c r="N221" s="46">
        <f t="shared" si="45"/>
        <v>1</v>
      </c>
      <c r="O221" s="47">
        <f t="shared" si="46"/>
        <v>1E-8</v>
      </c>
      <c r="P221" s="48">
        <f t="shared" si="47"/>
        <v>6.7288280575921401E-8</v>
      </c>
      <c r="Q221" s="25">
        <f t="shared" si="48"/>
        <v>0</v>
      </c>
      <c r="R221" s="26" t="str">
        <f t="shared" si="49"/>
        <v>COIN</v>
      </c>
      <c r="S221" s="26" t="str">
        <f t="shared" si="44"/>
        <v>LONG</v>
      </c>
      <c r="T221" s="26" t="str">
        <f t="shared" si="50"/>
        <v>COIN LONG</v>
      </c>
      <c r="U221" s="17">
        <f t="shared" si="51"/>
        <v>6.7288280575921401E-8</v>
      </c>
      <c r="V221" s="17">
        <f t="shared" si="52"/>
        <v>6.72882805759214</v>
      </c>
      <c r="W221" s="40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Shifted'!$AE$32:$AO$75,MATCH($R221,'Futures &amp; Perps Shifted'!$AE$30:$AO$30,0),FALSE),0),0)))</f>
        <v>0</v>
      </c>
      <c r="X221" s="17">
        <f t="shared" si="53"/>
        <v>0</v>
      </c>
      <c r="Y221" s="14" t="str">
        <f t="shared" si="54"/>
        <v>HUB2</v>
      </c>
      <c r="Z221" t="str">
        <f t="shared" si="55"/>
        <v>LINK COIN LONG</v>
      </c>
    </row>
    <row r="222" spans="1:26" customFormat="1" x14ac:dyDescent="0.25">
      <c r="A222" s="14">
        <v>220</v>
      </c>
      <c r="B222" s="77">
        <v>44910.000001273147</v>
      </c>
      <c r="C222" s="14" t="s">
        <v>40</v>
      </c>
      <c r="D222" s="23" t="s">
        <v>118</v>
      </c>
      <c r="E222" s="23" t="s">
        <v>25</v>
      </c>
      <c r="F222" s="23">
        <v>1E-8</v>
      </c>
      <c r="G222" s="23">
        <v>7.5475863646134999E-7</v>
      </c>
      <c r="H222" s="23">
        <v>75.475863646134997</v>
      </c>
      <c r="I222" s="23">
        <v>0</v>
      </c>
      <c r="J222" s="23" t="s">
        <v>88</v>
      </c>
      <c r="K222" s="24">
        <v>44910.000001273147</v>
      </c>
      <c r="L222" s="23">
        <v>1</v>
      </c>
      <c r="M222" s="23" t="s">
        <v>25</v>
      </c>
      <c r="N222" s="46">
        <f t="shared" si="45"/>
        <v>1</v>
      </c>
      <c r="O222" s="47">
        <f t="shared" si="46"/>
        <v>1E-8</v>
      </c>
      <c r="P222" s="48">
        <f t="shared" si="47"/>
        <v>7.5475863646134999E-7</v>
      </c>
      <c r="Q222" s="25">
        <f t="shared" si="48"/>
        <v>0</v>
      </c>
      <c r="R222" s="26" t="str">
        <f t="shared" si="49"/>
        <v>COIN</v>
      </c>
      <c r="S222" s="26" t="str">
        <f t="shared" si="44"/>
        <v>LONG</v>
      </c>
      <c r="T222" s="26" t="str">
        <f t="shared" si="50"/>
        <v>COIN LONG</v>
      </c>
      <c r="U222" s="17">
        <f t="shared" si="51"/>
        <v>7.5475863646134999E-7</v>
      </c>
      <c r="V222" s="17">
        <f t="shared" si="52"/>
        <v>75.475863646134997</v>
      </c>
      <c r="W222" s="40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Shifted'!$AE$32:$AO$75,MATCH($R222,'Futures &amp; Perps Shifted'!$AE$30:$AO$30,0),FALSE),0),0)))</f>
        <v>0</v>
      </c>
      <c r="X222" s="17">
        <f t="shared" si="53"/>
        <v>0</v>
      </c>
      <c r="Y222" s="14" t="str">
        <f t="shared" si="54"/>
        <v>HUB2</v>
      </c>
      <c r="Z222" t="str">
        <f t="shared" si="55"/>
        <v>LTC COIN LONG</v>
      </c>
    </row>
    <row r="223" spans="1:26" customFormat="1" x14ac:dyDescent="0.25">
      <c r="A223" s="14">
        <v>221</v>
      </c>
      <c r="B223" s="77">
        <v>44910.000001273147</v>
      </c>
      <c r="C223" s="14" t="s">
        <v>40</v>
      </c>
      <c r="D223" s="23" t="s">
        <v>118</v>
      </c>
      <c r="E223" s="23" t="s">
        <v>39</v>
      </c>
      <c r="F223" s="23">
        <v>3.2621029500000001</v>
      </c>
      <c r="G223" s="23">
        <v>3.2624468093306298</v>
      </c>
      <c r="H223" s="23">
        <v>1.0001054103245299</v>
      </c>
      <c r="I223" s="23">
        <v>0</v>
      </c>
      <c r="J223" s="23" t="s">
        <v>88</v>
      </c>
      <c r="K223" s="24">
        <v>44910.000001273147</v>
      </c>
      <c r="L223" s="23">
        <v>1</v>
      </c>
      <c r="M223" s="23" t="s">
        <v>39</v>
      </c>
      <c r="N223" s="46">
        <f t="shared" si="45"/>
        <v>1</v>
      </c>
      <c r="O223" s="47">
        <f t="shared" si="46"/>
        <v>3.2621029500000001</v>
      </c>
      <c r="P223" s="48">
        <f t="shared" si="47"/>
        <v>3.2624468093306098</v>
      </c>
      <c r="Q223" s="25">
        <f t="shared" si="48"/>
        <v>0</v>
      </c>
      <c r="R223" s="26" t="str">
        <f t="shared" si="49"/>
        <v>COIN</v>
      </c>
      <c r="S223" s="26" t="str">
        <f t="shared" si="44"/>
        <v>LONG</v>
      </c>
      <c r="T223" s="26" t="str">
        <f t="shared" si="50"/>
        <v>COIN LONG</v>
      </c>
      <c r="U223" s="17">
        <f t="shared" si="51"/>
        <v>3.2624468093306298</v>
      </c>
      <c r="V223" s="17">
        <f t="shared" si="52"/>
        <v>1.0001054103245299</v>
      </c>
      <c r="W223" s="40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Shifted'!$AE$32:$AO$75,MATCH($R223,'Futures &amp; Perps Shifted'!$AE$30:$AO$30,0),FALSE),0),0)))</f>
        <v>0</v>
      </c>
      <c r="X223" s="17">
        <f t="shared" si="53"/>
        <v>0</v>
      </c>
      <c r="Y223" s="14" t="str">
        <f t="shared" si="54"/>
        <v>HUB2</v>
      </c>
      <c r="Z223" t="str">
        <f t="shared" si="55"/>
        <v>USDT COIN LONG</v>
      </c>
    </row>
    <row r="224" spans="1:26" customFormat="1" x14ac:dyDescent="0.25">
      <c r="A224" s="14">
        <v>222</v>
      </c>
      <c r="B224" s="77">
        <v>44910.000001273147</v>
      </c>
      <c r="C224" s="14" t="s">
        <v>40</v>
      </c>
      <c r="D224" s="23" t="s">
        <v>118</v>
      </c>
      <c r="E224" s="23" t="s">
        <v>102</v>
      </c>
      <c r="F224" s="23">
        <v>6.4869999999999994E-5</v>
      </c>
      <c r="G224" s="23">
        <v>2.5066657872302201E-5</v>
      </c>
      <c r="H224" s="23">
        <v>0.38641371777866901</v>
      </c>
      <c r="I224" s="23">
        <v>0</v>
      </c>
      <c r="J224" s="23" t="s">
        <v>88</v>
      </c>
      <c r="K224" s="24">
        <v>44910.000001273147</v>
      </c>
      <c r="L224" s="23">
        <v>1</v>
      </c>
      <c r="M224" s="23" t="s">
        <v>102</v>
      </c>
      <c r="N224" s="46">
        <f t="shared" si="45"/>
        <v>1</v>
      </c>
      <c r="O224" s="47">
        <f t="shared" si="46"/>
        <v>6.4869999999999994E-5</v>
      </c>
      <c r="P224" s="48">
        <f t="shared" si="47"/>
        <v>2.5066657872302255E-5</v>
      </c>
      <c r="Q224" s="25">
        <f t="shared" si="48"/>
        <v>0</v>
      </c>
      <c r="R224" s="26" t="str">
        <f t="shared" si="49"/>
        <v>COIN</v>
      </c>
      <c r="S224" s="26" t="str">
        <f t="shared" si="44"/>
        <v>LONG</v>
      </c>
      <c r="T224" s="26" t="str">
        <f t="shared" si="50"/>
        <v>COIN LONG</v>
      </c>
      <c r="U224" s="17">
        <f t="shared" si="51"/>
        <v>2.5066657872302201E-5</v>
      </c>
      <c r="V224" s="17">
        <f t="shared" si="52"/>
        <v>0.38641371777866901</v>
      </c>
      <c r="W224" s="40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Shifted'!$AE$32:$AO$75,MATCH($R224,'Futures &amp; Perps Shifted'!$AE$30:$AO$30,0),FALSE),0),0)))</f>
        <v>0</v>
      </c>
      <c r="X224" s="17">
        <f t="shared" si="53"/>
        <v>0</v>
      </c>
      <c r="Y224" s="14" t="str">
        <f t="shared" si="54"/>
        <v>HUB2</v>
      </c>
      <c r="Z224" t="str">
        <f t="shared" si="55"/>
        <v>XRP COIN LONG</v>
      </c>
    </row>
    <row r="225" spans="1:26" customFormat="1" x14ac:dyDescent="0.25">
      <c r="A225" s="14">
        <v>223</v>
      </c>
      <c r="B225" s="77">
        <v>44910.000003043984</v>
      </c>
      <c r="C225" s="14" t="s">
        <v>40</v>
      </c>
      <c r="D225" s="23" t="s">
        <v>42</v>
      </c>
      <c r="E225" s="23" t="s">
        <v>119</v>
      </c>
      <c r="F225" s="23">
        <v>0.10014646000000001</v>
      </c>
      <c r="G225" s="23">
        <v>6.2654520236031903</v>
      </c>
      <c r="H225" s="23">
        <v>62.562890626420497</v>
      </c>
      <c r="I225" s="23">
        <v>0</v>
      </c>
      <c r="J225" s="23" t="s">
        <v>88</v>
      </c>
      <c r="K225" s="24">
        <v>44910.000003043984</v>
      </c>
      <c r="L225" s="23">
        <v>1</v>
      </c>
      <c r="M225" s="23" t="s">
        <v>119</v>
      </c>
      <c r="N225" s="46">
        <f t="shared" si="45"/>
        <v>1</v>
      </c>
      <c r="O225" s="47">
        <f t="shared" si="46"/>
        <v>0.10014646000000001</v>
      </c>
      <c r="P225" s="48">
        <f t="shared" si="47"/>
        <v>6.2654520236031956</v>
      </c>
      <c r="Q225" s="25">
        <f t="shared" si="48"/>
        <v>0</v>
      </c>
      <c r="R225" s="26" t="str">
        <f t="shared" si="49"/>
        <v>COIN</v>
      </c>
      <c r="S225" s="26" t="str">
        <f t="shared" si="44"/>
        <v>LONG</v>
      </c>
      <c r="T225" s="26" t="str">
        <f t="shared" si="50"/>
        <v>COIN LONG</v>
      </c>
      <c r="U225" s="17">
        <f t="shared" si="51"/>
        <v>6.2654520236031903</v>
      </c>
      <c r="V225" s="17">
        <f t="shared" si="52"/>
        <v>62.562890626420497</v>
      </c>
      <c r="W225" s="40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Shifted'!$AE$32:$AO$75,MATCH($R225,'Futures &amp; Perps Shifted'!$AE$30:$AO$30,0),FALSE),0),0)))</f>
        <v>0</v>
      </c>
      <c r="X225" s="17">
        <f t="shared" si="53"/>
        <v>0</v>
      </c>
      <c r="Y225" s="14" t="str">
        <f t="shared" si="54"/>
        <v>HUBI</v>
      </c>
      <c r="Z225" t="str">
        <f t="shared" si="55"/>
        <v>AAVE COIN LONG</v>
      </c>
    </row>
    <row r="226" spans="1:26" customFormat="1" x14ac:dyDescent="0.25">
      <c r="A226" s="14">
        <v>224</v>
      </c>
      <c r="B226" s="77">
        <v>44910.000003043984</v>
      </c>
      <c r="C226" s="14" t="s">
        <v>40</v>
      </c>
      <c r="D226" s="23" t="s">
        <v>42</v>
      </c>
      <c r="E226" s="23" t="s">
        <v>87</v>
      </c>
      <c r="F226" s="23">
        <v>3.2091999999999998E-4</v>
      </c>
      <c r="G226" s="23">
        <v>9.8886444134812601E-5</v>
      </c>
      <c r="H226" s="23">
        <v>0.308134251946941</v>
      </c>
      <c r="I226" s="23">
        <v>0</v>
      </c>
      <c r="J226" s="23" t="s">
        <v>88</v>
      </c>
      <c r="K226" s="24">
        <v>44910.000003043984</v>
      </c>
      <c r="L226" s="23">
        <v>1</v>
      </c>
      <c r="M226" s="23" t="s">
        <v>87</v>
      </c>
      <c r="N226" s="46">
        <f t="shared" si="45"/>
        <v>1</v>
      </c>
      <c r="O226" s="47">
        <f t="shared" si="46"/>
        <v>3.2091999999999998E-4</v>
      </c>
      <c r="P226" s="48">
        <f t="shared" si="47"/>
        <v>9.8886444134812303E-5</v>
      </c>
      <c r="Q226" s="25">
        <f t="shared" si="48"/>
        <v>0</v>
      </c>
      <c r="R226" s="26" t="str">
        <f t="shared" si="49"/>
        <v>COIN</v>
      </c>
      <c r="S226" s="26" t="str">
        <f t="shared" si="44"/>
        <v>LONG</v>
      </c>
      <c r="T226" s="26" t="str">
        <f t="shared" si="50"/>
        <v>COIN LONG</v>
      </c>
      <c r="U226" s="17">
        <f t="shared" si="51"/>
        <v>9.8886444134812601E-5</v>
      </c>
      <c r="V226" s="17">
        <f t="shared" si="52"/>
        <v>0.308134251946941</v>
      </c>
      <c r="W226" s="40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Shifted'!$AE$32:$AO$75,MATCH($R226,'Futures &amp; Perps Shifted'!$AE$30:$AO$30,0),FALSE),0),0)))</f>
        <v>0</v>
      </c>
      <c r="X226" s="17">
        <f t="shared" si="53"/>
        <v>0</v>
      </c>
      <c r="Y226" s="14" t="str">
        <f t="shared" si="54"/>
        <v>HUBI</v>
      </c>
      <c r="Z226" t="str">
        <f t="shared" si="55"/>
        <v>ADA COIN LONG</v>
      </c>
    </row>
    <row r="227" spans="1:26" customFormat="1" x14ac:dyDescent="0.25">
      <c r="A227" s="14">
        <v>225</v>
      </c>
      <c r="B227" s="77">
        <v>44910.000003043984</v>
      </c>
      <c r="C227" s="14" t="s">
        <v>40</v>
      </c>
      <c r="D227" s="23" t="s">
        <v>42</v>
      </c>
      <c r="E227" s="23" t="s">
        <v>21</v>
      </c>
      <c r="F227" s="23">
        <v>5.3552000000000005E-4</v>
      </c>
      <c r="G227" s="23">
        <v>5.8429781752789602E-2</v>
      </c>
      <c r="H227" s="23">
        <v>109.10849595307199</v>
      </c>
      <c r="I227" s="23">
        <v>0</v>
      </c>
      <c r="J227" s="23" t="s">
        <v>88</v>
      </c>
      <c r="K227" s="24">
        <v>44910.000003043984</v>
      </c>
      <c r="L227" s="23">
        <v>1</v>
      </c>
      <c r="M227" s="23" t="s">
        <v>21</v>
      </c>
      <c r="N227" s="46">
        <f t="shared" si="45"/>
        <v>1</v>
      </c>
      <c r="O227" s="47">
        <f t="shared" si="46"/>
        <v>5.3552000000000005E-4</v>
      </c>
      <c r="P227" s="48">
        <f t="shared" si="47"/>
        <v>5.8429781752789123E-2</v>
      </c>
      <c r="Q227" s="25">
        <f t="shared" si="48"/>
        <v>0</v>
      </c>
      <c r="R227" s="26" t="str">
        <f t="shared" si="49"/>
        <v>COIN</v>
      </c>
      <c r="S227" s="26" t="str">
        <f t="shared" si="44"/>
        <v>LONG</v>
      </c>
      <c r="T227" s="26" t="str">
        <f t="shared" si="50"/>
        <v>COIN LONG</v>
      </c>
      <c r="U227" s="17">
        <f t="shared" si="51"/>
        <v>5.8429781752789602E-2</v>
      </c>
      <c r="V227" s="17">
        <f t="shared" si="52"/>
        <v>109.10849595307199</v>
      </c>
      <c r="W227" s="40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Shifted'!$AE$32:$AO$75,MATCH($R227,'Futures &amp; Perps Shifted'!$AE$30:$AO$30,0),FALSE),0),0)))</f>
        <v>0</v>
      </c>
      <c r="X227" s="17">
        <f t="shared" si="53"/>
        <v>0</v>
      </c>
      <c r="Y227" s="14" t="str">
        <f t="shared" si="54"/>
        <v>HUBI</v>
      </c>
      <c r="Z227" t="str">
        <f t="shared" si="55"/>
        <v>BCH COIN LONG</v>
      </c>
    </row>
    <row r="228" spans="1:26" customFormat="1" x14ac:dyDescent="0.25">
      <c r="A228" s="14">
        <v>226</v>
      </c>
      <c r="B228" s="77">
        <v>44910.000003043984</v>
      </c>
      <c r="C228" s="14" t="s">
        <v>40</v>
      </c>
      <c r="D228" s="23" t="s">
        <v>42</v>
      </c>
      <c r="E228" s="23" t="s">
        <v>116</v>
      </c>
      <c r="F228" s="23">
        <v>2.9999999999999997E-8</v>
      </c>
      <c r="G228" s="23">
        <v>1.35934856167725E-6</v>
      </c>
      <c r="H228" s="23">
        <v>45.311618722574998</v>
      </c>
      <c r="I228" s="23">
        <v>0</v>
      </c>
      <c r="J228" s="23" t="s">
        <v>88</v>
      </c>
      <c r="K228" s="24">
        <v>44910.000003043984</v>
      </c>
      <c r="L228" s="23">
        <v>1</v>
      </c>
      <c r="M228" s="23" t="s">
        <v>116</v>
      </c>
      <c r="N228" s="46">
        <f t="shared" si="45"/>
        <v>1</v>
      </c>
      <c r="O228" s="47">
        <f t="shared" si="46"/>
        <v>2.9999999999999997E-8</v>
      </c>
      <c r="P228" s="48">
        <f t="shared" si="47"/>
        <v>1.3593485616772498E-6</v>
      </c>
      <c r="Q228" s="25">
        <f t="shared" si="48"/>
        <v>0</v>
      </c>
      <c r="R228" s="26" t="str">
        <f t="shared" si="49"/>
        <v>COIN</v>
      </c>
      <c r="S228" s="26" t="str">
        <f t="shared" si="44"/>
        <v>LONG</v>
      </c>
      <c r="T228" s="26" t="str">
        <f t="shared" si="50"/>
        <v>COIN LONG</v>
      </c>
      <c r="U228" s="17">
        <f t="shared" si="51"/>
        <v>1.35934856167725E-6</v>
      </c>
      <c r="V228" s="17">
        <f t="shared" si="52"/>
        <v>45.311618722574998</v>
      </c>
      <c r="W228" s="40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Shifted'!$AE$32:$AO$75,MATCH($R228,'Futures &amp; Perps Shifted'!$AE$30:$AO$30,0),FALSE),0),0)))</f>
        <v>0</v>
      </c>
      <c r="X228" s="17">
        <f t="shared" si="53"/>
        <v>0</v>
      </c>
      <c r="Y228" s="14" t="str">
        <f t="shared" si="54"/>
        <v>HUBI</v>
      </c>
      <c r="Z228" t="str">
        <f t="shared" si="55"/>
        <v>BSV COIN LONG</v>
      </c>
    </row>
    <row r="229" spans="1:26" customFormat="1" x14ac:dyDescent="0.25">
      <c r="A229" s="14">
        <v>227</v>
      </c>
      <c r="B229" s="77">
        <v>44910.000003043984</v>
      </c>
      <c r="C229" s="14" t="s">
        <v>40</v>
      </c>
      <c r="D229" s="23" t="s">
        <v>42</v>
      </c>
      <c r="E229" s="23" t="s">
        <v>15</v>
      </c>
      <c r="F229" s="23">
        <v>144.50993141000001</v>
      </c>
      <c r="G229" s="23">
        <v>2574538.3385201702</v>
      </c>
      <c r="H229" s="23">
        <v>17815.649854650899</v>
      </c>
      <c r="I229" s="23">
        <v>0</v>
      </c>
      <c r="J229" s="23" t="s">
        <v>88</v>
      </c>
      <c r="K229" s="24">
        <v>44910.000003043984</v>
      </c>
      <c r="L229" s="23">
        <v>1</v>
      </c>
      <c r="M229" s="23" t="s">
        <v>15</v>
      </c>
      <c r="N229" s="46">
        <f t="shared" si="45"/>
        <v>1</v>
      </c>
      <c r="O229" s="47">
        <f t="shared" si="46"/>
        <v>144.50993141000001</v>
      </c>
      <c r="P229" s="48">
        <f t="shared" si="47"/>
        <v>2574538.3385201781</v>
      </c>
      <c r="Q229" s="25">
        <f t="shared" si="48"/>
        <v>0</v>
      </c>
      <c r="R229" s="26" t="str">
        <f t="shared" si="49"/>
        <v>COIN</v>
      </c>
      <c r="S229" s="26" t="str">
        <f t="shared" si="44"/>
        <v>LONG</v>
      </c>
      <c r="T229" s="26" t="str">
        <f t="shared" si="50"/>
        <v>COIN LONG</v>
      </c>
      <c r="U229" s="17">
        <f t="shared" si="51"/>
        <v>2574538.3385201702</v>
      </c>
      <c r="V229" s="17">
        <f t="shared" si="52"/>
        <v>17815.649854650899</v>
      </c>
      <c r="W229" s="40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Shifted'!$AE$32:$AO$75,MATCH($R229,'Futures &amp; Perps Shifted'!$AE$30:$AO$30,0),FALSE),0),0)))</f>
        <v>0</v>
      </c>
      <c r="X229" s="17">
        <f t="shared" si="53"/>
        <v>0</v>
      </c>
      <c r="Y229" s="14" t="str">
        <f t="shared" si="54"/>
        <v>HUBI</v>
      </c>
      <c r="Z229" t="str">
        <f t="shared" si="55"/>
        <v>BTC COIN LONG</v>
      </c>
    </row>
    <row r="230" spans="1:26" customFormat="1" x14ac:dyDescent="0.25">
      <c r="A230" s="14">
        <v>228</v>
      </c>
      <c r="B230" s="77">
        <v>44910.000003043984</v>
      </c>
      <c r="C230" s="14" t="s">
        <v>40</v>
      </c>
      <c r="D230" s="23" t="s">
        <v>42</v>
      </c>
      <c r="E230" s="23" t="s">
        <v>15</v>
      </c>
      <c r="F230" s="23">
        <v>-1.6966316299999999</v>
      </c>
      <c r="G230" s="23">
        <v>-30226.595052405599</v>
      </c>
      <c r="H230" s="23">
        <v>17815.649854650899</v>
      </c>
      <c r="I230" s="23">
        <v>0</v>
      </c>
      <c r="J230" s="23" t="s">
        <v>256</v>
      </c>
      <c r="K230" s="24">
        <v>44910.000003043984</v>
      </c>
      <c r="L230" s="23">
        <v>1</v>
      </c>
      <c r="M230" s="23" t="s">
        <v>15</v>
      </c>
      <c r="N230" s="46">
        <f t="shared" si="45"/>
        <v>1</v>
      </c>
      <c r="O230" s="47">
        <f t="shared" si="46"/>
        <v>-1.6966316299999999</v>
      </c>
      <c r="P230" s="48">
        <f t="shared" si="47"/>
        <v>-30226.595052405617</v>
      </c>
      <c r="Q230" s="25">
        <f t="shared" si="48"/>
        <v>0</v>
      </c>
      <c r="R230" s="26" t="str">
        <f t="shared" si="49"/>
        <v>COIN</v>
      </c>
      <c r="S230" s="26" t="str">
        <f t="shared" si="44"/>
        <v>SHORT</v>
      </c>
      <c r="T230" s="26" t="str">
        <f t="shared" si="50"/>
        <v>COIN SHORT</v>
      </c>
      <c r="U230" s="17">
        <f t="shared" si="51"/>
        <v>-30226.595052405599</v>
      </c>
      <c r="V230" s="17">
        <f t="shared" si="52"/>
        <v>17815.649854650899</v>
      </c>
      <c r="W230" s="40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Shifted'!$AE$32:$AO$75,MATCH($R230,'Futures &amp; Perps Shifted'!$AE$30:$AO$30,0),FALSE),0),0)))</f>
        <v>0</v>
      </c>
      <c r="X230" s="17">
        <f t="shared" si="53"/>
        <v>0</v>
      </c>
      <c r="Y230" s="14" t="str">
        <f t="shared" si="54"/>
        <v>HUBI</v>
      </c>
      <c r="Z230" t="str">
        <f t="shared" si="55"/>
        <v>BTC COIN SHORT</v>
      </c>
    </row>
    <row r="231" spans="1:26" customFormat="1" x14ac:dyDescent="0.25">
      <c r="A231" s="14">
        <v>229</v>
      </c>
      <c r="B231" s="77">
        <v>44910.000003043984</v>
      </c>
      <c r="C231" s="14" t="s">
        <v>40</v>
      </c>
      <c r="D231" s="23" t="s">
        <v>42</v>
      </c>
      <c r="E231" s="23" t="s">
        <v>23</v>
      </c>
      <c r="F231" s="23">
        <v>3.8972899999999999E-3</v>
      </c>
      <c r="G231" s="23">
        <v>2.032518481034E-2</v>
      </c>
      <c r="H231" s="23">
        <v>5.21520975096543</v>
      </c>
      <c r="I231" s="23">
        <v>0</v>
      </c>
      <c r="J231" s="23" t="s">
        <v>88</v>
      </c>
      <c r="K231" s="24">
        <v>44910.000003043984</v>
      </c>
      <c r="L231" s="23">
        <v>1</v>
      </c>
      <c r="M231" s="23" t="s">
        <v>23</v>
      </c>
      <c r="N231" s="46">
        <f t="shared" si="45"/>
        <v>1</v>
      </c>
      <c r="O231" s="47">
        <f t="shared" si="46"/>
        <v>3.8972899999999999E-3</v>
      </c>
      <c r="P231" s="48">
        <f t="shared" si="47"/>
        <v>2.0325184810340059E-2</v>
      </c>
      <c r="Q231" s="25">
        <f t="shared" si="48"/>
        <v>0</v>
      </c>
      <c r="R231" s="26" t="str">
        <f t="shared" si="49"/>
        <v>COIN</v>
      </c>
      <c r="S231" s="26" t="str">
        <f t="shared" si="44"/>
        <v>LONG</v>
      </c>
      <c r="T231" s="26" t="str">
        <f t="shared" si="50"/>
        <v>COIN LONG</v>
      </c>
      <c r="U231" s="17">
        <f t="shared" si="51"/>
        <v>2.032518481034E-2</v>
      </c>
      <c r="V231" s="17">
        <f t="shared" si="52"/>
        <v>5.21520975096543</v>
      </c>
      <c r="W231" s="40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Shifted'!$AE$32:$AO$75,MATCH($R231,'Futures &amp; Perps Shifted'!$AE$30:$AO$30,0),FALSE),0),0)))</f>
        <v>0</v>
      </c>
      <c r="X231" s="17">
        <f t="shared" si="53"/>
        <v>0</v>
      </c>
      <c r="Y231" s="14" t="str">
        <f t="shared" si="54"/>
        <v>HUBI</v>
      </c>
      <c r="Z231" t="str">
        <f t="shared" si="55"/>
        <v>DOT COIN LONG</v>
      </c>
    </row>
    <row r="232" spans="1:26" customFormat="1" x14ac:dyDescent="0.25">
      <c r="A232" s="14">
        <v>230</v>
      </c>
      <c r="B232" s="77">
        <v>44910.000003043984</v>
      </c>
      <c r="C232" s="14" t="s">
        <v>40</v>
      </c>
      <c r="D232" s="23" t="s">
        <v>42</v>
      </c>
      <c r="E232" s="23" t="s">
        <v>30</v>
      </c>
      <c r="F232" s="23">
        <v>0.1010306</v>
      </c>
      <c r="G232" s="23">
        <v>1.8981313132993201</v>
      </c>
      <c r="H232" s="23">
        <v>18.787687228417099</v>
      </c>
      <c r="I232" s="23">
        <v>0</v>
      </c>
      <c r="J232" s="23" t="s">
        <v>88</v>
      </c>
      <c r="K232" s="24">
        <v>44910.000003043984</v>
      </c>
      <c r="L232" s="23">
        <v>1</v>
      </c>
      <c r="M232" s="23" t="s">
        <v>30</v>
      </c>
      <c r="N232" s="46">
        <f t="shared" si="45"/>
        <v>1</v>
      </c>
      <c r="O232" s="47">
        <f t="shared" si="46"/>
        <v>0.1010306</v>
      </c>
      <c r="P232" s="48">
        <f t="shared" si="47"/>
        <v>1.8981313132993165</v>
      </c>
      <c r="Q232" s="25">
        <f t="shared" si="48"/>
        <v>0</v>
      </c>
      <c r="R232" s="26" t="str">
        <f t="shared" si="49"/>
        <v>COIN</v>
      </c>
      <c r="S232" s="26" t="str">
        <f t="shared" si="44"/>
        <v>LONG</v>
      </c>
      <c r="T232" s="26" t="str">
        <f t="shared" si="50"/>
        <v>COIN LONG</v>
      </c>
      <c r="U232" s="17">
        <f t="shared" si="51"/>
        <v>1.8981313132993201</v>
      </c>
      <c r="V232" s="17">
        <f t="shared" si="52"/>
        <v>18.787687228417099</v>
      </c>
      <c r="W232" s="40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Shifted'!$AE$32:$AO$75,MATCH($R232,'Futures &amp; Perps Shifted'!$AE$30:$AO$30,0),FALSE),0),0)))</f>
        <v>0</v>
      </c>
      <c r="X232" s="17">
        <f t="shared" si="53"/>
        <v>0</v>
      </c>
      <c r="Y232" s="14" t="str">
        <f t="shared" si="54"/>
        <v>HUBI</v>
      </c>
      <c r="Z232" t="str">
        <f t="shared" si="55"/>
        <v>ETC COIN LONG</v>
      </c>
    </row>
    <row r="233" spans="1:26" customFormat="1" x14ac:dyDescent="0.25">
      <c r="A233" s="14">
        <v>231</v>
      </c>
      <c r="B233" s="77">
        <v>44910.000003043984</v>
      </c>
      <c r="C233" s="14" t="s">
        <v>40</v>
      </c>
      <c r="D233" s="23" t="s">
        <v>42</v>
      </c>
      <c r="E233" s="23" t="s">
        <v>16</v>
      </c>
      <c r="F233" s="23">
        <v>1440.6756141000001</v>
      </c>
      <c r="G233" s="23">
        <v>1886317.8956991299</v>
      </c>
      <c r="H233" s="23">
        <v>1309.32867693296</v>
      </c>
      <c r="I233" s="23">
        <v>0</v>
      </c>
      <c r="J233" s="23" t="s">
        <v>88</v>
      </c>
      <c r="K233" s="24">
        <v>44910.000003043984</v>
      </c>
      <c r="L233" s="23">
        <v>1</v>
      </c>
      <c r="M233" s="23" t="s">
        <v>16</v>
      </c>
      <c r="N233" s="46">
        <f t="shared" si="45"/>
        <v>1</v>
      </c>
      <c r="O233" s="47">
        <f t="shared" si="46"/>
        <v>1440.6756141000001</v>
      </c>
      <c r="P233" s="48">
        <f t="shared" si="47"/>
        <v>1886317.8956991327</v>
      </c>
      <c r="Q233" s="25">
        <f t="shared" si="48"/>
        <v>0</v>
      </c>
      <c r="R233" s="26" t="str">
        <f t="shared" si="49"/>
        <v>COIN</v>
      </c>
      <c r="S233" s="26" t="str">
        <f t="shared" si="44"/>
        <v>LONG</v>
      </c>
      <c r="T233" s="26" t="str">
        <f t="shared" si="50"/>
        <v>COIN LONG</v>
      </c>
      <c r="U233" s="17">
        <f t="shared" si="51"/>
        <v>1886317.8956991299</v>
      </c>
      <c r="V233" s="17">
        <f t="shared" si="52"/>
        <v>1309.32867693296</v>
      </c>
      <c r="W233" s="40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Shifted'!$AE$32:$AO$75,MATCH($R233,'Futures &amp; Perps Shifted'!$AE$30:$AO$30,0),FALSE),0),0)))</f>
        <v>0</v>
      </c>
      <c r="X233" s="17">
        <f t="shared" si="53"/>
        <v>0</v>
      </c>
      <c r="Y233" s="14" t="str">
        <f t="shared" si="54"/>
        <v>HUBI</v>
      </c>
      <c r="Z233" t="str">
        <f t="shared" si="55"/>
        <v>ETH COIN LONG</v>
      </c>
    </row>
    <row r="234" spans="1:26" customFormat="1" x14ac:dyDescent="0.25">
      <c r="A234" s="14">
        <v>232</v>
      </c>
      <c r="B234" s="77">
        <v>44910.000003043984</v>
      </c>
      <c r="C234" s="14" t="s">
        <v>40</v>
      </c>
      <c r="D234" s="23" t="s">
        <v>42</v>
      </c>
      <c r="E234" s="23" t="s">
        <v>16</v>
      </c>
      <c r="F234" s="23">
        <v>0.47374295999999999</v>
      </c>
      <c r="G234" s="23">
        <v>620.28524302310495</v>
      </c>
      <c r="H234" s="23">
        <v>1309.32867693296</v>
      </c>
      <c r="I234" s="23">
        <v>0</v>
      </c>
      <c r="J234" s="23" t="s">
        <v>256</v>
      </c>
      <c r="K234" s="24">
        <v>44910.000003043984</v>
      </c>
      <c r="L234" s="23">
        <v>1</v>
      </c>
      <c r="M234" s="23" t="s">
        <v>16</v>
      </c>
      <c r="N234" s="46">
        <f t="shared" si="45"/>
        <v>1</v>
      </c>
      <c r="O234" s="47">
        <f t="shared" si="46"/>
        <v>0.47374295999999999</v>
      </c>
      <c r="P234" s="48">
        <f t="shared" si="47"/>
        <v>620.28524302310416</v>
      </c>
      <c r="Q234" s="25">
        <f t="shared" si="48"/>
        <v>0</v>
      </c>
      <c r="R234" s="26" t="str">
        <f t="shared" si="49"/>
        <v>COIN</v>
      </c>
      <c r="S234" s="26" t="str">
        <f t="shared" si="44"/>
        <v>LONG</v>
      </c>
      <c r="T234" s="26" t="str">
        <f t="shared" si="50"/>
        <v>COIN LONG</v>
      </c>
      <c r="U234" s="17">
        <f t="shared" si="51"/>
        <v>620.28524302310495</v>
      </c>
      <c r="V234" s="17">
        <f t="shared" si="52"/>
        <v>1309.32867693296</v>
      </c>
      <c r="W234" s="40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Shifted'!$AE$32:$AO$75,MATCH($R234,'Futures &amp; Perps Shifted'!$AE$30:$AO$30,0),FALSE),0),0)))</f>
        <v>0</v>
      </c>
      <c r="X234" s="17">
        <f t="shared" si="53"/>
        <v>0</v>
      </c>
      <c r="Y234" s="14" t="str">
        <f t="shared" si="54"/>
        <v>HUBI</v>
      </c>
      <c r="Z234" t="str">
        <f t="shared" si="55"/>
        <v>ETH COIN LONG</v>
      </c>
    </row>
    <row r="235" spans="1:26" customFormat="1" x14ac:dyDescent="0.25">
      <c r="A235" s="14">
        <v>233</v>
      </c>
      <c r="B235" s="77">
        <v>44910.000003043984</v>
      </c>
      <c r="C235" s="14" t="s">
        <v>40</v>
      </c>
      <c r="D235" s="23" t="s">
        <v>42</v>
      </c>
      <c r="E235" s="23" t="s">
        <v>28</v>
      </c>
      <c r="F235" s="23">
        <v>9.5620999999999998E-4</v>
      </c>
      <c r="G235" s="23">
        <v>6.4341726769501801E-3</v>
      </c>
      <c r="H235" s="23">
        <v>6.72882805759214</v>
      </c>
      <c r="I235" s="23">
        <v>0</v>
      </c>
      <c r="J235" s="23" t="s">
        <v>88</v>
      </c>
      <c r="K235" s="24">
        <v>44910.000003043984</v>
      </c>
      <c r="L235" s="23">
        <v>1</v>
      </c>
      <c r="M235" s="23" t="s">
        <v>28</v>
      </c>
      <c r="N235" s="46">
        <f t="shared" si="45"/>
        <v>1</v>
      </c>
      <c r="O235" s="47">
        <f t="shared" si="46"/>
        <v>9.5620999999999998E-4</v>
      </c>
      <c r="P235" s="48">
        <f t="shared" si="47"/>
        <v>6.4341726769501801E-3</v>
      </c>
      <c r="Q235" s="25">
        <f t="shared" si="48"/>
        <v>0</v>
      </c>
      <c r="R235" s="26" t="str">
        <f t="shared" si="49"/>
        <v>COIN</v>
      </c>
      <c r="S235" s="26" t="str">
        <f t="shared" si="44"/>
        <v>LONG</v>
      </c>
      <c r="T235" s="26" t="str">
        <f t="shared" si="50"/>
        <v>COIN LONG</v>
      </c>
      <c r="U235" s="17">
        <f t="shared" si="51"/>
        <v>6.4341726769501801E-3</v>
      </c>
      <c r="V235" s="17">
        <f t="shared" si="52"/>
        <v>6.72882805759214</v>
      </c>
      <c r="W235" s="40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Shifted'!$AE$32:$AO$75,MATCH($R235,'Futures &amp; Perps Shifted'!$AE$30:$AO$30,0),FALSE),0),0)))</f>
        <v>0</v>
      </c>
      <c r="X235" s="17">
        <f t="shared" si="53"/>
        <v>0</v>
      </c>
      <c r="Y235" s="14" t="str">
        <f t="shared" si="54"/>
        <v>HUBI</v>
      </c>
      <c r="Z235" t="str">
        <f t="shared" si="55"/>
        <v>LINK COIN LONG</v>
      </c>
    </row>
    <row r="236" spans="1:26" customFormat="1" x14ac:dyDescent="0.25">
      <c r="A236" s="14">
        <v>234</v>
      </c>
      <c r="B236" s="77">
        <v>44910.000003043984</v>
      </c>
      <c r="C236" s="14" t="s">
        <v>40</v>
      </c>
      <c r="D236" s="23" t="s">
        <v>42</v>
      </c>
      <c r="E236" s="23" t="s">
        <v>25</v>
      </c>
      <c r="F236" s="23">
        <v>2.4771099999999998E-3</v>
      </c>
      <c r="G236" s="23">
        <v>0.18696201659647699</v>
      </c>
      <c r="H236" s="23">
        <v>75.475863646134997</v>
      </c>
      <c r="I236" s="23">
        <v>0</v>
      </c>
      <c r="J236" s="23" t="s">
        <v>88</v>
      </c>
      <c r="K236" s="24">
        <v>44910.000003043984</v>
      </c>
      <c r="L236" s="23">
        <v>1</v>
      </c>
      <c r="M236" s="23" t="s">
        <v>25</v>
      </c>
      <c r="N236" s="46">
        <f t="shared" si="45"/>
        <v>1</v>
      </c>
      <c r="O236" s="47">
        <f t="shared" si="46"/>
        <v>2.4771099999999998E-3</v>
      </c>
      <c r="P236" s="48">
        <f t="shared" si="47"/>
        <v>0.18696201659647746</v>
      </c>
      <c r="Q236" s="25">
        <f t="shared" si="48"/>
        <v>0</v>
      </c>
      <c r="R236" s="26" t="str">
        <f t="shared" si="49"/>
        <v>COIN</v>
      </c>
      <c r="S236" s="26" t="str">
        <f t="shared" si="44"/>
        <v>LONG</v>
      </c>
      <c r="T236" s="26" t="str">
        <f t="shared" si="50"/>
        <v>COIN LONG</v>
      </c>
      <c r="U236" s="17">
        <f t="shared" si="51"/>
        <v>0.18696201659647699</v>
      </c>
      <c r="V236" s="17">
        <f t="shared" si="52"/>
        <v>75.475863646134997</v>
      </c>
      <c r="W236" s="40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Shifted'!$AE$32:$AO$75,MATCH($R236,'Futures &amp; Perps Shifted'!$AE$30:$AO$30,0),FALSE),0),0)))</f>
        <v>0</v>
      </c>
      <c r="X236" s="17">
        <f t="shared" si="53"/>
        <v>0</v>
      </c>
      <c r="Y236" s="14" t="str">
        <f t="shared" si="54"/>
        <v>HUBI</v>
      </c>
      <c r="Z236" t="str">
        <f t="shared" si="55"/>
        <v>LTC COIN LONG</v>
      </c>
    </row>
    <row r="237" spans="1:26" customFormat="1" x14ac:dyDescent="0.25">
      <c r="A237" s="14">
        <v>235</v>
      </c>
      <c r="B237" s="77">
        <v>44910.000003043984</v>
      </c>
      <c r="C237" s="14" t="s">
        <v>40</v>
      </c>
      <c r="D237" s="23" t="s">
        <v>42</v>
      </c>
      <c r="E237" s="23" t="s">
        <v>38</v>
      </c>
      <c r="F237" s="23">
        <v>71073.205401560001</v>
      </c>
      <c r="G237" s="23">
        <v>0.63772254232820103</v>
      </c>
      <c r="H237" s="23">
        <v>8.9727561705582505E-6</v>
      </c>
      <c r="I237" s="23">
        <v>0</v>
      </c>
      <c r="J237" s="23" t="s">
        <v>88</v>
      </c>
      <c r="K237" s="24">
        <v>44910.000003043984</v>
      </c>
      <c r="L237" s="23">
        <v>1</v>
      </c>
      <c r="M237" s="23" t="s">
        <v>38</v>
      </c>
      <c r="N237" s="46">
        <f t="shared" si="45"/>
        <v>1</v>
      </c>
      <c r="O237" s="47">
        <f t="shared" si="46"/>
        <v>71073.205401560001</v>
      </c>
      <c r="P237" s="48">
        <f t="shared" si="47"/>
        <v>0.63772254232820147</v>
      </c>
      <c r="Q237" s="25">
        <f t="shared" si="48"/>
        <v>0</v>
      </c>
      <c r="R237" s="26" t="str">
        <f t="shared" si="49"/>
        <v>COIN</v>
      </c>
      <c r="S237" s="26" t="str">
        <f t="shared" si="44"/>
        <v>LONG</v>
      </c>
      <c r="T237" s="26" t="str">
        <f t="shared" si="50"/>
        <v>COIN LONG</v>
      </c>
      <c r="U237" s="17">
        <f t="shared" si="51"/>
        <v>0.63772254232820103</v>
      </c>
      <c r="V237" s="17">
        <f t="shared" si="52"/>
        <v>8.9727561705582505E-6</v>
      </c>
      <c r="W237" s="40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Shifted'!$AE$32:$AO$75,MATCH($R237,'Futures &amp; Perps Shifted'!$AE$30:$AO$30,0),FALSE),0),0)))</f>
        <v>0</v>
      </c>
      <c r="X237" s="17">
        <f t="shared" si="53"/>
        <v>0</v>
      </c>
      <c r="Y237" s="14" t="str">
        <f t="shared" si="54"/>
        <v>HUBI</v>
      </c>
      <c r="Z237" t="str">
        <f t="shared" si="55"/>
        <v>SHIB COIN LONG</v>
      </c>
    </row>
    <row r="238" spans="1:26" customFormat="1" x14ac:dyDescent="0.25">
      <c r="A238" s="14">
        <v>236</v>
      </c>
      <c r="B238" s="77">
        <v>44910.000003043984</v>
      </c>
      <c r="C238" s="14" t="s">
        <v>40</v>
      </c>
      <c r="D238" s="23" t="s">
        <v>42</v>
      </c>
      <c r="E238" s="23" t="s">
        <v>26</v>
      </c>
      <c r="F238" s="23">
        <v>4.8644999999999998E-4</v>
      </c>
      <c r="G238" s="23">
        <v>2.7078899426481499E-5</v>
      </c>
      <c r="H238" s="23">
        <v>5.5666357131219001E-2</v>
      </c>
      <c r="I238" s="23">
        <v>0</v>
      </c>
      <c r="J238" s="23" t="s">
        <v>88</v>
      </c>
      <c r="K238" s="24">
        <v>44910.000003043984</v>
      </c>
      <c r="L238" s="23">
        <v>1</v>
      </c>
      <c r="M238" s="23" t="s">
        <v>26</v>
      </c>
      <c r="N238" s="46">
        <f t="shared" si="45"/>
        <v>1</v>
      </c>
      <c r="O238" s="47">
        <f t="shared" si="46"/>
        <v>4.8644999999999998E-4</v>
      </c>
      <c r="P238" s="48">
        <f t="shared" si="47"/>
        <v>2.7078899426481482E-5</v>
      </c>
      <c r="Q238" s="25">
        <f t="shared" si="48"/>
        <v>0</v>
      </c>
      <c r="R238" s="26" t="str">
        <f t="shared" si="49"/>
        <v>COIN</v>
      </c>
      <c r="S238" s="26" t="str">
        <f t="shared" si="44"/>
        <v>LONG</v>
      </c>
      <c r="T238" s="26" t="str">
        <f t="shared" si="50"/>
        <v>COIN LONG</v>
      </c>
      <c r="U238" s="17">
        <f t="shared" si="51"/>
        <v>2.7078899426481499E-5</v>
      </c>
      <c r="V238" s="17">
        <f t="shared" si="52"/>
        <v>5.5666357131219001E-2</v>
      </c>
      <c r="W238" s="40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Shifted'!$AE$32:$AO$75,MATCH($R238,'Futures &amp; Perps Shifted'!$AE$30:$AO$30,0),FALSE),0),0)))</f>
        <v>0</v>
      </c>
      <c r="X238" s="17">
        <f t="shared" si="53"/>
        <v>0</v>
      </c>
      <c r="Y238" s="14" t="str">
        <f t="shared" si="54"/>
        <v>HUBI</v>
      </c>
      <c r="Z238" t="str">
        <f t="shared" si="55"/>
        <v>TRX COIN LONG</v>
      </c>
    </row>
    <row r="239" spans="1:26" customFormat="1" x14ac:dyDescent="0.25">
      <c r="A239" s="14">
        <v>237</v>
      </c>
      <c r="B239" s="77">
        <v>44910.000003043984</v>
      </c>
      <c r="C239" s="14" t="s">
        <v>40</v>
      </c>
      <c r="D239" s="23" t="s">
        <v>42</v>
      </c>
      <c r="E239" s="23" t="s">
        <v>102</v>
      </c>
      <c r="F239" s="23">
        <v>1.9184000000000001E-4</v>
      </c>
      <c r="G239" s="23">
        <v>7.4129607618659903E-5</v>
      </c>
      <c r="H239" s="23">
        <v>0.38641371777866901</v>
      </c>
      <c r="I239" s="23">
        <v>0</v>
      </c>
      <c r="J239" s="23" t="s">
        <v>88</v>
      </c>
      <c r="K239" s="24">
        <v>44910.000003043984</v>
      </c>
      <c r="L239" s="23">
        <v>1</v>
      </c>
      <c r="M239" s="23" t="s">
        <v>102</v>
      </c>
      <c r="N239" s="46">
        <f t="shared" si="45"/>
        <v>1</v>
      </c>
      <c r="O239" s="47">
        <f t="shared" si="46"/>
        <v>1.9184000000000001E-4</v>
      </c>
      <c r="P239" s="48">
        <f t="shared" si="47"/>
        <v>7.4129607618659863E-5</v>
      </c>
      <c r="Q239" s="25">
        <f t="shared" si="48"/>
        <v>0</v>
      </c>
      <c r="R239" s="26" t="str">
        <f t="shared" si="49"/>
        <v>COIN</v>
      </c>
      <c r="S239" s="26" t="str">
        <f t="shared" si="44"/>
        <v>LONG</v>
      </c>
      <c r="T239" s="26" t="str">
        <f t="shared" si="50"/>
        <v>COIN LONG</v>
      </c>
      <c r="U239" s="17">
        <f t="shared" si="51"/>
        <v>7.4129607618659903E-5</v>
      </c>
      <c r="V239" s="17">
        <f t="shared" si="52"/>
        <v>0.38641371777866901</v>
      </c>
      <c r="W239" s="40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Shifted'!$AE$32:$AO$75,MATCH($R239,'Futures &amp; Perps Shifted'!$AE$30:$AO$30,0),FALSE),0),0)))</f>
        <v>0</v>
      </c>
      <c r="X239" s="17">
        <f t="shared" si="53"/>
        <v>0</v>
      </c>
      <c r="Y239" s="14" t="str">
        <f t="shared" si="54"/>
        <v>HUBI</v>
      </c>
      <c r="Z239" t="str">
        <f t="shared" si="55"/>
        <v>XRP COIN LONG</v>
      </c>
    </row>
    <row r="240" spans="1:26" customFormat="1" x14ac:dyDescent="0.25">
      <c r="A240" s="14">
        <v>238</v>
      </c>
      <c r="B240" s="77">
        <v>44910.000003043984</v>
      </c>
      <c r="C240" s="14" t="s">
        <v>40</v>
      </c>
      <c r="D240" s="23" t="s">
        <v>42</v>
      </c>
      <c r="E240" s="23" t="s">
        <v>120</v>
      </c>
      <c r="F240" s="23">
        <v>2.4299999999999999E-3</v>
      </c>
      <c r="G240" s="23">
        <v>3.2644562323836799</v>
      </c>
      <c r="H240" s="23">
        <v>1343.3976264953401</v>
      </c>
      <c r="I240" s="23">
        <v>0</v>
      </c>
      <c r="J240" s="23" t="s">
        <v>88</v>
      </c>
      <c r="K240" s="24">
        <v>44910.000003043984</v>
      </c>
      <c r="L240" s="23">
        <v>1</v>
      </c>
      <c r="M240" s="23" t="s">
        <v>120</v>
      </c>
      <c r="N240" s="46">
        <f t="shared" si="45"/>
        <v>1</v>
      </c>
      <c r="O240" s="47">
        <f t="shared" si="46"/>
        <v>2.4299999999999999E-3</v>
      </c>
      <c r="P240" s="48">
        <f t="shared" si="47"/>
        <v>3.2644562323836763</v>
      </c>
      <c r="Q240" s="25">
        <f t="shared" si="48"/>
        <v>0</v>
      </c>
      <c r="R240" s="26" t="str">
        <f t="shared" si="49"/>
        <v>COIN</v>
      </c>
      <c r="S240" s="26" t="str">
        <f t="shared" si="44"/>
        <v>LONG</v>
      </c>
      <c r="T240" s="26" t="str">
        <f t="shared" si="50"/>
        <v>COIN LONG</v>
      </c>
      <c r="U240" s="17">
        <f t="shared" si="51"/>
        <v>3.2644562323836799</v>
      </c>
      <c r="V240" s="17">
        <f t="shared" si="52"/>
        <v>1343.3976264953401</v>
      </c>
      <c r="W240" s="40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Shifted'!$AE$32:$AO$75,MATCH($R240,'Futures &amp; Perps Shifted'!$AE$30:$AO$30,0),FALSE),0),0)))</f>
        <v>0</v>
      </c>
      <c r="X240" s="17">
        <f t="shared" si="53"/>
        <v>0</v>
      </c>
      <c r="Y240" s="14" t="str">
        <f t="shared" si="54"/>
        <v>HUBI</v>
      </c>
      <c r="Z240" t="str">
        <f t="shared" si="55"/>
        <v>YFII COIN LONG</v>
      </c>
    </row>
    <row r="241" spans="1:26" customFormat="1" x14ac:dyDescent="0.25">
      <c r="A241" s="14">
        <v>239</v>
      </c>
      <c r="B241" s="77">
        <v>44910.00000216435</v>
      </c>
      <c r="C241" s="14" t="s">
        <v>40</v>
      </c>
      <c r="D241" s="23" t="s">
        <v>43</v>
      </c>
      <c r="E241" s="23" t="s">
        <v>39</v>
      </c>
      <c r="F241" s="23">
        <v>644486.57262072002</v>
      </c>
      <c r="G241" s="23">
        <v>644554.50815949996</v>
      </c>
      <c r="H241" s="23">
        <v>1.0001054103245299</v>
      </c>
      <c r="I241" s="23">
        <v>0</v>
      </c>
      <c r="J241" s="23" t="s">
        <v>88</v>
      </c>
      <c r="K241" s="24">
        <v>44910.00000216435</v>
      </c>
      <c r="L241" s="23">
        <v>1</v>
      </c>
      <c r="M241" s="23" t="s">
        <v>39</v>
      </c>
      <c r="N241" s="46">
        <f t="shared" si="45"/>
        <v>1</v>
      </c>
      <c r="O241" s="47">
        <f t="shared" si="46"/>
        <v>644486.57262072002</v>
      </c>
      <c r="P241" s="48">
        <f t="shared" si="47"/>
        <v>644554.50815949519</v>
      </c>
      <c r="Q241" s="25">
        <f t="shared" si="48"/>
        <v>0</v>
      </c>
      <c r="R241" s="26" t="str">
        <f t="shared" si="49"/>
        <v>COIN</v>
      </c>
      <c r="S241" s="26" t="str">
        <f t="shared" si="44"/>
        <v>LONG</v>
      </c>
      <c r="T241" s="26" t="str">
        <f t="shared" si="50"/>
        <v>COIN LONG</v>
      </c>
      <c r="U241" s="17">
        <f t="shared" si="51"/>
        <v>644554.50815949996</v>
      </c>
      <c r="V241" s="17">
        <f t="shared" si="52"/>
        <v>1.0001054103245299</v>
      </c>
      <c r="W241" s="40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Shifted'!$AE$32:$AO$75,MATCH($R241,'Futures &amp; Perps Shifted'!$AE$30:$AO$30,0),FALSE),0),0)))</f>
        <v>0</v>
      </c>
      <c r="X241" s="17">
        <f t="shared" si="53"/>
        <v>0</v>
      </c>
      <c r="Y241" s="14" t="str">
        <f t="shared" si="54"/>
        <v>HUBI</v>
      </c>
      <c r="Z241" t="str">
        <f t="shared" si="55"/>
        <v>USDT COIN LONG</v>
      </c>
    </row>
    <row r="242" spans="1:26" customFormat="1" x14ac:dyDescent="0.25">
      <c r="A242" s="14">
        <v>240</v>
      </c>
      <c r="B242" s="77">
        <v>44910.00000216435</v>
      </c>
      <c r="C242" s="14" t="s">
        <v>40</v>
      </c>
      <c r="D242" s="23" t="s">
        <v>43</v>
      </c>
      <c r="E242" s="23" t="s">
        <v>39</v>
      </c>
      <c r="F242" s="23">
        <v>44.808952169999998</v>
      </c>
      <c r="G242" s="23">
        <v>44.813675496190399</v>
      </c>
      <c r="H242" s="23">
        <v>1.0001054103245299</v>
      </c>
      <c r="I242" s="23">
        <v>0</v>
      </c>
      <c r="J242" s="23" t="s">
        <v>256</v>
      </c>
      <c r="K242" s="24">
        <v>44910.00000216435</v>
      </c>
      <c r="L242" s="23">
        <v>1</v>
      </c>
      <c r="M242" s="23" t="s">
        <v>39</v>
      </c>
      <c r="N242" s="46">
        <f t="shared" si="45"/>
        <v>1</v>
      </c>
      <c r="O242" s="47">
        <f t="shared" si="46"/>
        <v>44.808952169999998</v>
      </c>
      <c r="P242" s="48">
        <f t="shared" si="47"/>
        <v>44.813675496190086</v>
      </c>
      <c r="Q242" s="25">
        <f t="shared" si="48"/>
        <v>0</v>
      </c>
      <c r="R242" s="26" t="str">
        <f t="shared" si="49"/>
        <v>COIN</v>
      </c>
      <c r="S242" s="26" t="str">
        <f t="shared" si="44"/>
        <v>LONG</v>
      </c>
      <c r="T242" s="26" t="str">
        <f t="shared" si="50"/>
        <v>COIN LONG</v>
      </c>
      <c r="U242" s="17">
        <f t="shared" si="51"/>
        <v>44.813675496190399</v>
      </c>
      <c r="V242" s="17">
        <f t="shared" si="52"/>
        <v>1.0001054103245299</v>
      </c>
      <c r="W242" s="40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Shifted'!$AE$32:$AO$75,MATCH($R242,'Futures &amp; Perps Shifted'!$AE$30:$AO$30,0),FALSE),0),0)))</f>
        <v>0</v>
      </c>
      <c r="X242" s="17">
        <f t="shared" si="53"/>
        <v>0</v>
      </c>
      <c r="Y242" s="14" t="str">
        <f t="shared" si="54"/>
        <v>HUBI</v>
      </c>
      <c r="Z242" t="str">
        <f t="shared" si="55"/>
        <v>USDT COIN LONG</v>
      </c>
    </row>
    <row r="243" spans="1:26" customFormat="1" x14ac:dyDescent="0.25">
      <c r="A243" s="14">
        <v>241</v>
      </c>
      <c r="B243" s="77">
        <v>44910.000001469911</v>
      </c>
      <c r="C243" s="14" t="s">
        <v>40</v>
      </c>
      <c r="D243" s="23" t="s">
        <v>123</v>
      </c>
      <c r="E243" s="23" t="s">
        <v>124</v>
      </c>
      <c r="F243" s="23">
        <v>377.09760540000002</v>
      </c>
      <c r="G243" s="23">
        <v>0.11125551983738501</v>
      </c>
      <c r="H243" s="23">
        <v>2.95031096045738E-4</v>
      </c>
      <c r="I243" s="23">
        <v>0</v>
      </c>
      <c r="J243" s="23" t="s">
        <v>88</v>
      </c>
      <c r="K243" s="24">
        <v>44910.000001469911</v>
      </c>
      <c r="L243" s="23">
        <v>1</v>
      </c>
      <c r="M243" s="23" t="s">
        <v>124</v>
      </c>
      <c r="N243" s="46">
        <f t="shared" si="45"/>
        <v>1</v>
      </c>
      <c r="O243" s="47">
        <f t="shared" si="46"/>
        <v>377.09760540000002</v>
      </c>
      <c r="P243" s="48">
        <f t="shared" si="47"/>
        <v>0.11125551983738521</v>
      </c>
      <c r="Q243" s="25">
        <f t="shared" si="48"/>
        <v>0</v>
      </c>
      <c r="R243" s="26" t="str">
        <f t="shared" si="49"/>
        <v>COIN</v>
      </c>
      <c r="S243" s="26" t="str">
        <f t="shared" si="44"/>
        <v>LONG</v>
      </c>
      <c r="T243" s="26" t="str">
        <f t="shared" si="50"/>
        <v>COIN LONG</v>
      </c>
      <c r="U243" s="17">
        <f t="shared" si="51"/>
        <v>0.11125551983738501</v>
      </c>
      <c r="V243" s="17">
        <f t="shared" si="52"/>
        <v>2.95031096045738E-4</v>
      </c>
      <c r="W243" s="40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Shifted'!$AE$32:$AO$75,MATCH($R243,'Futures &amp; Perps Shifted'!$AE$30:$AO$30,0),FALSE),0),0)))</f>
        <v>0</v>
      </c>
      <c r="X243" s="17">
        <f t="shared" si="53"/>
        <v>0</v>
      </c>
      <c r="Y243" s="14" t="str">
        <f t="shared" si="54"/>
        <v>HUBI</v>
      </c>
      <c r="Z243" t="str">
        <f t="shared" si="55"/>
        <v>AAC COIN LONG</v>
      </c>
    </row>
    <row r="244" spans="1:26" customFormat="1" x14ac:dyDescent="0.25">
      <c r="A244" s="14">
        <v>242</v>
      </c>
      <c r="B244" s="77">
        <v>44910.000001469911</v>
      </c>
      <c r="C244" s="14" t="s">
        <v>40</v>
      </c>
      <c r="D244" s="23" t="s">
        <v>123</v>
      </c>
      <c r="E244" s="23" t="s">
        <v>87</v>
      </c>
      <c r="F244" s="23">
        <v>1.1000000000000001E-7</v>
      </c>
      <c r="G244" s="23">
        <v>3.3894767714163602E-8</v>
      </c>
      <c r="H244" s="23">
        <v>0.308134251946941</v>
      </c>
      <c r="I244" s="23">
        <v>0</v>
      </c>
      <c r="J244" s="23" t="s">
        <v>88</v>
      </c>
      <c r="K244" s="24">
        <v>44910.000001469911</v>
      </c>
      <c r="L244" s="23">
        <v>1</v>
      </c>
      <c r="M244" s="23" t="s">
        <v>87</v>
      </c>
      <c r="N244" s="46">
        <f t="shared" si="45"/>
        <v>1</v>
      </c>
      <c r="O244" s="47">
        <f t="shared" si="46"/>
        <v>1.1000000000000001E-7</v>
      </c>
      <c r="P244" s="48">
        <f t="shared" si="47"/>
        <v>3.389476771416351E-8</v>
      </c>
      <c r="Q244" s="25">
        <f t="shared" si="48"/>
        <v>0</v>
      </c>
      <c r="R244" s="26" t="str">
        <f t="shared" si="49"/>
        <v>COIN</v>
      </c>
      <c r="S244" s="26" t="str">
        <f t="shared" si="44"/>
        <v>LONG</v>
      </c>
      <c r="T244" s="26" t="str">
        <f t="shared" si="50"/>
        <v>COIN LONG</v>
      </c>
      <c r="U244" s="17">
        <f t="shared" si="51"/>
        <v>3.3894767714163602E-8</v>
      </c>
      <c r="V244" s="17">
        <f t="shared" si="52"/>
        <v>0.308134251946941</v>
      </c>
      <c r="W244" s="40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Shifted'!$AE$32:$AO$75,MATCH($R244,'Futures &amp; Perps Shifted'!$AE$30:$AO$30,0),FALSE),0),0)))</f>
        <v>0</v>
      </c>
      <c r="X244" s="17">
        <f t="shared" si="53"/>
        <v>0</v>
      </c>
      <c r="Y244" s="14" t="str">
        <f t="shared" si="54"/>
        <v>HUBI</v>
      </c>
      <c r="Z244" t="str">
        <f t="shared" si="55"/>
        <v>ADA COIN LONG</v>
      </c>
    </row>
    <row r="245" spans="1:26" customFormat="1" x14ac:dyDescent="0.25">
      <c r="A245" s="14">
        <v>243</v>
      </c>
      <c r="B245" s="77">
        <v>44910.000001469911</v>
      </c>
      <c r="C245" s="14" t="s">
        <v>40</v>
      </c>
      <c r="D245" s="23" t="s">
        <v>123</v>
      </c>
      <c r="E245" s="23" t="s">
        <v>125</v>
      </c>
      <c r="F245" s="23">
        <v>2.6E-7</v>
      </c>
      <c r="G245" s="23">
        <v>5.7438109833676303E-8</v>
      </c>
      <c r="H245" s="23">
        <v>0.220915807052601</v>
      </c>
      <c r="I245" s="23">
        <v>0</v>
      </c>
      <c r="J245" s="23" t="s">
        <v>88</v>
      </c>
      <c r="K245" s="24">
        <v>44910.000001469911</v>
      </c>
      <c r="L245" s="23">
        <v>1</v>
      </c>
      <c r="M245" s="23" t="s">
        <v>125</v>
      </c>
      <c r="N245" s="46">
        <f t="shared" si="45"/>
        <v>1</v>
      </c>
      <c r="O245" s="47">
        <f t="shared" si="46"/>
        <v>2.6E-7</v>
      </c>
      <c r="P245" s="48">
        <f t="shared" si="47"/>
        <v>5.7438109833676256E-8</v>
      </c>
      <c r="Q245" s="25">
        <f t="shared" si="48"/>
        <v>0</v>
      </c>
      <c r="R245" s="26" t="str">
        <f t="shared" si="49"/>
        <v>COIN</v>
      </c>
      <c r="S245" s="26" t="str">
        <f t="shared" si="44"/>
        <v>LONG</v>
      </c>
      <c r="T245" s="26" t="str">
        <f t="shared" si="50"/>
        <v>COIN LONG</v>
      </c>
      <c r="U245" s="17">
        <f t="shared" si="51"/>
        <v>5.7438109833676303E-8</v>
      </c>
      <c r="V245" s="17">
        <f t="shared" si="52"/>
        <v>0.220915807052601</v>
      </c>
      <c r="W245" s="40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Shifted'!$AE$32:$AO$75,MATCH($R245,'Futures &amp; Perps Shifted'!$AE$30:$AO$30,0),FALSE),0),0)))</f>
        <v>0</v>
      </c>
      <c r="X245" s="17">
        <f t="shared" si="53"/>
        <v>0</v>
      </c>
      <c r="Y245" s="14" t="str">
        <f t="shared" si="54"/>
        <v>HUBI</v>
      </c>
      <c r="Z245" t="str">
        <f t="shared" si="55"/>
        <v>ALGO COIN LONG</v>
      </c>
    </row>
    <row r="246" spans="1:26" customFormat="1" x14ac:dyDescent="0.25">
      <c r="A246" s="14">
        <v>244</v>
      </c>
      <c r="B246" s="77">
        <v>44910.000001469911</v>
      </c>
      <c r="C246" s="14" t="s">
        <v>40</v>
      </c>
      <c r="D246" s="23" t="s">
        <v>123</v>
      </c>
      <c r="E246" s="23" t="s">
        <v>126</v>
      </c>
      <c r="F246" s="23">
        <v>0.53247394999999997</v>
      </c>
      <c r="G246" s="23">
        <v>1.5597477765298099E-2</v>
      </c>
      <c r="H246" s="23">
        <v>2.9292471050082598E-2</v>
      </c>
      <c r="I246" s="23">
        <v>0</v>
      </c>
      <c r="J246" s="23" t="s">
        <v>88</v>
      </c>
      <c r="K246" s="24">
        <v>44910.000001469911</v>
      </c>
      <c r="L246" s="23">
        <v>1</v>
      </c>
      <c r="M246" s="23" t="s">
        <v>126</v>
      </c>
      <c r="N246" s="46">
        <f t="shared" si="45"/>
        <v>1</v>
      </c>
      <c r="O246" s="47">
        <f t="shared" si="46"/>
        <v>0.53247394999999997</v>
      </c>
      <c r="P246" s="48">
        <f t="shared" si="47"/>
        <v>1.5597477765298129E-2</v>
      </c>
      <c r="Q246" s="25">
        <f t="shared" si="48"/>
        <v>0</v>
      </c>
      <c r="R246" s="26" t="str">
        <f t="shared" si="49"/>
        <v>COIN</v>
      </c>
      <c r="S246" s="26" t="str">
        <f t="shared" si="44"/>
        <v>LONG</v>
      </c>
      <c r="T246" s="26" t="str">
        <f t="shared" si="50"/>
        <v>COIN LONG</v>
      </c>
      <c r="U246" s="17">
        <f t="shared" si="51"/>
        <v>1.5597477765298099E-2</v>
      </c>
      <c r="V246" s="17">
        <f t="shared" si="52"/>
        <v>2.9292471050082598E-2</v>
      </c>
      <c r="W246" s="40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Shifted'!$AE$32:$AO$75,MATCH($R246,'Futures &amp; Perps Shifted'!$AE$30:$AO$30,0),FALSE),0),0)))</f>
        <v>0</v>
      </c>
      <c r="X246" s="17">
        <f t="shared" si="53"/>
        <v>0</v>
      </c>
      <c r="Y246" s="14" t="str">
        <f t="shared" si="54"/>
        <v>HUBI</v>
      </c>
      <c r="Z246" t="str">
        <f t="shared" si="55"/>
        <v>ARPA COIN LONG</v>
      </c>
    </row>
    <row r="247" spans="1:26" customFormat="1" x14ac:dyDescent="0.25">
      <c r="A247" s="14">
        <v>245</v>
      </c>
      <c r="B247" s="77">
        <v>44910.000001469911</v>
      </c>
      <c r="C247" s="14" t="s">
        <v>40</v>
      </c>
      <c r="D247" s="23" t="s">
        <v>123</v>
      </c>
      <c r="E247" s="23" t="s">
        <v>36</v>
      </c>
      <c r="F247" s="23">
        <v>4.3657420000000002E-2</v>
      </c>
      <c r="G247" s="23">
        <v>0.41951020751225698</v>
      </c>
      <c r="H247" s="23">
        <v>9.6091387789809204</v>
      </c>
      <c r="I247" s="23">
        <v>0</v>
      </c>
      <c r="J247" s="23" t="s">
        <v>88</v>
      </c>
      <c r="K247" s="24">
        <v>44910.000001469911</v>
      </c>
      <c r="L247" s="23">
        <v>1</v>
      </c>
      <c r="M247" s="23" t="s">
        <v>36</v>
      </c>
      <c r="N247" s="46">
        <f t="shared" si="45"/>
        <v>1</v>
      </c>
      <c r="O247" s="47">
        <f t="shared" si="46"/>
        <v>4.3657420000000002E-2</v>
      </c>
      <c r="P247" s="48">
        <f t="shared" si="47"/>
        <v>0.41951020751225726</v>
      </c>
      <c r="Q247" s="25">
        <f t="shared" si="48"/>
        <v>0</v>
      </c>
      <c r="R247" s="26" t="str">
        <f t="shared" si="49"/>
        <v>COIN</v>
      </c>
      <c r="S247" s="26" t="str">
        <f t="shared" si="44"/>
        <v>LONG</v>
      </c>
      <c r="T247" s="26" t="str">
        <f t="shared" si="50"/>
        <v>COIN LONG</v>
      </c>
      <c r="U247" s="17">
        <f t="shared" si="51"/>
        <v>0.41951020751225698</v>
      </c>
      <c r="V247" s="17">
        <f t="shared" si="52"/>
        <v>9.6091387789809204</v>
      </c>
      <c r="W247" s="40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Shifted'!$AE$32:$AO$75,MATCH($R247,'Futures &amp; Perps Shifted'!$AE$30:$AO$30,0),FALSE),0),0)))</f>
        <v>0</v>
      </c>
      <c r="X247" s="17">
        <f t="shared" si="53"/>
        <v>0</v>
      </c>
      <c r="Y247" s="14" t="str">
        <f t="shared" si="54"/>
        <v>HUBI</v>
      </c>
      <c r="Z247" t="str">
        <f t="shared" si="55"/>
        <v>ATOM COIN LONG</v>
      </c>
    </row>
    <row r="248" spans="1:26" customFormat="1" x14ac:dyDescent="0.25">
      <c r="A248" s="14">
        <v>246</v>
      </c>
      <c r="B248" s="77">
        <v>44910.000001469911</v>
      </c>
      <c r="C248" s="14" t="s">
        <v>40</v>
      </c>
      <c r="D248" s="23" t="s">
        <v>123</v>
      </c>
      <c r="E248" s="23" t="s">
        <v>190</v>
      </c>
      <c r="F248" s="23">
        <v>1.5389969999999999E-2</v>
      </c>
      <c r="G248" s="23">
        <v>0.21126673009278599</v>
      </c>
      <c r="H248" s="23">
        <v>13.7275595789196</v>
      </c>
      <c r="I248" s="23">
        <v>0</v>
      </c>
      <c r="J248" s="23" t="s">
        <v>88</v>
      </c>
      <c r="K248" s="24">
        <v>44910.000001469911</v>
      </c>
      <c r="L248" s="23">
        <v>1</v>
      </c>
      <c r="M248" s="23" t="s">
        <v>190</v>
      </c>
      <c r="N248" s="46">
        <f t="shared" si="45"/>
        <v>1</v>
      </c>
      <c r="O248" s="47">
        <f t="shared" si="46"/>
        <v>1.5389969999999999E-2</v>
      </c>
      <c r="P248" s="48">
        <f t="shared" si="47"/>
        <v>0.21126673009278527</v>
      </c>
      <c r="Q248" s="25">
        <f t="shared" si="48"/>
        <v>0</v>
      </c>
      <c r="R248" s="26" t="str">
        <f t="shared" si="49"/>
        <v>COIN</v>
      </c>
      <c r="S248" s="26" t="str">
        <f t="shared" si="44"/>
        <v>LONG</v>
      </c>
      <c r="T248" s="26" t="str">
        <f t="shared" si="50"/>
        <v>COIN LONG</v>
      </c>
      <c r="U248" s="17">
        <f t="shared" si="51"/>
        <v>0.21126673009278599</v>
      </c>
      <c r="V248" s="17">
        <f t="shared" si="52"/>
        <v>13.7275595789196</v>
      </c>
      <c r="W248" s="40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Shifted'!$AE$32:$AO$75,MATCH($R248,'Futures &amp; Perps Shifted'!$AE$30:$AO$30,0),FALSE),0),0)))</f>
        <v>0</v>
      </c>
      <c r="X248" s="17">
        <f t="shared" si="53"/>
        <v>0</v>
      </c>
      <c r="Y248" s="14" t="str">
        <f t="shared" si="54"/>
        <v>HUBI</v>
      </c>
      <c r="Z248" t="str">
        <f t="shared" si="55"/>
        <v>AVAX COIN LONG</v>
      </c>
    </row>
    <row r="249" spans="1:26" customFormat="1" x14ac:dyDescent="0.25">
      <c r="A249" s="14">
        <v>247</v>
      </c>
      <c r="B249" s="77">
        <v>44910.000001469911</v>
      </c>
      <c r="C249" s="14" t="s">
        <v>40</v>
      </c>
      <c r="D249" s="23" t="s">
        <v>123</v>
      </c>
      <c r="E249" s="23" t="s">
        <v>127</v>
      </c>
      <c r="F249" s="23">
        <v>2.0454320000000002E-2</v>
      </c>
      <c r="G249" s="23">
        <v>4.5809772465210301E-3</v>
      </c>
      <c r="H249" s="23">
        <v>0.223961356159531</v>
      </c>
      <c r="I249" s="23">
        <v>0</v>
      </c>
      <c r="J249" s="23" t="s">
        <v>88</v>
      </c>
      <c r="K249" s="24">
        <v>44910.000001469911</v>
      </c>
      <c r="L249" s="23">
        <v>1</v>
      </c>
      <c r="M249" s="23" t="s">
        <v>127</v>
      </c>
      <c r="N249" s="46">
        <f t="shared" si="45"/>
        <v>1</v>
      </c>
      <c r="O249" s="47">
        <f t="shared" si="46"/>
        <v>2.0454320000000002E-2</v>
      </c>
      <c r="P249" s="48">
        <f t="shared" si="47"/>
        <v>4.5809772465210188E-3</v>
      </c>
      <c r="Q249" s="25">
        <f t="shared" si="48"/>
        <v>0</v>
      </c>
      <c r="R249" s="26" t="str">
        <f t="shared" si="49"/>
        <v>COIN</v>
      </c>
      <c r="S249" s="26" t="str">
        <f t="shared" ref="S249:S312" si="56">IF($C249="","",IF($J249="CME FUTURE",IF($G249&gt;0,"LONG","SHORT"),IF($G249&gt;0,"LONG","SHORT")))</f>
        <v>LONG</v>
      </c>
      <c r="T249" s="26" t="str">
        <f t="shared" si="50"/>
        <v>COIN LONG</v>
      </c>
      <c r="U249" s="17">
        <f t="shared" si="51"/>
        <v>4.5809772465210301E-3</v>
      </c>
      <c r="V249" s="17">
        <f t="shared" si="52"/>
        <v>0.223961356159531</v>
      </c>
      <c r="W249" s="40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Shifted'!$AE$32:$AO$75,MATCH($R249,'Futures &amp; Perps Shifted'!$AE$30:$AO$30,0),FALSE),0),0)))</f>
        <v>0</v>
      </c>
      <c r="X249" s="17">
        <f t="shared" si="53"/>
        <v>0</v>
      </c>
      <c r="Y249" s="14" t="str">
        <f t="shared" si="54"/>
        <v>HUBI</v>
      </c>
      <c r="Z249" t="str">
        <f t="shared" si="55"/>
        <v>BAT COIN LONG</v>
      </c>
    </row>
    <row r="250" spans="1:26" customFormat="1" x14ac:dyDescent="0.25">
      <c r="A250" s="14">
        <v>248</v>
      </c>
      <c r="B250" s="77">
        <v>44910.000001469911</v>
      </c>
      <c r="C250" s="14" t="s">
        <v>40</v>
      </c>
      <c r="D250" s="23" t="s">
        <v>123</v>
      </c>
      <c r="E250" s="23" t="s">
        <v>21</v>
      </c>
      <c r="F250" s="23">
        <v>838.04330769000001</v>
      </c>
      <c r="G250" s="23">
        <v>91437.644845594201</v>
      </c>
      <c r="H250" s="23">
        <v>109.10849595307199</v>
      </c>
      <c r="I250" s="23">
        <v>0</v>
      </c>
      <c r="J250" s="23" t="s">
        <v>88</v>
      </c>
      <c r="K250" s="24">
        <v>44910.000001469911</v>
      </c>
      <c r="L250" s="23">
        <v>1</v>
      </c>
      <c r="M250" s="23" t="s">
        <v>21</v>
      </c>
      <c r="N250" s="46">
        <f t="shared" si="45"/>
        <v>1</v>
      </c>
      <c r="O250" s="47">
        <f t="shared" si="46"/>
        <v>838.04330769000001</v>
      </c>
      <c r="P250" s="48">
        <f t="shared" si="47"/>
        <v>91437.64484559343</v>
      </c>
      <c r="Q250" s="25">
        <f t="shared" si="48"/>
        <v>0</v>
      </c>
      <c r="R250" s="26" t="str">
        <f t="shared" si="49"/>
        <v>COIN</v>
      </c>
      <c r="S250" s="26" t="str">
        <f t="shared" si="56"/>
        <v>LONG</v>
      </c>
      <c r="T250" s="26" t="str">
        <f t="shared" si="50"/>
        <v>COIN LONG</v>
      </c>
      <c r="U250" s="17">
        <f t="shared" si="51"/>
        <v>91437.644845594201</v>
      </c>
      <c r="V250" s="17">
        <f t="shared" si="52"/>
        <v>109.10849595307199</v>
      </c>
      <c r="W250" s="40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Shifted'!$AE$32:$AO$75,MATCH($R250,'Futures &amp; Perps Shifted'!$AE$30:$AO$30,0),FALSE),0),0)))</f>
        <v>0</v>
      </c>
      <c r="X250" s="17">
        <f t="shared" si="53"/>
        <v>0</v>
      </c>
      <c r="Y250" s="14" t="str">
        <f t="shared" si="54"/>
        <v>HUBI</v>
      </c>
      <c r="Z250" t="str">
        <f t="shared" si="55"/>
        <v>BCH COIN LONG</v>
      </c>
    </row>
    <row r="251" spans="1:26" customFormat="1" x14ac:dyDescent="0.25">
      <c r="A251" s="14">
        <v>249</v>
      </c>
      <c r="B251" s="77">
        <v>44910.000001469911</v>
      </c>
      <c r="C251" s="14" t="s">
        <v>40</v>
      </c>
      <c r="D251" s="23" t="s">
        <v>123</v>
      </c>
      <c r="E251" s="23" t="s">
        <v>128</v>
      </c>
      <c r="F251" s="23">
        <v>2.5033500000000001E-3</v>
      </c>
      <c r="G251" s="23">
        <v>1.9953523672060501E-4</v>
      </c>
      <c r="H251" s="23">
        <v>7.97072869237644E-2</v>
      </c>
      <c r="I251" s="23">
        <v>0</v>
      </c>
      <c r="J251" s="23" t="s">
        <v>88</v>
      </c>
      <c r="K251" s="24">
        <v>44910.000001469911</v>
      </c>
      <c r="L251" s="23">
        <v>1</v>
      </c>
      <c r="M251" s="23" t="s">
        <v>128</v>
      </c>
      <c r="N251" s="46">
        <f t="shared" ref="N251:N314" si="57">IF($C251="","",IF(OR($J251="SWAP",$J251="FUTURE",$J251="CME FUTURE"),IF($L251=1,ROUND($G251/$H251/$F251,3),POWER(10,ROUND(LOG($G251/$F251),1))),1))</f>
        <v>1</v>
      </c>
      <c r="O251" s="47">
        <f t="shared" si="46"/>
        <v>2.5033500000000001E-3</v>
      </c>
      <c r="P251" s="48">
        <f t="shared" si="47"/>
        <v>1.9953523672060561E-4</v>
      </c>
      <c r="Q251" s="25">
        <f t="shared" si="48"/>
        <v>0</v>
      </c>
      <c r="R251" s="26" t="str">
        <f t="shared" si="49"/>
        <v>COIN</v>
      </c>
      <c r="S251" s="26" t="str">
        <f t="shared" si="56"/>
        <v>LONG</v>
      </c>
      <c r="T251" s="26" t="str">
        <f t="shared" si="50"/>
        <v>COIN LONG</v>
      </c>
      <c r="U251" s="17">
        <f t="shared" si="51"/>
        <v>1.9953523672060501E-4</v>
      </c>
      <c r="V251" s="17">
        <f t="shared" si="52"/>
        <v>7.97072869237644E-2</v>
      </c>
      <c r="W251" s="40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Shifted'!$AE$32:$AO$75,MATCH($R251,'Futures &amp; Perps Shifted'!$AE$30:$AO$30,0),FALSE),0),0)))</f>
        <v>0</v>
      </c>
      <c r="X251" s="17">
        <f t="shared" si="53"/>
        <v>0</v>
      </c>
      <c r="Y251" s="14" t="str">
        <f t="shared" si="54"/>
        <v>HUBI</v>
      </c>
      <c r="Z251" t="str">
        <f t="shared" si="55"/>
        <v>BHD COIN LONG</v>
      </c>
    </row>
    <row r="252" spans="1:26" customFormat="1" x14ac:dyDescent="0.25">
      <c r="A252" s="14">
        <v>250</v>
      </c>
      <c r="B252" s="77">
        <v>44910.000001469911</v>
      </c>
      <c r="C252" s="14" t="s">
        <v>40</v>
      </c>
      <c r="D252" s="23" t="s">
        <v>123</v>
      </c>
      <c r="E252" s="23" t="s">
        <v>129</v>
      </c>
      <c r="F252" s="23">
        <v>115.29838952</v>
      </c>
      <c r="G252" s="23">
        <v>7.2493053638472196</v>
      </c>
      <c r="H252" s="23">
        <v>6.2874298539874501E-2</v>
      </c>
      <c r="I252" s="23">
        <v>0</v>
      </c>
      <c r="J252" s="23" t="s">
        <v>88</v>
      </c>
      <c r="K252" s="24">
        <v>44910.000001469911</v>
      </c>
      <c r="L252" s="23">
        <v>1</v>
      </c>
      <c r="M252" s="23" t="s">
        <v>129</v>
      </c>
      <c r="N252" s="46">
        <f t="shared" si="57"/>
        <v>1</v>
      </c>
      <c r="O252" s="47">
        <f t="shared" si="46"/>
        <v>115.29838952</v>
      </c>
      <c r="P252" s="48">
        <f t="shared" si="47"/>
        <v>7.2493053638472178</v>
      </c>
      <c r="Q252" s="25">
        <f t="shared" si="48"/>
        <v>0</v>
      </c>
      <c r="R252" s="26" t="str">
        <f t="shared" si="49"/>
        <v>COIN</v>
      </c>
      <c r="S252" s="26" t="str">
        <f t="shared" si="56"/>
        <v>LONG</v>
      </c>
      <c r="T252" s="26" t="str">
        <f t="shared" si="50"/>
        <v>COIN LONG</v>
      </c>
      <c r="U252" s="17">
        <f t="shared" si="51"/>
        <v>7.2493053638472196</v>
      </c>
      <c r="V252" s="17">
        <f t="shared" si="52"/>
        <v>6.2874298539874501E-2</v>
      </c>
      <c r="W252" s="40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Shifted'!$AE$32:$AO$75,MATCH($R252,'Futures &amp; Perps Shifted'!$AE$30:$AO$30,0),FALSE),0),0)))</f>
        <v>0</v>
      </c>
      <c r="X252" s="17">
        <f t="shared" si="53"/>
        <v>0</v>
      </c>
      <c r="Y252" s="14" t="str">
        <f t="shared" si="54"/>
        <v>HUBI</v>
      </c>
      <c r="Z252" t="str">
        <f t="shared" si="55"/>
        <v>BLZ COIN LONG</v>
      </c>
    </row>
    <row r="253" spans="1:26" customFormat="1" x14ac:dyDescent="0.25">
      <c r="A253" s="14">
        <v>251</v>
      </c>
      <c r="B253" s="77">
        <v>44910.000001469911</v>
      </c>
      <c r="C253" s="14" t="s">
        <v>40</v>
      </c>
      <c r="D253" s="23" t="s">
        <v>123</v>
      </c>
      <c r="E253" s="23" t="s">
        <v>130</v>
      </c>
      <c r="F253" s="23">
        <v>14.7502</v>
      </c>
      <c r="G253" s="23">
        <v>3.0301948775707701</v>
      </c>
      <c r="H253" s="23">
        <v>0.205434155304387</v>
      </c>
      <c r="I253" s="23">
        <v>0</v>
      </c>
      <c r="J253" s="23" t="s">
        <v>88</v>
      </c>
      <c r="K253" s="24">
        <v>44910.000001469911</v>
      </c>
      <c r="L253" s="23">
        <v>1</v>
      </c>
      <c r="M253" s="23" t="s">
        <v>130</v>
      </c>
      <c r="N253" s="46">
        <f t="shared" si="57"/>
        <v>1</v>
      </c>
      <c r="O253" s="47">
        <f t="shared" si="46"/>
        <v>14.7502</v>
      </c>
      <c r="P253" s="48">
        <f t="shared" si="47"/>
        <v>3.0301948775707688</v>
      </c>
      <c r="Q253" s="25">
        <f t="shared" si="48"/>
        <v>0</v>
      </c>
      <c r="R253" s="26" t="str">
        <f t="shared" si="49"/>
        <v>COIN</v>
      </c>
      <c r="S253" s="26" t="str">
        <f t="shared" si="56"/>
        <v>LONG</v>
      </c>
      <c r="T253" s="26" t="str">
        <f t="shared" si="50"/>
        <v>COIN LONG</v>
      </c>
      <c r="U253" s="17">
        <f t="shared" si="51"/>
        <v>3.0301948775707701</v>
      </c>
      <c r="V253" s="17">
        <f t="shared" si="52"/>
        <v>0.205434155304387</v>
      </c>
      <c r="W253" s="40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Shifted'!$AE$32:$AO$75,MATCH($R253,'Futures &amp; Perps Shifted'!$AE$30:$AO$30,0),FALSE),0),0)))</f>
        <v>0</v>
      </c>
      <c r="X253" s="17">
        <f t="shared" si="53"/>
        <v>0</v>
      </c>
      <c r="Y253" s="14" t="str">
        <f t="shared" si="54"/>
        <v>HUBI</v>
      </c>
      <c r="Z253" t="str">
        <f t="shared" si="55"/>
        <v>BOBA COIN LONG</v>
      </c>
    </row>
    <row r="254" spans="1:26" customFormat="1" x14ac:dyDescent="0.25">
      <c r="A254" s="14">
        <v>252</v>
      </c>
      <c r="B254" s="77">
        <v>44910.000001469911</v>
      </c>
      <c r="C254" s="14" t="s">
        <v>40</v>
      </c>
      <c r="D254" s="23" t="s">
        <v>123</v>
      </c>
      <c r="E254" s="23" t="s">
        <v>116</v>
      </c>
      <c r="F254" s="23">
        <v>7.7951899999999996E-3</v>
      </c>
      <c r="G254" s="23">
        <v>0.35321267715002902</v>
      </c>
      <c r="H254" s="23">
        <v>45.311618722574998</v>
      </c>
      <c r="I254" s="23">
        <v>0</v>
      </c>
      <c r="J254" s="23" t="s">
        <v>88</v>
      </c>
      <c r="K254" s="24">
        <v>44910.000001469911</v>
      </c>
      <c r="L254" s="23">
        <v>1</v>
      </c>
      <c r="M254" s="23" t="s">
        <v>116</v>
      </c>
      <c r="N254" s="46">
        <f t="shared" si="57"/>
        <v>1</v>
      </c>
      <c r="O254" s="47">
        <f t="shared" si="46"/>
        <v>7.7951899999999996E-3</v>
      </c>
      <c r="P254" s="48">
        <f t="shared" si="47"/>
        <v>0.35321267715002941</v>
      </c>
      <c r="Q254" s="25">
        <f t="shared" si="48"/>
        <v>0</v>
      </c>
      <c r="R254" s="26" t="str">
        <f t="shared" si="49"/>
        <v>COIN</v>
      </c>
      <c r="S254" s="26" t="str">
        <f t="shared" si="56"/>
        <v>LONG</v>
      </c>
      <c r="T254" s="26" t="str">
        <f t="shared" si="50"/>
        <v>COIN LONG</v>
      </c>
      <c r="U254" s="17">
        <f t="shared" si="51"/>
        <v>0.35321267715002902</v>
      </c>
      <c r="V254" s="17">
        <f t="shared" si="52"/>
        <v>45.311618722574998</v>
      </c>
      <c r="W254" s="40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Shifted'!$AE$32:$AO$75,MATCH($R254,'Futures &amp; Perps Shifted'!$AE$30:$AO$30,0),FALSE),0),0)))</f>
        <v>0</v>
      </c>
      <c r="X254" s="17">
        <f t="shared" si="53"/>
        <v>0</v>
      </c>
      <c r="Y254" s="14" t="str">
        <f t="shared" si="54"/>
        <v>HUBI</v>
      </c>
      <c r="Z254" t="str">
        <f t="shared" si="55"/>
        <v>BSV COIN LONG</v>
      </c>
    </row>
    <row r="255" spans="1:26" customFormat="1" x14ac:dyDescent="0.25">
      <c r="A255" s="14">
        <v>253</v>
      </c>
      <c r="B255" s="77">
        <v>44910.000001469911</v>
      </c>
      <c r="C255" s="14" t="s">
        <v>40</v>
      </c>
      <c r="D255" s="23" t="s">
        <v>123</v>
      </c>
      <c r="E255" s="23" t="s">
        <v>15</v>
      </c>
      <c r="F255" s="23">
        <v>287.47491647999999</v>
      </c>
      <c r="G255" s="23">
        <v>5121552.4540026896</v>
      </c>
      <c r="H255" s="23">
        <v>17815.649854650899</v>
      </c>
      <c r="I255" s="23">
        <v>0</v>
      </c>
      <c r="J255" s="23" t="s">
        <v>88</v>
      </c>
      <c r="K255" s="24">
        <v>44910.000001469911</v>
      </c>
      <c r="L255" s="23">
        <v>1</v>
      </c>
      <c r="M255" s="23" t="s">
        <v>15</v>
      </c>
      <c r="N255" s="46">
        <f t="shared" si="57"/>
        <v>1</v>
      </c>
      <c r="O255" s="47">
        <f t="shared" si="46"/>
        <v>287.47491647999999</v>
      </c>
      <c r="P255" s="48">
        <f t="shared" si="47"/>
        <v>5121552.4540026914</v>
      </c>
      <c r="Q255" s="25">
        <f t="shared" si="48"/>
        <v>0</v>
      </c>
      <c r="R255" s="26" t="str">
        <f t="shared" si="49"/>
        <v>COIN</v>
      </c>
      <c r="S255" s="26" t="str">
        <f t="shared" si="56"/>
        <v>LONG</v>
      </c>
      <c r="T255" s="26" t="str">
        <f t="shared" si="50"/>
        <v>COIN LONG</v>
      </c>
      <c r="U255" s="17">
        <f t="shared" si="51"/>
        <v>5121552.4540026896</v>
      </c>
      <c r="V255" s="17">
        <f t="shared" si="52"/>
        <v>17815.649854650899</v>
      </c>
      <c r="W255" s="40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Shifted'!$AE$32:$AO$75,MATCH($R255,'Futures &amp; Perps Shifted'!$AE$30:$AO$30,0),FALSE),0),0)))</f>
        <v>0</v>
      </c>
      <c r="X255" s="17">
        <f t="shared" si="53"/>
        <v>0</v>
      </c>
      <c r="Y255" s="14" t="str">
        <f t="shared" si="54"/>
        <v>HUBI</v>
      </c>
      <c r="Z255" t="str">
        <f t="shared" si="55"/>
        <v>BTC COIN LONG</v>
      </c>
    </row>
    <row r="256" spans="1:26" customFormat="1" x14ac:dyDescent="0.25">
      <c r="A256" s="14">
        <v>254</v>
      </c>
      <c r="B256" s="77">
        <v>44910.000001469911</v>
      </c>
      <c r="C256" s="14" t="s">
        <v>40</v>
      </c>
      <c r="D256" s="23" t="s">
        <v>123</v>
      </c>
      <c r="E256" s="23" t="s">
        <v>131</v>
      </c>
      <c r="F256" s="23">
        <v>0.33565571999999999</v>
      </c>
      <c r="G256" s="23">
        <v>4.5998341691350798E-3</v>
      </c>
      <c r="H256" s="23">
        <v>1.3704024376927301E-2</v>
      </c>
      <c r="I256" s="23">
        <v>0</v>
      </c>
      <c r="J256" s="23" t="s">
        <v>88</v>
      </c>
      <c r="K256" s="24">
        <v>44910.000001469911</v>
      </c>
      <c r="L256" s="23">
        <v>1</v>
      </c>
      <c r="M256" s="23" t="s">
        <v>131</v>
      </c>
      <c r="N256" s="46">
        <f t="shared" si="57"/>
        <v>1</v>
      </c>
      <c r="O256" s="47">
        <f t="shared" si="46"/>
        <v>0.33565571999999999</v>
      </c>
      <c r="P256" s="48">
        <f t="shared" si="47"/>
        <v>4.5998341691350841E-3</v>
      </c>
      <c r="Q256" s="25">
        <f t="shared" si="48"/>
        <v>0</v>
      </c>
      <c r="R256" s="26" t="str">
        <f t="shared" si="49"/>
        <v>COIN</v>
      </c>
      <c r="S256" s="26" t="str">
        <f t="shared" si="56"/>
        <v>LONG</v>
      </c>
      <c r="T256" s="26" t="str">
        <f t="shared" si="50"/>
        <v>COIN LONG</v>
      </c>
      <c r="U256" s="17">
        <f t="shared" si="51"/>
        <v>4.5998341691350798E-3</v>
      </c>
      <c r="V256" s="17">
        <f t="shared" si="52"/>
        <v>1.3704024376927301E-2</v>
      </c>
      <c r="W256" s="40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Shifted'!$AE$32:$AO$75,MATCH($R256,'Futures &amp; Perps Shifted'!$AE$30:$AO$30,0),FALSE),0),0)))</f>
        <v>0</v>
      </c>
      <c r="X256" s="17">
        <f t="shared" si="53"/>
        <v>0</v>
      </c>
      <c r="Y256" s="14" t="str">
        <f t="shared" si="54"/>
        <v>HUBI</v>
      </c>
      <c r="Z256" t="str">
        <f t="shared" si="55"/>
        <v>BTM COIN LONG</v>
      </c>
    </row>
    <row r="257" spans="1:26" customFormat="1" x14ac:dyDescent="0.25">
      <c r="A257" s="14">
        <v>255</v>
      </c>
      <c r="B257" s="77">
        <v>44910.000001469911</v>
      </c>
      <c r="C257" s="14" t="s">
        <v>40</v>
      </c>
      <c r="D257" s="23" t="s">
        <v>123</v>
      </c>
      <c r="E257" s="23" t="s">
        <v>132</v>
      </c>
      <c r="F257" s="23">
        <v>1367501156.8785999</v>
      </c>
      <c r="G257" s="23">
        <v>926.78176959022505</v>
      </c>
      <c r="H257" s="23">
        <v>6.7771918504672998E-7</v>
      </c>
      <c r="I257" s="23">
        <v>0</v>
      </c>
      <c r="J257" s="23" t="s">
        <v>88</v>
      </c>
      <c r="K257" s="24">
        <v>44910.000001469911</v>
      </c>
      <c r="L257" s="23">
        <v>1</v>
      </c>
      <c r="M257" s="23" t="s">
        <v>132</v>
      </c>
      <c r="N257" s="46">
        <f t="shared" si="57"/>
        <v>1</v>
      </c>
      <c r="O257" s="47">
        <f t="shared" si="46"/>
        <v>1367501156.8785999</v>
      </c>
      <c r="P257" s="48">
        <f t="shared" si="47"/>
        <v>926.78176959022517</v>
      </c>
      <c r="Q257" s="25">
        <f t="shared" si="48"/>
        <v>0</v>
      </c>
      <c r="R257" s="26" t="str">
        <f t="shared" si="49"/>
        <v>COIN</v>
      </c>
      <c r="S257" s="26" t="str">
        <f t="shared" si="56"/>
        <v>LONG</v>
      </c>
      <c r="T257" s="26" t="str">
        <f t="shared" si="50"/>
        <v>COIN LONG</v>
      </c>
      <c r="U257" s="17">
        <f t="shared" si="51"/>
        <v>926.78176959022505</v>
      </c>
      <c r="V257" s="17">
        <f t="shared" si="52"/>
        <v>6.7771918504672998E-7</v>
      </c>
      <c r="W257" s="40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Shifted'!$AE$32:$AO$75,MATCH($R257,'Futures &amp; Perps Shifted'!$AE$30:$AO$30,0),FALSE),0),0)))</f>
        <v>0</v>
      </c>
      <c r="X257" s="17">
        <f t="shared" si="53"/>
        <v>0</v>
      </c>
      <c r="Y257" s="14" t="str">
        <f t="shared" si="54"/>
        <v>HUBI</v>
      </c>
      <c r="Z257" t="str">
        <f t="shared" si="55"/>
        <v>BTT COIN LONG</v>
      </c>
    </row>
    <row r="258" spans="1:26" customFormat="1" x14ac:dyDescent="0.25">
      <c r="A258" s="14">
        <v>256</v>
      </c>
      <c r="B258" s="77">
        <v>44910.000001469911</v>
      </c>
      <c r="C258" s="14" t="s">
        <v>40</v>
      </c>
      <c r="D258" s="23" t="s">
        <v>123</v>
      </c>
      <c r="E258" s="23" t="s">
        <v>133</v>
      </c>
      <c r="F258" s="23">
        <v>1.7855998900000001</v>
      </c>
      <c r="G258" s="23">
        <v>6.6804407083560597E-3</v>
      </c>
      <c r="H258" s="23">
        <v>3.7412864694766901E-3</v>
      </c>
      <c r="I258" s="23">
        <v>0</v>
      </c>
      <c r="J258" s="23" t="s">
        <v>88</v>
      </c>
      <c r="K258" s="24">
        <v>44910.000001469911</v>
      </c>
      <c r="L258" s="23">
        <v>1</v>
      </c>
      <c r="M258" s="23" t="s">
        <v>133</v>
      </c>
      <c r="N258" s="46">
        <f t="shared" si="57"/>
        <v>1</v>
      </c>
      <c r="O258" s="47">
        <f t="shared" ref="O258:O314" si="58">IF($C258="","",IF(OR($J258="SWAP",$J258="FUTURE",$J258="CME FUTURE"),IF($L258=1,$F258*$N258,$AA$2*$F258*$N258/$H258),F258))</f>
        <v>1.7855998900000001</v>
      </c>
      <c r="P258" s="48">
        <f t="shared" ref="P258:P321" si="59">IF($C258="","",IF(OR($J258="SWAP",$J258="FUTURE",$J258="CME FUTURE"),IF(NOT(ISERROR(VLOOKUP($M258,SpotUSDRateTable,2,FALSE))),VLOOKUP($M258,SpotUSDRateTable,2,FALSE),$H258)*O258,VLOOKUP($M258,SpotUSDRateTable,2,FALSE)*O258))</f>
        <v>6.6804407083560667E-3</v>
      </c>
      <c r="Q258" s="25">
        <f t="shared" si="48"/>
        <v>0</v>
      </c>
      <c r="R258" s="26" t="str">
        <f t="shared" si="49"/>
        <v>COIN</v>
      </c>
      <c r="S258" s="26" t="str">
        <f t="shared" si="56"/>
        <v>LONG</v>
      </c>
      <c r="T258" s="26" t="str">
        <f t="shared" si="50"/>
        <v>COIN LONG</v>
      </c>
      <c r="U258" s="17">
        <f t="shared" si="51"/>
        <v>6.6804407083560597E-3</v>
      </c>
      <c r="V258" s="17">
        <f t="shared" si="52"/>
        <v>3.7412864694766901E-3</v>
      </c>
      <c r="W258" s="40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Shifted'!$AE$32:$AO$75,MATCH($R258,'Futures &amp; Perps Shifted'!$AE$30:$AO$30,0),FALSE),0),0)))</f>
        <v>0</v>
      </c>
      <c r="X258" s="17">
        <f t="shared" si="53"/>
        <v>0</v>
      </c>
      <c r="Y258" s="14" t="str">
        <f t="shared" si="54"/>
        <v>HUBI</v>
      </c>
      <c r="Z258" t="str">
        <f t="shared" si="55"/>
        <v>CMT COIN LONG</v>
      </c>
    </row>
    <row r="259" spans="1:26" customFormat="1" x14ac:dyDescent="0.25">
      <c r="A259" s="14">
        <v>257</v>
      </c>
      <c r="B259" s="77">
        <v>44910.000001469911</v>
      </c>
      <c r="C259" s="14" t="s">
        <v>40</v>
      </c>
      <c r="D259" s="23" t="s">
        <v>123</v>
      </c>
      <c r="E259" s="23" t="s">
        <v>134</v>
      </c>
      <c r="F259" s="23">
        <v>0.30791584</v>
      </c>
      <c r="G259" s="23">
        <v>1.9071477542135899E-2</v>
      </c>
      <c r="H259" s="23">
        <v>6.1937305798025602E-2</v>
      </c>
      <c r="I259" s="23">
        <v>0</v>
      </c>
      <c r="J259" s="23" t="s">
        <v>88</v>
      </c>
      <c r="K259" s="24">
        <v>44910.000001469911</v>
      </c>
      <c r="L259" s="23">
        <v>1</v>
      </c>
      <c r="M259" s="23" t="s">
        <v>134</v>
      </c>
      <c r="N259" s="46">
        <f t="shared" si="57"/>
        <v>1</v>
      </c>
      <c r="O259" s="47">
        <f t="shared" si="58"/>
        <v>0.30791584</v>
      </c>
      <c r="P259" s="48">
        <f t="shared" si="59"/>
        <v>1.9071477542135923E-2</v>
      </c>
      <c r="Q259" s="25">
        <f t="shared" ref="Q259:Q322" si="60">IF($C259="","",IF(OR($J259="SWAP",$J259="FUTURE",$J259="CME FUTURE"),INT($K259-$B259),0))</f>
        <v>0</v>
      </c>
      <c r="R259" s="26" t="str">
        <f t="shared" ref="R259:R322" si="61">IF($C259="","",IF(OR($E259="USD",$E259="EUR"),"CASH",IF($Q259=0,"COIN",IF($Q259&gt;720,"PERP",IF($J259="FUTURE",TEXT($K259-1,"mmm yy"),"CME "&amp;TEXT($K259-1,"mmm yy"))))))</f>
        <v>COIN</v>
      </c>
      <c r="S259" s="26" t="str">
        <f t="shared" si="56"/>
        <v>LONG</v>
      </c>
      <c r="T259" s="26" t="str">
        <f t="shared" ref="T259:T322" si="62">IF($C259="","",$R259&amp;" "&amp;$S259)</f>
        <v>COIN LONG</v>
      </c>
      <c r="U259" s="17">
        <f t="shared" ref="U259:U322" si="63">IF($C259="","",$G259*(1+$W259))</f>
        <v>1.9071477542135899E-2</v>
      </c>
      <c r="V259" s="17">
        <f t="shared" ref="V259:V322" si="64">IF($C259="","",$H259*(1+$W259))</f>
        <v>6.1937305798025602E-2</v>
      </c>
      <c r="W259" s="40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Shifted'!$AE$32:$AO$75,MATCH($R259,'Futures &amp; Perps Shifted'!$AE$30:$AO$30,0),FALSE),0),0)))</f>
        <v>0</v>
      </c>
      <c r="X259" s="17">
        <f t="shared" ref="X259:X322" si="65">IF($C259="","",$U259-$G259)</f>
        <v>0</v>
      </c>
      <c r="Y259" s="14" t="str">
        <f t="shared" ref="Y259:Y322" si="66">IF($C259="","",IF(ISERROR(SEARCH("-",$D259)),$D259,LEFT($D259,SEARCH("-",$D259)-1)))</f>
        <v>HUBI</v>
      </c>
      <c r="Z259" t="str">
        <f t="shared" ref="Z259:Z322" si="67">IF($C259="","",$M259&amp;" "&amp;$T259)</f>
        <v>CRO COIN LONG</v>
      </c>
    </row>
    <row r="260" spans="1:26" customFormat="1" x14ac:dyDescent="0.25">
      <c r="A260" s="14">
        <v>258</v>
      </c>
      <c r="B260" s="77">
        <v>44910.000001469911</v>
      </c>
      <c r="C260" s="14" t="s">
        <v>40</v>
      </c>
      <c r="D260" s="23" t="s">
        <v>123</v>
      </c>
      <c r="E260" s="23" t="s">
        <v>135</v>
      </c>
      <c r="F260" s="23">
        <v>5.6119999999999998E-5</v>
      </c>
      <c r="G260" s="23">
        <v>2.7411021117993198E-3</v>
      </c>
      <c r="H260" s="23">
        <v>48.843587166773403</v>
      </c>
      <c r="I260" s="23">
        <v>0</v>
      </c>
      <c r="J260" s="23" t="s">
        <v>88</v>
      </c>
      <c r="K260" s="24">
        <v>44910.000001469911</v>
      </c>
      <c r="L260" s="23">
        <v>1</v>
      </c>
      <c r="M260" s="23" t="s">
        <v>135</v>
      </c>
      <c r="N260" s="46">
        <f t="shared" si="57"/>
        <v>1</v>
      </c>
      <c r="O260" s="47">
        <f t="shared" si="58"/>
        <v>5.6119999999999998E-5</v>
      </c>
      <c r="P260" s="48">
        <f t="shared" si="59"/>
        <v>2.7411021117993233E-3</v>
      </c>
      <c r="Q260" s="25">
        <f t="shared" si="60"/>
        <v>0</v>
      </c>
      <c r="R260" s="26" t="str">
        <f t="shared" si="61"/>
        <v>COIN</v>
      </c>
      <c r="S260" s="26" t="str">
        <f t="shared" si="56"/>
        <v>LONG</v>
      </c>
      <c r="T260" s="26" t="str">
        <f t="shared" si="62"/>
        <v>COIN LONG</v>
      </c>
      <c r="U260" s="17">
        <f t="shared" si="63"/>
        <v>2.7411021117993198E-3</v>
      </c>
      <c r="V260" s="17">
        <f t="shared" si="64"/>
        <v>48.843587166773403</v>
      </c>
      <c r="W260" s="40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Shifted'!$AE$32:$AO$75,MATCH($R260,'Futures &amp; Perps Shifted'!$AE$30:$AO$30,0),FALSE),0),0)))</f>
        <v>0</v>
      </c>
      <c r="X260" s="17">
        <f t="shared" si="65"/>
        <v>0</v>
      </c>
      <c r="Y260" s="14" t="str">
        <f t="shared" si="66"/>
        <v>HUBI</v>
      </c>
      <c r="Z260" t="str">
        <f t="shared" si="67"/>
        <v>DASH COIN LONG</v>
      </c>
    </row>
    <row r="261" spans="1:26" customFormat="1" x14ac:dyDescent="0.25">
      <c r="A261" s="14">
        <v>259</v>
      </c>
      <c r="B261" s="77">
        <v>44910.000001469911</v>
      </c>
      <c r="C261" s="14" t="s">
        <v>40</v>
      </c>
      <c r="D261" s="23" t="s">
        <v>123</v>
      </c>
      <c r="E261" s="23" t="s">
        <v>136</v>
      </c>
      <c r="F261" s="23">
        <v>5.9800000000000001E-4</v>
      </c>
      <c r="G261" s="23">
        <v>2.9903151768703602E-6</v>
      </c>
      <c r="H261" s="23">
        <v>5.0005270516226804E-3</v>
      </c>
      <c r="I261" s="23">
        <v>0</v>
      </c>
      <c r="J261" s="23" t="s">
        <v>88</v>
      </c>
      <c r="K261" s="24">
        <v>44910.000001469911</v>
      </c>
      <c r="L261" s="23">
        <v>1</v>
      </c>
      <c r="M261" s="23" t="s">
        <v>136</v>
      </c>
      <c r="N261" s="46">
        <f t="shared" si="57"/>
        <v>1</v>
      </c>
      <c r="O261" s="47">
        <f t="shared" si="58"/>
        <v>5.9800000000000001E-4</v>
      </c>
      <c r="P261" s="48">
        <f t="shared" si="59"/>
        <v>2.9903151768703628E-6</v>
      </c>
      <c r="Q261" s="25">
        <f t="shared" si="60"/>
        <v>0</v>
      </c>
      <c r="R261" s="26" t="str">
        <f t="shared" si="61"/>
        <v>COIN</v>
      </c>
      <c r="S261" s="26" t="str">
        <f t="shared" si="56"/>
        <v>LONG</v>
      </c>
      <c r="T261" s="26" t="str">
        <f t="shared" si="62"/>
        <v>COIN LONG</v>
      </c>
      <c r="U261" s="17">
        <f t="shared" si="63"/>
        <v>2.9903151768703602E-6</v>
      </c>
      <c r="V261" s="17">
        <f t="shared" si="64"/>
        <v>5.0005270516226804E-3</v>
      </c>
      <c r="W261" s="40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Shifted'!$AE$32:$AO$75,MATCH($R261,'Futures &amp; Perps Shifted'!$AE$30:$AO$30,0),FALSE),0),0)))</f>
        <v>0</v>
      </c>
      <c r="X261" s="17">
        <f t="shared" si="65"/>
        <v>0</v>
      </c>
      <c r="Y261" s="14" t="str">
        <f t="shared" si="66"/>
        <v>HUBI</v>
      </c>
      <c r="Z261" t="str">
        <f t="shared" si="67"/>
        <v>DON COIN LONG</v>
      </c>
    </row>
    <row r="262" spans="1:26" customFormat="1" x14ac:dyDescent="0.25">
      <c r="A262" s="14">
        <v>260</v>
      </c>
      <c r="B262" s="77">
        <v>44910.000001469911</v>
      </c>
      <c r="C262" s="14" t="s">
        <v>40</v>
      </c>
      <c r="D262" s="23" t="s">
        <v>123</v>
      </c>
      <c r="E262" s="23" t="s">
        <v>23</v>
      </c>
      <c r="F262" s="23">
        <v>40134.758036849998</v>
      </c>
      <c r="G262" s="23">
        <v>209311.181466418</v>
      </c>
      <c r="H262" s="23">
        <v>5.21520975096543</v>
      </c>
      <c r="I262" s="23">
        <v>0</v>
      </c>
      <c r="J262" s="23" t="s">
        <v>88</v>
      </c>
      <c r="K262" s="24">
        <v>44910.000001469911</v>
      </c>
      <c r="L262" s="23">
        <v>1</v>
      </c>
      <c r="M262" s="23" t="s">
        <v>23</v>
      </c>
      <c r="N262" s="46">
        <f t="shared" si="57"/>
        <v>1</v>
      </c>
      <c r="O262" s="47">
        <f t="shared" si="58"/>
        <v>40134.758036849998</v>
      </c>
      <c r="P262" s="48">
        <f t="shared" si="59"/>
        <v>209311.18146641826</v>
      </c>
      <c r="Q262" s="25">
        <f t="shared" si="60"/>
        <v>0</v>
      </c>
      <c r="R262" s="26" t="str">
        <f t="shared" si="61"/>
        <v>COIN</v>
      </c>
      <c r="S262" s="26" t="str">
        <f t="shared" si="56"/>
        <v>LONG</v>
      </c>
      <c r="T262" s="26" t="str">
        <f t="shared" si="62"/>
        <v>COIN LONG</v>
      </c>
      <c r="U262" s="17">
        <f t="shared" si="63"/>
        <v>209311.181466418</v>
      </c>
      <c r="V262" s="17">
        <f t="shared" si="64"/>
        <v>5.21520975096543</v>
      </c>
      <c r="W262" s="40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Shifted'!$AE$32:$AO$75,MATCH($R262,'Futures &amp; Perps Shifted'!$AE$30:$AO$30,0),FALSE),0),0)))</f>
        <v>0</v>
      </c>
      <c r="X262" s="17">
        <f t="shared" si="65"/>
        <v>0</v>
      </c>
      <c r="Y262" s="14" t="str">
        <f t="shared" si="66"/>
        <v>HUBI</v>
      </c>
      <c r="Z262" t="str">
        <f t="shared" si="67"/>
        <v>DOT COIN LONG</v>
      </c>
    </row>
    <row r="263" spans="1:26" customFormat="1" x14ac:dyDescent="0.25">
      <c r="A263" s="14">
        <v>261</v>
      </c>
      <c r="B263" s="77">
        <v>44910.000001469911</v>
      </c>
      <c r="C263" s="14" t="s">
        <v>40</v>
      </c>
      <c r="D263" s="23" t="s">
        <v>123</v>
      </c>
      <c r="E263" s="23" t="s">
        <v>29</v>
      </c>
      <c r="F263" s="23">
        <v>1E-8</v>
      </c>
      <c r="G263" s="23">
        <v>3.00264020544341E-9</v>
      </c>
      <c r="H263" s="23">
        <v>0.30026402054434098</v>
      </c>
      <c r="I263" s="23">
        <v>0</v>
      </c>
      <c r="J263" s="23" t="s">
        <v>88</v>
      </c>
      <c r="K263" s="24">
        <v>44910.000001469911</v>
      </c>
      <c r="L263" s="23">
        <v>1</v>
      </c>
      <c r="M263" s="23" t="s">
        <v>29</v>
      </c>
      <c r="N263" s="46">
        <f t="shared" si="57"/>
        <v>1</v>
      </c>
      <c r="O263" s="47">
        <f t="shared" si="58"/>
        <v>1E-8</v>
      </c>
      <c r="P263" s="48">
        <f t="shared" si="59"/>
        <v>3.00264020544341E-9</v>
      </c>
      <c r="Q263" s="25">
        <f t="shared" si="60"/>
        <v>0</v>
      </c>
      <c r="R263" s="26" t="str">
        <f t="shared" si="61"/>
        <v>COIN</v>
      </c>
      <c r="S263" s="26" t="str">
        <f t="shared" si="56"/>
        <v>LONG</v>
      </c>
      <c r="T263" s="26" t="str">
        <f t="shared" si="62"/>
        <v>COIN LONG</v>
      </c>
      <c r="U263" s="17">
        <f t="shared" si="63"/>
        <v>3.00264020544341E-9</v>
      </c>
      <c r="V263" s="17">
        <f t="shared" si="64"/>
        <v>0.30026402054434098</v>
      </c>
      <c r="W263" s="40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Shifted'!$AE$32:$AO$75,MATCH($R263,'Futures &amp; Perps Shifted'!$AE$30:$AO$30,0),FALSE),0),0)))</f>
        <v>0</v>
      </c>
      <c r="X263" s="17">
        <f t="shared" si="65"/>
        <v>0</v>
      </c>
      <c r="Y263" s="14" t="str">
        <f t="shared" si="66"/>
        <v>HUBI</v>
      </c>
      <c r="Z263" t="str">
        <f t="shared" si="67"/>
        <v>ENJ COIN LONG</v>
      </c>
    </row>
    <row r="264" spans="1:26" customFormat="1" x14ac:dyDescent="0.25">
      <c r="A264" s="14">
        <v>262</v>
      </c>
      <c r="B264" s="77">
        <v>44910.000001469911</v>
      </c>
      <c r="C264" s="14" t="s">
        <v>40</v>
      </c>
      <c r="D264" s="23" t="s">
        <v>123</v>
      </c>
      <c r="E264" s="23" t="s">
        <v>24</v>
      </c>
      <c r="F264" s="23">
        <v>28537.08774997</v>
      </c>
      <c r="G264" s="23">
        <v>27909.880706494401</v>
      </c>
      <c r="H264" s="23">
        <v>0.97802133669101299</v>
      </c>
      <c r="I264" s="23">
        <v>0</v>
      </c>
      <c r="J264" s="23" t="s">
        <v>88</v>
      </c>
      <c r="K264" s="24">
        <v>44910.000001469911</v>
      </c>
      <c r="L264" s="23">
        <v>1</v>
      </c>
      <c r="M264" s="23" t="s">
        <v>24</v>
      </c>
      <c r="N264" s="46">
        <f t="shared" si="57"/>
        <v>1</v>
      </c>
      <c r="O264" s="47">
        <f t="shared" si="58"/>
        <v>28537.08774997</v>
      </c>
      <c r="P264" s="48">
        <f t="shared" si="59"/>
        <v>27909.88070649439</v>
      </c>
      <c r="Q264" s="25">
        <f t="shared" si="60"/>
        <v>0</v>
      </c>
      <c r="R264" s="26" t="str">
        <f t="shared" si="61"/>
        <v>COIN</v>
      </c>
      <c r="S264" s="26" t="str">
        <f t="shared" si="56"/>
        <v>LONG</v>
      </c>
      <c r="T264" s="26" t="str">
        <f t="shared" si="62"/>
        <v>COIN LONG</v>
      </c>
      <c r="U264" s="17">
        <f t="shared" si="63"/>
        <v>27909.880706494401</v>
      </c>
      <c r="V264" s="17">
        <f t="shared" si="64"/>
        <v>0.97802133669101299</v>
      </c>
      <c r="W264" s="40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Shifted'!$AE$32:$AO$75,MATCH($R264,'Futures &amp; Perps Shifted'!$AE$30:$AO$30,0),FALSE),0),0)))</f>
        <v>0</v>
      </c>
      <c r="X264" s="17">
        <f t="shared" si="65"/>
        <v>0</v>
      </c>
      <c r="Y264" s="14" t="str">
        <f t="shared" si="66"/>
        <v>HUBI</v>
      </c>
      <c r="Z264" t="str">
        <f t="shared" si="67"/>
        <v>EOS COIN LONG</v>
      </c>
    </row>
    <row r="265" spans="1:26" customFormat="1" x14ac:dyDescent="0.25">
      <c r="A265" s="14">
        <v>263</v>
      </c>
      <c r="B265" s="77">
        <v>44910.000001469911</v>
      </c>
      <c r="C265" s="14" t="s">
        <v>40</v>
      </c>
      <c r="D265" s="23" t="s">
        <v>123</v>
      </c>
      <c r="E265" s="23" t="s">
        <v>30</v>
      </c>
      <c r="F265" s="23">
        <v>9625.8346537899997</v>
      </c>
      <c r="G265" s="23">
        <v>180847.170787865</v>
      </c>
      <c r="H265" s="23">
        <v>18.787687228417099</v>
      </c>
      <c r="I265" s="23">
        <v>0</v>
      </c>
      <c r="J265" s="23" t="s">
        <v>88</v>
      </c>
      <c r="K265" s="24">
        <v>44910.000001469911</v>
      </c>
      <c r="L265" s="23">
        <v>1</v>
      </c>
      <c r="M265" s="23" t="s">
        <v>30</v>
      </c>
      <c r="N265" s="46">
        <f t="shared" si="57"/>
        <v>1</v>
      </c>
      <c r="O265" s="47">
        <f t="shared" si="58"/>
        <v>9625.8346537899997</v>
      </c>
      <c r="P265" s="48">
        <f t="shared" si="59"/>
        <v>180847.17078786509</v>
      </c>
      <c r="Q265" s="25">
        <f t="shared" si="60"/>
        <v>0</v>
      </c>
      <c r="R265" s="26" t="str">
        <f t="shared" si="61"/>
        <v>COIN</v>
      </c>
      <c r="S265" s="26" t="str">
        <f t="shared" si="56"/>
        <v>LONG</v>
      </c>
      <c r="T265" s="26" t="str">
        <f t="shared" si="62"/>
        <v>COIN LONG</v>
      </c>
      <c r="U265" s="17">
        <f t="shared" si="63"/>
        <v>180847.170787865</v>
      </c>
      <c r="V265" s="17">
        <f t="shared" si="64"/>
        <v>18.787687228417099</v>
      </c>
      <c r="W265" s="40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Shifted'!$AE$32:$AO$75,MATCH($R265,'Futures &amp; Perps Shifted'!$AE$30:$AO$30,0),FALSE),0),0)))</f>
        <v>0</v>
      </c>
      <c r="X265" s="17">
        <f t="shared" si="65"/>
        <v>0</v>
      </c>
      <c r="Y265" s="14" t="str">
        <f t="shared" si="66"/>
        <v>HUBI</v>
      </c>
      <c r="Z265" t="str">
        <f t="shared" si="67"/>
        <v>ETC COIN LONG</v>
      </c>
    </row>
    <row r="266" spans="1:26" customFormat="1" x14ac:dyDescent="0.25">
      <c r="A266" s="14">
        <v>264</v>
      </c>
      <c r="B266" s="77">
        <v>44910.000001469911</v>
      </c>
      <c r="C266" s="14" t="s">
        <v>40</v>
      </c>
      <c r="D266" s="23" t="s">
        <v>123</v>
      </c>
      <c r="E266" s="23" t="s">
        <v>16</v>
      </c>
      <c r="F266" s="23">
        <v>4359.2729806400002</v>
      </c>
      <c r="G266" s="23">
        <v>5707721.1241309801</v>
      </c>
      <c r="H266" s="23">
        <v>1309.32867693296</v>
      </c>
      <c r="I266" s="23">
        <v>0</v>
      </c>
      <c r="J266" s="23" t="s">
        <v>88</v>
      </c>
      <c r="K266" s="24">
        <v>44910.000001469911</v>
      </c>
      <c r="L266" s="23">
        <v>1</v>
      </c>
      <c r="M266" s="23" t="s">
        <v>16</v>
      </c>
      <c r="N266" s="46">
        <f t="shared" si="57"/>
        <v>1</v>
      </c>
      <c r="O266" s="47">
        <f t="shared" si="58"/>
        <v>4359.2729806400002</v>
      </c>
      <c r="P266" s="48">
        <f t="shared" si="59"/>
        <v>5707721.1241309727</v>
      </c>
      <c r="Q266" s="25">
        <f t="shared" si="60"/>
        <v>0</v>
      </c>
      <c r="R266" s="26" t="str">
        <f t="shared" si="61"/>
        <v>COIN</v>
      </c>
      <c r="S266" s="26" t="str">
        <f t="shared" si="56"/>
        <v>LONG</v>
      </c>
      <c r="T266" s="26" t="str">
        <f t="shared" si="62"/>
        <v>COIN LONG</v>
      </c>
      <c r="U266" s="17">
        <f t="shared" si="63"/>
        <v>5707721.1241309801</v>
      </c>
      <c r="V266" s="17">
        <f t="shared" si="64"/>
        <v>1309.32867693296</v>
      </c>
      <c r="W266" s="40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Shifted'!$AE$32:$AO$75,MATCH($R266,'Futures &amp; Perps Shifted'!$AE$30:$AO$30,0),FALSE),0),0)))</f>
        <v>0</v>
      </c>
      <c r="X266" s="17">
        <f t="shared" si="65"/>
        <v>0</v>
      </c>
      <c r="Y266" s="14" t="str">
        <f t="shared" si="66"/>
        <v>HUBI</v>
      </c>
      <c r="Z266" t="str">
        <f t="shared" si="67"/>
        <v>ETH COIN LONG</v>
      </c>
    </row>
    <row r="267" spans="1:26" customFormat="1" x14ac:dyDescent="0.25">
      <c r="A267" s="14">
        <v>265</v>
      </c>
      <c r="B267" s="77">
        <v>44910.000001469911</v>
      </c>
      <c r="C267" s="14" t="s">
        <v>40</v>
      </c>
      <c r="D267" s="23" t="s">
        <v>123</v>
      </c>
      <c r="E267" s="23" t="s">
        <v>297</v>
      </c>
      <c r="F267" s="23">
        <v>9823.8364263999993</v>
      </c>
      <c r="G267" s="23">
        <v>2259.6459327001999</v>
      </c>
      <c r="H267" s="23">
        <v>0.23001664875320599</v>
      </c>
      <c r="I267" s="23">
        <v>0</v>
      </c>
      <c r="J267" s="23" t="s">
        <v>88</v>
      </c>
      <c r="K267" s="24">
        <v>44910.000001469911</v>
      </c>
      <c r="L267" s="23">
        <v>1</v>
      </c>
      <c r="M267" s="23" t="s">
        <v>297</v>
      </c>
      <c r="N267" s="46">
        <f t="shared" si="57"/>
        <v>1</v>
      </c>
      <c r="O267" s="47">
        <f t="shared" si="58"/>
        <v>9823.8364263999993</v>
      </c>
      <c r="P267" s="48">
        <f t="shared" si="59"/>
        <v>2259.645932700199</v>
      </c>
      <c r="Q267" s="25">
        <f t="shared" si="60"/>
        <v>0</v>
      </c>
      <c r="R267" s="26" t="str">
        <f t="shared" si="61"/>
        <v>COIN</v>
      </c>
      <c r="S267" s="26" t="str">
        <f t="shared" si="56"/>
        <v>LONG</v>
      </c>
      <c r="T267" s="26" t="str">
        <f t="shared" si="62"/>
        <v>COIN LONG</v>
      </c>
      <c r="U267" s="17">
        <f t="shared" si="63"/>
        <v>2259.6459327001999</v>
      </c>
      <c r="V267" s="17">
        <f t="shared" si="64"/>
        <v>0.23001664875320599</v>
      </c>
      <c r="W267" s="40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Shifted'!$AE$32:$AO$75,MATCH($R267,'Futures &amp; Perps Shifted'!$AE$30:$AO$30,0),FALSE),0),0)))</f>
        <v>0</v>
      </c>
      <c r="X267" s="17">
        <f t="shared" si="65"/>
        <v>0</v>
      </c>
      <c r="Y267" s="14" t="str">
        <f t="shared" si="66"/>
        <v>HUBI</v>
      </c>
      <c r="Z267" t="str">
        <f t="shared" si="67"/>
        <v>ETHF COIN LONG</v>
      </c>
    </row>
    <row r="268" spans="1:26" customFormat="1" x14ac:dyDescent="0.25">
      <c r="A268" s="14">
        <v>266</v>
      </c>
      <c r="B268" s="77">
        <v>44910.000001469911</v>
      </c>
      <c r="C268" s="14" t="s">
        <v>40</v>
      </c>
      <c r="D268" s="23" t="s">
        <v>123</v>
      </c>
      <c r="E268" s="23" t="s">
        <v>275</v>
      </c>
      <c r="F268" s="23">
        <v>3460.93190667</v>
      </c>
      <c r="G268" s="23">
        <v>12253.471532504</v>
      </c>
      <c r="H268" s="23">
        <v>3.5405121692480601</v>
      </c>
      <c r="I268" s="23">
        <v>0</v>
      </c>
      <c r="J268" s="23" t="s">
        <v>88</v>
      </c>
      <c r="K268" s="24">
        <v>44910.000001469911</v>
      </c>
      <c r="L268" s="23">
        <v>1</v>
      </c>
      <c r="M268" s="23" t="s">
        <v>275</v>
      </c>
      <c r="N268" s="46">
        <f t="shared" si="57"/>
        <v>1</v>
      </c>
      <c r="O268" s="47">
        <f t="shared" si="58"/>
        <v>3460.93190667</v>
      </c>
      <c r="P268" s="48">
        <f t="shared" si="59"/>
        <v>12253.471532504027</v>
      </c>
      <c r="Q268" s="25">
        <f t="shared" si="60"/>
        <v>0</v>
      </c>
      <c r="R268" s="26" t="str">
        <f t="shared" si="61"/>
        <v>COIN</v>
      </c>
      <c r="S268" s="26" t="str">
        <f t="shared" si="56"/>
        <v>LONG</v>
      </c>
      <c r="T268" s="26" t="str">
        <f t="shared" si="62"/>
        <v>COIN LONG</v>
      </c>
      <c r="U268" s="17">
        <f t="shared" si="63"/>
        <v>12253.471532504</v>
      </c>
      <c r="V268" s="17">
        <f t="shared" si="64"/>
        <v>3.5405121692480601</v>
      </c>
      <c r="W268" s="40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Shifted'!$AE$32:$AO$75,MATCH($R268,'Futures &amp; Perps Shifted'!$AE$30:$AO$30,0),FALSE),0),0)))</f>
        <v>0</v>
      </c>
      <c r="X268" s="17">
        <f t="shared" si="65"/>
        <v>0</v>
      </c>
      <c r="Y268" s="14" t="str">
        <f t="shared" si="66"/>
        <v>HUBI</v>
      </c>
      <c r="Z268" t="str">
        <f t="shared" si="67"/>
        <v>ETHW COIN LONG</v>
      </c>
    </row>
    <row r="269" spans="1:26" customFormat="1" x14ac:dyDescent="0.25">
      <c r="A269" s="14">
        <v>267</v>
      </c>
      <c r="B269" s="77">
        <v>44910.000001469911</v>
      </c>
      <c r="C269" s="14" t="s">
        <v>40</v>
      </c>
      <c r="D269" s="23" t="s">
        <v>123</v>
      </c>
      <c r="E269" s="23" t="s">
        <v>261</v>
      </c>
      <c r="F269" s="23">
        <v>340001.49837544002</v>
      </c>
      <c r="G269" s="23">
        <v>363234.29147343902</v>
      </c>
      <c r="H269" s="23">
        <v>1.0683314432701201</v>
      </c>
      <c r="I269" s="23">
        <v>0</v>
      </c>
      <c r="J269" s="23" t="s">
        <v>88</v>
      </c>
      <c r="K269" s="24">
        <v>44910.000001469911</v>
      </c>
      <c r="L269" s="23">
        <v>1</v>
      </c>
      <c r="M269" s="23" t="s">
        <v>261</v>
      </c>
      <c r="N269" s="46">
        <f t="shared" si="57"/>
        <v>1</v>
      </c>
      <c r="O269" s="47">
        <f t="shared" si="58"/>
        <v>340001.49837544002</v>
      </c>
      <c r="P269" s="48">
        <f t="shared" si="59"/>
        <v>363234.29147343722</v>
      </c>
      <c r="Q269" s="25">
        <f t="shared" si="60"/>
        <v>0</v>
      </c>
      <c r="R269" s="26" t="str">
        <f t="shared" si="61"/>
        <v>COIN</v>
      </c>
      <c r="S269" s="26" t="str">
        <f t="shared" si="56"/>
        <v>LONG</v>
      </c>
      <c r="T269" s="26" t="str">
        <f t="shared" si="62"/>
        <v>COIN LONG</v>
      </c>
      <c r="U269" s="17">
        <f t="shared" si="63"/>
        <v>363234.29147343902</v>
      </c>
      <c r="V269" s="17">
        <f t="shared" si="64"/>
        <v>1.0683314432701201</v>
      </c>
      <c r="W269" s="40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Shifted'!$AE$32:$AO$75,MATCH($R269,'Futures &amp; Perps Shifted'!$AE$30:$AO$30,0),FALSE),0),0)))</f>
        <v>0</v>
      </c>
      <c r="X269" s="17">
        <f t="shared" si="65"/>
        <v>0</v>
      </c>
      <c r="Y269" s="14" t="str">
        <f t="shared" si="66"/>
        <v>HUBI</v>
      </c>
      <c r="Z269" t="str">
        <f t="shared" si="67"/>
        <v>EUROC COIN LONG</v>
      </c>
    </row>
    <row r="270" spans="1:26" customFormat="1" x14ac:dyDescent="0.25">
      <c r="A270" s="14">
        <v>268</v>
      </c>
      <c r="B270" s="77">
        <v>44910.000001469911</v>
      </c>
      <c r="C270" s="14" t="s">
        <v>40</v>
      </c>
      <c r="D270" s="23" t="s">
        <v>123</v>
      </c>
      <c r="E270" s="23" t="s">
        <v>31</v>
      </c>
      <c r="F270" s="23">
        <v>1.0244641699999999</v>
      </c>
      <c r="G270" s="23">
        <v>4.3335753432124999</v>
      </c>
      <c r="H270" s="23">
        <v>4.2300897094453704</v>
      </c>
      <c r="I270" s="23">
        <v>0</v>
      </c>
      <c r="J270" s="23" t="s">
        <v>88</v>
      </c>
      <c r="K270" s="24">
        <v>44910.000001469911</v>
      </c>
      <c r="L270" s="23">
        <v>1</v>
      </c>
      <c r="M270" s="23" t="s">
        <v>31</v>
      </c>
      <c r="N270" s="46">
        <f t="shared" si="57"/>
        <v>1</v>
      </c>
      <c r="O270" s="47">
        <f t="shared" si="58"/>
        <v>1.0244641699999999</v>
      </c>
      <c r="P270" s="48">
        <f t="shared" si="59"/>
        <v>4.3335753432124919</v>
      </c>
      <c r="Q270" s="25">
        <f t="shared" si="60"/>
        <v>0</v>
      </c>
      <c r="R270" s="26" t="str">
        <f t="shared" si="61"/>
        <v>COIN</v>
      </c>
      <c r="S270" s="26" t="str">
        <f t="shared" si="56"/>
        <v>LONG</v>
      </c>
      <c r="T270" s="26" t="str">
        <f t="shared" si="62"/>
        <v>COIN LONG</v>
      </c>
      <c r="U270" s="17">
        <f t="shared" si="63"/>
        <v>4.3335753432124999</v>
      </c>
      <c r="V270" s="17">
        <f t="shared" si="64"/>
        <v>4.2300897094453704</v>
      </c>
      <c r="W270" s="40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Shifted'!$AE$32:$AO$75,MATCH($R270,'Futures &amp; Perps Shifted'!$AE$30:$AO$30,0),FALSE),0),0)))</f>
        <v>0</v>
      </c>
      <c r="X270" s="17">
        <f t="shared" si="65"/>
        <v>0</v>
      </c>
      <c r="Y270" s="14" t="str">
        <f t="shared" si="66"/>
        <v>HUBI</v>
      </c>
      <c r="Z270" t="str">
        <f t="shared" si="67"/>
        <v>FIL COIN LONG</v>
      </c>
    </row>
    <row r="271" spans="1:26" customFormat="1" x14ac:dyDescent="0.25">
      <c r="A271" s="14">
        <v>269</v>
      </c>
      <c r="B271" s="77">
        <v>44910.000001469911</v>
      </c>
      <c r="C271" s="14" t="s">
        <v>40</v>
      </c>
      <c r="D271" s="23" t="s">
        <v>123</v>
      </c>
      <c r="E271" s="23" t="s">
        <v>112</v>
      </c>
      <c r="F271" s="23">
        <v>0.68557060000000003</v>
      </c>
      <c r="G271" s="23">
        <v>0.94009218100883196</v>
      </c>
      <c r="H271" s="23">
        <v>1.37125509905009</v>
      </c>
      <c r="I271" s="23">
        <v>0</v>
      </c>
      <c r="J271" s="23" t="s">
        <v>88</v>
      </c>
      <c r="K271" s="24">
        <v>44910.000001469911</v>
      </c>
      <c r="L271" s="23">
        <v>1</v>
      </c>
      <c r="M271" s="23" t="s">
        <v>112</v>
      </c>
      <c r="N271" s="46">
        <f t="shared" si="57"/>
        <v>1</v>
      </c>
      <c r="O271" s="47">
        <f t="shared" si="58"/>
        <v>0.68557060000000003</v>
      </c>
      <c r="P271" s="48">
        <f t="shared" si="59"/>
        <v>0.94009218100882974</v>
      </c>
      <c r="Q271" s="25">
        <f t="shared" si="60"/>
        <v>0</v>
      </c>
      <c r="R271" s="26" t="str">
        <f t="shared" si="61"/>
        <v>COIN</v>
      </c>
      <c r="S271" s="26" t="str">
        <f t="shared" si="56"/>
        <v>LONG</v>
      </c>
      <c r="T271" s="26" t="str">
        <f t="shared" si="62"/>
        <v>COIN LONG</v>
      </c>
      <c r="U271" s="17">
        <f t="shared" si="63"/>
        <v>0.94009218100883196</v>
      </c>
      <c r="V271" s="17">
        <f t="shared" si="64"/>
        <v>1.37125509905009</v>
      </c>
      <c r="W271" s="40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Shifted'!$AE$32:$AO$75,MATCH($R271,'Futures &amp; Perps Shifted'!$AE$30:$AO$30,0),FALSE),0),0)))</f>
        <v>0</v>
      </c>
      <c r="X271" s="17">
        <f t="shared" si="65"/>
        <v>0</v>
      </c>
      <c r="Y271" s="14" t="str">
        <f t="shared" si="66"/>
        <v>HUBI</v>
      </c>
      <c r="Z271" t="str">
        <f t="shared" si="67"/>
        <v>FTT COIN LONG</v>
      </c>
    </row>
    <row r="272" spans="1:26" customFormat="1" x14ac:dyDescent="0.25">
      <c r="A272" s="14">
        <v>270</v>
      </c>
      <c r="B272" s="77">
        <v>44910.000001469911</v>
      </c>
      <c r="C272" s="14" t="s">
        <v>40</v>
      </c>
      <c r="D272" s="23" t="s">
        <v>123</v>
      </c>
      <c r="E272" s="23" t="s">
        <v>137</v>
      </c>
      <c r="F272" s="23">
        <v>54.776400000000002</v>
      </c>
      <c r="G272" s="23">
        <v>126.89314937976</v>
      </c>
      <c r="H272" s="23">
        <v>2.31656606457818</v>
      </c>
      <c r="I272" s="23">
        <v>0</v>
      </c>
      <c r="J272" s="23" t="s">
        <v>88</v>
      </c>
      <c r="K272" s="24">
        <v>44910.000001469911</v>
      </c>
      <c r="L272" s="23">
        <v>1</v>
      </c>
      <c r="M272" s="23" t="s">
        <v>137</v>
      </c>
      <c r="N272" s="46">
        <f t="shared" si="57"/>
        <v>1</v>
      </c>
      <c r="O272" s="47">
        <f t="shared" si="58"/>
        <v>54.776400000000002</v>
      </c>
      <c r="P272" s="48">
        <f t="shared" si="59"/>
        <v>126.89314937976023</v>
      </c>
      <c r="Q272" s="25">
        <f t="shared" si="60"/>
        <v>0</v>
      </c>
      <c r="R272" s="26" t="str">
        <f t="shared" si="61"/>
        <v>COIN</v>
      </c>
      <c r="S272" s="26" t="str">
        <f t="shared" si="56"/>
        <v>LONG</v>
      </c>
      <c r="T272" s="26" t="str">
        <f t="shared" si="62"/>
        <v>COIN LONG</v>
      </c>
      <c r="U272" s="17">
        <f t="shared" si="63"/>
        <v>126.89314937976</v>
      </c>
      <c r="V272" s="17">
        <f t="shared" si="64"/>
        <v>2.31656606457818</v>
      </c>
      <c r="W272" s="40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Shifted'!$AE$32:$AO$75,MATCH($R272,'Futures &amp; Perps Shifted'!$AE$30:$AO$30,0),FALSE),0),0)))</f>
        <v>0</v>
      </c>
      <c r="X272" s="17">
        <f t="shared" si="65"/>
        <v>0</v>
      </c>
      <c r="Y272" s="14" t="str">
        <f t="shared" si="66"/>
        <v>HUBI</v>
      </c>
      <c r="Z272" t="str">
        <f t="shared" si="67"/>
        <v>GAS COIN LONG</v>
      </c>
    </row>
    <row r="273" spans="1:26" customFormat="1" x14ac:dyDescent="0.25">
      <c r="A273" s="14">
        <v>271</v>
      </c>
      <c r="B273" s="77">
        <v>44910.000001469911</v>
      </c>
      <c r="C273" s="14" t="s">
        <v>40</v>
      </c>
      <c r="D273" s="23" t="s">
        <v>123</v>
      </c>
      <c r="E273" s="23" t="s">
        <v>138</v>
      </c>
      <c r="F273" s="23">
        <v>3.4060489999999999E-2</v>
      </c>
      <c r="G273" s="23">
        <v>1.5899051850250801E-3</v>
      </c>
      <c r="H273" s="23">
        <v>4.6678870005249097E-2</v>
      </c>
      <c r="I273" s="23">
        <v>0</v>
      </c>
      <c r="J273" s="23" t="s">
        <v>88</v>
      </c>
      <c r="K273" s="24">
        <v>44910.000001469911</v>
      </c>
      <c r="L273" s="23">
        <v>1</v>
      </c>
      <c r="M273" s="23" t="s">
        <v>138</v>
      </c>
      <c r="N273" s="46">
        <f t="shared" si="57"/>
        <v>1</v>
      </c>
      <c r="O273" s="47">
        <f t="shared" si="58"/>
        <v>3.4060489999999999E-2</v>
      </c>
      <c r="P273" s="48">
        <f t="shared" si="59"/>
        <v>1.5899051850250868E-3</v>
      </c>
      <c r="Q273" s="25">
        <f t="shared" si="60"/>
        <v>0</v>
      </c>
      <c r="R273" s="26" t="str">
        <f t="shared" si="61"/>
        <v>COIN</v>
      </c>
      <c r="S273" s="26" t="str">
        <f t="shared" si="56"/>
        <v>LONG</v>
      </c>
      <c r="T273" s="26" t="str">
        <f t="shared" si="62"/>
        <v>COIN LONG</v>
      </c>
      <c r="U273" s="17">
        <f t="shared" si="63"/>
        <v>1.5899051850250801E-3</v>
      </c>
      <c r="V273" s="17">
        <f t="shared" si="64"/>
        <v>4.6678870005249097E-2</v>
      </c>
      <c r="W273" s="40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Shifted'!$AE$32:$AO$75,MATCH($R273,'Futures &amp; Perps Shifted'!$AE$30:$AO$30,0),FALSE),0),0)))</f>
        <v>0</v>
      </c>
      <c r="X273" s="17">
        <f t="shared" si="65"/>
        <v>0</v>
      </c>
      <c r="Y273" s="14" t="str">
        <f t="shared" si="66"/>
        <v>HUBI</v>
      </c>
      <c r="Z273" t="str">
        <f t="shared" si="67"/>
        <v>HBAR COIN LONG</v>
      </c>
    </row>
    <row r="274" spans="1:26" customFormat="1" x14ac:dyDescent="0.25">
      <c r="A274" s="14">
        <v>272</v>
      </c>
      <c r="B274" s="77">
        <v>44910.000001469911</v>
      </c>
      <c r="C274" s="14" t="s">
        <v>40</v>
      </c>
      <c r="D274" s="23" t="s">
        <v>123</v>
      </c>
      <c r="E274" s="23" t="s">
        <v>139</v>
      </c>
      <c r="F274" s="23">
        <v>5337.6979873099999</v>
      </c>
      <c r="G274" s="23">
        <v>4.2889520671411701</v>
      </c>
      <c r="H274" s="23">
        <v>8.0352093305725597E-4</v>
      </c>
      <c r="I274" s="23">
        <v>0</v>
      </c>
      <c r="J274" s="23" t="s">
        <v>88</v>
      </c>
      <c r="K274" s="24">
        <v>44910.000001469911</v>
      </c>
      <c r="L274" s="23">
        <v>1</v>
      </c>
      <c r="M274" s="23" t="s">
        <v>139</v>
      </c>
      <c r="N274" s="46">
        <f t="shared" si="57"/>
        <v>1</v>
      </c>
      <c r="O274" s="47">
        <f t="shared" si="58"/>
        <v>5337.6979873099999</v>
      </c>
      <c r="P274" s="48">
        <f t="shared" si="59"/>
        <v>4.2889520671411683</v>
      </c>
      <c r="Q274" s="25">
        <f t="shared" si="60"/>
        <v>0</v>
      </c>
      <c r="R274" s="26" t="str">
        <f t="shared" si="61"/>
        <v>COIN</v>
      </c>
      <c r="S274" s="26" t="str">
        <f t="shared" si="56"/>
        <v>LONG</v>
      </c>
      <c r="T274" s="26" t="str">
        <f t="shared" si="62"/>
        <v>COIN LONG</v>
      </c>
      <c r="U274" s="17">
        <f t="shared" si="63"/>
        <v>4.2889520671411701</v>
      </c>
      <c r="V274" s="17">
        <f t="shared" si="64"/>
        <v>8.0352093305725597E-4</v>
      </c>
      <c r="W274" s="40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Shifted'!$AE$32:$AO$75,MATCH($R274,'Futures &amp; Perps Shifted'!$AE$30:$AO$30,0),FALSE),0),0)))</f>
        <v>0</v>
      </c>
      <c r="X274" s="17">
        <f t="shared" si="65"/>
        <v>0</v>
      </c>
      <c r="Y274" s="14" t="str">
        <f t="shared" si="66"/>
        <v>HUBI</v>
      </c>
      <c r="Z274" t="str">
        <f t="shared" si="67"/>
        <v>HPT COIN LONG</v>
      </c>
    </row>
    <row r="275" spans="1:26" customFormat="1" x14ac:dyDescent="0.25">
      <c r="A275" s="14">
        <v>273</v>
      </c>
      <c r="B275" s="77">
        <v>44910.000001469911</v>
      </c>
      <c r="C275" s="14" t="s">
        <v>40</v>
      </c>
      <c r="D275" s="23" t="s">
        <v>123</v>
      </c>
      <c r="E275" s="23" t="s">
        <v>140</v>
      </c>
      <c r="F275" s="23">
        <v>2231.62166088</v>
      </c>
      <c r="G275" s="23">
        <v>14057.7194527379</v>
      </c>
      <c r="H275" s="23">
        <v>6.2993291825257502</v>
      </c>
      <c r="I275" s="23">
        <v>0</v>
      </c>
      <c r="J275" s="23" t="s">
        <v>88</v>
      </c>
      <c r="K275" s="24">
        <v>44910.000001469911</v>
      </c>
      <c r="L275" s="23">
        <v>1</v>
      </c>
      <c r="M275" s="23" t="s">
        <v>140</v>
      </c>
      <c r="N275" s="46">
        <f t="shared" si="57"/>
        <v>1</v>
      </c>
      <c r="O275" s="47">
        <f t="shared" si="58"/>
        <v>2231.62166088</v>
      </c>
      <c r="P275" s="48">
        <f t="shared" si="59"/>
        <v>14057.719452737967</v>
      </c>
      <c r="Q275" s="25">
        <f t="shared" si="60"/>
        <v>0</v>
      </c>
      <c r="R275" s="26" t="str">
        <f t="shared" si="61"/>
        <v>COIN</v>
      </c>
      <c r="S275" s="26" t="str">
        <f t="shared" si="56"/>
        <v>LONG</v>
      </c>
      <c r="T275" s="26" t="str">
        <f t="shared" si="62"/>
        <v>COIN LONG</v>
      </c>
      <c r="U275" s="17">
        <f t="shared" si="63"/>
        <v>14057.7194527379</v>
      </c>
      <c r="V275" s="17">
        <f t="shared" si="64"/>
        <v>6.2993291825257502</v>
      </c>
      <c r="W275" s="40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Shifted'!$AE$32:$AO$75,MATCH($R275,'Futures &amp; Perps Shifted'!$AE$30:$AO$30,0),FALSE),0),0)))</f>
        <v>0</v>
      </c>
      <c r="X275" s="17">
        <f t="shared" si="65"/>
        <v>0</v>
      </c>
      <c r="Y275" s="14" t="str">
        <f t="shared" si="66"/>
        <v>HUBI</v>
      </c>
      <c r="Z275" t="str">
        <f t="shared" si="67"/>
        <v>HT COIN LONG</v>
      </c>
    </row>
    <row r="276" spans="1:26" customFormat="1" x14ac:dyDescent="0.25">
      <c r="A276" s="14">
        <v>274</v>
      </c>
      <c r="B276" s="77">
        <v>44910.000001469911</v>
      </c>
      <c r="C276" s="14" t="s">
        <v>40</v>
      </c>
      <c r="D276" s="23" t="s">
        <v>123</v>
      </c>
      <c r="E276" s="23" t="s">
        <v>142</v>
      </c>
      <c r="F276" s="23">
        <v>14.785856219999999</v>
      </c>
      <c r="G276" s="23">
        <v>0.12275501988460601</v>
      </c>
      <c r="H276" s="23">
        <v>8.3021921800215306E-3</v>
      </c>
      <c r="I276" s="23">
        <v>0</v>
      </c>
      <c r="J276" s="23" t="s">
        <v>88</v>
      </c>
      <c r="K276" s="24">
        <v>44910.000001469911</v>
      </c>
      <c r="L276" s="23">
        <v>1</v>
      </c>
      <c r="M276" s="23" t="s">
        <v>142</v>
      </c>
      <c r="N276" s="46">
        <f t="shared" si="57"/>
        <v>1</v>
      </c>
      <c r="O276" s="47">
        <f t="shared" si="58"/>
        <v>14.785856219999999</v>
      </c>
      <c r="P276" s="48">
        <f t="shared" si="59"/>
        <v>0.1227550198846067</v>
      </c>
      <c r="Q276" s="25">
        <f t="shared" si="60"/>
        <v>0</v>
      </c>
      <c r="R276" s="26" t="str">
        <f t="shared" si="61"/>
        <v>COIN</v>
      </c>
      <c r="S276" s="26" t="str">
        <f t="shared" si="56"/>
        <v>LONG</v>
      </c>
      <c r="T276" s="26" t="str">
        <f t="shared" si="62"/>
        <v>COIN LONG</v>
      </c>
      <c r="U276" s="17">
        <f t="shared" si="63"/>
        <v>0.12275501988460601</v>
      </c>
      <c r="V276" s="17">
        <f t="shared" si="64"/>
        <v>8.3021921800215306E-3</v>
      </c>
      <c r="W276" s="40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Shifted'!$AE$32:$AO$75,MATCH($R276,'Futures &amp; Perps Shifted'!$AE$30:$AO$30,0),FALSE),0),0)))</f>
        <v>0</v>
      </c>
      <c r="X276" s="17">
        <f t="shared" si="65"/>
        <v>0</v>
      </c>
      <c r="Y276" s="14" t="str">
        <f t="shared" si="66"/>
        <v>HUBI</v>
      </c>
      <c r="Z276" t="str">
        <f t="shared" si="67"/>
        <v>IOST COIN LONG</v>
      </c>
    </row>
    <row r="277" spans="1:26" customFormat="1" x14ac:dyDescent="0.25">
      <c r="A277" s="14">
        <v>275</v>
      </c>
      <c r="B277" s="77">
        <v>44910.000001469911</v>
      </c>
      <c r="C277" s="14" t="s">
        <v>40</v>
      </c>
      <c r="D277" s="23" t="s">
        <v>123</v>
      </c>
      <c r="E277" s="23" t="s">
        <v>143</v>
      </c>
      <c r="F277" s="23">
        <v>0.81765067999999996</v>
      </c>
      <c r="G277" s="23">
        <v>1.1601565558051599E-2</v>
      </c>
      <c r="H277" s="23">
        <v>1.41889022315148E-2</v>
      </c>
      <c r="I277" s="23">
        <v>0</v>
      </c>
      <c r="J277" s="23" t="s">
        <v>88</v>
      </c>
      <c r="K277" s="24">
        <v>44910.000001469911</v>
      </c>
      <c r="L277" s="23">
        <v>1</v>
      </c>
      <c r="M277" s="23" t="s">
        <v>143</v>
      </c>
      <c r="N277" s="46">
        <f t="shared" si="57"/>
        <v>1</v>
      </c>
      <c r="O277" s="47">
        <f t="shared" si="58"/>
        <v>0.81765067999999996</v>
      </c>
      <c r="P277" s="48">
        <f t="shared" si="59"/>
        <v>1.1601565558051594E-2</v>
      </c>
      <c r="Q277" s="25">
        <f t="shared" si="60"/>
        <v>0</v>
      </c>
      <c r="R277" s="26" t="str">
        <f t="shared" si="61"/>
        <v>COIN</v>
      </c>
      <c r="S277" s="26" t="str">
        <f t="shared" si="56"/>
        <v>LONG</v>
      </c>
      <c r="T277" s="26" t="str">
        <f t="shared" si="62"/>
        <v>COIN LONG</v>
      </c>
      <c r="U277" s="17">
        <f t="shared" si="63"/>
        <v>1.1601565558051599E-2</v>
      </c>
      <c r="V277" s="17">
        <f t="shared" si="64"/>
        <v>1.41889022315148E-2</v>
      </c>
      <c r="W277" s="40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Shifted'!$AE$32:$AO$75,MATCH($R277,'Futures &amp; Perps Shifted'!$AE$30:$AO$30,0),FALSE),0),0)))</f>
        <v>0</v>
      </c>
      <c r="X277" s="17">
        <f t="shared" si="65"/>
        <v>0</v>
      </c>
      <c r="Y277" s="14" t="str">
        <f t="shared" si="66"/>
        <v>HUBI</v>
      </c>
      <c r="Z277" t="str">
        <f t="shared" si="67"/>
        <v>IRIS COIN LONG</v>
      </c>
    </row>
    <row r="278" spans="1:26" customFormat="1" x14ac:dyDescent="0.25">
      <c r="A278" s="14">
        <v>276</v>
      </c>
      <c r="B278" s="77">
        <v>44910.000001469911</v>
      </c>
      <c r="C278" s="14" t="s">
        <v>40</v>
      </c>
      <c r="D278" s="23" t="s">
        <v>123</v>
      </c>
      <c r="E278" s="23" t="s">
        <v>144</v>
      </c>
      <c r="F278" s="23">
        <v>9.1121815000000002</v>
      </c>
      <c r="G278" s="23">
        <v>0.20402093989553599</v>
      </c>
      <c r="H278" s="23">
        <v>2.2389911778594E-2</v>
      </c>
      <c r="I278" s="23">
        <v>0</v>
      </c>
      <c r="J278" s="23" t="s">
        <v>88</v>
      </c>
      <c r="K278" s="24">
        <v>44910.000001469911</v>
      </c>
      <c r="L278" s="23">
        <v>1</v>
      </c>
      <c r="M278" s="23" t="s">
        <v>144</v>
      </c>
      <c r="N278" s="46">
        <f t="shared" si="57"/>
        <v>1</v>
      </c>
      <c r="O278" s="47">
        <f t="shared" si="58"/>
        <v>9.1121815000000002</v>
      </c>
      <c r="P278" s="48">
        <f t="shared" si="59"/>
        <v>0.20402093989553635</v>
      </c>
      <c r="Q278" s="25">
        <f t="shared" si="60"/>
        <v>0</v>
      </c>
      <c r="R278" s="26" t="str">
        <f t="shared" si="61"/>
        <v>COIN</v>
      </c>
      <c r="S278" s="26" t="str">
        <f t="shared" si="56"/>
        <v>LONG</v>
      </c>
      <c r="T278" s="26" t="str">
        <f t="shared" si="62"/>
        <v>COIN LONG</v>
      </c>
      <c r="U278" s="17">
        <f t="shared" si="63"/>
        <v>0.20402093989553599</v>
      </c>
      <c r="V278" s="17">
        <f t="shared" si="64"/>
        <v>2.2389911778594E-2</v>
      </c>
      <c r="W278" s="40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Shifted'!$AE$32:$AO$75,MATCH($R278,'Futures &amp; Perps Shifted'!$AE$30:$AO$30,0),FALSE),0),0)))</f>
        <v>0</v>
      </c>
      <c r="X278" s="17">
        <f t="shared" si="65"/>
        <v>0</v>
      </c>
      <c r="Y278" s="14" t="str">
        <f t="shared" si="66"/>
        <v>HUBI</v>
      </c>
      <c r="Z278" t="str">
        <f t="shared" si="67"/>
        <v>JST COIN LONG</v>
      </c>
    </row>
    <row r="279" spans="1:26" customFormat="1" x14ac:dyDescent="0.25">
      <c r="A279" s="14">
        <v>277</v>
      </c>
      <c r="B279" s="77">
        <v>44910.000001469911</v>
      </c>
      <c r="C279" s="14" t="s">
        <v>40</v>
      </c>
      <c r="D279" s="23" t="s">
        <v>123</v>
      </c>
      <c r="E279" s="23" t="s">
        <v>44</v>
      </c>
      <c r="F279" s="23">
        <v>1.4966E-4</v>
      </c>
      <c r="G279" s="23">
        <v>4.1227324713276198E-3</v>
      </c>
      <c r="H279" s="23">
        <v>27.547323742667501</v>
      </c>
      <c r="I279" s="23">
        <v>0</v>
      </c>
      <c r="J279" s="23" t="s">
        <v>88</v>
      </c>
      <c r="K279" s="24">
        <v>44910.000001469911</v>
      </c>
      <c r="L279" s="23">
        <v>1</v>
      </c>
      <c r="M279" s="23" t="s">
        <v>44</v>
      </c>
      <c r="N279" s="46">
        <f t="shared" si="57"/>
        <v>1</v>
      </c>
      <c r="O279" s="47">
        <f t="shared" si="58"/>
        <v>1.4966E-4</v>
      </c>
      <c r="P279" s="48">
        <f t="shared" si="59"/>
        <v>4.122732471327618E-3</v>
      </c>
      <c r="Q279" s="25">
        <f t="shared" si="60"/>
        <v>0</v>
      </c>
      <c r="R279" s="26" t="str">
        <f t="shared" si="61"/>
        <v>COIN</v>
      </c>
      <c r="S279" s="26" t="str">
        <f t="shared" si="56"/>
        <v>LONG</v>
      </c>
      <c r="T279" s="26" t="str">
        <f t="shared" si="62"/>
        <v>COIN LONG</v>
      </c>
      <c r="U279" s="17">
        <f t="shared" si="63"/>
        <v>4.1227324713276198E-3</v>
      </c>
      <c r="V279" s="17">
        <f t="shared" si="64"/>
        <v>27.547323742667501</v>
      </c>
      <c r="W279" s="40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Shifted'!$AE$32:$AO$75,MATCH($R279,'Futures &amp; Perps Shifted'!$AE$30:$AO$30,0),FALSE),0),0)))</f>
        <v>0</v>
      </c>
      <c r="X279" s="17">
        <f t="shared" si="65"/>
        <v>0</v>
      </c>
      <c r="Y279" s="14" t="str">
        <f t="shared" si="66"/>
        <v>HUBI</v>
      </c>
      <c r="Z279" t="str">
        <f t="shared" si="67"/>
        <v>KSM COIN LONG</v>
      </c>
    </row>
    <row r="280" spans="1:26" customFormat="1" x14ac:dyDescent="0.25">
      <c r="A280" s="14">
        <v>278</v>
      </c>
      <c r="B280" s="77">
        <v>44910.000001469911</v>
      </c>
      <c r="C280" s="14" t="s">
        <v>40</v>
      </c>
      <c r="D280" s="23" t="s">
        <v>123</v>
      </c>
      <c r="E280" s="23" t="s">
        <v>145</v>
      </c>
      <c r="F280" s="23">
        <v>0.24234807999999999</v>
      </c>
      <c r="G280" s="23">
        <v>3.0911104955718202E-4</v>
      </c>
      <c r="H280" s="23">
        <v>1.27548379816825E-3</v>
      </c>
      <c r="I280" s="23">
        <v>0</v>
      </c>
      <c r="J280" s="23" t="s">
        <v>88</v>
      </c>
      <c r="K280" s="24">
        <v>44910.000001469911</v>
      </c>
      <c r="L280" s="23">
        <v>1</v>
      </c>
      <c r="M280" s="23" t="s">
        <v>145</v>
      </c>
      <c r="N280" s="46">
        <f t="shared" si="57"/>
        <v>1</v>
      </c>
      <c r="O280" s="47">
        <f t="shared" si="58"/>
        <v>0.24234807999999999</v>
      </c>
      <c r="P280" s="48">
        <f t="shared" si="59"/>
        <v>3.0911104955718289E-4</v>
      </c>
      <c r="Q280" s="25">
        <f t="shared" si="60"/>
        <v>0</v>
      </c>
      <c r="R280" s="26" t="str">
        <f t="shared" si="61"/>
        <v>COIN</v>
      </c>
      <c r="S280" s="26" t="str">
        <f t="shared" si="56"/>
        <v>LONG</v>
      </c>
      <c r="T280" s="26" t="str">
        <f t="shared" si="62"/>
        <v>COIN LONG</v>
      </c>
      <c r="U280" s="17">
        <f t="shared" si="63"/>
        <v>3.0911104955718202E-4</v>
      </c>
      <c r="V280" s="17">
        <f t="shared" si="64"/>
        <v>1.27548379816825E-3</v>
      </c>
      <c r="W280" s="40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Shifted'!$AE$32:$AO$75,MATCH($R280,'Futures &amp; Perps Shifted'!$AE$30:$AO$30,0),FALSE),0),0)))</f>
        <v>0</v>
      </c>
      <c r="X280" s="17">
        <f t="shared" si="65"/>
        <v>0</v>
      </c>
      <c r="Y280" s="14" t="str">
        <f t="shared" si="66"/>
        <v>HUBI</v>
      </c>
      <c r="Z280" t="str">
        <f t="shared" si="67"/>
        <v>LAMB COIN LONG</v>
      </c>
    </row>
    <row r="281" spans="1:26" customFormat="1" x14ac:dyDescent="0.25">
      <c r="A281" s="14">
        <v>279</v>
      </c>
      <c r="B281" s="77">
        <v>44910.000001469911</v>
      </c>
      <c r="C281" s="14" t="s">
        <v>40</v>
      </c>
      <c r="D281" s="23" t="s">
        <v>123</v>
      </c>
      <c r="E281" s="23" t="s">
        <v>146</v>
      </c>
      <c r="F281" s="23">
        <v>1E-8</v>
      </c>
      <c r="G281" s="23">
        <v>0</v>
      </c>
      <c r="H281" s="23">
        <v>0</v>
      </c>
      <c r="I281" s="23">
        <v>0</v>
      </c>
      <c r="J281" s="23" t="s">
        <v>88</v>
      </c>
      <c r="K281" s="24">
        <v>44910.000001469911</v>
      </c>
      <c r="L281" s="23">
        <v>1</v>
      </c>
      <c r="M281" s="23" t="s">
        <v>146</v>
      </c>
      <c r="N281" s="46">
        <f t="shared" si="57"/>
        <v>1</v>
      </c>
      <c r="O281" s="47">
        <f t="shared" si="58"/>
        <v>1E-8</v>
      </c>
      <c r="P281" s="48">
        <f t="shared" si="59"/>
        <v>0</v>
      </c>
      <c r="Q281" s="25">
        <f t="shared" si="60"/>
        <v>0</v>
      </c>
      <c r="R281" s="26" t="str">
        <f t="shared" si="61"/>
        <v>COIN</v>
      </c>
      <c r="S281" s="26" t="str">
        <f t="shared" si="56"/>
        <v>SHORT</v>
      </c>
      <c r="T281" s="26" t="str">
        <f t="shared" si="62"/>
        <v>COIN SHORT</v>
      </c>
      <c r="U281" s="17">
        <f t="shared" si="63"/>
        <v>0</v>
      </c>
      <c r="V281" s="17">
        <f t="shared" si="64"/>
        <v>0</v>
      </c>
      <c r="W281" s="40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Shifted'!$AE$32:$AO$75,MATCH($R281,'Futures &amp; Perps Shifted'!$AE$30:$AO$30,0),FALSE),0),0)))</f>
        <v>0</v>
      </c>
      <c r="X281" s="17">
        <f t="shared" si="65"/>
        <v>0</v>
      </c>
      <c r="Y281" s="14" t="str">
        <f t="shared" si="66"/>
        <v>HUBI</v>
      </c>
      <c r="Z281" t="str">
        <f t="shared" si="67"/>
        <v>LEND COIN SHORT</v>
      </c>
    </row>
    <row r="282" spans="1:26" customFormat="1" x14ac:dyDescent="0.25">
      <c r="A282" s="14">
        <v>280</v>
      </c>
      <c r="B282" s="77">
        <v>44910.000001469911</v>
      </c>
      <c r="C282" s="14" t="s">
        <v>40</v>
      </c>
      <c r="D282" s="23" t="s">
        <v>123</v>
      </c>
      <c r="E282" s="23" t="s">
        <v>28</v>
      </c>
      <c r="F282" s="23">
        <v>24008.678678230001</v>
      </c>
      <c r="G282" s="23">
        <v>161550.27071578801</v>
      </c>
      <c r="H282" s="23">
        <v>6.72882805759214</v>
      </c>
      <c r="I282" s="23">
        <v>0</v>
      </c>
      <c r="J282" s="23" t="s">
        <v>88</v>
      </c>
      <c r="K282" s="24">
        <v>44910.000001469911</v>
      </c>
      <c r="L282" s="23">
        <v>1</v>
      </c>
      <c r="M282" s="23" t="s">
        <v>28</v>
      </c>
      <c r="N282" s="46">
        <f t="shared" si="57"/>
        <v>1</v>
      </c>
      <c r="O282" s="47">
        <f t="shared" si="58"/>
        <v>24008.678678230001</v>
      </c>
      <c r="P282" s="48">
        <f t="shared" si="59"/>
        <v>161550.27071578821</v>
      </c>
      <c r="Q282" s="25">
        <f t="shared" si="60"/>
        <v>0</v>
      </c>
      <c r="R282" s="26" t="str">
        <f t="shared" si="61"/>
        <v>COIN</v>
      </c>
      <c r="S282" s="26" t="str">
        <f t="shared" si="56"/>
        <v>LONG</v>
      </c>
      <c r="T282" s="26" t="str">
        <f t="shared" si="62"/>
        <v>COIN LONG</v>
      </c>
      <c r="U282" s="17">
        <f t="shared" si="63"/>
        <v>161550.27071578801</v>
      </c>
      <c r="V282" s="17">
        <f t="shared" si="64"/>
        <v>6.72882805759214</v>
      </c>
      <c r="W282" s="40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Shifted'!$AE$32:$AO$75,MATCH($R282,'Futures &amp; Perps Shifted'!$AE$30:$AO$30,0),FALSE),0),0)))</f>
        <v>0</v>
      </c>
      <c r="X282" s="17">
        <f t="shared" si="65"/>
        <v>0</v>
      </c>
      <c r="Y282" s="14" t="str">
        <f t="shared" si="66"/>
        <v>HUBI</v>
      </c>
      <c r="Z282" t="str">
        <f t="shared" si="67"/>
        <v>LINK COIN LONG</v>
      </c>
    </row>
    <row r="283" spans="1:26" customFormat="1" x14ac:dyDescent="0.25">
      <c r="A283" s="14">
        <v>281</v>
      </c>
      <c r="B283" s="77">
        <v>44910.000001469911</v>
      </c>
      <c r="C283" s="14" t="s">
        <v>40</v>
      </c>
      <c r="D283" s="23" t="s">
        <v>123</v>
      </c>
      <c r="E283" s="23" t="s">
        <v>147</v>
      </c>
      <c r="F283" s="23">
        <v>4.3289484800000002</v>
      </c>
      <c r="G283" s="23">
        <v>1.23866429375467E-6</v>
      </c>
      <c r="H283" s="23">
        <v>2.8613514332115E-7</v>
      </c>
      <c r="I283" s="23">
        <v>0</v>
      </c>
      <c r="J283" s="23" t="s">
        <v>88</v>
      </c>
      <c r="K283" s="24">
        <v>44910.000001469911</v>
      </c>
      <c r="L283" s="23">
        <v>1</v>
      </c>
      <c r="M283" s="23" t="s">
        <v>147</v>
      </c>
      <c r="N283" s="46">
        <f t="shared" si="57"/>
        <v>1</v>
      </c>
      <c r="O283" s="47">
        <f t="shared" si="58"/>
        <v>4.3289484800000002</v>
      </c>
      <c r="P283" s="48">
        <f t="shared" si="59"/>
        <v>1.2386642937546744E-6</v>
      </c>
      <c r="Q283" s="25">
        <f t="shared" si="60"/>
        <v>0</v>
      </c>
      <c r="R283" s="26" t="str">
        <f t="shared" si="61"/>
        <v>COIN</v>
      </c>
      <c r="S283" s="26" t="str">
        <f t="shared" si="56"/>
        <v>LONG</v>
      </c>
      <c r="T283" s="26" t="str">
        <f t="shared" si="62"/>
        <v>COIN LONG</v>
      </c>
      <c r="U283" s="17">
        <f t="shared" si="63"/>
        <v>1.23866429375467E-6</v>
      </c>
      <c r="V283" s="17">
        <f t="shared" si="64"/>
        <v>2.8613514332115E-7</v>
      </c>
      <c r="W283" s="40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Shifted'!$AE$32:$AO$75,MATCH($R283,'Futures &amp; Perps Shifted'!$AE$30:$AO$30,0),FALSE),0),0)))</f>
        <v>0</v>
      </c>
      <c r="X283" s="17">
        <f t="shared" si="65"/>
        <v>0</v>
      </c>
      <c r="Y283" s="14" t="str">
        <f t="shared" si="66"/>
        <v>HUBI</v>
      </c>
      <c r="Z283" t="str">
        <f t="shared" si="67"/>
        <v>LOL COIN LONG</v>
      </c>
    </row>
    <row r="284" spans="1:26" customFormat="1" x14ac:dyDescent="0.25">
      <c r="A284" s="14">
        <v>282</v>
      </c>
      <c r="B284" s="77">
        <v>44910.000001469911</v>
      </c>
      <c r="C284" s="14" t="s">
        <v>40</v>
      </c>
      <c r="D284" s="23" t="s">
        <v>123</v>
      </c>
      <c r="E284" s="23" t="s">
        <v>25</v>
      </c>
      <c r="F284" s="23">
        <v>8986.5232711400004</v>
      </c>
      <c r="G284" s="23">
        <v>678265.60506538104</v>
      </c>
      <c r="H284" s="23">
        <v>75.475863646134997</v>
      </c>
      <c r="I284" s="23">
        <v>0</v>
      </c>
      <c r="J284" s="23" t="s">
        <v>88</v>
      </c>
      <c r="K284" s="24">
        <v>44910.000001469911</v>
      </c>
      <c r="L284" s="23">
        <v>1</v>
      </c>
      <c r="M284" s="23" t="s">
        <v>25</v>
      </c>
      <c r="N284" s="46">
        <f t="shared" si="57"/>
        <v>1</v>
      </c>
      <c r="O284" s="47">
        <f t="shared" si="58"/>
        <v>8986.5232711400004</v>
      </c>
      <c r="P284" s="48">
        <f t="shared" si="59"/>
        <v>678265.60506538174</v>
      </c>
      <c r="Q284" s="25">
        <f t="shared" si="60"/>
        <v>0</v>
      </c>
      <c r="R284" s="26" t="str">
        <f t="shared" si="61"/>
        <v>COIN</v>
      </c>
      <c r="S284" s="26" t="str">
        <f t="shared" si="56"/>
        <v>LONG</v>
      </c>
      <c r="T284" s="26" t="str">
        <f t="shared" si="62"/>
        <v>COIN LONG</v>
      </c>
      <c r="U284" s="17">
        <f t="shared" si="63"/>
        <v>678265.60506538104</v>
      </c>
      <c r="V284" s="17">
        <f t="shared" si="64"/>
        <v>75.475863646134997</v>
      </c>
      <c r="W284" s="40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Shifted'!$AE$32:$AO$75,MATCH($R284,'Futures &amp; Perps Shifted'!$AE$30:$AO$30,0),FALSE),0),0)))</f>
        <v>0</v>
      </c>
      <c r="X284" s="17">
        <f t="shared" si="65"/>
        <v>0</v>
      </c>
      <c r="Y284" s="14" t="str">
        <f t="shared" si="66"/>
        <v>HUBI</v>
      </c>
      <c r="Z284" t="str">
        <f t="shared" si="67"/>
        <v>LTC COIN LONG</v>
      </c>
    </row>
    <row r="285" spans="1:26" customFormat="1" x14ac:dyDescent="0.25">
      <c r="A285" s="14">
        <v>283</v>
      </c>
      <c r="B285" s="77">
        <v>44910.000001469911</v>
      </c>
      <c r="C285" s="14" t="s">
        <v>40</v>
      </c>
      <c r="D285" s="23" t="s">
        <v>123</v>
      </c>
      <c r="E285" s="23" t="s">
        <v>148</v>
      </c>
      <c r="F285" s="23">
        <v>0.66495972999999997</v>
      </c>
      <c r="G285" s="23">
        <v>1.4231638225488101E-4</v>
      </c>
      <c r="H285" s="23">
        <v>2.1402255780945099E-4</v>
      </c>
      <c r="I285" s="23">
        <v>0</v>
      </c>
      <c r="J285" s="23" t="s">
        <v>88</v>
      </c>
      <c r="K285" s="24">
        <v>44910.000001469911</v>
      </c>
      <c r="L285" s="23">
        <v>1</v>
      </c>
      <c r="M285" s="23" t="s">
        <v>148</v>
      </c>
      <c r="N285" s="46">
        <f t="shared" si="57"/>
        <v>1</v>
      </c>
      <c r="O285" s="47">
        <f t="shared" si="58"/>
        <v>0.66495972999999997</v>
      </c>
      <c r="P285" s="48">
        <f t="shared" si="59"/>
        <v>1.4231638225488191E-4</v>
      </c>
      <c r="Q285" s="25">
        <f t="shared" si="60"/>
        <v>0</v>
      </c>
      <c r="R285" s="26" t="str">
        <f t="shared" si="61"/>
        <v>COIN</v>
      </c>
      <c r="S285" s="26" t="str">
        <f t="shared" si="56"/>
        <v>LONG</v>
      </c>
      <c r="T285" s="26" t="str">
        <f t="shared" si="62"/>
        <v>COIN LONG</v>
      </c>
      <c r="U285" s="17">
        <f t="shared" si="63"/>
        <v>1.4231638225488101E-4</v>
      </c>
      <c r="V285" s="17">
        <f t="shared" si="64"/>
        <v>2.1402255780945099E-4</v>
      </c>
      <c r="W285" s="40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Shifted'!$AE$32:$AO$75,MATCH($R285,'Futures &amp; Perps Shifted'!$AE$30:$AO$30,0),FALSE),0),0)))</f>
        <v>0</v>
      </c>
      <c r="X285" s="17">
        <f t="shared" si="65"/>
        <v>0</v>
      </c>
      <c r="Y285" s="14" t="str">
        <f t="shared" si="66"/>
        <v>HUBI</v>
      </c>
      <c r="Z285" t="str">
        <f t="shared" si="67"/>
        <v>LXT COIN LONG</v>
      </c>
    </row>
    <row r="286" spans="1:26" customFormat="1" x14ac:dyDescent="0.25">
      <c r="A286" s="14">
        <v>284</v>
      </c>
      <c r="B286" s="77">
        <v>44910.000001469911</v>
      </c>
      <c r="C286" s="14" t="s">
        <v>40</v>
      </c>
      <c r="D286" s="23" t="s">
        <v>123</v>
      </c>
      <c r="E286" s="23" t="s">
        <v>195</v>
      </c>
      <c r="F286" s="23">
        <v>0.34</v>
      </c>
      <c r="G286" s="23">
        <v>0.129832534504292</v>
      </c>
      <c r="H286" s="23">
        <v>0.38186039560085799</v>
      </c>
      <c r="I286" s="23">
        <v>0</v>
      </c>
      <c r="J286" s="23" t="s">
        <v>88</v>
      </c>
      <c r="K286" s="24">
        <v>44910.000001469911</v>
      </c>
      <c r="L286" s="23">
        <v>1</v>
      </c>
      <c r="M286" s="23" t="s">
        <v>195</v>
      </c>
      <c r="N286" s="46">
        <f t="shared" si="57"/>
        <v>1</v>
      </c>
      <c r="O286" s="47">
        <f t="shared" si="58"/>
        <v>0.34</v>
      </c>
      <c r="P286" s="48">
        <f t="shared" si="59"/>
        <v>0.12983253450429172</v>
      </c>
      <c r="Q286" s="25">
        <f t="shared" si="60"/>
        <v>0</v>
      </c>
      <c r="R286" s="26" t="str">
        <f t="shared" si="61"/>
        <v>COIN</v>
      </c>
      <c r="S286" s="26" t="str">
        <f t="shared" si="56"/>
        <v>LONG</v>
      </c>
      <c r="T286" s="26" t="str">
        <f t="shared" si="62"/>
        <v>COIN LONG</v>
      </c>
      <c r="U286" s="17">
        <f t="shared" si="63"/>
        <v>0.129832534504292</v>
      </c>
      <c r="V286" s="17">
        <f t="shared" si="64"/>
        <v>0.38186039560085799</v>
      </c>
      <c r="W286" s="40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Shifted'!$AE$32:$AO$75,MATCH($R286,'Futures &amp; Perps Shifted'!$AE$30:$AO$30,0),FALSE),0),0)))</f>
        <v>0</v>
      </c>
      <c r="X286" s="17">
        <f t="shared" si="65"/>
        <v>0</v>
      </c>
      <c r="Y286" s="14" t="str">
        <f t="shared" si="66"/>
        <v>HUBI</v>
      </c>
      <c r="Z286" t="str">
        <f t="shared" si="67"/>
        <v>MANA COIN LONG</v>
      </c>
    </row>
    <row r="287" spans="1:26" customFormat="1" x14ac:dyDescent="0.25">
      <c r="A287" s="14">
        <v>285</v>
      </c>
      <c r="B287" s="77">
        <v>44910.000001469911</v>
      </c>
      <c r="C287" s="14" t="s">
        <v>40</v>
      </c>
      <c r="D287" s="23" t="s">
        <v>123</v>
      </c>
      <c r="E287" s="23" t="s">
        <v>149</v>
      </c>
      <c r="F287" s="23">
        <v>0.89105878000000005</v>
      </c>
      <c r="G287" s="23">
        <v>6.3936605193977698</v>
      </c>
      <c r="H287" s="23">
        <v>7.1753521349037896</v>
      </c>
      <c r="I287" s="23">
        <v>0</v>
      </c>
      <c r="J287" s="23" t="s">
        <v>88</v>
      </c>
      <c r="K287" s="24">
        <v>44910.000001469911</v>
      </c>
      <c r="L287" s="23">
        <v>1</v>
      </c>
      <c r="M287" s="23" t="s">
        <v>149</v>
      </c>
      <c r="N287" s="46">
        <f t="shared" si="57"/>
        <v>1</v>
      </c>
      <c r="O287" s="47">
        <f t="shared" si="58"/>
        <v>0.89105878000000005</v>
      </c>
      <c r="P287" s="48">
        <f t="shared" si="59"/>
        <v>6.3936605193977663</v>
      </c>
      <c r="Q287" s="25">
        <f t="shared" si="60"/>
        <v>0</v>
      </c>
      <c r="R287" s="26" t="str">
        <f t="shared" si="61"/>
        <v>COIN</v>
      </c>
      <c r="S287" s="26" t="str">
        <f t="shared" si="56"/>
        <v>LONG</v>
      </c>
      <c r="T287" s="26" t="str">
        <f t="shared" si="62"/>
        <v>COIN LONG</v>
      </c>
      <c r="U287" s="17">
        <f t="shared" si="63"/>
        <v>6.3936605193977698</v>
      </c>
      <c r="V287" s="17">
        <f t="shared" si="64"/>
        <v>7.1753521349037896</v>
      </c>
      <c r="W287" s="40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Shifted'!$AE$32:$AO$75,MATCH($R287,'Futures &amp; Perps Shifted'!$AE$30:$AO$30,0),FALSE),0),0)))</f>
        <v>0</v>
      </c>
      <c r="X287" s="17">
        <f t="shared" si="65"/>
        <v>0</v>
      </c>
      <c r="Y287" s="14" t="str">
        <f t="shared" si="66"/>
        <v>HUBI</v>
      </c>
      <c r="Z287" t="str">
        <f t="shared" si="67"/>
        <v>NEO COIN LONG</v>
      </c>
    </row>
    <row r="288" spans="1:26" customFormat="1" x14ac:dyDescent="0.25">
      <c r="A288" s="14">
        <v>286</v>
      </c>
      <c r="B288" s="77">
        <v>44910.000001469911</v>
      </c>
      <c r="C288" s="14" t="s">
        <v>40</v>
      </c>
      <c r="D288" s="23" t="s">
        <v>123</v>
      </c>
      <c r="E288" s="23" t="s">
        <v>150</v>
      </c>
      <c r="F288" s="23">
        <v>40.704174029999997</v>
      </c>
      <c r="G288" s="23">
        <v>6.95299664114117E-3</v>
      </c>
      <c r="H288" s="23">
        <v>1.7081777991654199E-4</v>
      </c>
      <c r="I288" s="23">
        <v>0</v>
      </c>
      <c r="J288" s="23" t="s">
        <v>88</v>
      </c>
      <c r="K288" s="24">
        <v>44910.000001469911</v>
      </c>
      <c r="L288" s="23">
        <v>1</v>
      </c>
      <c r="M288" s="23" t="s">
        <v>150</v>
      </c>
      <c r="N288" s="46">
        <f t="shared" si="57"/>
        <v>1</v>
      </c>
      <c r="O288" s="47">
        <f t="shared" si="58"/>
        <v>40.704174029999997</v>
      </c>
      <c r="P288" s="48">
        <f t="shared" si="59"/>
        <v>6.9529966411411639E-3</v>
      </c>
      <c r="Q288" s="25">
        <f t="shared" si="60"/>
        <v>0</v>
      </c>
      <c r="R288" s="26" t="str">
        <f t="shared" si="61"/>
        <v>COIN</v>
      </c>
      <c r="S288" s="26" t="str">
        <f t="shared" si="56"/>
        <v>LONG</v>
      </c>
      <c r="T288" s="26" t="str">
        <f t="shared" si="62"/>
        <v>COIN LONG</v>
      </c>
      <c r="U288" s="17">
        <f t="shared" si="63"/>
        <v>6.95299664114117E-3</v>
      </c>
      <c r="V288" s="17">
        <f t="shared" si="64"/>
        <v>1.7081777991654199E-4</v>
      </c>
      <c r="W288" s="40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Shifted'!$AE$32:$AO$75,MATCH($R288,'Futures &amp; Perps Shifted'!$AE$30:$AO$30,0),FALSE),0),0)))</f>
        <v>0</v>
      </c>
      <c r="X288" s="17">
        <f t="shared" si="65"/>
        <v>0</v>
      </c>
      <c r="Y288" s="14" t="str">
        <f t="shared" si="66"/>
        <v>HUBI</v>
      </c>
      <c r="Z288" t="str">
        <f t="shared" si="67"/>
        <v>NEW COIN LONG</v>
      </c>
    </row>
    <row r="289" spans="1:26" customFormat="1" x14ac:dyDescent="0.25">
      <c r="A289" s="14">
        <v>287</v>
      </c>
      <c r="B289" s="77">
        <v>44910.000001469911</v>
      </c>
      <c r="C289" s="14" t="s">
        <v>40</v>
      </c>
      <c r="D289" s="23" t="s">
        <v>123</v>
      </c>
      <c r="E289" s="23" t="s">
        <v>151</v>
      </c>
      <c r="F289" s="23">
        <v>3045130004.3544402</v>
      </c>
      <c r="G289" s="23">
        <v>1441.74270216525</v>
      </c>
      <c r="H289" s="23">
        <v>4.7345850591062001E-7</v>
      </c>
      <c r="I289" s="23">
        <v>0</v>
      </c>
      <c r="J289" s="23" t="s">
        <v>88</v>
      </c>
      <c r="K289" s="24">
        <v>44910.000001469911</v>
      </c>
      <c r="L289" s="23">
        <v>1</v>
      </c>
      <c r="M289" s="23" t="s">
        <v>151</v>
      </c>
      <c r="N289" s="46">
        <f t="shared" si="57"/>
        <v>1</v>
      </c>
      <c r="O289" s="47">
        <f t="shared" si="58"/>
        <v>3045130004.3544402</v>
      </c>
      <c r="P289" s="48">
        <f t="shared" si="59"/>
        <v>1441.7427021652531</v>
      </c>
      <c r="Q289" s="25">
        <f t="shared" si="60"/>
        <v>0</v>
      </c>
      <c r="R289" s="26" t="str">
        <f t="shared" si="61"/>
        <v>COIN</v>
      </c>
      <c r="S289" s="26" t="str">
        <f t="shared" si="56"/>
        <v>LONG</v>
      </c>
      <c r="T289" s="26" t="str">
        <f t="shared" si="62"/>
        <v>COIN LONG</v>
      </c>
      <c r="U289" s="17">
        <f t="shared" si="63"/>
        <v>1441.74270216525</v>
      </c>
      <c r="V289" s="17">
        <f t="shared" si="64"/>
        <v>4.7345850591062001E-7</v>
      </c>
      <c r="W289" s="40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Shifted'!$AE$32:$AO$75,MATCH($R289,'Futures &amp; Perps Shifted'!$AE$30:$AO$30,0),FALSE),0),0)))</f>
        <v>0</v>
      </c>
      <c r="X289" s="17">
        <f t="shared" si="65"/>
        <v>0</v>
      </c>
      <c r="Y289" s="14" t="str">
        <f t="shared" si="66"/>
        <v>HUBI</v>
      </c>
      <c r="Z289" t="str">
        <f t="shared" si="67"/>
        <v>NFT COIN LONG</v>
      </c>
    </row>
    <row r="290" spans="1:26" customFormat="1" x14ac:dyDescent="0.25">
      <c r="A290" s="14">
        <v>288</v>
      </c>
      <c r="B290" s="77">
        <v>44910.000001469911</v>
      </c>
      <c r="C290" s="14" t="s">
        <v>40</v>
      </c>
      <c r="D290" s="23" t="s">
        <v>123</v>
      </c>
      <c r="E290" s="23" t="s">
        <v>152</v>
      </c>
      <c r="F290" s="23">
        <v>4.3068300000000002E-3</v>
      </c>
      <c r="G290" s="23">
        <v>9.1859295588851404E-4</v>
      </c>
      <c r="H290" s="23">
        <v>0.213287488916097</v>
      </c>
      <c r="I290" s="23">
        <v>0</v>
      </c>
      <c r="J290" s="23" t="s">
        <v>88</v>
      </c>
      <c r="K290" s="24">
        <v>44910.000001469911</v>
      </c>
      <c r="L290" s="23">
        <v>1</v>
      </c>
      <c r="M290" s="23" t="s">
        <v>152</v>
      </c>
      <c r="N290" s="46">
        <f t="shared" si="57"/>
        <v>1</v>
      </c>
      <c r="O290" s="47">
        <f t="shared" si="58"/>
        <v>4.3068300000000002E-3</v>
      </c>
      <c r="P290" s="48">
        <f t="shared" si="59"/>
        <v>9.1859295588851404E-4</v>
      </c>
      <c r="Q290" s="25">
        <f t="shared" si="60"/>
        <v>0</v>
      </c>
      <c r="R290" s="26" t="str">
        <f t="shared" si="61"/>
        <v>COIN</v>
      </c>
      <c r="S290" s="26" t="str">
        <f t="shared" si="56"/>
        <v>LONG</v>
      </c>
      <c r="T290" s="26" t="str">
        <f t="shared" si="62"/>
        <v>COIN LONG</v>
      </c>
      <c r="U290" s="17">
        <f t="shared" si="63"/>
        <v>9.1859295588851404E-4</v>
      </c>
      <c r="V290" s="17">
        <f t="shared" si="64"/>
        <v>0.213287488916097</v>
      </c>
      <c r="W290" s="40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Shifted'!$AE$32:$AO$75,MATCH($R290,'Futures &amp; Perps Shifted'!$AE$30:$AO$30,0),FALSE),0),0)))</f>
        <v>0</v>
      </c>
      <c r="X290" s="17">
        <f t="shared" si="65"/>
        <v>0</v>
      </c>
      <c r="Y290" s="14" t="str">
        <f t="shared" si="66"/>
        <v>HUBI</v>
      </c>
      <c r="Z290" t="str">
        <f t="shared" si="67"/>
        <v>NULS COIN LONG</v>
      </c>
    </row>
    <row r="291" spans="1:26" customFormat="1" x14ac:dyDescent="0.25">
      <c r="A291" s="14">
        <v>289</v>
      </c>
      <c r="B291" s="77">
        <v>44910.000001469911</v>
      </c>
      <c r="C291" s="14" t="s">
        <v>40</v>
      </c>
      <c r="D291" s="23" t="s">
        <v>123</v>
      </c>
      <c r="E291" s="23" t="s">
        <v>154</v>
      </c>
      <c r="F291" s="23">
        <v>0.34782034000000001</v>
      </c>
      <c r="G291" s="23">
        <v>9.2591922833754503E-2</v>
      </c>
      <c r="H291" s="23">
        <v>0.26620617653859602</v>
      </c>
      <c r="I291" s="23">
        <v>0</v>
      </c>
      <c r="J291" s="23" t="s">
        <v>88</v>
      </c>
      <c r="K291" s="24">
        <v>44910.000001469911</v>
      </c>
      <c r="L291" s="23">
        <v>1</v>
      </c>
      <c r="M291" s="23" t="s">
        <v>154</v>
      </c>
      <c r="N291" s="46">
        <f t="shared" si="57"/>
        <v>1</v>
      </c>
      <c r="O291" s="47">
        <f t="shared" si="58"/>
        <v>0.34782034000000001</v>
      </c>
      <c r="P291" s="48">
        <f t="shared" si="59"/>
        <v>9.2591922833754489E-2</v>
      </c>
      <c r="Q291" s="25">
        <f t="shared" si="60"/>
        <v>0</v>
      </c>
      <c r="R291" s="26" t="str">
        <f t="shared" si="61"/>
        <v>COIN</v>
      </c>
      <c r="S291" s="26" t="str">
        <f t="shared" si="56"/>
        <v>LONG</v>
      </c>
      <c r="T291" s="26" t="str">
        <f t="shared" si="62"/>
        <v>COIN LONG</v>
      </c>
      <c r="U291" s="17">
        <f t="shared" si="63"/>
        <v>9.2591922833754503E-2</v>
      </c>
      <c r="V291" s="17">
        <f t="shared" si="64"/>
        <v>0.26620617653859602</v>
      </c>
      <c r="W291" s="40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Shifted'!$AE$32:$AO$75,MATCH($R291,'Futures &amp; Perps Shifted'!$AE$30:$AO$30,0),FALSE),0),0)))</f>
        <v>0</v>
      </c>
      <c r="X291" s="17">
        <f t="shared" si="65"/>
        <v>0</v>
      </c>
      <c r="Y291" s="14" t="str">
        <f t="shared" si="66"/>
        <v>HUBI</v>
      </c>
      <c r="Z291" t="str">
        <f t="shared" si="67"/>
        <v>ONG COIN LONG</v>
      </c>
    </row>
    <row r="292" spans="1:26" customFormat="1" x14ac:dyDescent="0.25">
      <c r="A292" s="14">
        <v>290</v>
      </c>
      <c r="B292" s="77">
        <v>44910.000001469911</v>
      </c>
      <c r="C292" s="14" t="s">
        <v>40</v>
      </c>
      <c r="D292" s="23" t="s">
        <v>123</v>
      </c>
      <c r="E292" s="23" t="s">
        <v>92</v>
      </c>
      <c r="F292" s="23">
        <v>787825.66037626006</v>
      </c>
      <c r="G292" s="23">
        <v>63954.010122330197</v>
      </c>
      <c r="H292" s="23">
        <v>8.1177871372945895E-2</v>
      </c>
      <c r="I292" s="23">
        <v>0</v>
      </c>
      <c r="J292" s="23" t="s">
        <v>88</v>
      </c>
      <c r="K292" s="24">
        <v>44910.000001469911</v>
      </c>
      <c r="L292" s="23">
        <v>1</v>
      </c>
      <c r="M292" s="23" t="s">
        <v>92</v>
      </c>
      <c r="N292" s="46">
        <f t="shared" si="57"/>
        <v>1</v>
      </c>
      <c r="O292" s="47">
        <f t="shared" si="58"/>
        <v>787825.66037626006</v>
      </c>
      <c r="P292" s="48">
        <f t="shared" si="59"/>
        <v>63954.010122330197</v>
      </c>
      <c r="Q292" s="25">
        <f t="shared" si="60"/>
        <v>0</v>
      </c>
      <c r="R292" s="26" t="str">
        <f t="shared" si="61"/>
        <v>COIN</v>
      </c>
      <c r="S292" s="26" t="str">
        <f t="shared" si="56"/>
        <v>LONG</v>
      </c>
      <c r="T292" s="26" t="str">
        <f t="shared" si="62"/>
        <v>COIN LONG</v>
      </c>
      <c r="U292" s="17">
        <f t="shared" si="63"/>
        <v>63954.010122330197</v>
      </c>
      <c r="V292" s="17">
        <f t="shared" si="64"/>
        <v>8.1177871372945895E-2</v>
      </c>
      <c r="W292" s="40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Shifted'!$AE$32:$AO$75,MATCH($R292,'Futures &amp; Perps Shifted'!$AE$30:$AO$30,0),FALSE),0),0)))</f>
        <v>0</v>
      </c>
      <c r="X292" s="17">
        <f t="shared" si="65"/>
        <v>0</v>
      </c>
      <c r="Y292" s="14" t="str">
        <f t="shared" si="66"/>
        <v>HUBI</v>
      </c>
      <c r="Z292" t="str">
        <f t="shared" si="67"/>
        <v>OXT COIN LONG</v>
      </c>
    </row>
    <row r="293" spans="1:26" customFormat="1" x14ac:dyDescent="0.25">
      <c r="A293" s="14">
        <v>291</v>
      </c>
      <c r="B293" s="77">
        <v>44910.000001469911</v>
      </c>
      <c r="C293" s="14" t="s">
        <v>40</v>
      </c>
      <c r="D293" s="23" t="s">
        <v>123</v>
      </c>
      <c r="E293" s="23" t="s">
        <v>155</v>
      </c>
      <c r="F293" s="23">
        <v>3.0962099999999998E-3</v>
      </c>
      <c r="G293" s="23">
        <v>7.3057120862182502E-3</v>
      </c>
      <c r="H293" s="23">
        <v>2.3595660779527998</v>
      </c>
      <c r="I293" s="23">
        <v>0</v>
      </c>
      <c r="J293" s="23" t="s">
        <v>88</v>
      </c>
      <c r="K293" s="24">
        <v>44910.000001469911</v>
      </c>
      <c r="L293" s="23">
        <v>1</v>
      </c>
      <c r="M293" s="23" t="s">
        <v>155</v>
      </c>
      <c r="N293" s="46">
        <f t="shared" si="57"/>
        <v>1</v>
      </c>
      <c r="O293" s="47">
        <f t="shared" si="58"/>
        <v>3.0962099999999998E-3</v>
      </c>
      <c r="P293" s="48">
        <f t="shared" si="59"/>
        <v>7.3057120862182381E-3</v>
      </c>
      <c r="Q293" s="25">
        <f t="shared" si="60"/>
        <v>0</v>
      </c>
      <c r="R293" s="26" t="str">
        <f t="shared" si="61"/>
        <v>COIN</v>
      </c>
      <c r="S293" s="26" t="str">
        <f t="shared" si="56"/>
        <v>LONG</v>
      </c>
      <c r="T293" s="26" t="str">
        <f t="shared" si="62"/>
        <v>COIN LONG</v>
      </c>
      <c r="U293" s="17">
        <f t="shared" si="63"/>
        <v>7.3057120862182502E-3</v>
      </c>
      <c r="V293" s="17">
        <f t="shared" si="64"/>
        <v>2.3595660779527998</v>
      </c>
      <c r="W293" s="40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Shifted'!$AE$32:$AO$75,MATCH($R293,'Futures &amp; Perps Shifted'!$AE$30:$AO$30,0),FALSE),0),0)))</f>
        <v>0</v>
      </c>
      <c r="X293" s="17">
        <f t="shared" si="65"/>
        <v>0</v>
      </c>
      <c r="Y293" s="14" t="str">
        <f t="shared" si="66"/>
        <v>HUBI</v>
      </c>
      <c r="Z293" t="str">
        <f t="shared" si="67"/>
        <v>QTUM COIN LONG</v>
      </c>
    </row>
    <row r="294" spans="1:26" customFormat="1" x14ac:dyDescent="0.25">
      <c r="A294" s="14">
        <v>292</v>
      </c>
      <c r="B294" s="77">
        <v>44910.000001469911</v>
      </c>
      <c r="C294" s="14" t="s">
        <v>40</v>
      </c>
      <c r="D294" s="23" t="s">
        <v>123</v>
      </c>
      <c r="E294" s="23" t="s">
        <v>156</v>
      </c>
      <c r="F294" s="23">
        <v>2.6598900000000002E-2</v>
      </c>
      <c r="G294" s="23">
        <v>6.6126062963526102E-4</v>
      </c>
      <c r="H294" s="23">
        <v>2.4860450230470399E-2</v>
      </c>
      <c r="I294" s="23">
        <v>0</v>
      </c>
      <c r="J294" s="23" t="s">
        <v>88</v>
      </c>
      <c r="K294" s="24">
        <v>44910.000001469911</v>
      </c>
      <c r="L294" s="23">
        <v>1</v>
      </c>
      <c r="M294" s="23" t="s">
        <v>156</v>
      </c>
      <c r="N294" s="46">
        <f t="shared" si="57"/>
        <v>1</v>
      </c>
      <c r="O294" s="47">
        <f t="shared" si="58"/>
        <v>2.6598900000000002E-2</v>
      </c>
      <c r="P294" s="48">
        <f t="shared" si="59"/>
        <v>6.6126062963525918E-4</v>
      </c>
      <c r="Q294" s="25">
        <f t="shared" si="60"/>
        <v>0</v>
      </c>
      <c r="R294" s="26" t="str">
        <f t="shared" si="61"/>
        <v>COIN</v>
      </c>
      <c r="S294" s="26" t="str">
        <f t="shared" si="56"/>
        <v>LONG</v>
      </c>
      <c r="T294" s="26" t="str">
        <f t="shared" si="62"/>
        <v>COIN LONG</v>
      </c>
      <c r="U294" s="17">
        <f t="shared" si="63"/>
        <v>6.6126062963526102E-4</v>
      </c>
      <c r="V294" s="17">
        <f t="shared" si="64"/>
        <v>2.4860450230470399E-2</v>
      </c>
      <c r="W294" s="40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Shifted'!$AE$32:$AO$75,MATCH($R294,'Futures &amp; Perps Shifted'!$AE$30:$AO$30,0),FALSE),0),0)))</f>
        <v>0</v>
      </c>
      <c r="X294" s="17">
        <f t="shared" si="65"/>
        <v>0</v>
      </c>
      <c r="Y294" s="14" t="str">
        <f t="shared" si="66"/>
        <v>HUBI</v>
      </c>
      <c r="Z294" t="str">
        <f t="shared" si="67"/>
        <v>REI COIN LONG</v>
      </c>
    </row>
    <row r="295" spans="1:26" customFormat="1" x14ac:dyDescent="0.25">
      <c r="A295" s="14">
        <v>293</v>
      </c>
      <c r="B295" s="77">
        <v>44910.000001469911</v>
      </c>
      <c r="C295" s="14" t="s">
        <v>40</v>
      </c>
      <c r="D295" s="23" t="s">
        <v>123</v>
      </c>
      <c r="E295" s="23" t="s">
        <v>101</v>
      </c>
      <c r="F295" s="23">
        <v>1214222.2371159999</v>
      </c>
      <c r="G295" s="23">
        <v>14448.8413958525</v>
      </c>
      <c r="H295" s="23">
        <v>1.1899667914311201E-2</v>
      </c>
      <c r="I295" s="23">
        <v>0</v>
      </c>
      <c r="J295" s="23" t="s">
        <v>88</v>
      </c>
      <c r="K295" s="24">
        <v>44910.000001469911</v>
      </c>
      <c r="L295" s="23">
        <v>1</v>
      </c>
      <c r="M295" s="23" t="s">
        <v>101</v>
      </c>
      <c r="N295" s="46">
        <f t="shared" si="57"/>
        <v>1</v>
      </c>
      <c r="O295" s="47">
        <f t="shared" si="58"/>
        <v>1214222.2371159999</v>
      </c>
      <c r="P295" s="48">
        <f t="shared" si="59"/>
        <v>14448.841395852431</v>
      </c>
      <c r="Q295" s="25">
        <f t="shared" si="60"/>
        <v>0</v>
      </c>
      <c r="R295" s="26" t="str">
        <f t="shared" si="61"/>
        <v>COIN</v>
      </c>
      <c r="S295" s="26" t="str">
        <f t="shared" si="56"/>
        <v>LONG</v>
      </c>
      <c r="T295" s="26" t="str">
        <f t="shared" si="62"/>
        <v>COIN LONG</v>
      </c>
      <c r="U295" s="17">
        <f t="shared" si="63"/>
        <v>14448.8413958525</v>
      </c>
      <c r="V295" s="17">
        <f t="shared" si="64"/>
        <v>1.1899667914311201E-2</v>
      </c>
      <c r="W295" s="40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Shifted'!$AE$32:$AO$75,MATCH($R295,'Futures &amp; Perps Shifted'!$AE$30:$AO$30,0),FALSE),0),0)))</f>
        <v>0</v>
      </c>
      <c r="X295" s="17">
        <f t="shared" si="65"/>
        <v>0</v>
      </c>
      <c r="Y295" s="14" t="str">
        <f t="shared" si="66"/>
        <v>HUBI</v>
      </c>
      <c r="Z295" t="str">
        <f t="shared" si="67"/>
        <v>SGB COIN LONG</v>
      </c>
    </row>
    <row r="296" spans="1:26" customFormat="1" x14ac:dyDescent="0.25">
      <c r="A296" s="14">
        <v>294</v>
      </c>
      <c r="B296" s="77">
        <v>44910.000001469911</v>
      </c>
      <c r="C296" s="14" t="s">
        <v>40</v>
      </c>
      <c r="D296" s="23" t="s">
        <v>123</v>
      </c>
      <c r="E296" s="23" t="s">
        <v>38</v>
      </c>
      <c r="F296" s="23">
        <v>1387387.30453923</v>
      </c>
      <c r="G296" s="23">
        <v>12.448687997758499</v>
      </c>
      <c r="H296" s="23">
        <v>8.9727561705582505E-6</v>
      </c>
      <c r="I296" s="23">
        <v>0</v>
      </c>
      <c r="J296" s="23" t="s">
        <v>88</v>
      </c>
      <c r="K296" s="24">
        <v>44910.000001469911</v>
      </c>
      <c r="L296" s="23">
        <v>1</v>
      </c>
      <c r="M296" s="23" t="s">
        <v>38</v>
      </c>
      <c r="N296" s="46">
        <f t="shared" si="57"/>
        <v>1</v>
      </c>
      <c r="O296" s="47">
        <f t="shared" si="58"/>
        <v>1387387.30453923</v>
      </c>
      <c r="P296" s="48">
        <f t="shared" si="59"/>
        <v>12.448687997758555</v>
      </c>
      <c r="Q296" s="25">
        <f t="shared" si="60"/>
        <v>0</v>
      </c>
      <c r="R296" s="26" t="str">
        <f t="shared" si="61"/>
        <v>COIN</v>
      </c>
      <c r="S296" s="26" t="str">
        <f t="shared" si="56"/>
        <v>LONG</v>
      </c>
      <c r="T296" s="26" t="str">
        <f t="shared" si="62"/>
        <v>COIN LONG</v>
      </c>
      <c r="U296" s="17">
        <f t="shared" si="63"/>
        <v>12.448687997758499</v>
      </c>
      <c r="V296" s="17">
        <f t="shared" si="64"/>
        <v>8.9727561705582505E-6</v>
      </c>
      <c r="W296" s="40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Shifted'!$AE$32:$AO$75,MATCH($R296,'Futures &amp; Perps Shifted'!$AE$30:$AO$30,0),FALSE),0),0)))</f>
        <v>0</v>
      </c>
      <c r="X296" s="17">
        <f t="shared" si="65"/>
        <v>0</v>
      </c>
      <c r="Y296" s="14" t="str">
        <f t="shared" si="66"/>
        <v>HUBI</v>
      </c>
      <c r="Z296" t="str">
        <f t="shared" si="67"/>
        <v>SHIB COIN LONG</v>
      </c>
    </row>
    <row r="297" spans="1:26" customFormat="1" x14ac:dyDescent="0.25">
      <c r="A297" s="14">
        <v>295</v>
      </c>
      <c r="B297" s="77">
        <v>44910.000001469911</v>
      </c>
      <c r="C297" s="14" t="s">
        <v>40</v>
      </c>
      <c r="D297" s="23" t="s">
        <v>123</v>
      </c>
      <c r="E297" s="23" t="s">
        <v>157</v>
      </c>
      <c r="F297" s="23">
        <v>0.14106867000000001</v>
      </c>
      <c r="G297" s="23">
        <v>1.99478522395709</v>
      </c>
      <c r="H297" s="23">
        <v>14.1405261987448</v>
      </c>
      <c r="I297" s="23">
        <v>0</v>
      </c>
      <c r="J297" s="23" t="s">
        <v>88</v>
      </c>
      <c r="K297" s="24">
        <v>44910.000001469911</v>
      </c>
      <c r="L297" s="23">
        <v>1</v>
      </c>
      <c r="M297" s="23" t="s">
        <v>157</v>
      </c>
      <c r="N297" s="46">
        <f t="shared" si="57"/>
        <v>1</v>
      </c>
      <c r="O297" s="47">
        <f t="shared" si="58"/>
        <v>0.14106867000000001</v>
      </c>
      <c r="P297" s="48">
        <f t="shared" si="59"/>
        <v>1.9947852239570847</v>
      </c>
      <c r="Q297" s="25">
        <f t="shared" si="60"/>
        <v>0</v>
      </c>
      <c r="R297" s="26" t="str">
        <f t="shared" si="61"/>
        <v>COIN</v>
      </c>
      <c r="S297" s="26" t="str">
        <f t="shared" si="56"/>
        <v>LONG</v>
      </c>
      <c r="T297" s="26" t="str">
        <f t="shared" si="62"/>
        <v>COIN LONG</v>
      </c>
      <c r="U297" s="17">
        <f t="shared" si="63"/>
        <v>1.99478522395709</v>
      </c>
      <c r="V297" s="17">
        <f t="shared" si="64"/>
        <v>14.1405261987448</v>
      </c>
      <c r="W297" s="40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Shifted'!$AE$32:$AO$75,MATCH($R297,'Futures &amp; Perps Shifted'!$AE$30:$AO$30,0),FALSE),0),0)))</f>
        <v>0</v>
      </c>
      <c r="X297" s="17">
        <f t="shared" si="65"/>
        <v>0</v>
      </c>
      <c r="Y297" s="14" t="str">
        <f t="shared" si="66"/>
        <v>HUBI</v>
      </c>
      <c r="Z297" t="str">
        <f t="shared" si="67"/>
        <v>SOL COIN LONG</v>
      </c>
    </row>
    <row r="298" spans="1:26" customFormat="1" x14ac:dyDescent="0.25">
      <c r="A298" s="14">
        <v>296</v>
      </c>
      <c r="B298" s="77">
        <v>44910.000001469911</v>
      </c>
      <c r="C298" s="14" t="s">
        <v>40</v>
      </c>
      <c r="D298" s="23" t="s">
        <v>123</v>
      </c>
      <c r="E298" s="23" t="s">
        <v>158</v>
      </c>
      <c r="F298" s="23">
        <v>38753.774400000002</v>
      </c>
      <c r="G298" s="23">
        <v>5874.2456954794798</v>
      </c>
      <c r="H298" s="23">
        <v>0.15157867295319399</v>
      </c>
      <c r="I298" s="23">
        <v>0</v>
      </c>
      <c r="J298" s="23" t="s">
        <v>88</v>
      </c>
      <c r="K298" s="24">
        <v>44910.000001469911</v>
      </c>
      <c r="L298" s="23">
        <v>1</v>
      </c>
      <c r="M298" s="23" t="s">
        <v>158</v>
      </c>
      <c r="N298" s="46">
        <f t="shared" si="57"/>
        <v>1</v>
      </c>
      <c r="O298" s="47">
        <f t="shared" si="58"/>
        <v>38753.774400000002</v>
      </c>
      <c r="P298" s="48">
        <f t="shared" si="59"/>
        <v>5874.2456954794625</v>
      </c>
      <c r="Q298" s="25">
        <f t="shared" si="60"/>
        <v>0</v>
      </c>
      <c r="R298" s="26" t="str">
        <f t="shared" si="61"/>
        <v>COIN</v>
      </c>
      <c r="S298" s="26" t="str">
        <f t="shared" si="56"/>
        <v>LONG</v>
      </c>
      <c r="T298" s="26" t="str">
        <f t="shared" si="62"/>
        <v>COIN LONG</v>
      </c>
      <c r="U298" s="17">
        <f t="shared" si="63"/>
        <v>5874.2456954794798</v>
      </c>
      <c r="V298" s="17">
        <f t="shared" si="64"/>
        <v>0.15157867295319399</v>
      </c>
      <c r="W298" s="40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Shifted'!$AE$32:$AO$75,MATCH($R298,'Futures &amp; Perps Shifted'!$AE$30:$AO$30,0),FALSE),0),0)))</f>
        <v>0</v>
      </c>
      <c r="X298" s="17">
        <f t="shared" si="65"/>
        <v>0</v>
      </c>
      <c r="Y298" s="14" t="str">
        <f t="shared" si="66"/>
        <v>HUBI</v>
      </c>
      <c r="Z298" t="str">
        <f t="shared" si="67"/>
        <v>SOLO COIN LONG</v>
      </c>
    </row>
    <row r="299" spans="1:26" customFormat="1" x14ac:dyDescent="0.25">
      <c r="A299" s="14">
        <v>297</v>
      </c>
      <c r="B299" s="77">
        <v>44910.000001469911</v>
      </c>
      <c r="C299" s="14" t="s">
        <v>40</v>
      </c>
      <c r="D299" s="23" t="s">
        <v>123</v>
      </c>
      <c r="E299" s="23" t="s">
        <v>159</v>
      </c>
      <c r="F299" s="23">
        <v>29.76350429</v>
      </c>
      <c r="G299" s="23">
        <v>9.9667326333820299</v>
      </c>
      <c r="H299" s="23">
        <v>0.33486421949080297</v>
      </c>
      <c r="I299" s="23">
        <v>0</v>
      </c>
      <c r="J299" s="23" t="s">
        <v>88</v>
      </c>
      <c r="K299" s="24">
        <v>44910.000001469911</v>
      </c>
      <c r="L299" s="23">
        <v>1</v>
      </c>
      <c r="M299" s="23" t="s">
        <v>159</v>
      </c>
      <c r="N299" s="46">
        <f t="shared" si="57"/>
        <v>1</v>
      </c>
      <c r="O299" s="47">
        <f t="shared" si="58"/>
        <v>29.76350429</v>
      </c>
      <c r="P299" s="48">
        <f t="shared" si="59"/>
        <v>9.9667326333820156</v>
      </c>
      <c r="Q299" s="25">
        <f t="shared" si="60"/>
        <v>0</v>
      </c>
      <c r="R299" s="26" t="str">
        <f t="shared" si="61"/>
        <v>COIN</v>
      </c>
      <c r="S299" s="26" t="str">
        <f t="shared" si="56"/>
        <v>LONG</v>
      </c>
      <c r="T299" s="26" t="str">
        <f t="shared" si="62"/>
        <v>COIN LONG</v>
      </c>
      <c r="U299" s="17">
        <f t="shared" si="63"/>
        <v>9.9667326333820299</v>
      </c>
      <c r="V299" s="17">
        <f t="shared" si="64"/>
        <v>0.33486421949080297</v>
      </c>
      <c r="W299" s="40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Shifted'!$AE$32:$AO$75,MATCH($R299,'Futures &amp; Perps Shifted'!$AE$30:$AO$30,0),FALSE),0),0)))</f>
        <v>0</v>
      </c>
      <c r="X299" s="17">
        <f t="shared" si="65"/>
        <v>0</v>
      </c>
      <c r="Y299" s="14" t="str">
        <f t="shared" si="66"/>
        <v>HUBI</v>
      </c>
      <c r="Z299" t="str">
        <f t="shared" si="67"/>
        <v>STORJ COIN LONG</v>
      </c>
    </row>
    <row r="300" spans="1:26" customFormat="1" x14ac:dyDescent="0.25">
      <c r="A300" s="14">
        <v>298</v>
      </c>
      <c r="B300" s="77">
        <v>44910.000001469911</v>
      </c>
      <c r="C300" s="14" t="s">
        <v>40</v>
      </c>
      <c r="D300" s="23" t="s">
        <v>123</v>
      </c>
      <c r="E300" s="23" t="s">
        <v>26</v>
      </c>
      <c r="F300" s="23">
        <v>44.266270740000003</v>
      </c>
      <c r="G300" s="23">
        <v>2.4641420358800699</v>
      </c>
      <c r="H300" s="23">
        <v>5.5666357131219001E-2</v>
      </c>
      <c r="I300" s="23">
        <v>0</v>
      </c>
      <c r="J300" s="23" t="s">
        <v>88</v>
      </c>
      <c r="K300" s="24">
        <v>44910.000001469911</v>
      </c>
      <c r="L300" s="23">
        <v>1</v>
      </c>
      <c r="M300" s="23" t="s">
        <v>26</v>
      </c>
      <c r="N300" s="46">
        <f t="shared" si="57"/>
        <v>1</v>
      </c>
      <c r="O300" s="47">
        <f t="shared" si="58"/>
        <v>44.266270740000003</v>
      </c>
      <c r="P300" s="48">
        <f t="shared" si="59"/>
        <v>2.4641420358800703</v>
      </c>
      <c r="Q300" s="25">
        <f t="shared" si="60"/>
        <v>0</v>
      </c>
      <c r="R300" s="26" t="str">
        <f t="shared" si="61"/>
        <v>COIN</v>
      </c>
      <c r="S300" s="26" t="str">
        <f t="shared" si="56"/>
        <v>LONG</v>
      </c>
      <c r="T300" s="26" t="str">
        <f t="shared" si="62"/>
        <v>COIN LONG</v>
      </c>
      <c r="U300" s="17">
        <f t="shared" si="63"/>
        <v>2.4641420358800699</v>
      </c>
      <c r="V300" s="17">
        <f t="shared" si="64"/>
        <v>5.5666357131219001E-2</v>
      </c>
      <c r="W300" s="40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Shifted'!$AE$32:$AO$75,MATCH($R300,'Futures &amp; Perps Shifted'!$AE$30:$AO$30,0),FALSE),0),0)))</f>
        <v>0</v>
      </c>
      <c r="X300" s="17">
        <f t="shared" si="65"/>
        <v>0</v>
      </c>
      <c r="Y300" s="14" t="str">
        <f t="shared" si="66"/>
        <v>HUBI</v>
      </c>
      <c r="Z300" t="str">
        <f t="shared" si="67"/>
        <v>TRX COIN LONG</v>
      </c>
    </row>
    <row r="301" spans="1:26" customFormat="1" x14ac:dyDescent="0.25">
      <c r="A301" s="14">
        <v>299</v>
      </c>
      <c r="B301" s="77">
        <v>44910.000001469911</v>
      </c>
      <c r="C301" s="14" t="s">
        <v>40</v>
      </c>
      <c r="D301" s="23" t="s">
        <v>123</v>
      </c>
      <c r="E301" s="23" t="s">
        <v>160</v>
      </c>
      <c r="F301" s="23">
        <v>6.3152970000000003E-2</v>
      </c>
      <c r="G301" s="23">
        <v>2.4075889084370101E-4</v>
      </c>
      <c r="H301" s="23">
        <v>3.8123130368009801E-3</v>
      </c>
      <c r="I301" s="23">
        <v>0</v>
      </c>
      <c r="J301" s="23" t="s">
        <v>88</v>
      </c>
      <c r="K301" s="24">
        <v>44910.000001469911</v>
      </c>
      <c r="L301" s="23">
        <v>1</v>
      </c>
      <c r="M301" s="23" t="s">
        <v>160</v>
      </c>
      <c r="N301" s="46">
        <f t="shared" si="57"/>
        <v>1</v>
      </c>
      <c r="O301" s="47">
        <f t="shared" si="58"/>
        <v>6.3152970000000003E-2</v>
      </c>
      <c r="P301" s="48">
        <f t="shared" si="59"/>
        <v>2.407588908437012E-4</v>
      </c>
      <c r="Q301" s="25">
        <f t="shared" si="60"/>
        <v>0</v>
      </c>
      <c r="R301" s="26" t="str">
        <f t="shared" si="61"/>
        <v>COIN</v>
      </c>
      <c r="S301" s="26" t="str">
        <f t="shared" si="56"/>
        <v>LONG</v>
      </c>
      <c r="T301" s="26" t="str">
        <f t="shared" si="62"/>
        <v>COIN LONG</v>
      </c>
      <c r="U301" s="17">
        <f t="shared" si="63"/>
        <v>2.4075889084370101E-4</v>
      </c>
      <c r="V301" s="17">
        <f t="shared" si="64"/>
        <v>3.8123130368009801E-3</v>
      </c>
      <c r="W301" s="40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Shifted'!$AE$32:$AO$75,MATCH($R301,'Futures &amp; Perps Shifted'!$AE$30:$AO$30,0),FALSE),0),0)))</f>
        <v>0</v>
      </c>
      <c r="X301" s="17">
        <f t="shared" si="65"/>
        <v>0</v>
      </c>
      <c r="Y301" s="14" t="str">
        <f t="shared" si="66"/>
        <v>HUBI</v>
      </c>
      <c r="Z301" t="str">
        <f t="shared" si="67"/>
        <v>TT COIN LONG</v>
      </c>
    </row>
    <row r="302" spans="1:26" customFormat="1" x14ac:dyDescent="0.25">
      <c r="A302" s="14">
        <v>300</v>
      </c>
      <c r="B302" s="77">
        <v>44910.000001469911</v>
      </c>
      <c r="C302" s="14" t="s">
        <v>40</v>
      </c>
      <c r="D302" s="23" t="s">
        <v>123</v>
      </c>
      <c r="E302" s="23" t="s">
        <v>161</v>
      </c>
      <c r="F302" s="23">
        <v>20</v>
      </c>
      <c r="G302" s="23">
        <v>19.9996805291984</v>
      </c>
      <c r="H302" s="23">
        <v>0.99998402645992202</v>
      </c>
      <c r="I302" s="23">
        <v>0</v>
      </c>
      <c r="J302" s="23" t="s">
        <v>88</v>
      </c>
      <c r="K302" s="24">
        <v>44910.000001469911</v>
      </c>
      <c r="L302" s="23">
        <v>1</v>
      </c>
      <c r="M302" s="23" t="s">
        <v>161</v>
      </c>
      <c r="N302" s="46">
        <f t="shared" si="57"/>
        <v>1</v>
      </c>
      <c r="O302" s="47">
        <f t="shared" si="58"/>
        <v>20</v>
      </c>
      <c r="P302" s="48">
        <f t="shared" si="59"/>
        <v>19.999680529198439</v>
      </c>
      <c r="Q302" s="25">
        <f t="shared" si="60"/>
        <v>0</v>
      </c>
      <c r="R302" s="26" t="str">
        <f t="shared" si="61"/>
        <v>COIN</v>
      </c>
      <c r="S302" s="26" t="str">
        <f t="shared" si="56"/>
        <v>LONG</v>
      </c>
      <c r="T302" s="26" t="str">
        <f t="shared" si="62"/>
        <v>COIN LONG</v>
      </c>
      <c r="U302" s="17">
        <f t="shared" si="63"/>
        <v>19.9996805291984</v>
      </c>
      <c r="V302" s="17">
        <f t="shared" si="64"/>
        <v>0.99998402645992202</v>
      </c>
      <c r="W302" s="40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Shifted'!$AE$32:$AO$75,MATCH($R302,'Futures &amp; Perps Shifted'!$AE$30:$AO$30,0),FALSE),0),0)))</f>
        <v>0</v>
      </c>
      <c r="X302" s="17">
        <f t="shared" si="65"/>
        <v>0</v>
      </c>
      <c r="Y302" s="14" t="str">
        <f t="shared" si="66"/>
        <v>HUBI</v>
      </c>
      <c r="Z302" t="str">
        <f t="shared" si="67"/>
        <v>TUSD COIN LONG</v>
      </c>
    </row>
    <row r="303" spans="1:26" customFormat="1" x14ac:dyDescent="0.25">
      <c r="A303" s="14">
        <v>301</v>
      </c>
      <c r="B303" s="77">
        <v>44910.000001469911</v>
      </c>
      <c r="C303" s="14" t="s">
        <v>40</v>
      </c>
      <c r="D303" s="23" t="s">
        <v>123</v>
      </c>
      <c r="E303" s="23" t="s">
        <v>162</v>
      </c>
      <c r="F303" s="23">
        <v>1E-8</v>
      </c>
      <c r="G303" s="23">
        <v>5.9196374391119299E-8</v>
      </c>
      <c r="H303" s="23">
        <v>5.9196374391119297</v>
      </c>
      <c r="I303" s="23">
        <v>0</v>
      </c>
      <c r="J303" s="23" t="s">
        <v>88</v>
      </c>
      <c r="K303" s="24">
        <v>44910.000001469911</v>
      </c>
      <c r="L303" s="23">
        <v>1</v>
      </c>
      <c r="M303" s="23" t="s">
        <v>162</v>
      </c>
      <c r="N303" s="46">
        <f t="shared" si="57"/>
        <v>1</v>
      </c>
      <c r="O303" s="47">
        <f t="shared" si="58"/>
        <v>1E-8</v>
      </c>
      <c r="P303" s="48">
        <f t="shared" si="59"/>
        <v>5.9196374391119299E-8</v>
      </c>
      <c r="Q303" s="25">
        <f t="shared" si="60"/>
        <v>0</v>
      </c>
      <c r="R303" s="26" t="str">
        <f t="shared" si="61"/>
        <v>COIN</v>
      </c>
      <c r="S303" s="26" t="str">
        <f t="shared" si="56"/>
        <v>LONG</v>
      </c>
      <c r="T303" s="26" t="str">
        <f t="shared" si="62"/>
        <v>COIN LONG</v>
      </c>
      <c r="U303" s="17">
        <f t="shared" si="63"/>
        <v>5.9196374391119299E-8</v>
      </c>
      <c r="V303" s="17">
        <f t="shared" si="64"/>
        <v>5.9196374391119297</v>
      </c>
      <c r="W303" s="40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Shifted'!$AE$32:$AO$75,MATCH($R303,'Futures &amp; Perps Shifted'!$AE$30:$AO$30,0),FALSE),0),0)))</f>
        <v>0</v>
      </c>
      <c r="X303" s="17">
        <f t="shared" si="65"/>
        <v>0</v>
      </c>
      <c r="Y303" s="14" t="str">
        <f t="shared" si="66"/>
        <v>HUBI</v>
      </c>
      <c r="Z303" t="str">
        <f t="shared" si="67"/>
        <v>UNI COIN LONG</v>
      </c>
    </row>
    <row r="304" spans="1:26" customFormat="1" x14ac:dyDescent="0.25">
      <c r="A304" s="14">
        <v>302</v>
      </c>
      <c r="B304" s="77">
        <v>44910.000001469911</v>
      </c>
      <c r="C304" s="14" t="s">
        <v>40</v>
      </c>
      <c r="D304" s="23" t="s">
        <v>123</v>
      </c>
      <c r="E304" s="23" t="s">
        <v>95</v>
      </c>
      <c r="F304" s="23">
        <v>5.6000000000000004E-7</v>
      </c>
      <c r="G304" s="23">
        <v>5.5998853417048301E-7</v>
      </c>
      <c r="H304" s="23">
        <v>0.99997952530443501</v>
      </c>
      <c r="I304" s="23">
        <v>0</v>
      </c>
      <c r="J304" s="23" t="s">
        <v>88</v>
      </c>
      <c r="K304" s="24">
        <v>44910.000001469911</v>
      </c>
      <c r="L304" s="23">
        <v>1</v>
      </c>
      <c r="M304" s="23" t="s">
        <v>95</v>
      </c>
      <c r="N304" s="46">
        <f t="shared" si="57"/>
        <v>1</v>
      </c>
      <c r="O304" s="47">
        <f t="shared" si="58"/>
        <v>5.6000000000000004E-7</v>
      </c>
      <c r="P304" s="48">
        <f t="shared" si="59"/>
        <v>5.5998853417048365E-7</v>
      </c>
      <c r="Q304" s="25">
        <f t="shared" si="60"/>
        <v>0</v>
      </c>
      <c r="R304" s="26" t="str">
        <f t="shared" si="61"/>
        <v>COIN</v>
      </c>
      <c r="S304" s="26" t="str">
        <f t="shared" si="56"/>
        <v>LONG</v>
      </c>
      <c r="T304" s="26" t="str">
        <f t="shared" si="62"/>
        <v>COIN LONG</v>
      </c>
      <c r="U304" s="17">
        <f t="shared" si="63"/>
        <v>5.5998853417048301E-7</v>
      </c>
      <c r="V304" s="17">
        <f t="shared" si="64"/>
        <v>0.99997952530443501</v>
      </c>
      <c r="W304" s="40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Shifted'!$AE$32:$AO$75,MATCH($R304,'Futures &amp; Perps Shifted'!$AE$30:$AO$30,0),FALSE),0),0)))</f>
        <v>0</v>
      </c>
      <c r="X304" s="17">
        <f t="shared" si="65"/>
        <v>0</v>
      </c>
      <c r="Y304" s="14" t="str">
        <f t="shared" si="66"/>
        <v>HUBI</v>
      </c>
      <c r="Z304" t="str">
        <f t="shared" si="67"/>
        <v>USDC COIN LONG</v>
      </c>
    </row>
    <row r="305" spans="1:26" customFormat="1" x14ac:dyDescent="0.25">
      <c r="A305" s="14">
        <v>303</v>
      </c>
      <c r="B305" s="77">
        <v>44910.000001469911</v>
      </c>
      <c r="C305" s="14" t="s">
        <v>40</v>
      </c>
      <c r="D305" s="23" t="s">
        <v>123</v>
      </c>
      <c r="E305" s="23" t="s">
        <v>163</v>
      </c>
      <c r="F305" s="23">
        <v>0.34680431</v>
      </c>
      <c r="G305" s="23">
        <v>0.34804517992871897</v>
      </c>
      <c r="H305" s="23">
        <v>1.0035780118439599</v>
      </c>
      <c r="I305" s="23">
        <v>0</v>
      </c>
      <c r="J305" s="23" t="s">
        <v>88</v>
      </c>
      <c r="K305" s="24">
        <v>44910.000001469911</v>
      </c>
      <c r="L305" s="23">
        <v>1</v>
      </c>
      <c r="M305" s="23" t="s">
        <v>163</v>
      </c>
      <c r="N305" s="46">
        <f t="shared" si="57"/>
        <v>1</v>
      </c>
      <c r="O305" s="47">
        <f t="shared" si="58"/>
        <v>0.34680431</v>
      </c>
      <c r="P305" s="48">
        <f t="shared" si="59"/>
        <v>0.34804517992871636</v>
      </c>
      <c r="Q305" s="25">
        <f t="shared" si="60"/>
        <v>0</v>
      </c>
      <c r="R305" s="26" t="str">
        <f t="shared" si="61"/>
        <v>COIN</v>
      </c>
      <c r="S305" s="26" t="str">
        <f t="shared" si="56"/>
        <v>LONG</v>
      </c>
      <c r="T305" s="26" t="str">
        <f t="shared" si="62"/>
        <v>COIN LONG</v>
      </c>
      <c r="U305" s="17">
        <f t="shared" si="63"/>
        <v>0.34804517992871897</v>
      </c>
      <c r="V305" s="17">
        <f t="shared" si="64"/>
        <v>1.0035780118439599</v>
      </c>
      <c r="W305" s="40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Shifted'!$AE$32:$AO$75,MATCH($R305,'Futures &amp; Perps Shifted'!$AE$30:$AO$30,0),FALSE),0),0)))</f>
        <v>0</v>
      </c>
      <c r="X305" s="17">
        <f t="shared" si="65"/>
        <v>0</v>
      </c>
      <c r="Y305" s="14" t="str">
        <f t="shared" si="66"/>
        <v>HUBI</v>
      </c>
      <c r="Z305" t="str">
        <f t="shared" si="67"/>
        <v>USDP COIN LONG</v>
      </c>
    </row>
    <row r="306" spans="1:26" customFormat="1" x14ac:dyDescent="0.25">
      <c r="A306" s="14">
        <v>304</v>
      </c>
      <c r="B306" s="77">
        <v>44910.000001469911</v>
      </c>
      <c r="C306" s="14" t="s">
        <v>40</v>
      </c>
      <c r="D306" s="23" t="s">
        <v>123</v>
      </c>
      <c r="E306" s="23" t="s">
        <v>39</v>
      </c>
      <c r="F306" s="23">
        <v>55130.491809560001</v>
      </c>
      <c r="G306" s="23">
        <v>55136.303132593501</v>
      </c>
      <c r="H306" s="23">
        <v>1.0001054103245299</v>
      </c>
      <c r="I306" s="23">
        <v>0</v>
      </c>
      <c r="J306" s="23" t="s">
        <v>88</v>
      </c>
      <c r="K306" s="24">
        <v>44910.000001469911</v>
      </c>
      <c r="L306" s="23">
        <v>1</v>
      </c>
      <c r="M306" s="23" t="s">
        <v>39</v>
      </c>
      <c r="N306" s="46">
        <f t="shared" si="57"/>
        <v>1</v>
      </c>
      <c r="O306" s="47">
        <f t="shared" si="58"/>
        <v>55130.491809560001</v>
      </c>
      <c r="P306" s="48">
        <f t="shared" si="59"/>
        <v>55136.303132593144</v>
      </c>
      <c r="Q306" s="25">
        <f t="shared" si="60"/>
        <v>0</v>
      </c>
      <c r="R306" s="26" t="str">
        <f t="shared" si="61"/>
        <v>COIN</v>
      </c>
      <c r="S306" s="26" t="str">
        <f t="shared" si="56"/>
        <v>LONG</v>
      </c>
      <c r="T306" s="26" t="str">
        <f t="shared" si="62"/>
        <v>COIN LONG</v>
      </c>
      <c r="U306" s="17">
        <f t="shared" si="63"/>
        <v>55136.303132593501</v>
      </c>
      <c r="V306" s="17">
        <f t="shared" si="64"/>
        <v>1.0001054103245299</v>
      </c>
      <c r="W306" s="40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Shifted'!$AE$32:$AO$75,MATCH($R306,'Futures &amp; Perps Shifted'!$AE$30:$AO$30,0),FALSE),0),0)))</f>
        <v>0</v>
      </c>
      <c r="X306" s="17">
        <f t="shared" si="65"/>
        <v>0</v>
      </c>
      <c r="Y306" s="14" t="str">
        <f t="shared" si="66"/>
        <v>HUBI</v>
      </c>
      <c r="Z306" t="str">
        <f t="shared" si="67"/>
        <v>USDT COIN LONG</v>
      </c>
    </row>
    <row r="307" spans="1:26" customFormat="1" x14ac:dyDescent="0.25">
      <c r="A307" s="14">
        <v>305</v>
      </c>
      <c r="B307" s="77">
        <v>44910.000001469911</v>
      </c>
      <c r="C307" s="14" t="s">
        <v>40</v>
      </c>
      <c r="D307" s="23" t="s">
        <v>123</v>
      </c>
      <c r="E307" s="23" t="s">
        <v>199</v>
      </c>
      <c r="F307" s="23">
        <v>25.959481520000001</v>
      </c>
      <c r="G307" s="23">
        <v>0.48659952986674698</v>
      </c>
      <c r="H307" s="23">
        <v>1.8744578141587899E-2</v>
      </c>
      <c r="I307" s="23">
        <v>0</v>
      </c>
      <c r="J307" s="23" t="s">
        <v>88</v>
      </c>
      <c r="K307" s="24">
        <v>44910.000001469911</v>
      </c>
      <c r="L307" s="23">
        <v>1</v>
      </c>
      <c r="M307" s="23" t="s">
        <v>199</v>
      </c>
      <c r="N307" s="46">
        <f t="shared" si="57"/>
        <v>1</v>
      </c>
      <c r="O307" s="47">
        <f t="shared" si="58"/>
        <v>25.959481520000001</v>
      </c>
      <c r="P307" s="48">
        <f t="shared" si="59"/>
        <v>0.48659952986674704</v>
      </c>
      <c r="Q307" s="25">
        <f t="shared" si="60"/>
        <v>0</v>
      </c>
      <c r="R307" s="26" t="str">
        <f t="shared" si="61"/>
        <v>COIN</v>
      </c>
      <c r="S307" s="26" t="str">
        <f t="shared" si="56"/>
        <v>LONG</v>
      </c>
      <c r="T307" s="26" t="str">
        <f t="shared" si="62"/>
        <v>COIN LONG</v>
      </c>
      <c r="U307" s="17">
        <f t="shared" si="63"/>
        <v>0.48659952986674698</v>
      </c>
      <c r="V307" s="17">
        <f t="shared" si="64"/>
        <v>1.8744578141587899E-2</v>
      </c>
      <c r="W307" s="40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Shifted'!$AE$32:$AO$75,MATCH($R307,'Futures &amp; Perps Shifted'!$AE$30:$AO$30,0),FALSE),0),0)))</f>
        <v>0</v>
      </c>
      <c r="X307" s="17">
        <f t="shared" si="65"/>
        <v>0</v>
      </c>
      <c r="Y307" s="14" t="str">
        <f t="shared" si="66"/>
        <v>HUBI</v>
      </c>
      <c r="Z307" t="str">
        <f t="shared" si="67"/>
        <v>VET COIN LONG</v>
      </c>
    </row>
    <row r="308" spans="1:26" customFormat="1" x14ac:dyDescent="0.25">
      <c r="A308" s="14">
        <v>306</v>
      </c>
      <c r="B308" s="77">
        <v>44910.000001469911</v>
      </c>
      <c r="C308" s="14" t="s">
        <v>40</v>
      </c>
      <c r="D308" s="23" t="s">
        <v>123</v>
      </c>
      <c r="E308" s="23" t="s">
        <v>164</v>
      </c>
      <c r="F308" s="23">
        <v>0.20872535</v>
      </c>
      <c r="G308" s="23">
        <v>2.1650087385953701E-4</v>
      </c>
      <c r="H308" s="23">
        <v>1.03725241739701E-3</v>
      </c>
      <c r="I308" s="23">
        <v>0</v>
      </c>
      <c r="J308" s="23" t="s">
        <v>88</v>
      </c>
      <c r="K308" s="24">
        <v>44910.000001469911</v>
      </c>
      <c r="L308" s="23">
        <v>1</v>
      </c>
      <c r="M308" s="23" t="s">
        <v>164</v>
      </c>
      <c r="N308" s="46">
        <f t="shared" si="57"/>
        <v>1</v>
      </c>
      <c r="O308" s="47">
        <f t="shared" si="58"/>
        <v>0.20872535</v>
      </c>
      <c r="P308" s="48">
        <f t="shared" si="59"/>
        <v>2.1650087385953701E-4</v>
      </c>
      <c r="Q308" s="25">
        <f t="shared" si="60"/>
        <v>0</v>
      </c>
      <c r="R308" s="26" t="str">
        <f t="shared" si="61"/>
        <v>COIN</v>
      </c>
      <c r="S308" s="26" t="str">
        <f t="shared" si="56"/>
        <v>LONG</v>
      </c>
      <c r="T308" s="26" t="str">
        <f t="shared" si="62"/>
        <v>COIN LONG</v>
      </c>
      <c r="U308" s="17">
        <f t="shared" si="63"/>
        <v>2.1650087385953701E-4</v>
      </c>
      <c r="V308" s="17">
        <f t="shared" si="64"/>
        <v>1.03725241739701E-3</v>
      </c>
      <c r="W308" s="40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Shifted'!$AE$32:$AO$75,MATCH($R308,'Futures &amp; Perps Shifted'!$AE$30:$AO$30,0),FALSE),0),0)))</f>
        <v>0</v>
      </c>
      <c r="X308" s="17">
        <f t="shared" si="65"/>
        <v>0</v>
      </c>
      <c r="Y308" s="14" t="str">
        <f t="shared" si="66"/>
        <v>HUBI</v>
      </c>
      <c r="Z308" t="str">
        <f t="shared" si="67"/>
        <v>VSYS COIN LONG</v>
      </c>
    </row>
    <row r="309" spans="1:26" customFormat="1" x14ac:dyDescent="0.25">
      <c r="A309" s="14">
        <v>307</v>
      </c>
      <c r="B309" s="77">
        <v>44910.000001469911</v>
      </c>
      <c r="C309" s="14" t="s">
        <v>40</v>
      </c>
      <c r="D309" s="23" t="s">
        <v>123</v>
      </c>
      <c r="E309" s="23" t="s">
        <v>165</v>
      </c>
      <c r="F309" s="23">
        <v>97856389.900000006</v>
      </c>
      <c r="G309" s="23">
        <v>2824.1968203913998</v>
      </c>
      <c r="H309" s="23">
        <v>2.8860627530583E-5</v>
      </c>
      <c r="I309" s="23">
        <v>0</v>
      </c>
      <c r="J309" s="23" t="s">
        <v>88</v>
      </c>
      <c r="K309" s="24">
        <v>44910.000001469911</v>
      </c>
      <c r="L309" s="23">
        <v>1</v>
      </c>
      <c r="M309" s="23" t="s">
        <v>165</v>
      </c>
      <c r="N309" s="46">
        <f t="shared" si="57"/>
        <v>1</v>
      </c>
      <c r="O309" s="47">
        <f t="shared" si="58"/>
        <v>97856389.900000006</v>
      </c>
      <c r="P309" s="48">
        <f t="shared" si="59"/>
        <v>2824.1968203914043</v>
      </c>
      <c r="Q309" s="25">
        <f t="shared" si="60"/>
        <v>0</v>
      </c>
      <c r="R309" s="26" t="str">
        <f t="shared" si="61"/>
        <v>COIN</v>
      </c>
      <c r="S309" s="26" t="str">
        <f t="shared" si="56"/>
        <v>LONG</v>
      </c>
      <c r="T309" s="26" t="str">
        <f t="shared" si="62"/>
        <v>COIN LONG</v>
      </c>
      <c r="U309" s="17">
        <f t="shared" si="63"/>
        <v>2824.1968203913998</v>
      </c>
      <c r="V309" s="17">
        <f t="shared" si="64"/>
        <v>2.8860627530583E-5</v>
      </c>
      <c r="W309" s="40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Shifted'!$AE$32:$AO$75,MATCH($R309,'Futures &amp; Perps Shifted'!$AE$30:$AO$30,0),FALSE),0),0)))</f>
        <v>0</v>
      </c>
      <c r="X309" s="17">
        <f t="shared" si="65"/>
        <v>0</v>
      </c>
      <c r="Y309" s="14" t="str">
        <f t="shared" si="66"/>
        <v>HUBI</v>
      </c>
      <c r="Z309" t="str">
        <f t="shared" si="67"/>
        <v>XEC COIN LONG</v>
      </c>
    </row>
    <row r="310" spans="1:26" customFormat="1" x14ac:dyDescent="0.25">
      <c r="A310" s="14">
        <v>308</v>
      </c>
      <c r="B310" s="77">
        <v>44910.000001469911</v>
      </c>
      <c r="C310" s="14" t="s">
        <v>40</v>
      </c>
      <c r="D310" s="23" t="s">
        <v>123</v>
      </c>
      <c r="E310" s="23" t="s">
        <v>166</v>
      </c>
      <c r="F310" s="23">
        <v>0.55556267999999998</v>
      </c>
      <c r="G310" s="23">
        <v>4.6119363227788597E-2</v>
      </c>
      <c r="H310" s="23">
        <v>8.3013789241186201E-2</v>
      </c>
      <c r="I310" s="23">
        <v>0</v>
      </c>
      <c r="J310" s="23" t="s">
        <v>88</v>
      </c>
      <c r="K310" s="24">
        <v>44910.000001469911</v>
      </c>
      <c r="L310" s="23">
        <v>1</v>
      </c>
      <c r="M310" s="23" t="s">
        <v>166</v>
      </c>
      <c r="N310" s="46">
        <f t="shared" si="57"/>
        <v>1</v>
      </c>
      <c r="O310" s="47">
        <f t="shared" si="58"/>
        <v>0.55556267999999998</v>
      </c>
      <c r="P310" s="48">
        <f t="shared" si="59"/>
        <v>4.6119363227788569E-2</v>
      </c>
      <c r="Q310" s="25">
        <f t="shared" si="60"/>
        <v>0</v>
      </c>
      <c r="R310" s="26" t="str">
        <f t="shared" si="61"/>
        <v>COIN</v>
      </c>
      <c r="S310" s="26" t="str">
        <f t="shared" si="56"/>
        <v>LONG</v>
      </c>
      <c r="T310" s="26" t="str">
        <f t="shared" si="62"/>
        <v>COIN LONG</v>
      </c>
      <c r="U310" s="17">
        <f t="shared" si="63"/>
        <v>4.6119363227788597E-2</v>
      </c>
      <c r="V310" s="17">
        <f t="shared" si="64"/>
        <v>8.3013789241186201E-2</v>
      </c>
      <c r="W310" s="40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Shifted'!$AE$32:$AO$75,MATCH($R310,'Futures &amp; Perps Shifted'!$AE$30:$AO$30,0),FALSE),0),0)))</f>
        <v>0</v>
      </c>
      <c r="X310" s="17">
        <f t="shared" si="65"/>
        <v>0</v>
      </c>
      <c r="Y310" s="14" t="str">
        <f t="shared" si="66"/>
        <v>HUBI</v>
      </c>
      <c r="Z310" t="str">
        <f t="shared" si="67"/>
        <v>XLM COIN LONG</v>
      </c>
    </row>
    <row r="311" spans="1:26" customFormat="1" x14ac:dyDescent="0.25">
      <c r="A311" s="14">
        <v>309</v>
      </c>
      <c r="B311" s="77">
        <v>44910.000001469911</v>
      </c>
      <c r="C311" s="14" t="s">
        <v>40</v>
      </c>
      <c r="D311" s="23" t="s">
        <v>123</v>
      </c>
      <c r="E311" s="23" t="s">
        <v>102</v>
      </c>
      <c r="F311" s="23">
        <v>108.13630258000001</v>
      </c>
      <c r="G311" s="23">
        <v>41.785350706776903</v>
      </c>
      <c r="H311" s="23">
        <v>0.38641371777866901</v>
      </c>
      <c r="I311" s="23">
        <v>0</v>
      </c>
      <c r="J311" s="23" t="s">
        <v>88</v>
      </c>
      <c r="K311" s="24">
        <v>44910.000001469911</v>
      </c>
      <c r="L311" s="23">
        <v>1</v>
      </c>
      <c r="M311" s="23" t="s">
        <v>102</v>
      </c>
      <c r="N311" s="46">
        <f t="shared" si="57"/>
        <v>1</v>
      </c>
      <c r="O311" s="47">
        <f t="shared" si="58"/>
        <v>108.13630258000001</v>
      </c>
      <c r="P311" s="48">
        <f t="shared" si="59"/>
        <v>41.785350706776882</v>
      </c>
      <c r="Q311" s="25">
        <f t="shared" si="60"/>
        <v>0</v>
      </c>
      <c r="R311" s="26" t="str">
        <f t="shared" si="61"/>
        <v>COIN</v>
      </c>
      <c r="S311" s="26" t="str">
        <f t="shared" si="56"/>
        <v>LONG</v>
      </c>
      <c r="T311" s="26" t="str">
        <f t="shared" si="62"/>
        <v>COIN LONG</v>
      </c>
      <c r="U311" s="17">
        <f t="shared" si="63"/>
        <v>41.785350706776903</v>
      </c>
      <c r="V311" s="17">
        <f t="shared" si="64"/>
        <v>0.38641371777866901</v>
      </c>
      <c r="W311" s="40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Shifted'!$AE$32:$AO$75,MATCH($R311,'Futures &amp; Perps Shifted'!$AE$30:$AO$30,0),FALSE),0),0)))</f>
        <v>0</v>
      </c>
      <c r="X311" s="17">
        <f t="shared" si="65"/>
        <v>0</v>
      </c>
      <c r="Y311" s="14" t="str">
        <f t="shared" si="66"/>
        <v>HUBI</v>
      </c>
      <c r="Z311" t="str">
        <f t="shared" si="67"/>
        <v>XRP COIN LONG</v>
      </c>
    </row>
    <row r="312" spans="1:26" customFormat="1" x14ac:dyDescent="0.25">
      <c r="A312" s="14">
        <v>310</v>
      </c>
      <c r="B312" s="77">
        <v>44910.000001469911</v>
      </c>
      <c r="C312" s="14" t="s">
        <v>40</v>
      </c>
      <c r="D312" s="23" t="s">
        <v>123</v>
      </c>
      <c r="E312" s="23" t="s">
        <v>167</v>
      </c>
      <c r="F312" s="23">
        <v>3.9304560899999998</v>
      </c>
      <c r="G312" s="23">
        <v>3.7396377270751899</v>
      </c>
      <c r="H312" s="23">
        <v>0.95145134341780602</v>
      </c>
      <c r="I312" s="23">
        <v>0</v>
      </c>
      <c r="J312" s="23" t="s">
        <v>88</v>
      </c>
      <c r="K312" s="24">
        <v>44910.000001469911</v>
      </c>
      <c r="L312" s="23">
        <v>1</v>
      </c>
      <c r="M312" s="23" t="s">
        <v>167</v>
      </c>
      <c r="N312" s="46">
        <f t="shared" si="57"/>
        <v>1</v>
      </c>
      <c r="O312" s="47">
        <f t="shared" si="58"/>
        <v>3.9304560899999998</v>
      </c>
      <c r="P312" s="48">
        <f t="shared" si="59"/>
        <v>3.739637727075197</v>
      </c>
      <c r="Q312" s="25">
        <f t="shared" si="60"/>
        <v>0</v>
      </c>
      <c r="R312" s="26" t="str">
        <f t="shared" si="61"/>
        <v>COIN</v>
      </c>
      <c r="S312" s="26" t="str">
        <f t="shared" si="56"/>
        <v>LONG</v>
      </c>
      <c r="T312" s="26" t="str">
        <f t="shared" si="62"/>
        <v>COIN LONG</v>
      </c>
      <c r="U312" s="17">
        <f t="shared" si="63"/>
        <v>3.7396377270751899</v>
      </c>
      <c r="V312" s="17">
        <f t="shared" si="64"/>
        <v>0.95145134341780602</v>
      </c>
      <c r="W312" s="40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Shifted'!$AE$32:$AO$75,MATCH($R312,'Futures &amp; Perps Shifted'!$AE$30:$AO$30,0),FALSE),0),0)))</f>
        <v>0</v>
      </c>
      <c r="X312" s="17">
        <f t="shared" si="65"/>
        <v>0</v>
      </c>
      <c r="Y312" s="14" t="str">
        <f t="shared" si="66"/>
        <v>HUBI</v>
      </c>
      <c r="Z312" t="str">
        <f t="shared" si="67"/>
        <v>XTZ COIN LONG</v>
      </c>
    </row>
    <row r="313" spans="1:26" customFormat="1" x14ac:dyDescent="0.25">
      <c r="A313" s="14">
        <v>311</v>
      </c>
      <c r="B313" s="77">
        <v>44910.000001469911</v>
      </c>
      <c r="C313" s="14" t="s">
        <v>40</v>
      </c>
      <c r="D313" s="23" t="s">
        <v>123</v>
      </c>
      <c r="E313" s="23" t="s">
        <v>120</v>
      </c>
      <c r="F313" s="23">
        <v>1.329583E-2</v>
      </c>
      <c r="G313" s="23">
        <v>17.861586464285502</v>
      </c>
      <c r="H313" s="23">
        <v>1343.3976264953401</v>
      </c>
      <c r="I313" s="23">
        <v>0</v>
      </c>
      <c r="J313" s="23" t="s">
        <v>88</v>
      </c>
      <c r="K313" s="24">
        <v>44910.000001469911</v>
      </c>
      <c r="L313" s="23">
        <v>1</v>
      </c>
      <c r="M313" s="23" t="s">
        <v>120</v>
      </c>
      <c r="N313" s="46">
        <f t="shared" si="57"/>
        <v>1</v>
      </c>
      <c r="O313" s="47">
        <f t="shared" si="58"/>
        <v>1.329583E-2</v>
      </c>
      <c r="P313" s="48">
        <f t="shared" si="59"/>
        <v>17.861586464285537</v>
      </c>
      <c r="Q313" s="25">
        <f t="shared" si="60"/>
        <v>0</v>
      </c>
      <c r="R313" s="26" t="str">
        <f t="shared" si="61"/>
        <v>COIN</v>
      </c>
      <c r="S313" s="26" t="str">
        <f t="shared" ref="S313:S376" si="68">IF($C313="","",IF($J313="CME FUTURE",IF($G313&gt;0,"LONG","SHORT"),IF($G313&gt;0,"LONG","SHORT")))</f>
        <v>LONG</v>
      </c>
      <c r="T313" s="26" t="str">
        <f t="shared" si="62"/>
        <v>COIN LONG</v>
      </c>
      <c r="U313" s="17">
        <f t="shared" si="63"/>
        <v>17.861586464285502</v>
      </c>
      <c r="V313" s="17">
        <f t="shared" si="64"/>
        <v>1343.3976264953401</v>
      </c>
      <c r="W313" s="40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Shifted'!$AE$32:$AO$75,MATCH($R313,'Futures &amp; Perps Shifted'!$AE$30:$AO$30,0),FALSE),0),0)))</f>
        <v>0</v>
      </c>
      <c r="X313" s="17">
        <f t="shared" si="65"/>
        <v>0</v>
      </c>
      <c r="Y313" s="14" t="str">
        <f t="shared" si="66"/>
        <v>HUBI</v>
      </c>
      <c r="Z313" t="str">
        <f t="shared" si="67"/>
        <v>YFII COIN LONG</v>
      </c>
    </row>
    <row r="314" spans="1:26" customFormat="1" x14ac:dyDescent="0.25">
      <c r="A314" s="14">
        <v>312</v>
      </c>
      <c r="B314" s="77">
        <v>44910.000001469911</v>
      </c>
      <c r="C314" s="14" t="s">
        <v>40</v>
      </c>
      <c r="D314" s="23" t="s">
        <v>123</v>
      </c>
      <c r="E314" s="23" t="s">
        <v>168</v>
      </c>
      <c r="F314" s="23">
        <v>2.173E-4</v>
      </c>
      <c r="G314" s="23">
        <v>1.0078858162692401E-2</v>
      </c>
      <c r="H314" s="23">
        <v>46.382228084180497</v>
      </c>
      <c r="I314" s="23">
        <v>0</v>
      </c>
      <c r="J314" s="23" t="s">
        <v>88</v>
      </c>
      <c r="K314" s="24">
        <v>44910.000001469911</v>
      </c>
      <c r="L314" s="23">
        <v>1</v>
      </c>
      <c r="M314" s="23" t="s">
        <v>168</v>
      </c>
      <c r="N314" s="46">
        <f t="shared" si="57"/>
        <v>1</v>
      </c>
      <c r="O314" s="47">
        <f t="shared" si="58"/>
        <v>2.173E-4</v>
      </c>
      <c r="P314" s="48">
        <f t="shared" si="59"/>
        <v>1.0078858162692422E-2</v>
      </c>
      <c r="Q314" s="25">
        <f t="shared" si="60"/>
        <v>0</v>
      </c>
      <c r="R314" s="26" t="str">
        <f t="shared" si="61"/>
        <v>COIN</v>
      </c>
      <c r="S314" s="26" t="str">
        <f t="shared" si="68"/>
        <v>LONG</v>
      </c>
      <c r="T314" s="26" t="str">
        <f t="shared" si="62"/>
        <v>COIN LONG</v>
      </c>
      <c r="U314" s="17">
        <f t="shared" si="63"/>
        <v>1.0078858162692401E-2</v>
      </c>
      <c r="V314" s="17">
        <f t="shared" si="64"/>
        <v>46.382228084180497</v>
      </c>
      <c r="W314" s="40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Shifted'!$AE$32:$AO$75,MATCH($R314,'Futures &amp; Perps Shifted'!$AE$30:$AO$30,0),FALSE),0),0)))</f>
        <v>0</v>
      </c>
      <c r="X314" s="17">
        <f t="shared" si="65"/>
        <v>0</v>
      </c>
      <c r="Y314" s="14" t="str">
        <f t="shared" si="66"/>
        <v>HUBI</v>
      </c>
      <c r="Z314" t="str">
        <f t="shared" si="67"/>
        <v>ZEC COIN LONG</v>
      </c>
    </row>
    <row r="315" spans="1:26" customFormat="1" x14ac:dyDescent="0.25">
      <c r="A315" s="14">
        <v>313</v>
      </c>
      <c r="B315" s="77">
        <v>44910.000001469911</v>
      </c>
      <c r="C315" s="14" t="s">
        <v>40</v>
      </c>
      <c r="D315" s="23" t="s">
        <v>123</v>
      </c>
      <c r="E315" s="23" t="s">
        <v>27</v>
      </c>
      <c r="F315" s="23">
        <v>19012302.002175301</v>
      </c>
      <c r="G315" s="23">
        <v>414285.150596319</v>
      </c>
      <c r="H315" s="23">
        <v>2.1790372914806299E-2</v>
      </c>
      <c r="I315" s="23">
        <v>0</v>
      </c>
      <c r="J315" s="23" t="s">
        <v>88</v>
      </c>
      <c r="K315" s="24">
        <v>44910.000001469911</v>
      </c>
      <c r="L315" s="23">
        <v>1</v>
      </c>
      <c r="M315" s="23" t="s">
        <v>27</v>
      </c>
      <c r="N315" s="46">
        <f t="shared" ref="N315:N378" si="69">IF($C315="","",IF(OR($J315="SWAP",$J315="FUTURE",$J315="CME FUTURE"),IF($L315=1,ROUND($G315/$H315/$F315,3),POWER(10,ROUND(LOG($G315/$F315),1))),1))</f>
        <v>1</v>
      </c>
      <c r="O315" s="47">
        <f>IF($C315="","",IF(OR($J315="SWAP",$J315="FUTURE",$J315="CME FUTURE"),IF($L315=1,$F315*$N315,$AA$2*$F315*$N315/$H315),F315))</f>
        <v>19012302.002175301</v>
      </c>
      <c r="P315" s="48">
        <f t="shared" si="59"/>
        <v>414285.15059631824</v>
      </c>
      <c r="Q315" s="25">
        <f t="shared" si="60"/>
        <v>0</v>
      </c>
      <c r="R315" s="26" t="str">
        <f t="shared" si="61"/>
        <v>COIN</v>
      </c>
      <c r="S315" s="26" t="str">
        <f t="shared" si="68"/>
        <v>LONG</v>
      </c>
      <c r="T315" s="26" t="str">
        <f t="shared" si="62"/>
        <v>COIN LONG</v>
      </c>
      <c r="U315" s="17">
        <f t="shared" si="63"/>
        <v>414285.150596319</v>
      </c>
      <c r="V315" s="17">
        <f t="shared" si="64"/>
        <v>2.1790372914806299E-2</v>
      </c>
      <c r="W315" s="40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Shifted'!$AE$32:$AO$75,MATCH($R315,'Futures &amp; Perps Shifted'!$AE$30:$AO$30,0),FALSE),0),0)))</f>
        <v>0</v>
      </c>
      <c r="X315" s="17">
        <f t="shared" si="65"/>
        <v>0</v>
      </c>
      <c r="Y315" s="14" t="str">
        <f t="shared" si="66"/>
        <v>HUBI</v>
      </c>
      <c r="Z315" t="str">
        <f t="shared" si="67"/>
        <v>ZIL COIN LONG</v>
      </c>
    </row>
    <row r="316" spans="1:26" customFormat="1" x14ac:dyDescent="0.25">
      <c r="A316" s="14">
        <v>314</v>
      </c>
      <c r="B316" s="77">
        <v>44910.000001469911</v>
      </c>
      <c r="C316" s="14" t="s">
        <v>40</v>
      </c>
      <c r="D316" s="23" t="s">
        <v>169</v>
      </c>
      <c r="E316" s="23" t="s">
        <v>21</v>
      </c>
      <c r="F316" s="23">
        <v>0.10004001</v>
      </c>
      <c r="G316" s="23">
        <v>10.9152150262303</v>
      </c>
      <c r="H316" s="23">
        <v>109.10849595307199</v>
      </c>
      <c r="I316" s="23">
        <v>0</v>
      </c>
      <c r="J316" s="23" t="s">
        <v>88</v>
      </c>
      <c r="K316" s="24">
        <v>44910.000001469911</v>
      </c>
      <c r="L316" s="23">
        <v>1</v>
      </c>
      <c r="M316" s="23" t="s">
        <v>21</v>
      </c>
      <c r="N316" s="46">
        <f t="shared" si="69"/>
        <v>1</v>
      </c>
      <c r="O316" s="47">
        <f t="shared" ref="O316:O379" si="70">IF($C316="","",IF(OR($J316="SWAP",$J316="FUTURE",$J316="CME FUTURE"),IF($L316=1,$F316*$N316,$AA$2*$F316*$N316/$H316),F316))</f>
        <v>0.10004001</v>
      </c>
      <c r="P316" s="48">
        <f t="shared" si="59"/>
        <v>10.915215026230282</v>
      </c>
      <c r="Q316" s="25">
        <f t="shared" si="60"/>
        <v>0</v>
      </c>
      <c r="R316" s="26" t="str">
        <f t="shared" si="61"/>
        <v>COIN</v>
      </c>
      <c r="S316" s="26" t="str">
        <f t="shared" si="68"/>
        <v>LONG</v>
      </c>
      <c r="T316" s="26" t="str">
        <f t="shared" si="62"/>
        <v>COIN LONG</v>
      </c>
      <c r="U316" s="17">
        <f t="shared" si="63"/>
        <v>10.9152150262303</v>
      </c>
      <c r="V316" s="17">
        <f t="shared" si="64"/>
        <v>109.10849595307199</v>
      </c>
      <c r="W316" s="40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Shifted'!$AE$32:$AO$75,MATCH($R316,'Futures &amp; Perps Shifted'!$AE$30:$AO$30,0),FALSE),0),0)))</f>
        <v>0</v>
      </c>
      <c r="X316" s="17">
        <f t="shared" si="65"/>
        <v>0</v>
      </c>
      <c r="Y316" s="14" t="str">
        <f t="shared" si="66"/>
        <v>HUBI</v>
      </c>
      <c r="Z316" t="str">
        <f t="shared" si="67"/>
        <v>BCH COIN LONG</v>
      </c>
    </row>
    <row r="317" spans="1:26" customFormat="1" x14ac:dyDescent="0.25">
      <c r="A317" s="14">
        <v>315</v>
      </c>
      <c r="B317" s="77">
        <v>44910.000001469911</v>
      </c>
      <c r="C317" s="14" t="s">
        <v>40</v>
      </c>
      <c r="D317" s="23" t="s">
        <v>169</v>
      </c>
      <c r="E317" s="23" t="s">
        <v>24</v>
      </c>
      <c r="F317" s="23">
        <v>720921.74999677006</v>
      </c>
      <c r="G317" s="23">
        <v>705076.85358146497</v>
      </c>
      <c r="H317" s="23">
        <v>0.97802133669101299</v>
      </c>
      <c r="I317" s="23">
        <v>0</v>
      </c>
      <c r="J317" s="23" t="s">
        <v>88</v>
      </c>
      <c r="K317" s="24">
        <v>44910.000001469911</v>
      </c>
      <c r="L317" s="23">
        <v>1</v>
      </c>
      <c r="M317" s="23" t="s">
        <v>24</v>
      </c>
      <c r="N317" s="46">
        <f t="shared" si="69"/>
        <v>1</v>
      </c>
      <c r="O317" s="47">
        <f t="shared" si="70"/>
        <v>720921.74999677006</v>
      </c>
      <c r="P317" s="48">
        <f t="shared" si="59"/>
        <v>705076.85358146532</v>
      </c>
      <c r="Q317" s="25">
        <f t="shared" si="60"/>
        <v>0</v>
      </c>
      <c r="R317" s="26" t="str">
        <f t="shared" si="61"/>
        <v>COIN</v>
      </c>
      <c r="S317" s="26" t="str">
        <f t="shared" si="68"/>
        <v>LONG</v>
      </c>
      <c r="T317" s="26" t="str">
        <f t="shared" si="62"/>
        <v>COIN LONG</v>
      </c>
      <c r="U317" s="17">
        <f t="shared" si="63"/>
        <v>705076.85358146497</v>
      </c>
      <c r="V317" s="17">
        <f t="shared" si="64"/>
        <v>0.97802133669101299</v>
      </c>
      <c r="W317" s="40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Shifted'!$AE$32:$AO$75,MATCH($R317,'Futures &amp; Perps Shifted'!$AE$30:$AO$30,0),FALSE),0),0)))</f>
        <v>0</v>
      </c>
      <c r="X317" s="17">
        <f t="shared" si="65"/>
        <v>0</v>
      </c>
      <c r="Y317" s="14" t="str">
        <f t="shared" si="66"/>
        <v>HUBI</v>
      </c>
      <c r="Z317" t="str">
        <f t="shared" si="67"/>
        <v>EOS COIN LONG</v>
      </c>
    </row>
    <row r="318" spans="1:26" customFormat="1" x14ac:dyDescent="0.25">
      <c r="A318" s="14">
        <v>316</v>
      </c>
      <c r="B318" s="77">
        <v>44910.000001469911</v>
      </c>
      <c r="C318" s="14" t="s">
        <v>40</v>
      </c>
      <c r="D318" s="23" t="s">
        <v>169</v>
      </c>
      <c r="E318" s="23" t="s">
        <v>30</v>
      </c>
      <c r="F318" s="23">
        <v>1E-8</v>
      </c>
      <c r="G318" s="23">
        <v>1.87876872284171E-7</v>
      </c>
      <c r="H318" s="23">
        <v>18.787687228417099</v>
      </c>
      <c r="I318" s="23">
        <v>0</v>
      </c>
      <c r="J318" s="23" t="s">
        <v>88</v>
      </c>
      <c r="K318" s="24">
        <v>44910.000001469911</v>
      </c>
      <c r="L318" s="23">
        <v>1</v>
      </c>
      <c r="M318" s="23" t="s">
        <v>30</v>
      </c>
      <c r="N318" s="46">
        <f t="shared" si="69"/>
        <v>1</v>
      </c>
      <c r="O318" s="47">
        <f t="shared" si="70"/>
        <v>1E-8</v>
      </c>
      <c r="P318" s="48">
        <f t="shared" si="59"/>
        <v>1.87876872284171E-7</v>
      </c>
      <c r="Q318" s="25">
        <f t="shared" si="60"/>
        <v>0</v>
      </c>
      <c r="R318" s="26" t="str">
        <f t="shared" si="61"/>
        <v>COIN</v>
      </c>
      <c r="S318" s="26" t="str">
        <f t="shared" si="68"/>
        <v>LONG</v>
      </c>
      <c r="T318" s="26" t="str">
        <f t="shared" si="62"/>
        <v>COIN LONG</v>
      </c>
      <c r="U318" s="17">
        <f t="shared" si="63"/>
        <v>1.87876872284171E-7</v>
      </c>
      <c r="V318" s="17">
        <f t="shared" si="64"/>
        <v>18.787687228417099</v>
      </c>
      <c r="W318" s="40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Shifted'!$AE$32:$AO$75,MATCH($R318,'Futures &amp; Perps Shifted'!$AE$30:$AO$30,0),FALSE),0),0)))</f>
        <v>0</v>
      </c>
      <c r="X318" s="17">
        <f t="shared" si="65"/>
        <v>0</v>
      </c>
      <c r="Y318" s="14" t="str">
        <f t="shared" si="66"/>
        <v>HUBI</v>
      </c>
      <c r="Z318" t="str">
        <f t="shared" si="67"/>
        <v>ETC COIN LONG</v>
      </c>
    </row>
    <row r="319" spans="1:26" customFormat="1" x14ac:dyDescent="0.25">
      <c r="A319" s="14">
        <v>317</v>
      </c>
      <c r="B319" s="77">
        <v>44910.000001469911</v>
      </c>
      <c r="C319" s="14" t="s">
        <v>40</v>
      </c>
      <c r="D319" s="23" t="s">
        <v>169</v>
      </c>
      <c r="E319" s="23" t="s">
        <v>25</v>
      </c>
      <c r="F319" s="23">
        <v>5942.5685764899999</v>
      </c>
      <c r="G319" s="23">
        <v>448520.495586965</v>
      </c>
      <c r="H319" s="23">
        <v>75.475863646134997</v>
      </c>
      <c r="I319" s="23">
        <v>0</v>
      </c>
      <c r="J319" s="23" t="s">
        <v>88</v>
      </c>
      <c r="K319" s="24">
        <v>44910.000001469911</v>
      </c>
      <c r="L319" s="23">
        <v>1</v>
      </c>
      <c r="M319" s="23" t="s">
        <v>25</v>
      </c>
      <c r="N319" s="46">
        <f t="shared" si="69"/>
        <v>1</v>
      </c>
      <c r="O319" s="47">
        <f t="shared" si="70"/>
        <v>5942.5685764899999</v>
      </c>
      <c r="P319" s="48">
        <f t="shared" si="59"/>
        <v>448520.49558696576</v>
      </c>
      <c r="Q319" s="25">
        <f t="shared" si="60"/>
        <v>0</v>
      </c>
      <c r="R319" s="26" t="str">
        <f t="shared" si="61"/>
        <v>COIN</v>
      </c>
      <c r="S319" s="26" t="str">
        <f t="shared" si="68"/>
        <v>LONG</v>
      </c>
      <c r="T319" s="26" t="str">
        <f t="shared" si="62"/>
        <v>COIN LONG</v>
      </c>
      <c r="U319" s="17">
        <f t="shared" si="63"/>
        <v>448520.495586965</v>
      </c>
      <c r="V319" s="17">
        <f t="shared" si="64"/>
        <v>75.475863646134997</v>
      </c>
      <c r="W319" s="40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Shifted'!$AE$32:$AO$75,MATCH($R319,'Futures &amp; Perps Shifted'!$AE$30:$AO$30,0),FALSE),0),0)))</f>
        <v>0</v>
      </c>
      <c r="X319" s="17">
        <f t="shared" si="65"/>
        <v>0</v>
      </c>
      <c r="Y319" s="14" t="str">
        <f t="shared" si="66"/>
        <v>HUBI</v>
      </c>
      <c r="Z319" t="str">
        <f t="shared" si="67"/>
        <v>LTC COIN LONG</v>
      </c>
    </row>
    <row r="320" spans="1:26" customFormat="1" x14ac:dyDescent="0.25">
      <c r="A320" s="14">
        <v>318</v>
      </c>
      <c r="B320" s="77">
        <v>44910.000001469911</v>
      </c>
      <c r="C320" s="14" t="s">
        <v>40</v>
      </c>
      <c r="D320" s="23" t="s">
        <v>169</v>
      </c>
      <c r="E320" s="23" t="s">
        <v>26</v>
      </c>
      <c r="F320" s="23">
        <v>1E-8</v>
      </c>
      <c r="G320" s="23">
        <v>5.5666357131219E-10</v>
      </c>
      <c r="H320" s="23">
        <v>5.5666357131219001E-2</v>
      </c>
      <c r="I320" s="23">
        <v>0</v>
      </c>
      <c r="J320" s="23" t="s">
        <v>88</v>
      </c>
      <c r="K320" s="24">
        <v>44910.000001469911</v>
      </c>
      <c r="L320" s="23">
        <v>1</v>
      </c>
      <c r="M320" s="23" t="s">
        <v>26</v>
      </c>
      <c r="N320" s="46">
        <f t="shared" si="69"/>
        <v>1</v>
      </c>
      <c r="O320" s="47">
        <f t="shared" si="70"/>
        <v>1E-8</v>
      </c>
      <c r="P320" s="48">
        <f t="shared" si="59"/>
        <v>5.5666357131219E-10</v>
      </c>
      <c r="Q320" s="25">
        <f t="shared" si="60"/>
        <v>0</v>
      </c>
      <c r="R320" s="26" t="str">
        <f t="shared" si="61"/>
        <v>COIN</v>
      </c>
      <c r="S320" s="26" t="str">
        <f t="shared" si="68"/>
        <v>LONG</v>
      </c>
      <c r="T320" s="26" t="str">
        <f t="shared" si="62"/>
        <v>COIN LONG</v>
      </c>
      <c r="U320" s="17">
        <f t="shared" si="63"/>
        <v>5.5666357131219E-10</v>
      </c>
      <c r="V320" s="17">
        <f t="shared" si="64"/>
        <v>5.5666357131219001E-2</v>
      </c>
      <c r="W320" s="40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Shifted'!$AE$32:$AO$75,MATCH($R320,'Futures &amp; Perps Shifted'!$AE$30:$AO$30,0),FALSE),0),0)))</f>
        <v>0</v>
      </c>
      <c r="X320" s="17">
        <f t="shared" si="65"/>
        <v>0</v>
      </c>
      <c r="Y320" s="14" t="str">
        <f t="shared" si="66"/>
        <v>HUBI</v>
      </c>
      <c r="Z320" t="str">
        <f t="shared" si="67"/>
        <v>TRX COIN LONG</v>
      </c>
    </row>
    <row r="321" spans="1:26" customFormat="1" x14ac:dyDescent="0.25">
      <c r="A321" s="14">
        <v>319</v>
      </c>
      <c r="B321" s="77">
        <v>44910.000001469911</v>
      </c>
      <c r="C321" s="14" t="s">
        <v>40</v>
      </c>
      <c r="D321" s="23" t="s">
        <v>169</v>
      </c>
      <c r="E321" s="23" t="s">
        <v>39</v>
      </c>
      <c r="F321" s="23">
        <v>638678.88282727997</v>
      </c>
      <c r="G321" s="23">
        <v>638746.20617559401</v>
      </c>
      <c r="H321" s="23">
        <v>1.0001054103245299</v>
      </c>
      <c r="I321" s="23">
        <v>0</v>
      </c>
      <c r="J321" s="23" t="s">
        <v>88</v>
      </c>
      <c r="K321" s="24">
        <v>44910.000001469911</v>
      </c>
      <c r="L321" s="23">
        <v>1</v>
      </c>
      <c r="M321" s="23" t="s">
        <v>39</v>
      </c>
      <c r="N321" s="46">
        <f t="shared" si="69"/>
        <v>1</v>
      </c>
      <c r="O321" s="47">
        <f t="shared" si="70"/>
        <v>638678.88282727997</v>
      </c>
      <c r="P321" s="48">
        <f t="shared" si="59"/>
        <v>638746.20617558924</v>
      </c>
      <c r="Q321" s="25">
        <f t="shared" si="60"/>
        <v>0</v>
      </c>
      <c r="R321" s="26" t="str">
        <f t="shared" si="61"/>
        <v>COIN</v>
      </c>
      <c r="S321" s="26" t="str">
        <f t="shared" si="68"/>
        <v>LONG</v>
      </c>
      <c r="T321" s="26" t="str">
        <f t="shared" si="62"/>
        <v>COIN LONG</v>
      </c>
      <c r="U321" s="17">
        <f t="shared" si="63"/>
        <v>638746.20617559401</v>
      </c>
      <c r="V321" s="17">
        <f t="shared" si="64"/>
        <v>1.0001054103245299</v>
      </c>
      <c r="W321" s="40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Shifted'!$AE$32:$AO$75,MATCH($R321,'Futures &amp; Perps Shifted'!$AE$30:$AO$30,0),FALSE),0),0)))</f>
        <v>0</v>
      </c>
      <c r="X321" s="17">
        <f t="shared" si="65"/>
        <v>0</v>
      </c>
      <c r="Y321" s="14" t="str">
        <f t="shared" si="66"/>
        <v>HUBI</v>
      </c>
      <c r="Z321" t="str">
        <f t="shared" si="67"/>
        <v>USDT COIN LONG</v>
      </c>
    </row>
    <row r="322" spans="1:26" customFormat="1" x14ac:dyDescent="0.25">
      <c r="A322" s="14">
        <v>320</v>
      </c>
      <c r="B322" s="77">
        <v>44910.000001469911</v>
      </c>
      <c r="C322" s="14" t="s">
        <v>40</v>
      </c>
      <c r="D322" s="23" t="s">
        <v>169</v>
      </c>
      <c r="E322" s="23" t="s">
        <v>102</v>
      </c>
      <c r="F322" s="23">
        <v>7.6039999999999997E-5</v>
      </c>
      <c r="G322" s="23">
        <v>2.9382899099889999E-5</v>
      </c>
      <c r="H322" s="23">
        <v>0.38641371777866901</v>
      </c>
      <c r="I322" s="23">
        <v>0</v>
      </c>
      <c r="J322" s="23" t="s">
        <v>88</v>
      </c>
      <c r="K322" s="24">
        <v>44910.000001469911</v>
      </c>
      <c r="L322" s="23">
        <v>1</v>
      </c>
      <c r="M322" s="23" t="s">
        <v>102</v>
      </c>
      <c r="N322" s="46">
        <f t="shared" si="69"/>
        <v>1</v>
      </c>
      <c r="O322" s="47">
        <f t="shared" si="70"/>
        <v>7.6039999999999997E-5</v>
      </c>
      <c r="P322" s="48">
        <f t="shared" ref="P322:P385" si="71">IF($C322="","",IF(OR($J322="SWAP",$J322="FUTURE",$J322="CME FUTURE"),IF(NOT(ISERROR(VLOOKUP($M322,SpotUSDRateTable,2,FALSE))),VLOOKUP($M322,SpotUSDRateTable,2,FALSE),$H322)*O322,VLOOKUP($M322,SpotUSDRateTable,2,FALSE)*O322))</f>
        <v>2.9382899099889989E-5</v>
      </c>
      <c r="Q322" s="25">
        <f t="shared" si="60"/>
        <v>0</v>
      </c>
      <c r="R322" s="26" t="str">
        <f t="shared" si="61"/>
        <v>COIN</v>
      </c>
      <c r="S322" s="26" t="str">
        <f t="shared" si="68"/>
        <v>LONG</v>
      </c>
      <c r="T322" s="26" t="str">
        <f t="shared" si="62"/>
        <v>COIN LONG</v>
      </c>
      <c r="U322" s="17">
        <f t="shared" si="63"/>
        <v>2.9382899099889999E-5</v>
      </c>
      <c r="V322" s="17">
        <f t="shared" si="64"/>
        <v>0.38641371777866901</v>
      </c>
      <c r="W322" s="40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Shifted'!$AE$32:$AO$75,MATCH($R322,'Futures &amp; Perps Shifted'!$AE$30:$AO$30,0),FALSE),0),0)))</f>
        <v>0</v>
      </c>
      <c r="X322" s="17">
        <f t="shared" si="65"/>
        <v>0</v>
      </c>
      <c r="Y322" s="14" t="str">
        <f t="shared" si="66"/>
        <v>HUBI</v>
      </c>
      <c r="Z322" t="str">
        <f t="shared" si="67"/>
        <v>XRP COIN LONG</v>
      </c>
    </row>
    <row r="323" spans="1:26" customFormat="1" x14ac:dyDescent="0.25">
      <c r="A323" s="14">
        <v>321</v>
      </c>
      <c r="B323" s="77">
        <v>44909.91698321759</v>
      </c>
      <c r="C323" s="14" t="s">
        <v>170</v>
      </c>
      <c r="D323" s="23" t="s">
        <v>170</v>
      </c>
      <c r="E323" s="23" t="s">
        <v>36</v>
      </c>
      <c r="F323" s="23">
        <v>0.331542</v>
      </c>
      <c r="G323" s="23">
        <v>3.1858330890608899</v>
      </c>
      <c r="H323" s="23">
        <v>9.6091387789809204</v>
      </c>
      <c r="I323" s="23">
        <v>0</v>
      </c>
      <c r="J323" s="23" t="s">
        <v>88</v>
      </c>
      <c r="K323" s="24">
        <v>44909.91698321759</v>
      </c>
      <c r="L323" s="23">
        <v>1</v>
      </c>
      <c r="M323" s="23" t="s">
        <v>36</v>
      </c>
      <c r="N323" s="46">
        <f t="shared" si="69"/>
        <v>1</v>
      </c>
      <c r="O323" s="47">
        <f t="shared" si="70"/>
        <v>0.331542</v>
      </c>
      <c r="P323" s="48">
        <f t="shared" si="71"/>
        <v>3.1858330890608921</v>
      </c>
      <c r="Q323" s="25">
        <f t="shared" ref="Q323:Q386" si="72">IF($C323="","",IF(OR($J323="SWAP",$J323="FUTURE",$J323="CME FUTURE"),INT($K323-$B323),0))</f>
        <v>0</v>
      </c>
      <c r="R323" s="26" t="str">
        <f t="shared" ref="R323:R386" si="73">IF($C323="","",IF(OR($E323="USD",$E323="EUR"),"CASH",IF($Q323=0,"COIN",IF($Q323&gt;720,"PERP",IF($J323="FUTURE",TEXT($K323-1,"mmm yy"),"CME "&amp;TEXT($K323-1,"mmm yy"))))))</f>
        <v>COIN</v>
      </c>
      <c r="S323" s="26" t="str">
        <f t="shared" si="68"/>
        <v>LONG</v>
      </c>
      <c r="T323" s="26" t="str">
        <f t="shared" ref="T323:T386" si="74">IF($C323="","",$R323&amp;" "&amp;$S323)</f>
        <v>COIN LONG</v>
      </c>
      <c r="U323" s="17">
        <f t="shared" ref="U323:U386" si="75">IF($C323="","",$G323*(1+$W323))</f>
        <v>3.1858330890608899</v>
      </c>
      <c r="V323" s="17">
        <f t="shared" ref="V323:V386" si="76">IF($C323="","",$H323*(1+$W323))</f>
        <v>9.6091387789809204</v>
      </c>
      <c r="W323" s="40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Shifted'!$AE$32:$AO$75,MATCH($R323,'Futures &amp; Perps Shifted'!$AE$30:$AO$30,0),FALSE),0),0)))</f>
        <v>0</v>
      </c>
      <c r="X323" s="17">
        <f t="shared" ref="X323:X386" si="77">IF($C323="","",$U323-$G323)</f>
        <v>0</v>
      </c>
      <c r="Y323" s="14" t="str">
        <f t="shared" ref="Y323:Y386" si="78">IF($C323="","",IF(ISERROR(SEARCH("-",$D323)),$D323,LEFT($D323,SEARCH("-",$D323)-1)))</f>
        <v>KRKE</v>
      </c>
      <c r="Z323" t="str">
        <f t="shared" ref="Z323:Z386" si="79">IF($C323="","",$M323&amp;" "&amp;$T323)</f>
        <v>ATOM COIN LONG</v>
      </c>
    </row>
    <row r="324" spans="1:26" customFormat="1" x14ac:dyDescent="0.25">
      <c r="A324" s="14">
        <v>322</v>
      </c>
      <c r="B324" s="77">
        <v>44909.916983020834</v>
      </c>
      <c r="C324" s="14" t="s">
        <v>170</v>
      </c>
      <c r="D324" s="23" t="s">
        <v>170</v>
      </c>
      <c r="E324" s="23" t="s">
        <v>21</v>
      </c>
      <c r="F324" s="23">
        <v>1.7695412699999999</v>
      </c>
      <c r="G324" s="23">
        <v>193.07198649659</v>
      </c>
      <c r="H324" s="23">
        <v>109.10849595307199</v>
      </c>
      <c r="I324" s="23">
        <v>0</v>
      </c>
      <c r="J324" s="23" t="s">
        <v>88</v>
      </c>
      <c r="K324" s="24">
        <v>44909.916983020834</v>
      </c>
      <c r="L324" s="23">
        <v>1</v>
      </c>
      <c r="M324" s="23" t="s">
        <v>21</v>
      </c>
      <c r="N324" s="46">
        <f t="shared" si="69"/>
        <v>1</v>
      </c>
      <c r="O324" s="47">
        <f t="shared" si="70"/>
        <v>1.7695412699999999</v>
      </c>
      <c r="P324" s="48">
        <f t="shared" si="71"/>
        <v>193.07198649658886</v>
      </c>
      <c r="Q324" s="25">
        <f t="shared" si="72"/>
        <v>0</v>
      </c>
      <c r="R324" s="26" t="str">
        <f t="shared" si="73"/>
        <v>COIN</v>
      </c>
      <c r="S324" s="26" t="str">
        <f t="shared" si="68"/>
        <v>LONG</v>
      </c>
      <c r="T324" s="26" t="str">
        <f t="shared" si="74"/>
        <v>COIN LONG</v>
      </c>
      <c r="U324" s="17">
        <f t="shared" si="75"/>
        <v>193.07198649659</v>
      </c>
      <c r="V324" s="17">
        <f t="shared" si="76"/>
        <v>109.10849595307199</v>
      </c>
      <c r="W324" s="40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Shifted'!$AE$32:$AO$75,MATCH($R324,'Futures &amp; Perps Shifted'!$AE$30:$AO$30,0),FALSE),0),0)))</f>
        <v>0</v>
      </c>
      <c r="X324" s="17">
        <f t="shared" si="77"/>
        <v>0</v>
      </c>
      <c r="Y324" s="14" t="str">
        <f t="shared" si="78"/>
        <v>KRKE</v>
      </c>
      <c r="Z324" t="str">
        <f t="shared" si="79"/>
        <v>BCH COIN LONG</v>
      </c>
    </row>
    <row r="325" spans="1:26" customFormat="1" x14ac:dyDescent="0.25">
      <c r="A325" s="14">
        <v>323</v>
      </c>
      <c r="B325" s="77">
        <v>44909.916983020834</v>
      </c>
      <c r="C325" s="14" t="s">
        <v>170</v>
      </c>
      <c r="D325" s="23" t="s">
        <v>170</v>
      </c>
      <c r="E325" s="23" t="s">
        <v>15</v>
      </c>
      <c r="F325" s="23">
        <v>1.8847760000000002E-2</v>
      </c>
      <c r="G325" s="23">
        <v>335.78509270449501</v>
      </c>
      <c r="H325" s="23">
        <v>17815.649854650899</v>
      </c>
      <c r="I325" s="23">
        <v>0</v>
      </c>
      <c r="J325" s="23" t="s">
        <v>88</v>
      </c>
      <c r="K325" s="24">
        <v>44909.916983020834</v>
      </c>
      <c r="L325" s="23">
        <v>1</v>
      </c>
      <c r="M325" s="23" t="s">
        <v>15</v>
      </c>
      <c r="N325" s="46">
        <f t="shared" si="69"/>
        <v>1</v>
      </c>
      <c r="O325" s="47">
        <f t="shared" si="70"/>
        <v>1.8847760000000002E-2</v>
      </c>
      <c r="P325" s="48">
        <f t="shared" si="71"/>
        <v>335.78509270449507</v>
      </c>
      <c r="Q325" s="25">
        <f t="shared" si="72"/>
        <v>0</v>
      </c>
      <c r="R325" s="26" t="str">
        <f t="shared" si="73"/>
        <v>COIN</v>
      </c>
      <c r="S325" s="26" t="str">
        <f t="shared" si="68"/>
        <v>LONG</v>
      </c>
      <c r="T325" s="26" t="str">
        <f t="shared" si="74"/>
        <v>COIN LONG</v>
      </c>
      <c r="U325" s="17">
        <f t="shared" si="75"/>
        <v>335.78509270449501</v>
      </c>
      <c r="V325" s="17">
        <f t="shared" si="76"/>
        <v>17815.649854650899</v>
      </c>
      <c r="W325" s="40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Shifted'!$AE$32:$AO$75,MATCH($R325,'Futures &amp; Perps Shifted'!$AE$30:$AO$30,0),FALSE),0),0)))</f>
        <v>0</v>
      </c>
      <c r="X325" s="17">
        <f t="shared" si="77"/>
        <v>0</v>
      </c>
      <c r="Y325" s="14" t="str">
        <f t="shared" si="78"/>
        <v>KRKE</v>
      </c>
      <c r="Z325" t="str">
        <f t="shared" si="79"/>
        <v>BTC COIN LONG</v>
      </c>
    </row>
    <row r="326" spans="1:26" customFormat="1" x14ac:dyDescent="0.25">
      <c r="A326" s="14">
        <v>324</v>
      </c>
      <c r="B326" s="77">
        <v>44909.916983020834</v>
      </c>
      <c r="C326" s="14" t="s">
        <v>170</v>
      </c>
      <c r="D326" s="23" t="s">
        <v>170</v>
      </c>
      <c r="E326" s="23" t="s">
        <v>24</v>
      </c>
      <c r="F326" s="23">
        <v>9.9499194400000004</v>
      </c>
      <c r="G326" s="23">
        <v>9.7312335106767005</v>
      </c>
      <c r="H326" s="23">
        <v>0.97802133669101299</v>
      </c>
      <c r="I326" s="23">
        <v>0</v>
      </c>
      <c r="J326" s="23" t="s">
        <v>88</v>
      </c>
      <c r="K326" s="24">
        <v>44909.916983020834</v>
      </c>
      <c r="L326" s="23">
        <v>1</v>
      </c>
      <c r="M326" s="23" t="s">
        <v>24</v>
      </c>
      <c r="N326" s="46">
        <f t="shared" si="69"/>
        <v>1</v>
      </c>
      <c r="O326" s="47">
        <f t="shared" si="70"/>
        <v>9.9499194400000004</v>
      </c>
      <c r="P326" s="48">
        <f t="shared" si="71"/>
        <v>9.7312335106766952</v>
      </c>
      <c r="Q326" s="25">
        <f t="shared" si="72"/>
        <v>0</v>
      </c>
      <c r="R326" s="26" t="str">
        <f t="shared" si="73"/>
        <v>COIN</v>
      </c>
      <c r="S326" s="26" t="str">
        <f t="shared" si="68"/>
        <v>LONG</v>
      </c>
      <c r="T326" s="26" t="str">
        <f t="shared" si="74"/>
        <v>COIN LONG</v>
      </c>
      <c r="U326" s="17">
        <f t="shared" si="75"/>
        <v>9.7312335106767005</v>
      </c>
      <c r="V326" s="17">
        <f t="shared" si="76"/>
        <v>0.97802133669101299</v>
      </c>
      <c r="W326" s="40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Shifted'!$AE$32:$AO$75,MATCH($R326,'Futures &amp; Perps Shifted'!$AE$30:$AO$30,0),FALSE),0),0)))</f>
        <v>0</v>
      </c>
      <c r="X326" s="17">
        <f t="shared" si="77"/>
        <v>0</v>
      </c>
      <c r="Y326" s="14" t="str">
        <f t="shared" si="78"/>
        <v>KRKE</v>
      </c>
      <c r="Z326" t="str">
        <f t="shared" si="79"/>
        <v>EOS COIN LONG</v>
      </c>
    </row>
    <row r="327" spans="1:26" customFormat="1" x14ac:dyDescent="0.25">
      <c r="A327" s="14">
        <v>325</v>
      </c>
      <c r="B327" s="77">
        <v>44909.916983020834</v>
      </c>
      <c r="C327" s="14" t="s">
        <v>170</v>
      </c>
      <c r="D327" s="23" t="s">
        <v>170</v>
      </c>
      <c r="E327" s="23" t="s">
        <v>275</v>
      </c>
      <c r="F327" s="23">
        <v>3.4037359</v>
      </c>
      <c r="G327" s="23">
        <v>12.050968374856501</v>
      </c>
      <c r="H327" s="23">
        <v>3.5405121692480601</v>
      </c>
      <c r="I327" s="23">
        <v>0</v>
      </c>
      <c r="J327" s="23" t="s">
        <v>88</v>
      </c>
      <c r="K327" s="24">
        <v>44909.916983020834</v>
      </c>
      <c r="L327" s="23">
        <v>1</v>
      </c>
      <c r="M327" s="23" t="s">
        <v>275</v>
      </c>
      <c r="N327" s="46">
        <f t="shared" si="69"/>
        <v>1</v>
      </c>
      <c r="O327" s="47">
        <f t="shared" si="70"/>
        <v>3.4037359</v>
      </c>
      <c r="P327" s="48">
        <f t="shared" si="71"/>
        <v>12.050968374856499</v>
      </c>
      <c r="Q327" s="25">
        <f t="shared" si="72"/>
        <v>0</v>
      </c>
      <c r="R327" s="26" t="str">
        <f t="shared" si="73"/>
        <v>COIN</v>
      </c>
      <c r="S327" s="26" t="str">
        <f t="shared" si="68"/>
        <v>LONG</v>
      </c>
      <c r="T327" s="26" t="str">
        <f t="shared" si="74"/>
        <v>COIN LONG</v>
      </c>
      <c r="U327" s="17">
        <f t="shared" si="75"/>
        <v>12.050968374856501</v>
      </c>
      <c r="V327" s="17">
        <f t="shared" si="76"/>
        <v>3.5405121692480601</v>
      </c>
      <c r="W327" s="40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Shifted'!$AE$32:$AO$75,MATCH($R327,'Futures &amp; Perps Shifted'!$AE$30:$AO$30,0),FALSE),0),0)))</f>
        <v>0</v>
      </c>
      <c r="X327" s="17">
        <f t="shared" si="77"/>
        <v>0</v>
      </c>
      <c r="Y327" s="14" t="str">
        <f t="shared" si="78"/>
        <v>KRKE</v>
      </c>
      <c r="Z327" t="str">
        <f t="shared" si="79"/>
        <v>ETHW COIN LONG</v>
      </c>
    </row>
    <row r="328" spans="1:26" customFormat="1" x14ac:dyDescent="0.25">
      <c r="A328" s="14">
        <v>326</v>
      </c>
      <c r="B328" s="77">
        <v>44909.916983020834</v>
      </c>
      <c r="C328" s="14" t="s">
        <v>170</v>
      </c>
      <c r="D328" s="23" t="s">
        <v>170</v>
      </c>
      <c r="E328" s="23" t="s">
        <v>25</v>
      </c>
      <c r="F328" s="23">
        <v>9.1421368100000002</v>
      </c>
      <c r="G328" s="23">
        <v>690.01067130587103</v>
      </c>
      <c r="H328" s="23">
        <v>75.475863646134997</v>
      </c>
      <c r="I328" s="23">
        <v>0</v>
      </c>
      <c r="J328" s="23" t="s">
        <v>88</v>
      </c>
      <c r="K328" s="24">
        <v>44909.916983020834</v>
      </c>
      <c r="L328" s="23">
        <v>1</v>
      </c>
      <c r="M328" s="23" t="s">
        <v>25</v>
      </c>
      <c r="N328" s="46">
        <f t="shared" si="69"/>
        <v>1</v>
      </c>
      <c r="O328" s="47">
        <f t="shared" si="70"/>
        <v>9.1421368100000002</v>
      </c>
      <c r="P328" s="48">
        <f t="shared" si="71"/>
        <v>690.0106713058716</v>
      </c>
      <c r="Q328" s="25">
        <f t="shared" si="72"/>
        <v>0</v>
      </c>
      <c r="R328" s="26" t="str">
        <f t="shared" si="73"/>
        <v>COIN</v>
      </c>
      <c r="S328" s="26" t="str">
        <f t="shared" si="68"/>
        <v>LONG</v>
      </c>
      <c r="T328" s="26" t="str">
        <f t="shared" si="74"/>
        <v>COIN LONG</v>
      </c>
      <c r="U328" s="17">
        <f t="shared" si="75"/>
        <v>690.01067130587103</v>
      </c>
      <c r="V328" s="17">
        <f t="shared" si="76"/>
        <v>75.475863646134997</v>
      </c>
      <c r="W328" s="40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Shifted'!$AE$32:$AO$75,MATCH($R328,'Futures &amp; Perps Shifted'!$AE$30:$AO$30,0),FALSE),0),0)))</f>
        <v>0</v>
      </c>
      <c r="X328" s="17">
        <f t="shared" si="77"/>
        <v>0</v>
      </c>
      <c r="Y328" s="14" t="str">
        <f t="shared" si="78"/>
        <v>KRKE</v>
      </c>
      <c r="Z328" t="str">
        <f t="shared" si="79"/>
        <v>LTC COIN LONG</v>
      </c>
    </row>
    <row r="329" spans="1:26" customFormat="1" x14ac:dyDescent="0.25">
      <c r="A329" s="14">
        <v>327</v>
      </c>
      <c r="B329" s="77">
        <v>44909.916983020834</v>
      </c>
      <c r="C329" s="14" t="s">
        <v>170</v>
      </c>
      <c r="D329" s="23" t="s">
        <v>170</v>
      </c>
      <c r="E329" s="23" t="s">
        <v>92</v>
      </c>
      <c r="F329" s="23">
        <v>608071.39262864005</v>
      </c>
      <c r="G329" s="23">
        <v>49361.9412963758</v>
      </c>
      <c r="H329" s="23">
        <v>8.1177871372945895E-2</v>
      </c>
      <c r="I329" s="23">
        <v>0</v>
      </c>
      <c r="J329" s="23" t="s">
        <v>88</v>
      </c>
      <c r="K329" s="24">
        <v>44909.916983020834</v>
      </c>
      <c r="L329" s="23">
        <v>1</v>
      </c>
      <c r="M329" s="23" t="s">
        <v>92</v>
      </c>
      <c r="N329" s="46">
        <f t="shared" si="69"/>
        <v>1</v>
      </c>
      <c r="O329" s="47">
        <f t="shared" si="70"/>
        <v>608071.39262864005</v>
      </c>
      <c r="P329" s="48">
        <f t="shared" si="71"/>
        <v>49361.941296375822</v>
      </c>
      <c r="Q329" s="25">
        <f t="shared" si="72"/>
        <v>0</v>
      </c>
      <c r="R329" s="26" t="str">
        <f t="shared" si="73"/>
        <v>COIN</v>
      </c>
      <c r="S329" s="26" t="str">
        <f t="shared" si="68"/>
        <v>LONG</v>
      </c>
      <c r="T329" s="26" t="str">
        <f t="shared" si="74"/>
        <v>COIN LONG</v>
      </c>
      <c r="U329" s="17">
        <f t="shared" si="75"/>
        <v>49361.9412963758</v>
      </c>
      <c r="V329" s="17">
        <f t="shared" si="76"/>
        <v>8.1177871372945895E-2</v>
      </c>
      <c r="W329" s="40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Shifted'!$AE$32:$AO$75,MATCH($R329,'Futures &amp; Perps Shifted'!$AE$30:$AO$30,0),FALSE),0),0)))</f>
        <v>0</v>
      </c>
      <c r="X329" s="17">
        <f t="shared" si="77"/>
        <v>0</v>
      </c>
      <c r="Y329" s="14" t="str">
        <f t="shared" si="78"/>
        <v>KRKE</v>
      </c>
      <c r="Z329" t="str">
        <f t="shared" si="79"/>
        <v>OXT COIN LONG</v>
      </c>
    </row>
    <row r="330" spans="1:26" customFormat="1" x14ac:dyDescent="0.25">
      <c r="A330" s="14">
        <v>328</v>
      </c>
      <c r="B330" s="77">
        <v>44909.916982870367</v>
      </c>
      <c r="C330" s="14" t="s">
        <v>170</v>
      </c>
      <c r="D330" s="23" t="s">
        <v>170</v>
      </c>
      <c r="E330" s="23" t="s">
        <v>101</v>
      </c>
      <c r="F330" s="23">
        <v>0.10834547999999999</v>
      </c>
      <c r="G330" s="23">
        <v>1.2892752320166499E-3</v>
      </c>
      <c r="H330" s="23">
        <v>1.1899667914311201E-2</v>
      </c>
      <c r="I330" s="23">
        <v>0</v>
      </c>
      <c r="J330" s="23" t="s">
        <v>88</v>
      </c>
      <c r="K330" s="24">
        <v>44909.916982870367</v>
      </c>
      <c r="L330" s="23">
        <v>1</v>
      </c>
      <c r="M330" s="23" t="s">
        <v>101</v>
      </c>
      <c r="N330" s="46">
        <f t="shared" si="69"/>
        <v>1</v>
      </c>
      <c r="O330" s="47">
        <f t="shared" si="70"/>
        <v>0.10834547999999999</v>
      </c>
      <c r="P330" s="48">
        <f t="shared" si="71"/>
        <v>1.2892752320166458E-3</v>
      </c>
      <c r="Q330" s="25">
        <f t="shared" si="72"/>
        <v>0</v>
      </c>
      <c r="R330" s="26" t="str">
        <f t="shared" si="73"/>
        <v>COIN</v>
      </c>
      <c r="S330" s="26" t="str">
        <f t="shared" si="68"/>
        <v>LONG</v>
      </c>
      <c r="T330" s="26" t="str">
        <f t="shared" si="74"/>
        <v>COIN LONG</v>
      </c>
      <c r="U330" s="17">
        <f t="shared" si="75"/>
        <v>1.2892752320166499E-3</v>
      </c>
      <c r="V330" s="17">
        <f t="shared" si="76"/>
        <v>1.1899667914311201E-2</v>
      </c>
      <c r="W330" s="40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Shifted'!$AE$32:$AO$75,MATCH($R330,'Futures &amp; Perps Shifted'!$AE$30:$AO$30,0),FALSE),0),0)))</f>
        <v>0</v>
      </c>
      <c r="X330" s="17">
        <f t="shared" si="77"/>
        <v>0</v>
      </c>
      <c r="Y330" s="14" t="str">
        <f t="shared" si="78"/>
        <v>KRKE</v>
      </c>
      <c r="Z330" t="str">
        <f t="shared" si="79"/>
        <v>SGB COIN LONG</v>
      </c>
    </row>
    <row r="331" spans="1:26" customFormat="1" x14ac:dyDescent="0.25">
      <c r="A331" s="14">
        <v>329</v>
      </c>
      <c r="B331" s="77">
        <v>44909.916983020834</v>
      </c>
      <c r="C331" s="14" t="s">
        <v>170</v>
      </c>
      <c r="D331" s="23" t="s">
        <v>170</v>
      </c>
      <c r="E331" s="23" t="s">
        <v>98</v>
      </c>
      <c r="F331" s="23">
        <v>134422.20680000001</v>
      </c>
      <c r="G331" s="23">
        <v>134422.20680000001</v>
      </c>
      <c r="H331" s="23">
        <v>1</v>
      </c>
      <c r="I331" s="23">
        <v>0</v>
      </c>
      <c r="J331" s="23" t="s">
        <v>88</v>
      </c>
      <c r="K331" s="24">
        <v>44909.916983020834</v>
      </c>
      <c r="L331" s="23">
        <v>1</v>
      </c>
      <c r="M331" s="23" t="s">
        <v>98</v>
      </c>
      <c r="N331" s="46">
        <f t="shared" si="69"/>
        <v>1</v>
      </c>
      <c r="O331" s="47">
        <f t="shared" si="70"/>
        <v>134422.20680000001</v>
      </c>
      <c r="P331" s="48">
        <f t="shared" si="71"/>
        <v>134422.20680000001</v>
      </c>
      <c r="Q331" s="25">
        <f t="shared" si="72"/>
        <v>0</v>
      </c>
      <c r="R331" s="26" t="str">
        <f t="shared" si="73"/>
        <v>CASH</v>
      </c>
      <c r="S331" s="26" t="str">
        <f t="shared" si="68"/>
        <v>LONG</v>
      </c>
      <c r="T331" s="26" t="str">
        <f t="shared" si="74"/>
        <v>CASH LONG</v>
      </c>
      <c r="U331" s="17">
        <f t="shared" si="75"/>
        <v>134422.20680000001</v>
      </c>
      <c r="V331" s="17">
        <f t="shared" si="76"/>
        <v>1</v>
      </c>
      <c r="W331" s="40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Shifted'!$AE$32:$AO$75,MATCH($R331,'Futures &amp; Perps Shifted'!$AE$30:$AO$30,0),FALSE),0),0)))</f>
        <v>0</v>
      </c>
      <c r="X331" s="17">
        <f t="shared" si="77"/>
        <v>0</v>
      </c>
      <c r="Y331" s="14" t="str">
        <f t="shared" si="78"/>
        <v>KRKE</v>
      </c>
      <c r="Z331" t="str">
        <f t="shared" si="79"/>
        <v>USD CASH LONG</v>
      </c>
    </row>
    <row r="332" spans="1:26" customFormat="1" x14ac:dyDescent="0.25">
      <c r="A332" s="14">
        <v>330</v>
      </c>
      <c r="B332" s="77">
        <v>44909.91698321759</v>
      </c>
      <c r="C332" s="14" t="s">
        <v>170</v>
      </c>
      <c r="D332" s="23" t="s">
        <v>170</v>
      </c>
      <c r="E332" s="23" t="s">
        <v>39</v>
      </c>
      <c r="F332" s="23">
        <v>1.182861E-2</v>
      </c>
      <c r="G332" s="23">
        <v>1.1829856857618899E-2</v>
      </c>
      <c r="H332" s="23">
        <v>1.0001054103245299</v>
      </c>
      <c r="I332" s="23">
        <v>0</v>
      </c>
      <c r="J332" s="23" t="s">
        <v>88</v>
      </c>
      <c r="K332" s="24">
        <v>44909.91698321759</v>
      </c>
      <c r="L332" s="23">
        <v>1</v>
      </c>
      <c r="M332" s="23" t="s">
        <v>39</v>
      </c>
      <c r="N332" s="46">
        <f t="shared" si="69"/>
        <v>1</v>
      </c>
      <c r="O332" s="47">
        <f t="shared" si="70"/>
        <v>1.182861E-2</v>
      </c>
      <c r="P332" s="48">
        <f t="shared" si="71"/>
        <v>1.1829856857618838E-2</v>
      </c>
      <c r="Q332" s="25">
        <f t="shared" si="72"/>
        <v>0</v>
      </c>
      <c r="R332" s="26" t="str">
        <f t="shared" si="73"/>
        <v>COIN</v>
      </c>
      <c r="S332" s="26" t="str">
        <f t="shared" si="68"/>
        <v>LONG</v>
      </c>
      <c r="T332" s="26" t="str">
        <f t="shared" si="74"/>
        <v>COIN LONG</v>
      </c>
      <c r="U332" s="17">
        <f t="shared" si="75"/>
        <v>1.1829856857618899E-2</v>
      </c>
      <c r="V332" s="17">
        <f t="shared" si="76"/>
        <v>1.0001054103245299</v>
      </c>
      <c r="W332" s="40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Shifted'!$AE$32:$AO$75,MATCH($R332,'Futures &amp; Perps Shifted'!$AE$30:$AO$30,0),FALSE),0),0)))</f>
        <v>0</v>
      </c>
      <c r="X332" s="17">
        <f t="shared" si="77"/>
        <v>0</v>
      </c>
      <c r="Y332" s="14" t="str">
        <f t="shared" si="78"/>
        <v>KRKE</v>
      </c>
      <c r="Z332" t="str">
        <f t="shared" si="79"/>
        <v>USDT COIN LONG</v>
      </c>
    </row>
    <row r="333" spans="1:26" customFormat="1" x14ac:dyDescent="0.25">
      <c r="A333" s="14">
        <v>331</v>
      </c>
      <c r="B333" s="77">
        <v>44909.91698321759</v>
      </c>
      <c r="C333" s="14" t="s">
        <v>170</v>
      </c>
      <c r="D333" s="23" t="s">
        <v>170</v>
      </c>
      <c r="E333" s="23" t="s">
        <v>166</v>
      </c>
      <c r="F333" s="23">
        <v>8.93329E-3</v>
      </c>
      <c r="G333" s="23">
        <v>7.4158625329039595E-4</v>
      </c>
      <c r="H333" s="23">
        <v>8.3013789241186201E-2</v>
      </c>
      <c r="I333" s="23">
        <v>0</v>
      </c>
      <c r="J333" s="23" t="s">
        <v>88</v>
      </c>
      <c r="K333" s="24">
        <v>44909.91698321759</v>
      </c>
      <c r="L333" s="23">
        <v>1</v>
      </c>
      <c r="M333" s="23" t="s">
        <v>166</v>
      </c>
      <c r="N333" s="46">
        <f t="shared" si="69"/>
        <v>1</v>
      </c>
      <c r="O333" s="47">
        <f t="shared" si="70"/>
        <v>8.93329E-3</v>
      </c>
      <c r="P333" s="48">
        <f t="shared" si="71"/>
        <v>7.4158625329039628E-4</v>
      </c>
      <c r="Q333" s="25">
        <f t="shared" si="72"/>
        <v>0</v>
      </c>
      <c r="R333" s="26" t="str">
        <f t="shared" si="73"/>
        <v>COIN</v>
      </c>
      <c r="S333" s="26" t="str">
        <f t="shared" si="68"/>
        <v>LONG</v>
      </c>
      <c r="T333" s="26" t="str">
        <f t="shared" si="74"/>
        <v>COIN LONG</v>
      </c>
      <c r="U333" s="17">
        <f t="shared" si="75"/>
        <v>7.4158625329039595E-4</v>
      </c>
      <c r="V333" s="17">
        <f t="shared" si="76"/>
        <v>8.3013789241186201E-2</v>
      </c>
      <c r="W333" s="40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Shifted'!$AE$32:$AO$75,MATCH($R333,'Futures &amp; Perps Shifted'!$AE$30:$AO$30,0),FALSE),0),0)))</f>
        <v>0</v>
      </c>
      <c r="X333" s="17">
        <f t="shared" si="77"/>
        <v>0</v>
      </c>
      <c r="Y333" s="14" t="str">
        <f t="shared" si="78"/>
        <v>KRKE</v>
      </c>
      <c r="Z333" t="str">
        <f t="shared" si="79"/>
        <v>XLM COIN LONG</v>
      </c>
    </row>
    <row r="334" spans="1:26" customFormat="1" x14ac:dyDescent="0.25">
      <c r="A334" s="14">
        <v>332</v>
      </c>
      <c r="B334" s="77">
        <v>44909.91698321759</v>
      </c>
      <c r="C334" s="14" t="s">
        <v>170</v>
      </c>
      <c r="D334" s="23" t="s">
        <v>170</v>
      </c>
      <c r="E334" s="23" t="s">
        <v>102</v>
      </c>
      <c r="F334" s="23">
        <v>0.71704489000000005</v>
      </c>
      <c r="G334" s="23">
        <v>0.27707598175909598</v>
      </c>
      <c r="H334" s="23">
        <v>0.38641371777866901</v>
      </c>
      <c r="I334" s="23">
        <v>0</v>
      </c>
      <c r="J334" s="23" t="s">
        <v>88</v>
      </c>
      <c r="K334" s="24">
        <v>44909.91698321759</v>
      </c>
      <c r="L334" s="23">
        <v>1</v>
      </c>
      <c r="M334" s="23" t="s">
        <v>102</v>
      </c>
      <c r="N334" s="46">
        <f t="shared" si="69"/>
        <v>1</v>
      </c>
      <c r="O334" s="47">
        <f t="shared" si="70"/>
        <v>0.71704489000000005</v>
      </c>
      <c r="P334" s="48">
        <f t="shared" si="71"/>
        <v>0.27707598175909676</v>
      </c>
      <c r="Q334" s="25">
        <f t="shared" si="72"/>
        <v>0</v>
      </c>
      <c r="R334" s="26" t="str">
        <f t="shared" si="73"/>
        <v>COIN</v>
      </c>
      <c r="S334" s="26" t="str">
        <f t="shared" si="68"/>
        <v>LONG</v>
      </c>
      <c r="T334" s="26" t="str">
        <f t="shared" si="74"/>
        <v>COIN LONG</v>
      </c>
      <c r="U334" s="17">
        <f t="shared" si="75"/>
        <v>0.27707598175909598</v>
      </c>
      <c r="V334" s="17">
        <f t="shared" si="76"/>
        <v>0.38641371777866901</v>
      </c>
      <c r="W334" s="40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Shifted'!$AE$32:$AO$75,MATCH($R334,'Futures &amp; Perps Shifted'!$AE$30:$AO$30,0),FALSE),0),0)))</f>
        <v>0</v>
      </c>
      <c r="X334" s="17">
        <f t="shared" si="77"/>
        <v>0</v>
      </c>
      <c r="Y334" s="14" t="str">
        <f t="shared" si="78"/>
        <v>KRKE</v>
      </c>
      <c r="Z334" t="str">
        <f t="shared" si="79"/>
        <v>XRP COIN LONG</v>
      </c>
    </row>
    <row r="335" spans="1:26" customFormat="1" x14ac:dyDescent="0.25">
      <c r="A335" s="14">
        <v>333</v>
      </c>
      <c r="B335" s="77">
        <v>44909</v>
      </c>
      <c r="C335" s="14" t="s">
        <v>173</v>
      </c>
      <c r="D335" s="23" t="s">
        <v>171</v>
      </c>
      <c r="E335" s="23" t="s">
        <v>21</v>
      </c>
      <c r="F335" s="23">
        <v>5377</v>
      </c>
      <c r="G335" s="23">
        <v>586676.38273967302</v>
      </c>
      <c r="H335" s="23">
        <v>109.10849595307199</v>
      </c>
      <c r="I335" s="23">
        <v>0</v>
      </c>
      <c r="J335" s="23" t="s">
        <v>88</v>
      </c>
      <c r="K335" s="24">
        <v>44909</v>
      </c>
      <c r="L335" s="23">
        <v>1</v>
      </c>
      <c r="M335" s="23" t="s">
        <v>21</v>
      </c>
      <c r="N335" s="46">
        <f t="shared" si="69"/>
        <v>1</v>
      </c>
      <c r="O335" s="47">
        <f t="shared" si="70"/>
        <v>5377</v>
      </c>
      <c r="P335" s="48">
        <f t="shared" si="71"/>
        <v>586676.38273966813</v>
      </c>
      <c r="Q335" s="25">
        <f t="shared" si="72"/>
        <v>0</v>
      </c>
      <c r="R335" s="26" t="str">
        <f t="shared" si="73"/>
        <v>COIN</v>
      </c>
      <c r="S335" s="26" t="str">
        <f t="shared" si="68"/>
        <v>LONG</v>
      </c>
      <c r="T335" s="26" t="str">
        <f t="shared" si="74"/>
        <v>COIN LONG</v>
      </c>
      <c r="U335" s="17">
        <f t="shared" si="75"/>
        <v>586676.38273967302</v>
      </c>
      <c r="V335" s="17">
        <f t="shared" si="76"/>
        <v>109.10849595307199</v>
      </c>
      <c r="W335" s="40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Shifted'!$AE$32:$AO$75,MATCH($R335,'Futures &amp; Perps Shifted'!$AE$30:$AO$30,0),FALSE),0),0)))</f>
        <v>0</v>
      </c>
      <c r="X335" s="17">
        <f t="shared" si="77"/>
        <v>0</v>
      </c>
      <c r="Y335" s="14" t="str">
        <f t="shared" si="78"/>
        <v>LEND</v>
      </c>
      <c r="Z335" t="str">
        <f t="shared" si="79"/>
        <v>BCH COIN LONG</v>
      </c>
    </row>
    <row r="336" spans="1:26" customFormat="1" x14ac:dyDescent="0.25">
      <c r="A336" s="14">
        <v>334</v>
      </c>
      <c r="B336" s="77">
        <v>44909</v>
      </c>
      <c r="C336" s="14" t="s">
        <v>173</v>
      </c>
      <c r="D336" s="23" t="s">
        <v>171</v>
      </c>
      <c r="E336" s="23" t="s">
        <v>32</v>
      </c>
      <c r="F336" s="23">
        <v>5000</v>
      </c>
      <c r="G336" s="23">
        <v>196766.195646665</v>
      </c>
      <c r="H336" s="23">
        <v>39.353239129333097</v>
      </c>
      <c r="I336" s="23">
        <v>0</v>
      </c>
      <c r="J336" s="23" t="s">
        <v>88</v>
      </c>
      <c r="K336" s="24">
        <v>44909</v>
      </c>
      <c r="L336" s="23">
        <v>1</v>
      </c>
      <c r="M336" s="23" t="s">
        <v>32</v>
      </c>
      <c r="N336" s="46">
        <f t="shared" si="69"/>
        <v>1</v>
      </c>
      <c r="O336" s="47">
        <f t="shared" si="70"/>
        <v>5000</v>
      </c>
      <c r="P336" s="48">
        <f t="shared" si="71"/>
        <v>196766.1956466655</v>
      </c>
      <c r="Q336" s="25">
        <f t="shared" si="72"/>
        <v>0</v>
      </c>
      <c r="R336" s="26" t="str">
        <f t="shared" si="73"/>
        <v>COIN</v>
      </c>
      <c r="S336" s="26" t="str">
        <f t="shared" si="68"/>
        <v>LONG</v>
      </c>
      <c r="T336" s="26" t="str">
        <f t="shared" si="74"/>
        <v>COIN LONG</v>
      </c>
      <c r="U336" s="17">
        <f t="shared" si="75"/>
        <v>196766.195646665</v>
      </c>
      <c r="V336" s="17">
        <f t="shared" si="76"/>
        <v>39.353239129333097</v>
      </c>
      <c r="W336" s="40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Shifted'!$AE$32:$AO$75,MATCH($R336,'Futures &amp; Perps Shifted'!$AE$30:$AO$30,0),FALSE),0),0)))</f>
        <v>0</v>
      </c>
      <c r="X336" s="17">
        <f t="shared" si="77"/>
        <v>0</v>
      </c>
      <c r="Y336" s="14" t="str">
        <f t="shared" si="78"/>
        <v>LEND</v>
      </c>
      <c r="Z336" t="str">
        <f t="shared" si="79"/>
        <v>COMP COIN LONG</v>
      </c>
    </row>
    <row r="337" spans="1:26" customFormat="1" x14ac:dyDescent="0.25">
      <c r="A337" s="14">
        <v>335</v>
      </c>
      <c r="B337" s="77">
        <v>44909</v>
      </c>
      <c r="C337" s="14" t="s">
        <v>173</v>
      </c>
      <c r="D337" s="23" t="s">
        <v>171</v>
      </c>
      <c r="E337" s="23" t="s">
        <v>30</v>
      </c>
      <c r="F337" s="23">
        <v>98000</v>
      </c>
      <c r="G337" s="23">
        <v>1841193.34838488</v>
      </c>
      <c r="H337" s="23">
        <v>18.787687228417099</v>
      </c>
      <c r="I337" s="23">
        <v>0</v>
      </c>
      <c r="J337" s="23" t="s">
        <v>88</v>
      </c>
      <c r="K337" s="24">
        <v>44909</v>
      </c>
      <c r="L337" s="23">
        <v>1</v>
      </c>
      <c r="M337" s="23" t="s">
        <v>30</v>
      </c>
      <c r="N337" s="46">
        <f t="shared" si="69"/>
        <v>1</v>
      </c>
      <c r="O337" s="47">
        <f t="shared" si="70"/>
        <v>98000</v>
      </c>
      <c r="P337" s="48">
        <f t="shared" si="71"/>
        <v>1841193.3483848756</v>
      </c>
      <c r="Q337" s="25">
        <f t="shared" si="72"/>
        <v>0</v>
      </c>
      <c r="R337" s="26" t="str">
        <f t="shared" si="73"/>
        <v>COIN</v>
      </c>
      <c r="S337" s="26" t="str">
        <f t="shared" si="68"/>
        <v>LONG</v>
      </c>
      <c r="T337" s="26" t="str">
        <f t="shared" si="74"/>
        <v>COIN LONG</v>
      </c>
      <c r="U337" s="17">
        <f t="shared" si="75"/>
        <v>1841193.34838488</v>
      </c>
      <c r="V337" s="17">
        <f t="shared" si="76"/>
        <v>18.787687228417099</v>
      </c>
      <c r="W337" s="40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Shifted'!$AE$32:$AO$75,MATCH($R337,'Futures &amp; Perps Shifted'!$AE$30:$AO$30,0),FALSE),0),0)))</f>
        <v>0</v>
      </c>
      <c r="X337" s="17">
        <f t="shared" si="77"/>
        <v>0</v>
      </c>
      <c r="Y337" s="14" t="str">
        <f t="shared" si="78"/>
        <v>LEND</v>
      </c>
      <c r="Z337" t="str">
        <f t="shared" si="79"/>
        <v>ETC COIN LONG</v>
      </c>
    </row>
    <row r="338" spans="1:26" customFormat="1" x14ac:dyDescent="0.25">
      <c r="A338" s="14">
        <v>336</v>
      </c>
      <c r="B338" s="77">
        <v>44909</v>
      </c>
      <c r="C338" s="14" t="s">
        <v>173</v>
      </c>
      <c r="D338" s="23" t="s">
        <v>171</v>
      </c>
      <c r="E338" s="23" t="s">
        <v>38</v>
      </c>
      <c r="F338" s="23">
        <v>187000000000</v>
      </c>
      <c r="G338" s="23">
        <v>1677905.40389439</v>
      </c>
      <c r="H338" s="23">
        <v>8.9727561705582505E-6</v>
      </c>
      <c r="I338" s="23">
        <v>0</v>
      </c>
      <c r="J338" s="23" t="s">
        <v>88</v>
      </c>
      <c r="K338" s="24">
        <v>44909</v>
      </c>
      <c r="L338" s="23">
        <v>1</v>
      </c>
      <c r="M338" s="23" t="s">
        <v>38</v>
      </c>
      <c r="N338" s="46">
        <f t="shared" si="69"/>
        <v>1</v>
      </c>
      <c r="O338" s="47">
        <f t="shared" si="70"/>
        <v>187000000000</v>
      </c>
      <c r="P338" s="48">
        <f t="shared" si="71"/>
        <v>1677905.4038943928</v>
      </c>
      <c r="Q338" s="25">
        <f t="shared" si="72"/>
        <v>0</v>
      </c>
      <c r="R338" s="26" t="str">
        <f t="shared" si="73"/>
        <v>COIN</v>
      </c>
      <c r="S338" s="26" t="str">
        <f t="shared" si="68"/>
        <v>LONG</v>
      </c>
      <c r="T338" s="26" t="str">
        <f t="shared" si="74"/>
        <v>COIN LONG</v>
      </c>
      <c r="U338" s="17">
        <f t="shared" si="75"/>
        <v>1677905.40389439</v>
      </c>
      <c r="V338" s="17">
        <f t="shared" si="76"/>
        <v>8.9727561705582505E-6</v>
      </c>
      <c r="W338" s="40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Shifted'!$AE$32:$AO$75,MATCH($R338,'Futures &amp; Perps Shifted'!$AE$30:$AO$30,0),FALSE),0),0)))</f>
        <v>0</v>
      </c>
      <c r="X338" s="17">
        <f t="shared" si="77"/>
        <v>0</v>
      </c>
      <c r="Y338" s="14" t="str">
        <f t="shared" si="78"/>
        <v>LEND</v>
      </c>
      <c r="Z338" t="str">
        <f t="shared" si="79"/>
        <v>SHIB COIN LONG</v>
      </c>
    </row>
    <row r="339" spans="1:26" customFormat="1" x14ac:dyDescent="0.25">
      <c r="A339" s="14">
        <v>337</v>
      </c>
      <c r="B339" s="77">
        <v>44909</v>
      </c>
      <c r="C339" s="14" t="s">
        <v>173</v>
      </c>
      <c r="D339" s="23" t="s">
        <v>171</v>
      </c>
      <c r="E339" s="23" t="s">
        <v>174</v>
      </c>
      <c r="F339" s="23">
        <v>4</v>
      </c>
      <c r="G339" s="23">
        <v>25811.124612553798</v>
      </c>
      <c r="H339" s="23">
        <v>6452.7811531384496</v>
      </c>
      <c r="I339" s="23">
        <v>0</v>
      </c>
      <c r="J339" s="23" t="s">
        <v>88</v>
      </c>
      <c r="K339" s="24">
        <v>44909</v>
      </c>
      <c r="L339" s="23">
        <v>1</v>
      </c>
      <c r="M339" s="23" t="s">
        <v>174</v>
      </c>
      <c r="N339" s="46">
        <f t="shared" si="69"/>
        <v>1</v>
      </c>
      <c r="O339" s="47">
        <f t="shared" si="70"/>
        <v>4</v>
      </c>
      <c r="P339" s="48">
        <f t="shared" si="71"/>
        <v>25811.124612553798</v>
      </c>
      <c r="Q339" s="25">
        <f t="shared" si="72"/>
        <v>0</v>
      </c>
      <c r="R339" s="26" t="str">
        <f t="shared" si="73"/>
        <v>COIN</v>
      </c>
      <c r="S339" s="26" t="str">
        <f t="shared" si="68"/>
        <v>LONG</v>
      </c>
      <c r="T339" s="26" t="str">
        <f t="shared" si="74"/>
        <v>COIN LONG</v>
      </c>
      <c r="U339" s="17">
        <f t="shared" si="75"/>
        <v>25811.124612553798</v>
      </c>
      <c r="V339" s="17">
        <f t="shared" si="76"/>
        <v>6452.7811531384496</v>
      </c>
      <c r="W339" s="40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Shifted'!$AE$32:$AO$75,MATCH($R339,'Futures &amp; Perps Shifted'!$AE$30:$AO$30,0),FALSE),0),0)))</f>
        <v>0</v>
      </c>
      <c r="X339" s="17">
        <f t="shared" si="77"/>
        <v>0</v>
      </c>
      <c r="Y339" s="14" t="str">
        <f t="shared" si="78"/>
        <v>LEND</v>
      </c>
      <c r="Z339" t="str">
        <f t="shared" si="79"/>
        <v>YFI COIN LONG</v>
      </c>
    </row>
    <row r="340" spans="1:26" customFormat="1" x14ac:dyDescent="0.25">
      <c r="A340" s="14">
        <v>338</v>
      </c>
      <c r="B340" s="77">
        <v>44909.000005706017</v>
      </c>
      <c r="C340" s="14" t="s">
        <v>175</v>
      </c>
      <c r="D340" s="23" t="s">
        <v>175</v>
      </c>
      <c r="E340" s="23" t="s">
        <v>16</v>
      </c>
      <c r="F340" s="23">
        <v>5.0000000000000001E-4</v>
      </c>
      <c r="G340" s="23">
        <v>0.65466433846648098</v>
      </c>
      <c r="H340" s="23">
        <v>1309.32867693296</v>
      </c>
      <c r="I340" s="23">
        <v>0</v>
      </c>
      <c r="J340" s="23" t="s">
        <v>88</v>
      </c>
      <c r="K340" s="24">
        <v>44909.000005706017</v>
      </c>
      <c r="L340" s="23">
        <v>1</v>
      </c>
      <c r="M340" s="23" t="s">
        <v>16</v>
      </c>
      <c r="N340" s="46">
        <f t="shared" si="69"/>
        <v>1</v>
      </c>
      <c r="O340" s="47">
        <f t="shared" si="70"/>
        <v>5.0000000000000001E-4</v>
      </c>
      <c r="P340" s="48">
        <f t="shared" si="71"/>
        <v>0.65466433846647998</v>
      </c>
      <c r="Q340" s="25">
        <f t="shared" si="72"/>
        <v>0</v>
      </c>
      <c r="R340" s="26" t="str">
        <f t="shared" si="73"/>
        <v>COIN</v>
      </c>
      <c r="S340" s="26" t="str">
        <f t="shared" si="68"/>
        <v>LONG</v>
      </c>
      <c r="T340" s="26" t="str">
        <f t="shared" si="74"/>
        <v>COIN LONG</v>
      </c>
      <c r="U340" s="17">
        <f t="shared" si="75"/>
        <v>0.65466433846648098</v>
      </c>
      <c r="V340" s="17">
        <f t="shared" si="76"/>
        <v>1309.32867693296</v>
      </c>
      <c r="W340" s="40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Shifted'!$AE$32:$AO$75,MATCH($R340,'Futures &amp; Perps Shifted'!$AE$30:$AO$30,0),FALSE),0),0)))</f>
        <v>0</v>
      </c>
      <c r="X340" s="17">
        <f t="shared" si="77"/>
        <v>0</v>
      </c>
      <c r="Y340" s="14" t="str">
        <f t="shared" si="78"/>
        <v>LMAC</v>
      </c>
      <c r="Z340" t="str">
        <f t="shared" si="79"/>
        <v>ETH COIN LONG</v>
      </c>
    </row>
    <row r="341" spans="1:26" customFormat="1" x14ac:dyDescent="0.25">
      <c r="A341" s="14">
        <v>339</v>
      </c>
      <c r="B341" s="77">
        <v>44909.000005706017</v>
      </c>
      <c r="C341" s="14" t="s">
        <v>175</v>
      </c>
      <c r="D341" s="23" t="s">
        <v>175</v>
      </c>
      <c r="E341" s="23" t="s">
        <v>98</v>
      </c>
      <c r="F341" s="23">
        <v>2.63E-3</v>
      </c>
      <c r="G341" s="23">
        <v>2.63E-3</v>
      </c>
      <c r="H341" s="23">
        <v>1</v>
      </c>
      <c r="I341" s="23">
        <v>0</v>
      </c>
      <c r="J341" s="23" t="s">
        <v>88</v>
      </c>
      <c r="K341" s="24">
        <v>44909.000005706017</v>
      </c>
      <c r="L341" s="23">
        <v>1</v>
      </c>
      <c r="M341" s="23" t="s">
        <v>98</v>
      </c>
      <c r="N341" s="46">
        <f t="shared" si="69"/>
        <v>1</v>
      </c>
      <c r="O341" s="47">
        <f t="shared" si="70"/>
        <v>2.63E-3</v>
      </c>
      <c r="P341" s="48">
        <f t="shared" si="71"/>
        <v>2.63E-3</v>
      </c>
      <c r="Q341" s="25">
        <f t="shared" si="72"/>
        <v>0</v>
      </c>
      <c r="R341" s="26" t="str">
        <f t="shared" si="73"/>
        <v>CASH</v>
      </c>
      <c r="S341" s="26" t="str">
        <f t="shared" si="68"/>
        <v>LONG</v>
      </c>
      <c r="T341" s="26" t="str">
        <f t="shared" si="74"/>
        <v>CASH LONG</v>
      </c>
      <c r="U341" s="17">
        <f t="shared" si="75"/>
        <v>2.63E-3</v>
      </c>
      <c r="V341" s="17">
        <f t="shared" si="76"/>
        <v>1</v>
      </c>
      <c r="W341" s="40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Shifted'!$AE$32:$AO$75,MATCH($R341,'Futures &amp; Perps Shifted'!$AE$30:$AO$30,0),FALSE),0),0)))</f>
        <v>0</v>
      </c>
      <c r="X341" s="17">
        <f t="shared" si="77"/>
        <v>0</v>
      </c>
      <c r="Y341" s="14" t="str">
        <f t="shared" si="78"/>
        <v>LMAC</v>
      </c>
      <c r="Z341" t="str">
        <f t="shared" si="79"/>
        <v>USD CASH LONG</v>
      </c>
    </row>
    <row r="342" spans="1:26" customFormat="1" x14ac:dyDescent="0.25">
      <c r="A342" s="14">
        <v>340</v>
      </c>
      <c r="B342" s="77">
        <v>44909.000005706017</v>
      </c>
      <c r="C342" s="14" t="s">
        <v>176</v>
      </c>
      <c r="D342" s="23" t="s">
        <v>176</v>
      </c>
      <c r="E342" s="23" t="s">
        <v>98</v>
      </c>
      <c r="F342" s="23">
        <v>10137.885630000001</v>
      </c>
      <c r="G342" s="23">
        <v>10137.885630000001</v>
      </c>
      <c r="H342" s="23">
        <v>1</v>
      </c>
      <c r="I342" s="23">
        <v>0</v>
      </c>
      <c r="J342" s="23" t="s">
        <v>88</v>
      </c>
      <c r="K342" s="24">
        <v>44909.000005706017</v>
      </c>
      <c r="L342" s="23">
        <v>1</v>
      </c>
      <c r="M342" s="23" t="s">
        <v>98</v>
      </c>
      <c r="N342" s="46">
        <f t="shared" si="69"/>
        <v>1</v>
      </c>
      <c r="O342" s="47">
        <f t="shared" si="70"/>
        <v>10137.885630000001</v>
      </c>
      <c r="P342" s="48">
        <f t="shared" si="71"/>
        <v>10137.885630000001</v>
      </c>
      <c r="Q342" s="25">
        <f t="shared" si="72"/>
        <v>0</v>
      </c>
      <c r="R342" s="26" t="str">
        <f t="shared" si="73"/>
        <v>CASH</v>
      </c>
      <c r="S342" s="26" t="str">
        <f t="shared" si="68"/>
        <v>LONG</v>
      </c>
      <c r="T342" s="26" t="str">
        <f t="shared" si="74"/>
        <v>CASH LONG</v>
      </c>
      <c r="U342" s="17">
        <f t="shared" si="75"/>
        <v>10137.885630000001</v>
      </c>
      <c r="V342" s="17">
        <f t="shared" si="76"/>
        <v>1</v>
      </c>
      <c r="W342" s="40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Shifted'!$AE$32:$AO$75,MATCH($R342,'Futures &amp; Perps Shifted'!$AE$30:$AO$30,0),FALSE),0),0)))</f>
        <v>0</v>
      </c>
      <c r="X342" s="17">
        <f t="shared" si="77"/>
        <v>0</v>
      </c>
      <c r="Y342" s="14" t="str">
        <f t="shared" si="78"/>
        <v>LMAX</v>
      </c>
      <c r="Z342" t="str">
        <f t="shared" si="79"/>
        <v>USD CASH LONG</v>
      </c>
    </row>
    <row r="343" spans="1:26" customFormat="1" x14ac:dyDescent="0.25">
      <c r="A343" s="14">
        <v>341</v>
      </c>
      <c r="B343" s="77">
        <v>44910.000001076391</v>
      </c>
      <c r="C343" s="14" t="s">
        <v>46</v>
      </c>
      <c r="D343" s="23" t="s">
        <v>50</v>
      </c>
      <c r="E343" s="23" t="s">
        <v>15</v>
      </c>
      <c r="F343" s="23">
        <v>8.9691284600000003</v>
      </c>
      <c r="G343" s="23">
        <v>159790.85214474401</v>
      </c>
      <c r="H343" s="23">
        <v>17815.649854650899</v>
      </c>
      <c r="I343" s="23">
        <v>0</v>
      </c>
      <c r="J343" s="23" t="s">
        <v>88</v>
      </c>
      <c r="K343" s="24">
        <v>44910.000001076391</v>
      </c>
      <c r="L343" s="23">
        <v>1</v>
      </c>
      <c r="M343" s="23" t="s">
        <v>15</v>
      </c>
      <c r="N343" s="46">
        <f t="shared" si="69"/>
        <v>1</v>
      </c>
      <c r="O343" s="47">
        <f t="shared" si="70"/>
        <v>8.9691284600000003</v>
      </c>
      <c r="P343" s="48">
        <f t="shared" si="71"/>
        <v>159790.85214474425</v>
      </c>
      <c r="Q343" s="25">
        <f t="shared" si="72"/>
        <v>0</v>
      </c>
      <c r="R343" s="26" t="str">
        <f t="shared" si="73"/>
        <v>COIN</v>
      </c>
      <c r="S343" s="26" t="str">
        <f t="shared" si="68"/>
        <v>LONG</v>
      </c>
      <c r="T343" s="26" t="str">
        <f t="shared" si="74"/>
        <v>COIN LONG</v>
      </c>
      <c r="U343" s="17">
        <f t="shared" si="75"/>
        <v>159790.85214474401</v>
      </c>
      <c r="V343" s="17">
        <f t="shared" si="76"/>
        <v>17815.649854650899</v>
      </c>
      <c r="W343" s="40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Shifted'!$AE$32:$AO$75,MATCH($R343,'Futures &amp; Perps Shifted'!$AE$30:$AO$30,0),FALSE),0),0)))</f>
        <v>0</v>
      </c>
      <c r="X343" s="17">
        <f t="shared" si="77"/>
        <v>0</v>
      </c>
      <c r="Y343" s="14" t="str">
        <f t="shared" si="78"/>
        <v>OKEX</v>
      </c>
      <c r="Z343" t="str">
        <f t="shared" si="79"/>
        <v>BTC COIN LONG</v>
      </c>
    </row>
    <row r="344" spans="1:26" customFormat="1" x14ac:dyDescent="0.25">
      <c r="A344" s="14">
        <v>342</v>
      </c>
      <c r="B344" s="77">
        <v>44910.000001076391</v>
      </c>
      <c r="C344" s="14" t="s">
        <v>46</v>
      </c>
      <c r="D344" s="23" t="s">
        <v>50</v>
      </c>
      <c r="E344" s="23" t="s">
        <v>15</v>
      </c>
      <c r="F344" s="23">
        <v>0.25889719999999999</v>
      </c>
      <c r="G344" s="23">
        <v>4612.4218635495199</v>
      </c>
      <c r="H344" s="23">
        <v>17815.649854650899</v>
      </c>
      <c r="I344" s="23">
        <v>0</v>
      </c>
      <c r="J344" s="23" t="s">
        <v>256</v>
      </c>
      <c r="K344" s="24">
        <v>44910.000001076391</v>
      </c>
      <c r="L344" s="23">
        <v>1</v>
      </c>
      <c r="M344" s="23" t="s">
        <v>15</v>
      </c>
      <c r="N344" s="46">
        <f t="shared" si="69"/>
        <v>1</v>
      </c>
      <c r="O344" s="47">
        <f t="shared" si="70"/>
        <v>0.25889719999999999</v>
      </c>
      <c r="P344" s="48">
        <f t="shared" si="71"/>
        <v>4612.4218635495245</v>
      </c>
      <c r="Q344" s="25">
        <f t="shared" si="72"/>
        <v>0</v>
      </c>
      <c r="R344" s="26" t="str">
        <f t="shared" si="73"/>
        <v>COIN</v>
      </c>
      <c r="S344" s="26" t="str">
        <f t="shared" si="68"/>
        <v>LONG</v>
      </c>
      <c r="T344" s="26" t="str">
        <f t="shared" si="74"/>
        <v>COIN LONG</v>
      </c>
      <c r="U344" s="17">
        <f t="shared" si="75"/>
        <v>4612.4218635495199</v>
      </c>
      <c r="V344" s="17">
        <f t="shared" si="76"/>
        <v>17815.649854650899</v>
      </c>
      <c r="W344" s="40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Shifted'!$AE$32:$AO$75,MATCH($R344,'Futures &amp; Perps Shifted'!$AE$30:$AO$30,0),FALSE),0),0)))</f>
        <v>0</v>
      </c>
      <c r="X344" s="17">
        <f t="shared" si="77"/>
        <v>0</v>
      </c>
      <c r="Y344" s="14" t="str">
        <f t="shared" si="78"/>
        <v>OKEX</v>
      </c>
      <c r="Z344" t="str">
        <f t="shared" si="79"/>
        <v>BTC COIN LONG</v>
      </c>
    </row>
    <row r="345" spans="1:26" customFormat="1" x14ac:dyDescent="0.25">
      <c r="A345" s="14">
        <v>343</v>
      </c>
      <c r="B345" s="77">
        <v>44910.000001076391</v>
      </c>
      <c r="C345" s="14" t="s">
        <v>46</v>
      </c>
      <c r="D345" s="23" t="s">
        <v>50</v>
      </c>
      <c r="E345" s="23" t="s">
        <v>16</v>
      </c>
      <c r="F345" s="23">
        <v>20.316267499999999</v>
      </c>
      <c r="G345" s="23">
        <v>26600.6716459911</v>
      </c>
      <c r="H345" s="23">
        <v>1309.32867693296</v>
      </c>
      <c r="I345" s="23">
        <v>0</v>
      </c>
      <c r="J345" s="23" t="s">
        <v>88</v>
      </c>
      <c r="K345" s="24">
        <v>44910.000001076391</v>
      </c>
      <c r="L345" s="23">
        <v>1</v>
      </c>
      <c r="M345" s="23" t="s">
        <v>16</v>
      </c>
      <c r="N345" s="46">
        <f t="shared" si="69"/>
        <v>1</v>
      </c>
      <c r="O345" s="47">
        <f t="shared" si="70"/>
        <v>20.316267499999999</v>
      </c>
      <c r="P345" s="48">
        <f t="shared" si="71"/>
        <v>26600.671645991093</v>
      </c>
      <c r="Q345" s="25">
        <f t="shared" si="72"/>
        <v>0</v>
      </c>
      <c r="R345" s="26" t="str">
        <f t="shared" si="73"/>
        <v>COIN</v>
      </c>
      <c r="S345" s="26" t="str">
        <f t="shared" si="68"/>
        <v>LONG</v>
      </c>
      <c r="T345" s="26" t="str">
        <f t="shared" si="74"/>
        <v>COIN LONG</v>
      </c>
      <c r="U345" s="17">
        <f t="shared" si="75"/>
        <v>26600.6716459911</v>
      </c>
      <c r="V345" s="17">
        <f t="shared" si="76"/>
        <v>1309.32867693296</v>
      </c>
      <c r="W345" s="40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Shifted'!$AE$32:$AO$75,MATCH($R345,'Futures &amp; Perps Shifted'!$AE$30:$AO$30,0),FALSE),0),0)))</f>
        <v>0</v>
      </c>
      <c r="X345" s="17">
        <f t="shared" si="77"/>
        <v>0</v>
      </c>
      <c r="Y345" s="14" t="str">
        <f t="shared" si="78"/>
        <v>OKEX</v>
      </c>
      <c r="Z345" t="str">
        <f t="shared" si="79"/>
        <v>ETH COIN LONG</v>
      </c>
    </row>
    <row r="346" spans="1:26" customFormat="1" x14ac:dyDescent="0.25">
      <c r="A346" s="14">
        <v>344</v>
      </c>
      <c r="B346" s="77">
        <v>44910.000001076391</v>
      </c>
      <c r="C346" s="14" t="s">
        <v>46</v>
      </c>
      <c r="D346" s="23" t="s">
        <v>50</v>
      </c>
      <c r="E346" s="23" t="s">
        <v>16</v>
      </c>
      <c r="F346" s="23">
        <v>-0.27192326</v>
      </c>
      <c r="G346" s="23">
        <v>-356.03692224309702</v>
      </c>
      <c r="H346" s="23">
        <v>1309.32867693296</v>
      </c>
      <c r="I346" s="23">
        <v>0</v>
      </c>
      <c r="J346" s="23" t="s">
        <v>256</v>
      </c>
      <c r="K346" s="24">
        <v>44910.000001076391</v>
      </c>
      <c r="L346" s="23">
        <v>1</v>
      </c>
      <c r="M346" s="23" t="s">
        <v>16</v>
      </c>
      <c r="N346" s="46">
        <f t="shared" si="69"/>
        <v>1</v>
      </c>
      <c r="O346" s="47">
        <f t="shared" si="70"/>
        <v>-0.27192326</v>
      </c>
      <c r="P346" s="48">
        <f t="shared" si="71"/>
        <v>-356.03692224309725</v>
      </c>
      <c r="Q346" s="25">
        <f t="shared" si="72"/>
        <v>0</v>
      </c>
      <c r="R346" s="26" t="str">
        <f t="shared" si="73"/>
        <v>COIN</v>
      </c>
      <c r="S346" s="26" t="str">
        <f t="shared" si="68"/>
        <v>SHORT</v>
      </c>
      <c r="T346" s="26" t="str">
        <f t="shared" si="74"/>
        <v>COIN SHORT</v>
      </c>
      <c r="U346" s="17">
        <f t="shared" si="75"/>
        <v>-356.03692224309702</v>
      </c>
      <c r="V346" s="17">
        <f t="shared" si="76"/>
        <v>1309.32867693296</v>
      </c>
      <c r="W346" s="40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Shifted'!$AE$32:$AO$75,MATCH($R346,'Futures &amp; Perps Shifted'!$AE$30:$AO$30,0),FALSE),0),0)))</f>
        <v>0</v>
      </c>
      <c r="X346" s="17">
        <f t="shared" si="77"/>
        <v>0</v>
      </c>
      <c r="Y346" s="14" t="str">
        <f t="shared" si="78"/>
        <v>OKEX</v>
      </c>
      <c r="Z346" t="str">
        <f t="shared" si="79"/>
        <v>ETH COIN SHORT</v>
      </c>
    </row>
    <row r="347" spans="1:26" customFormat="1" x14ac:dyDescent="0.25">
      <c r="A347" s="14">
        <v>345</v>
      </c>
      <c r="B347" s="77">
        <v>44910.000001076391</v>
      </c>
      <c r="C347" s="14" t="s">
        <v>46</v>
      </c>
      <c r="D347" s="23" t="s">
        <v>50</v>
      </c>
      <c r="E347" s="23" t="s">
        <v>102</v>
      </c>
      <c r="F347" s="23">
        <v>0.44933625999999999</v>
      </c>
      <c r="G347" s="23">
        <v>0.17362969475936199</v>
      </c>
      <c r="H347" s="23">
        <v>0.38641371777866901</v>
      </c>
      <c r="I347" s="23">
        <v>0</v>
      </c>
      <c r="J347" s="23" t="s">
        <v>88</v>
      </c>
      <c r="K347" s="24">
        <v>44910.000001076391</v>
      </c>
      <c r="L347" s="23">
        <v>1</v>
      </c>
      <c r="M347" s="23" t="s">
        <v>102</v>
      </c>
      <c r="N347" s="46">
        <f t="shared" si="69"/>
        <v>1</v>
      </c>
      <c r="O347" s="47">
        <f t="shared" si="70"/>
        <v>0.44933625999999999</v>
      </c>
      <c r="P347" s="48">
        <f t="shared" si="71"/>
        <v>0.17362969475936263</v>
      </c>
      <c r="Q347" s="25">
        <f t="shared" si="72"/>
        <v>0</v>
      </c>
      <c r="R347" s="26" t="str">
        <f t="shared" si="73"/>
        <v>COIN</v>
      </c>
      <c r="S347" s="26" t="str">
        <f t="shared" si="68"/>
        <v>LONG</v>
      </c>
      <c r="T347" s="26" t="str">
        <f t="shared" si="74"/>
        <v>COIN LONG</v>
      </c>
      <c r="U347" s="17">
        <f t="shared" si="75"/>
        <v>0.17362969475936199</v>
      </c>
      <c r="V347" s="17">
        <f t="shared" si="76"/>
        <v>0.38641371777866901</v>
      </c>
      <c r="W347" s="40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Shifted'!$AE$32:$AO$75,MATCH($R347,'Futures &amp; Perps Shifted'!$AE$30:$AO$30,0),FALSE),0),0)))</f>
        <v>0</v>
      </c>
      <c r="X347" s="17">
        <f t="shared" si="77"/>
        <v>0</v>
      </c>
      <c r="Y347" s="14" t="str">
        <f t="shared" si="78"/>
        <v>OKEX</v>
      </c>
      <c r="Z347" t="str">
        <f t="shared" si="79"/>
        <v>XRP COIN LONG</v>
      </c>
    </row>
    <row r="348" spans="1:26" customFormat="1" x14ac:dyDescent="0.25">
      <c r="A348" s="14">
        <v>346</v>
      </c>
      <c r="B348" s="77">
        <v>44910.000001192129</v>
      </c>
      <c r="C348" s="14" t="s">
        <v>46</v>
      </c>
      <c r="D348" s="23" t="s">
        <v>53</v>
      </c>
      <c r="E348" s="23" t="s">
        <v>15</v>
      </c>
      <c r="F348" s="23">
        <v>5.0953451200000002</v>
      </c>
      <c r="G348" s="23">
        <v>90776.884546524205</v>
      </c>
      <c r="H348" s="23">
        <v>17815.649854650899</v>
      </c>
      <c r="I348" s="23">
        <v>0</v>
      </c>
      <c r="J348" s="23" t="s">
        <v>88</v>
      </c>
      <c r="K348" s="24">
        <v>44910.000001192129</v>
      </c>
      <c r="L348" s="23">
        <v>1</v>
      </c>
      <c r="M348" s="23" t="s">
        <v>15</v>
      </c>
      <c r="N348" s="46">
        <f t="shared" si="69"/>
        <v>1</v>
      </c>
      <c r="O348" s="47">
        <f t="shared" si="70"/>
        <v>5.0953451200000002</v>
      </c>
      <c r="P348" s="48">
        <f t="shared" si="71"/>
        <v>90776.884546524176</v>
      </c>
      <c r="Q348" s="25">
        <f t="shared" si="72"/>
        <v>0</v>
      </c>
      <c r="R348" s="26" t="str">
        <f t="shared" si="73"/>
        <v>COIN</v>
      </c>
      <c r="S348" s="26" t="str">
        <f t="shared" si="68"/>
        <v>LONG</v>
      </c>
      <c r="T348" s="26" t="str">
        <f t="shared" si="74"/>
        <v>COIN LONG</v>
      </c>
      <c r="U348" s="17">
        <f t="shared" si="75"/>
        <v>90776.884546524205</v>
      </c>
      <c r="V348" s="17">
        <f t="shared" si="76"/>
        <v>17815.649854650899</v>
      </c>
      <c r="W348" s="40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Shifted'!$AE$32:$AO$75,MATCH($R348,'Futures &amp; Perps Shifted'!$AE$30:$AO$30,0),FALSE),0),0)))</f>
        <v>0</v>
      </c>
      <c r="X348" s="17">
        <f t="shared" si="77"/>
        <v>0</v>
      </c>
      <c r="Y348" s="14" t="str">
        <f t="shared" si="78"/>
        <v>OKEX</v>
      </c>
      <c r="Z348" t="str">
        <f t="shared" si="79"/>
        <v>BTC COIN LONG</v>
      </c>
    </row>
    <row r="349" spans="1:26" customFormat="1" x14ac:dyDescent="0.25">
      <c r="A349" s="14">
        <v>347</v>
      </c>
      <c r="B349" s="77">
        <v>44910.000001192129</v>
      </c>
      <c r="C349" s="14" t="s">
        <v>46</v>
      </c>
      <c r="D349" s="23" t="s">
        <v>53</v>
      </c>
      <c r="E349" s="23" t="s">
        <v>15</v>
      </c>
      <c r="F349" s="23">
        <v>7.7485E-4</v>
      </c>
      <c r="G349" s="23">
        <v>13.8044562898762</v>
      </c>
      <c r="H349" s="23">
        <v>17815.649854650899</v>
      </c>
      <c r="I349" s="23">
        <v>0</v>
      </c>
      <c r="J349" s="23" t="s">
        <v>256</v>
      </c>
      <c r="K349" s="24">
        <v>44910.000001192129</v>
      </c>
      <c r="L349" s="23">
        <v>1</v>
      </c>
      <c r="M349" s="23" t="s">
        <v>15</v>
      </c>
      <c r="N349" s="46">
        <f t="shared" si="69"/>
        <v>1</v>
      </c>
      <c r="O349" s="47">
        <f t="shared" si="70"/>
        <v>7.7485E-4</v>
      </c>
      <c r="P349" s="48">
        <f t="shared" si="71"/>
        <v>13.804456289876249</v>
      </c>
      <c r="Q349" s="25">
        <f t="shared" si="72"/>
        <v>0</v>
      </c>
      <c r="R349" s="26" t="str">
        <f t="shared" si="73"/>
        <v>COIN</v>
      </c>
      <c r="S349" s="26" t="str">
        <f t="shared" si="68"/>
        <v>LONG</v>
      </c>
      <c r="T349" s="26" t="str">
        <f t="shared" si="74"/>
        <v>COIN LONG</v>
      </c>
      <c r="U349" s="17">
        <f t="shared" si="75"/>
        <v>13.8044562898762</v>
      </c>
      <c r="V349" s="17">
        <f t="shared" si="76"/>
        <v>17815.649854650899</v>
      </c>
      <c r="W349" s="40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Shifted'!$AE$32:$AO$75,MATCH($R349,'Futures &amp; Perps Shifted'!$AE$30:$AO$30,0),FALSE),0),0)))</f>
        <v>0</v>
      </c>
      <c r="X349" s="17">
        <f t="shared" si="77"/>
        <v>0</v>
      </c>
      <c r="Y349" s="14" t="str">
        <f t="shared" si="78"/>
        <v>OKEX</v>
      </c>
      <c r="Z349" t="str">
        <f t="shared" si="79"/>
        <v>BTC COIN LONG</v>
      </c>
    </row>
    <row r="350" spans="1:26" customFormat="1" x14ac:dyDescent="0.25">
      <c r="A350" s="14">
        <v>348</v>
      </c>
      <c r="B350" s="77">
        <v>44910.000001192129</v>
      </c>
      <c r="C350" s="14" t="s">
        <v>46</v>
      </c>
      <c r="D350" s="23" t="s">
        <v>53</v>
      </c>
      <c r="E350" s="23" t="s">
        <v>16</v>
      </c>
      <c r="F350" s="23">
        <v>10</v>
      </c>
      <c r="G350" s="23">
        <v>13093.286769329599</v>
      </c>
      <c r="H350" s="23">
        <v>1309.32867693296</v>
      </c>
      <c r="I350" s="23">
        <v>0</v>
      </c>
      <c r="J350" s="23" t="s">
        <v>88</v>
      </c>
      <c r="K350" s="24">
        <v>44910.000001192129</v>
      </c>
      <c r="L350" s="23">
        <v>1</v>
      </c>
      <c r="M350" s="23" t="s">
        <v>16</v>
      </c>
      <c r="N350" s="46">
        <f t="shared" si="69"/>
        <v>1</v>
      </c>
      <c r="O350" s="47">
        <f t="shared" si="70"/>
        <v>10</v>
      </c>
      <c r="P350" s="48">
        <f t="shared" si="71"/>
        <v>13093.286769329599</v>
      </c>
      <c r="Q350" s="25">
        <f t="shared" si="72"/>
        <v>0</v>
      </c>
      <c r="R350" s="26" t="str">
        <f t="shared" si="73"/>
        <v>COIN</v>
      </c>
      <c r="S350" s="26" t="str">
        <f t="shared" si="68"/>
        <v>LONG</v>
      </c>
      <c r="T350" s="26" t="str">
        <f t="shared" si="74"/>
        <v>COIN LONG</v>
      </c>
      <c r="U350" s="17">
        <f t="shared" si="75"/>
        <v>13093.286769329599</v>
      </c>
      <c r="V350" s="17">
        <f t="shared" si="76"/>
        <v>1309.32867693296</v>
      </c>
      <c r="W350" s="40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Shifted'!$AE$32:$AO$75,MATCH($R350,'Futures &amp; Perps Shifted'!$AE$30:$AO$30,0),FALSE),0),0)))</f>
        <v>0</v>
      </c>
      <c r="X350" s="17">
        <f t="shared" si="77"/>
        <v>0</v>
      </c>
      <c r="Y350" s="14" t="str">
        <f t="shared" si="78"/>
        <v>OKEX</v>
      </c>
      <c r="Z350" t="str">
        <f t="shared" si="79"/>
        <v>ETH COIN LONG</v>
      </c>
    </row>
    <row r="351" spans="1:26" customFormat="1" x14ac:dyDescent="0.25">
      <c r="A351" s="14">
        <v>349</v>
      </c>
      <c r="B351" s="77">
        <v>44910.000001192129</v>
      </c>
      <c r="C351" s="14" t="s">
        <v>46</v>
      </c>
      <c r="D351" s="23" t="s">
        <v>53</v>
      </c>
      <c r="E351" s="23" t="s">
        <v>39</v>
      </c>
      <c r="F351" s="23">
        <v>237486.28396321001</v>
      </c>
      <c r="G351" s="23">
        <v>237511.31746947501</v>
      </c>
      <c r="H351" s="23">
        <v>1.0001054103245299</v>
      </c>
      <c r="I351" s="23">
        <v>0</v>
      </c>
      <c r="J351" s="23" t="s">
        <v>88</v>
      </c>
      <c r="K351" s="24">
        <v>44910.000001192129</v>
      </c>
      <c r="L351" s="23">
        <v>1</v>
      </c>
      <c r="M351" s="23" t="s">
        <v>39</v>
      </c>
      <c r="N351" s="46">
        <f t="shared" si="69"/>
        <v>1</v>
      </c>
      <c r="O351" s="47">
        <f t="shared" si="70"/>
        <v>237486.28396321001</v>
      </c>
      <c r="P351" s="48">
        <f t="shared" si="71"/>
        <v>237511.31746947399</v>
      </c>
      <c r="Q351" s="25">
        <f t="shared" si="72"/>
        <v>0</v>
      </c>
      <c r="R351" s="26" t="str">
        <f t="shared" si="73"/>
        <v>COIN</v>
      </c>
      <c r="S351" s="26" t="str">
        <f t="shared" si="68"/>
        <v>LONG</v>
      </c>
      <c r="T351" s="26" t="str">
        <f t="shared" si="74"/>
        <v>COIN LONG</v>
      </c>
      <c r="U351" s="17">
        <f t="shared" si="75"/>
        <v>237511.31746947501</v>
      </c>
      <c r="V351" s="17">
        <f t="shared" si="76"/>
        <v>1.0001054103245299</v>
      </c>
      <c r="W351" s="40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Shifted'!$AE$32:$AO$75,MATCH($R351,'Futures &amp; Perps Shifted'!$AE$30:$AO$30,0),FALSE),0),0)))</f>
        <v>0</v>
      </c>
      <c r="X351" s="17">
        <f t="shared" si="77"/>
        <v>0</v>
      </c>
      <c r="Y351" s="14" t="str">
        <f t="shared" si="78"/>
        <v>OKEX</v>
      </c>
      <c r="Z351" t="str">
        <f t="shared" si="79"/>
        <v>USDT COIN LONG</v>
      </c>
    </row>
    <row r="352" spans="1:26" customFormat="1" x14ac:dyDescent="0.25">
      <c r="A352" s="14">
        <v>350</v>
      </c>
      <c r="B352" s="77">
        <v>44910.000001192129</v>
      </c>
      <c r="C352" s="14" t="s">
        <v>46</v>
      </c>
      <c r="D352" s="23" t="s">
        <v>53</v>
      </c>
      <c r="E352" s="23" t="s">
        <v>39</v>
      </c>
      <c r="F352" s="23">
        <v>-8464.4245849700001</v>
      </c>
      <c r="G352" s="23">
        <v>-8465.3168227125207</v>
      </c>
      <c r="H352" s="23">
        <v>1.0001054103245299</v>
      </c>
      <c r="I352" s="23">
        <v>0</v>
      </c>
      <c r="J352" s="23" t="s">
        <v>256</v>
      </c>
      <c r="K352" s="24">
        <v>44910.000001192129</v>
      </c>
      <c r="L352" s="23">
        <v>1</v>
      </c>
      <c r="M352" s="23" t="s">
        <v>39</v>
      </c>
      <c r="N352" s="46">
        <f t="shared" si="69"/>
        <v>1</v>
      </c>
      <c r="O352" s="47">
        <f t="shared" si="70"/>
        <v>-8464.4245849700001</v>
      </c>
      <c r="P352" s="48">
        <f t="shared" si="71"/>
        <v>-8465.3168227124606</v>
      </c>
      <c r="Q352" s="25">
        <f t="shared" si="72"/>
        <v>0</v>
      </c>
      <c r="R352" s="26" t="str">
        <f t="shared" si="73"/>
        <v>COIN</v>
      </c>
      <c r="S352" s="26" t="str">
        <f t="shared" si="68"/>
        <v>SHORT</v>
      </c>
      <c r="T352" s="26" t="str">
        <f t="shared" si="74"/>
        <v>COIN SHORT</v>
      </c>
      <c r="U352" s="17">
        <f t="shared" si="75"/>
        <v>-8465.3168227125207</v>
      </c>
      <c r="V352" s="17">
        <f t="shared" si="76"/>
        <v>1.0001054103245299</v>
      </c>
      <c r="W352" s="40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Shifted'!$AE$32:$AO$75,MATCH($R352,'Futures &amp; Perps Shifted'!$AE$30:$AO$30,0),FALSE),0),0)))</f>
        <v>0</v>
      </c>
      <c r="X352" s="17">
        <f t="shared" si="77"/>
        <v>0</v>
      </c>
      <c r="Y352" s="14" t="str">
        <f t="shared" si="78"/>
        <v>OKEX</v>
      </c>
      <c r="Z352" t="str">
        <f t="shared" si="79"/>
        <v>USDT COIN SHORT</v>
      </c>
    </row>
    <row r="353" spans="1:26" customFormat="1" x14ac:dyDescent="0.25">
      <c r="A353" s="14">
        <v>351</v>
      </c>
      <c r="B353" s="77">
        <v>44910.000001273147</v>
      </c>
      <c r="C353" s="14" t="s">
        <v>46</v>
      </c>
      <c r="D353" s="23" t="s">
        <v>54</v>
      </c>
      <c r="E353" s="23" t="s">
        <v>15</v>
      </c>
      <c r="F353" s="23">
        <v>4.2557053800000002</v>
      </c>
      <c r="G353" s="23">
        <v>75818.156934634098</v>
      </c>
      <c r="H353" s="23">
        <v>17815.649854650899</v>
      </c>
      <c r="I353" s="23">
        <v>0</v>
      </c>
      <c r="J353" s="23" t="s">
        <v>88</v>
      </c>
      <c r="K353" s="24">
        <v>44910.000001273147</v>
      </c>
      <c r="L353" s="23">
        <v>1</v>
      </c>
      <c r="M353" s="23" t="s">
        <v>15</v>
      </c>
      <c r="N353" s="46">
        <f t="shared" si="69"/>
        <v>1</v>
      </c>
      <c r="O353" s="47">
        <f t="shared" si="70"/>
        <v>4.2557053800000002</v>
      </c>
      <c r="P353" s="48">
        <f t="shared" si="71"/>
        <v>75818.156934634055</v>
      </c>
      <c r="Q353" s="25">
        <f t="shared" si="72"/>
        <v>0</v>
      </c>
      <c r="R353" s="26" t="str">
        <f t="shared" si="73"/>
        <v>COIN</v>
      </c>
      <c r="S353" s="26" t="str">
        <f t="shared" si="68"/>
        <v>LONG</v>
      </c>
      <c r="T353" s="26" t="str">
        <f t="shared" si="74"/>
        <v>COIN LONG</v>
      </c>
      <c r="U353" s="17">
        <f t="shared" si="75"/>
        <v>75818.156934634098</v>
      </c>
      <c r="V353" s="17">
        <f t="shared" si="76"/>
        <v>17815.649854650899</v>
      </c>
      <c r="W353" s="40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Shifted'!$AE$32:$AO$75,MATCH($R353,'Futures &amp; Perps Shifted'!$AE$30:$AO$30,0),FALSE),0),0)))</f>
        <v>0</v>
      </c>
      <c r="X353" s="17">
        <f t="shared" si="77"/>
        <v>0</v>
      </c>
      <c r="Y353" s="14" t="str">
        <f t="shared" si="78"/>
        <v>OKEX</v>
      </c>
      <c r="Z353" t="str">
        <f t="shared" si="79"/>
        <v>BTC COIN LONG</v>
      </c>
    </row>
    <row r="354" spans="1:26" customFormat="1" x14ac:dyDescent="0.25">
      <c r="A354" s="14">
        <v>352</v>
      </c>
      <c r="B354" s="77">
        <v>44910.000001273147</v>
      </c>
      <c r="C354" s="14" t="s">
        <v>46</v>
      </c>
      <c r="D354" s="23" t="s">
        <v>54</v>
      </c>
      <c r="E354" s="23" t="s">
        <v>39</v>
      </c>
      <c r="F354" s="23">
        <v>-18052.890061800001</v>
      </c>
      <c r="G354" s="23">
        <v>-18054.793022800201</v>
      </c>
      <c r="H354" s="23">
        <v>1.0001054103245299</v>
      </c>
      <c r="I354" s="23">
        <v>0</v>
      </c>
      <c r="J354" s="23" t="s">
        <v>256</v>
      </c>
      <c r="K354" s="24">
        <v>44910.000001273147</v>
      </c>
      <c r="L354" s="23">
        <v>1</v>
      </c>
      <c r="M354" s="23" t="s">
        <v>39</v>
      </c>
      <c r="N354" s="46">
        <f t="shared" si="69"/>
        <v>1</v>
      </c>
      <c r="O354" s="47">
        <f t="shared" si="70"/>
        <v>-18052.890061800001</v>
      </c>
      <c r="P354" s="48">
        <f t="shared" si="71"/>
        <v>-18054.793022800117</v>
      </c>
      <c r="Q354" s="25">
        <f t="shared" si="72"/>
        <v>0</v>
      </c>
      <c r="R354" s="26" t="str">
        <f t="shared" si="73"/>
        <v>COIN</v>
      </c>
      <c r="S354" s="26" t="str">
        <f t="shared" si="68"/>
        <v>SHORT</v>
      </c>
      <c r="T354" s="26" t="str">
        <f t="shared" si="74"/>
        <v>COIN SHORT</v>
      </c>
      <c r="U354" s="17">
        <f t="shared" si="75"/>
        <v>-18054.793022800201</v>
      </c>
      <c r="V354" s="17">
        <f t="shared" si="76"/>
        <v>1.0001054103245299</v>
      </c>
      <c r="W354" s="40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Shifted'!$AE$32:$AO$75,MATCH($R354,'Futures &amp; Perps Shifted'!$AE$30:$AO$30,0),FALSE),0),0)))</f>
        <v>0</v>
      </c>
      <c r="X354" s="17">
        <f t="shared" si="77"/>
        <v>0</v>
      </c>
      <c r="Y354" s="14" t="str">
        <f t="shared" si="78"/>
        <v>OKEX</v>
      </c>
      <c r="Z354" t="str">
        <f t="shared" si="79"/>
        <v>USDT COIN SHORT</v>
      </c>
    </row>
    <row r="355" spans="1:26" customFormat="1" x14ac:dyDescent="0.25">
      <c r="A355" s="14">
        <v>353</v>
      </c>
      <c r="B355" s="77">
        <v>44910.000003275461</v>
      </c>
      <c r="C355" s="14" t="s">
        <v>46</v>
      </c>
      <c r="D355" s="23" t="s">
        <v>47</v>
      </c>
      <c r="E355" s="23" t="s">
        <v>15</v>
      </c>
      <c r="F355" s="23">
        <v>764.01100843999996</v>
      </c>
      <c r="G355" s="23">
        <v>13611352.6114657</v>
      </c>
      <c r="H355" s="23">
        <v>17815.649854650899</v>
      </c>
      <c r="I355" s="23">
        <v>0</v>
      </c>
      <c r="J355" s="23" t="s">
        <v>88</v>
      </c>
      <c r="K355" s="24">
        <v>44910.000003275461</v>
      </c>
      <c r="L355" s="23">
        <v>1</v>
      </c>
      <c r="M355" s="23" t="s">
        <v>15</v>
      </c>
      <c r="N355" s="46">
        <f t="shared" si="69"/>
        <v>1</v>
      </c>
      <c r="O355" s="47">
        <f t="shared" si="70"/>
        <v>764.01100843999996</v>
      </c>
      <c r="P355" s="48">
        <f t="shared" si="71"/>
        <v>13611352.611465773</v>
      </c>
      <c r="Q355" s="25">
        <f t="shared" si="72"/>
        <v>0</v>
      </c>
      <c r="R355" s="26" t="str">
        <f t="shared" si="73"/>
        <v>COIN</v>
      </c>
      <c r="S355" s="26" t="str">
        <f t="shared" si="68"/>
        <v>LONG</v>
      </c>
      <c r="T355" s="26" t="str">
        <f t="shared" si="74"/>
        <v>COIN LONG</v>
      </c>
      <c r="U355" s="17">
        <f t="shared" si="75"/>
        <v>13611352.6114657</v>
      </c>
      <c r="V355" s="17">
        <f t="shared" si="76"/>
        <v>17815.649854650899</v>
      </c>
      <c r="W355" s="40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Shifted'!$AE$32:$AO$75,MATCH($R355,'Futures &amp; Perps Shifted'!$AE$30:$AO$30,0),FALSE),0),0)))</f>
        <v>0</v>
      </c>
      <c r="X355" s="17">
        <f t="shared" si="77"/>
        <v>0</v>
      </c>
      <c r="Y355" s="14" t="str">
        <f t="shared" si="78"/>
        <v>OKEX</v>
      </c>
      <c r="Z355" t="str">
        <f t="shared" si="79"/>
        <v>BTC COIN LONG</v>
      </c>
    </row>
    <row r="356" spans="1:26" customFormat="1" x14ac:dyDescent="0.25">
      <c r="A356" s="14">
        <v>354</v>
      </c>
      <c r="B356" s="77">
        <v>44910.000003275461</v>
      </c>
      <c r="C356" s="14" t="s">
        <v>46</v>
      </c>
      <c r="D356" s="23" t="s">
        <v>47</v>
      </c>
      <c r="E356" s="23" t="s">
        <v>15</v>
      </c>
      <c r="F356" s="23">
        <v>1.3770048500000001</v>
      </c>
      <c r="G356" s="23">
        <v>24532.236255756099</v>
      </c>
      <c r="H356" s="23">
        <v>17815.649854650899</v>
      </c>
      <c r="I356" s="23">
        <v>0</v>
      </c>
      <c r="J356" s="23" t="s">
        <v>256</v>
      </c>
      <c r="K356" s="24">
        <v>44910.000003275461</v>
      </c>
      <c r="L356" s="23">
        <v>1</v>
      </c>
      <c r="M356" s="23" t="s">
        <v>15</v>
      </c>
      <c r="N356" s="46">
        <f t="shared" si="69"/>
        <v>1</v>
      </c>
      <c r="O356" s="47">
        <f t="shared" si="70"/>
        <v>1.3770048500000001</v>
      </c>
      <c r="P356" s="48">
        <f t="shared" si="71"/>
        <v>24532.236255756085</v>
      </c>
      <c r="Q356" s="25">
        <f t="shared" si="72"/>
        <v>0</v>
      </c>
      <c r="R356" s="26" t="str">
        <f t="shared" si="73"/>
        <v>COIN</v>
      </c>
      <c r="S356" s="26" t="str">
        <f t="shared" si="68"/>
        <v>LONG</v>
      </c>
      <c r="T356" s="26" t="str">
        <f t="shared" si="74"/>
        <v>COIN LONG</v>
      </c>
      <c r="U356" s="17">
        <f t="shared" si="75"/>
        <v>24532.236255756099</v>
      </c>
      <c r="V356" s="17">
        <f t="shared" si="76"/>
        <v>17815.649854650899</v>
      </c>
      <c r="W356" s="40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Shifted'!$AE$32:$AO$75,MATCH($R356,'Futures &amp; Perps Shifted'!$AE$30:$AO$30,0),FALSE),0),0)))</f>
        <v>0</v>
      </c>
      <c r="X356" s="17">
        <f t="shared" si="77"/>
        <v>0</v>
      </c>
      <c r="Y356" s="14" t="str">
        <f t="shared" si="78"/>
        <v>OKEX</v>
      </c>
      <c r="Z356" t="str">
        <f t="shared" si="79"/>
        <v>BTC COIN LONG</v>
      </c>
    </row>
    <row r="357" spans="1:26" customFormat="1" x14ac:dyDescent="0.25">
      <c r="A357" s="14">
        <v>355</v>
      </c>
      <c r="B357" s="77">
        <v>44910.000003275461</v>
      </c>
      <c r="C357" s="14" t="s">
        <v>46</v>
      </c>
      <c r="D357" s="23" t="s">
        <v>47</v>
      </c>
      <c r="E357" s="23" t="s">
        <v>24</v>
      </c>
      <c r="F357" s="23">
        <v>38721.420911499998</v>
      </c>
      <c r="G357" s="23">
        <v>37870.375838440501</v>
      </c>
      <c r="H357" s="23">
        <v>0.97802133669101299</v>
      </c>
      <c r="I357" s="23">
        <v>0</v>
      </c>
      <c r="J357" s="23" t="s">
        <v>88</v>
      </c>
      <c r="K357" s="24">
        <v>44910.000003275461</v>
      </c>
      <c r="L357" s="23">
        <v>1</v>
      </c>
      <c r="M357" s="23" t="s">
        <v>24</v>
      </c>
      <c r="N357" s="46">
        <f t="shared" si="69"/>
        <v>1</v>
      </c>
      <c r="O357" s="47">
        <f t="shared" si="70"/>
        <v>38721.420911499998</v>
      </c>
      <c r="P357" s="48">
        <f t="shared" si="71"/>
        <v>37870.375838440574</v>
      </c>
      <c r="Q357" s="25">
        <f t="shared" si="72"/>
        <v>0</v>
      </c>
      <c r="R357" s="26" t="str">
        <f t="shared" si="73"/>
        <v>COIN</v>
      </c>
      <c r="S357" s="26" t="str">
        <f t="shared" si="68"/>
        <v>LONG</v>
      </c>
      <c r="T357" s="26" t="str">
        <f t="shared" si="74"/>
        <v>COIN LONG</v>
      </c>
      <c r="U357" s="17">
        <f t="shared" si="75"/>
        <v>37870.375838440501</v>
      </c>
      <c r="V357" s="17">
        <f t="shared" si="76"/>
        <v>0.97802133669101299</v>
      </c>
      <c r="W357" s="40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Shifted'!$AE$32:$AO$75,MATCH($R357,'Futures &amp; Perps Shifted'!$AE$30:$AO$30,0),FALSE),0),0)))</f>
        <v>0</v>
      </c>
      <c r="X357" s="17">
        <f t="shared" si="77"/>
        <v>0</v>
      </c>
      <c r="Y357" s="14" t="str">
        <f t="shared" si="78"/>
        <v>OKEX</v>
      </c>
      <c r="Z357" t="str">
        <f t="shared" si="79"/>
        <v>EOS COIN LONG</v>
      </c>
    </row>
    <row r="358" spans="1:26" customFormat="1" x14ac:dyDescent="0.25">
      <c r="A358" s="14">
        <v>356</v>
      </c>
      <c r="B358" s="77">
        <v>44910.000003275461</v>
      </c>
      <c r="C358" s="14" t="s">
        <v>46</v>
      </c>
      <c r="D358" s="23" t="s">
        <v>47</v>
      </c>
      <c r="E358" s="23" t="s">
        <v>16</v>
      </c>
      <c r="F358" s="23">
        <v>2557.3184111800001</v>
      </c>
      <c r="G358" s="23">
        <v>3348370.3318066099</v>
      </c>
      <c r="H358" s="23">
        <v>1309.32867693296</v>
      </c>
      <c r="I358" s="23">
        <v>0</v>
      </c>
      <c r="J358" s="23" t="s">
        <v>88</v>
      </c>
      <c r="K358" s="24">
        <v>44910.000003275461</v>
      </c>
      <c r="L358" s="23">
        <v>1</v>
      </c>
      <c r="M358" s="23" t="s">
        <v>16</v>
      </c>
      <c r="N358" s="46">
        <f t="shared" si="69"/>
        <v>1</v>
      </c>
      <c r="O358" s="47">
        <f t="shared" si="70"/>
        <v>2557.3184111800001</v>
      </c>
      <c r="P358" s="48">
        <f t="shared" si="71"/>
        <v>3348370.3318066089</v>
      </c>
      <c r="Q358" s="25">
        <f t="shared" si="72"/>
        <v>0</v>
      </c>
      <c r="R358" s="26" t="str">
        <f t="shared" si="73"/>
        <v>COIN</v>
      </c>
      <c r="S358" s="26" t="str">
        <f t="shared" si="68"/>
        <v>LONG</v>
      </c>
      <c r="T358" s="26" t="str">
        <f t="shared" si="74"/>
        <v>COIN LONG</v>
      </c>
      <c r="U358" s="17">
        <f t="shared" si="75"/>
        <v>3348370.3318066099</v>
      </c>
      <c r="V358" s="17">
        <f t="shared" si="76"/>
        <v>1309.32867693296</v>
      </c>
      <c r="W358" s="40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Shifted'!$AE$32:$AO$75,MATCH($R358,'Futures &amp; Perps Shifted'!$AE$30:$AO$30,0),FALSE),0),0)))</f>
        <v>0</v>
      </c>
      <c r="X358" s="17">
        <f t="shared" si="77"/>
        <v>0</v>
      </c>
      <c r="Y358" s="14" t="str">
        <f t="shared" si="78"/>
        <v>OKEX</v>
      </c>
      <c r="Z358" t="str">
        <f t="shared" si="79"/>
        <v>ETH COIN LONG</v>
      </c>
    </row>
    <row r="359" spans="1:26" customFormat="1" x14ac:dyDescent="0.25">
      <c r="A359" s="14">
        <v>357</v>
      </c>
      <c r="B359" s="77">
        <v>44910.000003275461</v>
      </c>
      <c r="C359" s="14" t="s">
        <v>46</v>
      </c>
      <c r="D359" s="23" t="s">
        <v>47</v>
      </c>
      <c r="E359" s="23" t="s">
        <v>16</v>
      </c>
      <c r="F359" s="23">
        <v>-15.32692119</v>
      </c>
      <c r="G359" s="23">
        <v>-20067.977443158401</v>
      </c>
      <c r="H359" s="23">
        <v>1309.32867693296</v>
      </c>
      <c r="I359" s="23">
        <v>0</v>
      </c>
      <c r="J359" s="23" t="s">
        <v>256</v>
      </c>
      <c r="K359" s="24">
        <v>44910.000003275461</v>
      </c>
      <c r="L359" s="23">
        <v>1</v>
      </c>
      <c r="M359" s="23" t="s">
        <v>16</v>
      </c>
      <c r="N359" s="46">
        <f t="shared" si="69"/>
        <v>1</v>
      </c>
      <c r="O359" s="47">
        <f t="shared" si="70"/>
        <v>-15.32692119</v>
      </c>
      <c r="P359" s="48">
        <f t="shared" si="71"/>
        <v>-20067.977443158448</v>
      </c>
      <c r="Q359" s="25">
        <f t="shared" si="72"/>
        <v>0</v>
      </c>
      <c r="R359" s="26" t="str">
        <f t="shared" si="73"/>
        <v>COIN</v>
      </c>
      <c r="S359" s="26" t="str">
        <f t="shared" si="68"/>
        <v>SHORT</v>
      </c>
      <c r="T359" s="26" t="str">
        <f t="shared" si="74"/>
        <v>COIN SHORT</v>
      </c>
      <c r="U359" s="17">
        <f t="shared" si="75"/>
        <v>-20067.977443158401</v>
      </c>
      <c r="V359" s="17">
        <f t="shared" si="76"/>
        <v>1309.32867693296</v>
      </c>
      <c r="W359" s="40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Shifted'!$AE$32:$AO$75,MATCH($R359,'Futures &amp; Perps Shifted'!$AE$30:$AO$30,0),FALSE),0),0)))</f>
        <v>0</v>
      </c>
      <c r="X359" s="17">
        <f t="shared" si="77"/>
        <v>0</v>
      </c>
      <c r="Y359" s="14" t="str">
        <f t="shared" si="78"/>
        <v>OKEX</v>
      </c>
      <c r="Z359" t="str">
        <f t="shared" si="79"/>
        <v>ETH COIN SHORT</v>
      </c>
    </row>
    <row r="360" spans="1:26" customFormat="1" x14ac:dyDescent="0.25">
      <c r="A360" s="14">
        <v>358</v>
      </c>
      <c r="B360" s="77">
        <v>44910.000003275461</v>
      </c>
      <c r="C360" s="14" t="s">
        <v>46</v>
      </c>
      <c r="D360" s="23" t="s">
        <v>47</v>
      </c>
      <c r="E360" s="23" t="s">
        <v>25</v>
      </c>
      <c r="F360" s="23">
        <v>137.25004552999999</v>
      </c>
      <c r="G360" s="23">
        <v>10359.065721848099</v>
      </c>
      <c r="H360" s="23">
        <v>75.475863646134997</v>
      </c>
      <c r="I360" s="23">
        <v>0</v>
      </c>
      <c r="J360" s="23" t="s">
        <v>88</v>
      </c>
      <c r="K360" s="24">
        <v>44910.000003275461</v>
      </c>
      <c r="L360" s="23">
        <v>1</v>
      </c>
      <c r="M360" s="23" t="s">
        <v>25</v>
      </c>
      <c r="N360" s="46">
        <f t="shared" si="69"/>
        <v>1</v>
      </c>
      <c r="O360" s="47">
        <f t="shared" si="70"/>
        <v>137.25004552999999</v>
      </c>
      <c r="P360" s="48">
        <f t="shared" si="71"/>
        <v>10359.065721848099</v>
      </c>
      <c r="Q360" s="25">
        <f t="shared" si="72"/>
        <v>0</v>
      </c>
      <c r="R360" s="26" t="str">
        <f t="shared" si="73"/>
        <v>COIN</v>
      </c>
      <c r="S360" s="26" t="str">
        <f t="shared" si="68"/>
        <v>LONG</v>
      </c>
      <c r="T360" s="26" t="str">
        <f t="shared" si="74"/>
        <v>COIN LONG</v>
      </c>
      <c r="U360" s="17">
        <f t="shared" si="75"/>
        <v>10359.065721848099</v>
      </c>
      <c r="V360" s="17">
        <f t="shared" si="76"/>
        <v>75.475863646134997</v>
      </c>
      <c r="W360" s="40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Shifted'!$AE$32:$AO$75,MATCH($R360,'Futures &amp; Perps Shifted'!$AE$30:$AO$30,0),FALSE),0),0)))</f>
        <v>0</v>
      </c>
      <c r="X360" s="17">
        <f t="shared" si="77"/>
        <v>0</v>
      </c>
      <c r="Y360" s="14" t="str">
        <f t="shared" si="78"/>
        <v>OKEX</v>
      </c>
      <c r="Z360" t="str">
        <f t="shared" si="79"/>
        <v>LTC COIN LONG</v>
      </c>
    </row>
    <row r="361" spans="1:26" customFormat="1" x14ac:dyDescent="0.25">
      <c r="A361" s="14">
        <v>359</v>
      </c>
      <c r="B361" s="77">
        <v>44910.000003275461</v>
      </c>
      <c r="C361" s="14" t="s">
        <v>46</v>
      </c>
      <c r="D361" s="23" t="s">
        <v>47</v>
      </c>
      <c r="E361" s="23" t="s">
        <v>92</v>
      </c>
      <c r="F361" s="23">
        <v>635986.32306369999</v>
      </c>
      <c r="G361" s="23">
        <v>51628.015928617897</v>
      </c>
      <c r="H361" s="23">
        <v>8.1177871372945895E-2</v>
      </c>
      <c r="I361" s="23">
        <v>0</v>
      </c>
      <c r="J361" s="23" t="s">
        <v>88</v>
      </c>
      <c r="K361" s="24">
        <v>44910.000003275461</v>
      </c>
      <c r="L361" s="23">
        <v>1</v>
      </c>
      <c r="M361" s="23" t="s">
        <v>92</v>
      </c>
      <c r="N361" s="46">
        <f t="shared" si="69"/>
        <v>1</v>
      </c>
      <c r="O361" s="47">
        <f t="shared" si="70"/>
        <v>635986.32306369999</v>
      </c>
      <c r="P361" s="48">
        <f t="shared" si="71"/>
        <v>51628.015928617853</v>
      </c>
      <c r="Q361" s="25">
        <f t="shared" si="72"/>
        <v>0</v>
      </c>
      <c r="R361" s="26" t="str">
        <f t="shared" si="73"/>
        <v>COIN</v>
      </c>
      <c r="S361" s="26" t="str">
        <f t="shared" si="68"/>
        <v>LONG</v>
      </c>
      <c r="T361" s="26" t="str">
        <f t="shared" si="74"/>
        <v>COIN LONG</v>
      </c>
      <c r="U361" s="17">
        <f t="shared" si="75"/>
        <v>51628.015928617897</v>
      </c>
      <c r="V361" s="17">
        <f t="shared" si="76"/>
        <v>8.1177871372945895E-2</v>
      </c>
      <c r="W361" s="40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Shifted'!$AE$32:$AO$75,MATCH($R361,'Futures &amp; Perps Shifted'!$AE$30:$AO$30,0),FALSE),0),0)))</f>
        <v>0</v>
      </c>
      <c r="X361" s="17">
        <f t="shared" si="77"/>
        <v>0</v>
      </c>
      <c r="Y361" s="14" t="str">
        <f t="shared" si="78"/>
        <v>OKEX</v>
      </c>
      <c r="Z361" t="str">
        <f t="shared" si="79"/>
        <v>OXT COIN LONG</v>
      </c>
    </row>
    <row r="362" spans="1:26" customFormat="1" x14ac:dyDescent="0.25">
      <c r="A362" s="14">
        <v>360</v>
      </c>
      <c r="B362" s="77">
        <v>44910.000003275461</v>
      </c>
      <c r="C362" s="14" t="s">
        <v>46</v>
      </c>
      <c r="D362" s="23" t="s">
        <v>47</v>
      </c>
      <c r="E362" s="23" t="s">
        <v>39</v>
      </c>
      <c r="F362" s="23">
        <v>204481.77734043999</v>
      </c>
      <c r="G362" s="23">
        <v>204503.33183095101</v>
      </c>
      <c r="H362" s="23">
        <v>1.0001054103245299</v>
      </c>
      <c r="I362" s="23">
        <v>0</v>
      </c>
      <c r="J362" s="23" t="s">
        <v>256</v>
      </c>
      <c r="K362" s="24">
        <v>44910.000003275461</v>
      </c>
      <c r="L362" s="23">
        <v>1</v>
      </c>
      <c r="M362" s="23" t="s">
        <v>39</v>
      </c>
      <c r="N362" s="46">
        <f t="shared" si="69"/>
        <v>1</v>
      </c>
      <c r="O362" s="47">
        <f t="shared" si="70"/>
        <v>204481.77734043999</v>
      </c>
      <c r="P362" s="48">
        <f t="shared" si="71"/>
        <v>204503.3318309499</v>
      </c>
      <c r="Q362" s="25">
        <f t="shared" si="72"/>
        <v>0</v>
      </c>
      <c r="R362" s="26" t="str">
        <f t="shared" si="73"/>
        <v>COIN</v>
      </c>
      <c r="S362" s="26" t="str">
        <f t="shared" si="68"/>
        <v>LONG</v>
      </c>
      <c r="T362" s="26" t="str">
        <f t="shared" si="74"/>
        <v>COIN LONG</v>
      </c>
      <c r="U362" s="17">
        <f t="shared" si="75"/>
        <v>204503.33183095101</v>
      </c>
      <c r="V362" s="17">
        <f t="shared" si="76"/>
        <v>1.0001054103245299</v>
      </c>
      <c r="W362" s="40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Shifted'!$AE$32:$AO$75,MATCH($R362,'Futures &amp; Perps Shifted'!$AE$30:$AO$30,0),FALSE),0),0)))</f>
        <v>0</v>
      </c>
      <c r="X362" s="17">
        <f t="shared" si="77"/>
        <v>0</v>
      </c>
      <c r="Y362" s="14" t="str">
        <f t="shared" si="78"/>
        <v>OKEX</v>
      </c>
      <c r="Z362" t="str">
        <f t="shared" si="79"/>
        <v>USDT COIN LONG</v>
      </c>
    </row>
    <row r="363" spans="1:26" customFormat="1" x14ac:dyDescent="0.25">
      <c r="A363" s="14">
        <v>361</v>
      </c>
      <c r="B363" s="77">
        <v>44910.000003275461</v>
      </c>
      <c r="C363" s="14" t="s">
        <v>46</v>
      </c>
      <c r="D363" s="23" t="s">
        <v>47</v>
      </c>
      <c r="E363" s="23" t="s">
        <v>102</v>
      </c>
      <c r="F363" s="23">
        <v>14324.333393569999</v>
      </c>
      <c r="G363" s="23">
        <v>5535.1189213105199</v>
      </c>
      <c r="H363" s="23">
        <v>0.38641371777866901</v>
      </c>
      <c r="I363" s="23">
        <v>0</v>
      </c>
      <c r="J363" s="23" t="s">
        <v>88</v>
      </c>
      <c r="K363" s="24">
        <v>44910.000003275461</v>
      </c>
      <c r="L363" s="23">
        <v>1</v>
      </c>
      <c r="M363" s="23" t="s">
        <v>102</v>
      </c>
      <c r="N363" s="46">
        <f t="shared" si="69"/>
        <v>1</v>
      </c>
      <c r="O363" s="47">
        <f t="shared" si="70"/>
        <v>14324.333393569999</v>
      </c>
      <c r="P363" s="48">
        <f t="shared" si="71"/>
        <v>5535.1189213105217</v>
      </c>
      <c r="Q363" s="25">
        <f t="shared" si="72"/>
        <v>0</v>
      </c>
      <c r="R363" s="26" t="str">
        <f t="shared" si="73"/>
        <v>COIN</v>
      </c>
      <c r="S363" s="26" t="str">
        <f t="shared" si="68"/>
        <v>LONG</v>
      </c>
      <c r="T363" s="26" t="str">
        <f t="shared" si="74"/>
        <v>COIN LONG</v>
      </c>
      <c r="U363" s="17">
        <f t="shared" si="75"/>
        <v>5535.1189213105199</v>
      </c>
      <c r="V363" s="17">
        <f t="shared" si="76"/>
        <v>0.38641371777866901</v>
      </c>
      <c r="W363" s="40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Shifted'!$AE$32:$AO$75,MATCH($R363,'Futures &amp; Perps Shifted'!$AE$30:$AO$30,0),FALSE),0),0)))</f>
        <v>0</v>
      </c>
      <c r="X363" s="17">
        <f t="shared" si="77"/>
        <v>0</v>
      </c>
      <c r="Y363" s="14" t="str">
        <f t="shared" si="78"/>
        <v>OKEX</v>
      </c>
      <c r="Z363" t="str">
        <f t="shared" si="79"/>
        <v>XRP COIN LONG</v>
      </c>
    </row>
    <row r="364" spans="1:26" customFormat="1" x14ac:dyDescent="0.25">
      <c r="A364" s="14">
        <v>362</v>
      </c>
      <c r="B364" s="77">
        <v>44910.000003275461</v>
      </c>
      <c r="C364" s="14" t="s">
        <v>46</v>
      </c>
      <c r="D364" s="23" t="s">
        <v>47</v>
      </c>
      <c r="E364" s="23" t="s">
        <v>27</v>
      </c>
      <c r="F364" s="23">
        <v>1887327.67139451</v>
      </c>
      <c r="G364" s="23">
        <v>41125.573772119402</v>
      </c>
      <c r="H364" s="23">
        <v>2.1790372914806299E-2</v>
      </c>
      <c r="I364" s="23">
        <v>0</v>
      </c>
      <c r="J364" s="23" t="s">
        <v>88</v>
      </c>
      <c r="K364" s="24">
        <v>44910.000003275461</v>
      </c>
      <c r="L364" s="23">
        <v>1</v>
      </c>
      <c r="M364" s="23" t="s">
        <v>27</v>
      </c>
      <c r="N364" s="46">
        <f t="shared" si="69"/>
        <v>1</v>
      </c>
      <c r="O364" s="47">
        <f t="shared" si="70"/>
        <v>1887327.67139451</v>
      </c>
      <c r="P364" s="48">
        <f t="shared" si="71"/>
        <v>41125.573772119373</v>
      </c>
      <c r="Q364" s="25">
        <f t="shared" si="72"/>
        <v>0</v>
      </c>
      <c r="R364" s="26" t="str">
        <f t="shared" si="73"/>
        <v>COIN</v>
      </c>
      <c r="S364" s="26" t="str">
        <f t="shared" si="68"/>
        <v>LONG</v>
      </c>
      <c r="T364" s="26" t="str">
        <f t="shared" si="74"/>
        <v>COIN LONG</v>
      </c>
      <c r="U364" s="17">
        <f t="shared" si="75"/>
        <v>41125.573772119402</v>
      </c>
      <c r="V364" s="17">
        <f t="shared" si="76"/>
        <v>2.1790372914806299E-2</v>
      </c>
      <c r="W364" s="40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Shifted'!$AE$32:$AO$75,MATCH($R364,'Futures &amp; Perps Shifted'!$AE$30:$AO$30,0),FALSE),0),0)))</f>
        <v>0</v>
      </c>
      <c r="X364" s="17">
        <f t="shared" si="77"/>
        <v>0</v>
      </c>
      <c r="Y364" s="14" t="str">
        <f t="shared" si="78"/>
        <v>OKEX</v>
      </c>
      <c r="Z364" t="str">
        <f t="shared" si="79"/>
        <v>ZIL COIN LONG</v>
      </c>
    </row>
    <row r="365" spans="1:26" customFormat="1" x14ac:dyDescent="0.25">
      <c r="A365" s="14">
        <v>363</v>
      </c>
      <c r="B365" s="77">
        <v>44910.000003275461</v>
      </c>
      <c r="C365" s="14" t="s">
        <v>46</v>
      </c>
      <c r="D365" s="23" t="s">
        <v>177</v>
      </c>
      <c r="E365" s="23" t="s">
        <v>21</v>
      </c>
      <c r="F365" s="23">
        <v>7.381E-5</v>
      </c>
      <c r="G365" s="23">
        <v>8.0532980862963108E-3</v>
      </c>
      <c r="H365" s="23">
        <v>109.10849595307199</v>
      </c>
      <c r="I365" s="23">
        <v>0</v>
      </c>
      <c r="J365" s="23" t="s">
        <v>88</v>
      </c>
      <c r="K365" s="24">
        <v>44910.000003275461</v>
      </c>
      <c r="L365" s="23">
        <v>1</v>
      </c>
      <c r="M365" s="23" t="s">
        <v>21</v>
      </c>
      <c r="N365" s="46">
        <f t="shared" si="69"/>
        <v>1</v>
      </c>
      <c r="O365" s="47">
        <f t="shared" si="70"/>
        <v>7.381E-5</v>
      </c>
      <c r="P365" s="48">
        <f t="shared" si="71"/>
        <v>8.0532980862962431E-3</v>
      </c>
      <c r="Q365" s="25">
        <f t="shared" si="72"/>
        <v>0</v>
      </c>
      <c r="R365" s="26" t="str">
        <f t="shared" si="73"/>
        <v>COIN</v>
      </c>
      <c r="S365" s="26" t="str">
        <f t="shared" si="68"/>
        <v>LONG</v>
      </c>
      <c r="T365" s="26" t="str">
        <f t="shared" si="74"/>
        <v>COIN LONG</v>
      </c>
      <c r="U365" s="17">
        <f t="shared" si="75"/>
        <v>8.0532980862963108E-3</v>
      </c>
      <c r="V365" s="17">
        <f t="shared" si="76"/>
        <v>109.10849595307199</v>
      </c>
      <c r="W365" s="40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Shifted'!$AE$32:$AO$75,MATCH($R365,'Futures &amp; Perps Shifted'!$AE$30:$AO$30,0),FALSE),0),0)))</f>
        <v>0</v>
      </c>
      <c r="X365" s="17">
        <f t="shared" si="77"/>
        <v>0</v>
      </c>
      <c r="Y365" s="14" t="str">
        <f t="shared" si="78"/>
        <v>OKEX</v>
      </c>
      <c r="Z365" t="str">
        <f t="shared" si="79"/>
        <v>BCH COIN LONG</v>
      </c>
    </row>
    <row r="366" spans="1:26" customFormat="1" x14ac:dyDescent="0.25">
      <c r="A366" s="14">
        <v>364</v>
      </c>
      <c r="B366" s="77">
        <v>44910.000003275461</v>
      </c>
      <c r="C366" s="14" t="s">
        <v>46</v>
      </c>
      <c r="D366" s="23" t="s">
        <v>177</v>
      </c>
      <c r="E366" s="23" t="s">
        <v>116</v>
      </c>
      <c r="F366" s="23">
        <v>0.86729455</v>
      </c>
      <c r="G366" s="23">
        <v>39.298519969767199</v>
      </c>
      <c r="H366" s="23">
        <v>45.311618722574998</v>
      </c>
      <c r="I366" s="23">
        <v>0</v>
      </c>
      <c r="J366" s="23" t="s">
        <v>88</v>
      </c>
      <c r="K366" s="24">
        <v>44910.000003275461</v>
      </c>
      <c r="L366" s="23">
        <v>1</v>
      </c>
      <c r="M366" s="23" t="s">
        <v>116</v>
      </c>
      <c r="N366" s="46">
        <f t="shared" si="69"/>
        <v>1</v>
      </c>
      <c r="O366" s="47">
        <f t="shared" si="70"/>
        <v>0.86729455</v>
      </c>
      <c r="P366" s="48">
        <f t="shared" si="71"/>
        <v>39.298519969767256</v>
      </c>
      <c r="Q366" s="25">
        <f t="shared" si="72"/>
        <v>0</v>
      </c>
      <c r="R366" s="26" t="str">
        <f t="shared" si="73"/>
        <v>COIN</v>
      </c>
      <c r="S366" s="26" t="str">
        <f t="shared" si="68"/>
        <v>LONG</v>
      </c>
      <c r="T366" s="26" t="str">
        <f t="shared" si="74"/>
        <v>COIN LONG</v>
      </c>
      <c r="U366" s="17">
        <f t="shared" si="75"/>
        <v>39.298519969767199</v>
      </c>
      <c r="V366" s="17">
        <f t="shared" si="76"/>
        <v>45.311618722574998</v>
      </c>
      <c r="W366" s="40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Shifted'!$AE$32:$AO$75,MATCH($R366,'Futures &amp; Perps Shifted'!$AE$30:$AO$30,0),FALSE),0),0)))</f>
        <v>0</v>
      </c>
      <c r="X366" s="17">
        <f t="shared" si="77"/>
        <v>0</v>
      </c>
      <c r="Y366" s="14" t="str">
        <f t="shared" si="78"/>
        <v>OKEX</v>
      </c>
      <c r="Z366" t="str">
        <f t="shared" si="79"/>
        <v>BSV COIN LONG</v>
      </c>
    </row>
    <row r="367" spans="1:26" customFormat="1" x14ac:dyDescent="0.25">
      <c r="A367" s="14">
        <v>365</v>
      </c>
      <c r="B367" s="77">
        <v>44910.000003275461</v>
      </c>
      <c r="C367" s="14" t="s">
        <v>46</v>
      </c>
      <c r="D367" s="23" t="s">
        <v>177</v>
      </c>
      <c r="E367" s="23" t="s">
        <v>23</v>
      </c>
      <c r="F367" s="23">
        <v>6.8575999999999999E-4</v>
      </c>
      <c r="G367" s="23">
        <v>3.5763822388220502E-3</v>
      </c>
      <c r="H367" s="23">
        <v>5.21520975096543</v>
      </c>
      <c r="I367" s="23">
        <v>0</v>
      </c>
      <c r="J367" s="23" t="s">
        <v>88</v>
      </c>
      <c r="K367" s="24">
        <v>44910.000003275461</v>
      </c>
      <c r="L367" s="23">
        <v>1</v>
      </c>
      <c r="M367" s="23" t="s">
        <v>23</v>
      </c>
      <c r="N367" s="46">
        <f t="shared" si="69"/>
        <v>1</v>
      </c>
      <c r="O367" s="47">
        <f t="shared" si="70"/>
        <v>6.8575999999999999E-4</v>
      </c>
      <c r="P367" s="48">
        <f t="shared" si="71"/>
        <v>3.5763822388220532E-3</v>
      </c>
      <c r="Q367" s="25">
        <f t="shared" si="72"/>
        <v>0</v>
      </c>
      <c r="R367" s="26" t="str">
        <f t="shared" si="73"/>
        <v>COIN</v>
      </c>
      <c r="S367" s="26" t="str">
        <f t="shared" si="68"/>
        <v>LONG</v>
      </c>
      <c r="T367" s="26" t="str">
        <f t="shared" si="74"/>
        <v>COIN LONG</v>
      </c>
      <c r="U367" s="17">
        <f t="shared" si="75"/>
        <v>3.5763822388220502E-3</v>
      </c>
      <c r="V367" s="17">
        <f t="shared" si="76"/>
        <v>5.21520975096543</v>
      </c>
      <c r="W367" s="40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Shifted'!$AE$32:$AO$75,MATCH($R367,'Futures &amp; Perps Shifted'!$AE$30:$AO$30,0),FALSE),0),0)))</f>
        <v>0</v>
      </c>
      <c r="X367" s="17">
        <f t="shared" si="77"/>
        <v>0</v>
      </c>
      <c r="Y367" s="14" t="str">
        <f t="shared" si="78"/>
        <v>OKEX</v>
      </c>
      <c r="Z367" t="str">
        <f t="shared" si="79"/>
        <v>DOT COIN LONG</v>
      </c>
    </row>
    <row r="368" spans="1:26" customFormat="1" x14ac:dyDescent="0.25">
      <c r="A368" s="14">
        <v>366</v>
      </c>
      <c r="B368" s="77">
        <v>44910.000003275461</v>
      </c>
      <c r="C368" s="14" t="s">
        <v>46</v>
      </c>
      <c r="D368" s="23" t="s">
        <v>177</v>
      </c>
      <c r="E368" s="23" t="s">
        <v>275</v>
      </c>
      <c r="F368" s="23">
        <v>8.7929999999999993E-5</v>
      </c>
      <c r="G368" s="23">
        <v>3.11317235041982E-4</v>
      </c>
      <c r="H368" s="23">
        <v>3.5405121692480601</v>
      </c>
      <c r="I368" s="23">
        <v>0</v>
      </c>
      <c r="J368" s="23" t="s">
        <v>88</v>
      </c>
      <c r="K368" s="24">
        <v>44910.000003275461</v>
      </c>
      <c r="L368" s="23">
        <v>1</v>
      </c>
      <c r="M368" s="23" t="s">
        <v>275</v>
      </c>
      <c r="N368" s="46">
        <f t="shared" si="69"/>
        <v>1</v>
      </c>
      <c r="O368" s="47">
        <f t="shared" si="70"/>
        <v>8.7929999999999993E-5</v>
      </c>
      <c r="P368" s="48">
        <f t="shared" si="71"/>
        <v>3.1131723504198189E-4</v>
      </c>
      <c r="Q368" s="25">
        <f t="shared" si="72"/>
        <v>0</v>
      </c>
      <c r="R368" s="26" t="str">
        <f t="shared" si="73"/>
        <v>COIN</v>
      </c>
      <c r="S368" s="26" t="str">
        <f t="shared" si="68"/>
        <v>LONG</v>
      </c>
      <c r="T368" s="26" t="str">
        <f t="shared" si="74"/>
        <v>COIN LONG</v>
      </c>
      <c r="U368" s="17">
        <f t="shared" si="75"/>
        <v>3.11317235041982E-4</v>
      </c>
      <c r="V368" s="17">
        <f t="shared" si="76"/>
        <v>3.5405121692480601</v>
      </c>
      <c r="W368" s="40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Shifted'!$AE$32:$AO$75,MATCH($R368,'Futures &amp; Perps Shifted'!$AE$30:$AO$30,0),FALSE),0),0)))</f>
        <v>0</v>
      </c>
      <c r="X368" s="17">
        <f t="shared" si="77"/>
        <v>0</v>
      </c>
      <c r="Y368" s="14" t="str">
        <f t="shared" si="78"/>
        <v>OKEX</v>
      </c>
      <c r="Z368" t="str">
        <f t="shared" si="79"/>
        <v>ETHW COIN LONG</v>
      </c>
    </row>
    <row r="369" spans="1:26" customFormat="1" x14ac:dyDescent="0.25">
      <c r="A369" s="14">
        <v>367</v>
      </c>
      <c r="B369" s="77">
        <v>44910.000003275461</v>
      </c>
      <c r="C369" s="14" t="s">
        <v>46</v>
      </c>
      <c r="D369" s="23" t="s">
        <v>177</v>
      </c>
      <c r="E369" s="23" t="s">
        <v>28</v>
      </c>
      <c r="F369" s="23">
        <v>7.5870867500000001</v>
      </c>
      <c r="G369" s="23">
        <v>51.052202198785501</v>
      </c>
      <c r="H369" s="23">
        <v>6.72882805759214</v>
      </c>
      <c r="I369" s="23">
        <v>0</v>
      </c>
      <c r="J369" s="23" t="s">
        <v>88</v>
      </c>
      <c r="K369" s="24">
        <v>44910.000003275461</v>
      </c>
      <c r="L369" s="23">
        <v>1</v>
      </c>
      <c r="M369" s="23" t="s">
        <v>28</v>
      </c>
      <c r="N369" s="46">
        <f t="shared" si="69"/>
        <v>1</v>
      </c>
      <c r="O369" s="47">
        <f t="shared" si="70"/>
        <v>7.5870867500000001</v>
      </c>
      <c r="P369" s="48">
        <f t="shared" si="71"/>
        <v>51.052202198785565</v>
      </c>
      <c r="Q369" s="25">
        <f t="shared" si="72"/>
        <v>0</v>
      </c>
      <c r="R369" s="26" t="str">
        <f t="shared" si="73"/>
        <v>COIN</v>
      </c>
      <c r="S369" s="26" t="str">
        <f t="shared" si="68"/>
        <v>LONG</v>
      </c>
      <c r="T369" s="26" t="str">
        <f t="shared" si="74"/>
        <v>COIN LONG</v>
      </c>
      <c r="U369" s="17">
        <f t="shared" si="75"/>
        <v>51.052202198785501</v>
      </c>
      <c r="V369" s="17">
        <f t="shared" si="76"/>
        <v>6.72882805759214</v>
      </c>
      <c r="W369" s="40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Shifted'!$AE$32:$AO$75,MATCH($R369,'Futures &amp; Perps Shifted'!$AE$30:$AO$30,0),FALSE),0),0)))</f>
        <v>0</v>
      </c>
      <c r="X369" s="17">
        <f t="shared" si="77"/>
        <v>0</v>
      </c>
      <c r="Y369" s="14" t="str">
        <f t="shared" si="78"/>
        <v>OKEX</v>
      </c>
      <c r="Z369" t="str">
        <f t="shared" si="79"/>
        <v>LINK COIN LONG</v>
      </c>
    </row>
    <row r="370" spans="1:26" customFormat="1" x14ac:dyDescent="0.25">
      <c r="A370" s="14">
        <v>368</v>
      </c>
      <c r="B370" s="77">
        <v>44910.000003275461</v>
      </c>
      <c r="C370" s="14" t="s">
        <v>46</v>
      </c>
      <c r="D370" s="23" t="s">
        <v>177</v>
      </c>
      <c r="E370" s="23" t="s">
        <v>25</v>
      </c>
      <c r="F370" s="23">
        <v>6.758E-5</v>
      </c>
      <c r="G370" s="23">
        <v>5.1006588652058003E-3</v>
      </c>
      <c r="H370" s="23">
        <v>75.475863646134997</v>
      </c>
      <c r="I370" s="23">
        <v>0</v>
      </c>
      <c r="J370" s="23" t="s">
        <v>88</v>
      </c>
      <c r="K370" s="24">
        <v>44910.000003275461</v>
      </c>
      <c r="L370" s="23">
        <v>1</v>
      </c>
      <c r="M370" s="23" t="s">
        <v>25</v>
      </c>
      <c r="N370" s="46">
        <f t="shared" si="69"/>
        <v>1</v>
      </c>
      <c r="O370" s="47">
        <f t="shared" si="70"/>
        <v>6.758E-5</v>
      </c>
      <c r="P370" s="48">
        <f t="shared" si="71"/>
        <v>5.1006588652058029E-3</v>
      </c>
      <c r="Q370" s="25">
        <f t="shared" si="72"/>
        <v>0</v>
      </c>
      <c r="R370" s="26" t="str">
        <f t="shared" si="73"/>
        <v>COIN</v>
      </c>
      <c r="S370" s="26" t="str">
        <f t="shared" si="68"/>
        <v>LONG</v>
      </c>
      <c r="T370" s="26" t="str">
        <f t="shared" si="74"/>
        <v>COIN LONG</v>
      </c>
      <c r="U370" s="17">
        <f t="shared" si="75"/>
        <v>5.1006588652058003E-3</v>
      </c>
      <c r="V370" s="17">
        <f t="shared" si="76"/>
        <v>75.475863646134997</v>
      </c>
      <c r="W370" s="40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Shifted'!$AE$32:$AO$75,MATCH($R370,'Futures &amp; Perps Shifted'!$AE$30:$AO$30,0),FALSE),0),0)))</f>
        <v>0</v>
      </c>
      <c r="X370" s="17">
        <f t="shared" si="77"/>
        <v>0</v>
      </c>
      <c r="Y370" s="14" t="str">
        <f t="shared" si="78"/>
        <v>OKEX</v>
      </c>
      <c r="Z370" t="str">
        <f t="shared" si="79"/>
        <v>LTC COIN LONG</v>
      </c>
    </row>
    <row r="371" spans="1:26" customFormat="1" x14ac:dyDescent="0.25">
      <c r="A371" s="14">
        <v>369</v>
      </c>
      <c r="B371" s="77">
        <v>44910.000003275461</v>
      </c>
      <c r="C371" s="14" t="s">
        <v>46</v>
      </c>
      <c r="D371" s="23" t="s">
        <v>177</v>
      </c>
      <c r="E371" s="23" t="s">
        <v>38</v>
      </c>
      <c r="F371" s="23">
        <v>8.1457000000000003E-4</v>
      </c>
      <c r="G371" s="23">
        <v>7.3089379938516298E-9</v>
      </c>
      <c r="H371" s="23">
        <v>8.9727561705582505E-6</v>
      </c>
      <c r="I371" s="23">
        <v>0</v>
      </c>
      <c r="J371" s="23" t="s">
        <v>88</v>
      </c>
      <c r="K371" s="24">
        <v>44910.000003275461</v>
      </c>
      <c r="L371" s="23">
        <v>1</v>
      </c>
      <c r="M371" s="23" t="s">
        <v>38</v>
      </c>
      <c r="N371" s="46">
        <f t="shared" si="69"/>
        <v>1</v>
      </c>
      <c r="O371" s="47">
        <f t="shared" si="70"/>
        <v>8.1457000000000003E-4</v>
      </c>
      <c r="P371" s="48">
        <f t="shared" si="71"/>
        <v>7.3089379938516347E-9</v>
      </c>
      <c r="Q371" s="25">
        <f t="shared" si="72"/>
        <v>0</v>
      </c>
      <c r="R371" s="26" t="str">
        <f t="shared" si="73"/>
        <v>COIN</v>
      </c>
      <c r="S371" s="26" t="str">
        <f t="shared" si="68"/>
        <v>LONG</v>
      </c>
      <c r="T371" s="26" t="str">
        <f t="shared" si="74"/>
        <v>COIN LONG</v>
      </c>
      <c r="U371" s="17">
        <f t="shared" si="75"/>
        <v>7.3089379938516298E-9</v>
      </c>
      <c r="V371" s="17">
        <f t="shared" si="76"/>
        <v>8.9727561705582505E-6</v>
      </c>
      <c r="W371" s="40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Shifted'!$AE$32:$AO$75,MATCH($R371,'Futures &amp; Perps Shifted'!$AE$30:$AO$30,0),FALSE),0),0)))</f>
        <v>0</v>
      </c>
      <c r="X371" s="17">
        <f t="shared" si="77"/>
        <v>0</v>
      </c>
      <c r="Y371" s="14" t="str">
        <f t="shared" si="78"/>
        <v>OKEX</v>
      </c>
      <c r="Z371" t="str">
        <f t="shared" si="79"/>
        <v>SHIB COIN LONG</v>
      </c>
    </row>
    <row r="372" spans="1:26" customFormat="1" x14ac:dyDescent="0.25">
      <c r="A372" s="14">
        <v>370</v>
      </c>
      <c r="B372" s="77">
        <v>44910.000003275461</v>
      </c>
      <c r="C372" s="14" t="s">
        <v>46</v>
      </c>
      <c r="D372" s="23" t="s">
        <v>177</v>
      </c>
      <c r="E372" s="23" t="s">
        <v>165</v>
      </c>
      <c r="F372" s="23">
        <v>5.47</v>
      </c>
      <c r="G372" s="23">
        <v>1.57867632592289E-4</v>
      </c>
      <c r="H372" s="23">
        <v>2.8860627530583E-5</v>
      </c>
      <c r="I372" s="23">
        <v>0</v>
      </c>
      <c r="J372" s="23" t="s">
        <v>88</v>
      </c>
      <c r="K372" s="24">
        <v>44910.000003275461</v>
      </c>
      <c r="L372" s="23">
        <v>1</v>
      </c>
      <c r="M372" s="23" t="s">
        <v>165</v>
      </c>
      <c r="N372" s="46">
        <f t="shared" si="69"/>
        <v>1</v>
      </c>
      <c r="O372" s="47">
        <f t="shared" si="70"/>
        <v>5.47</v>
      </c>
      <c r="P372" s="48">
        <f t="shared" si="71"/>
        <v>1.57867632592289E-4</v>
      </c>
      <c r="Q372" s="25">
        <f t="shared" si="72"/>
        <v>0</v>
      </c>
      <c r="R372" s="26" t="str">
        <f t="shared" si="73"/>
        <v>COIN</v>
      </c>
      <c r="S372" s="26" t="str">
        <f t="shared" si="68"/>
        <v>LONG</v>
      </c>
      <c r="T372" s="26" t="str">
        <f t="shared" si="74"/>
        <v>COIN LONG</v>
      </c>
      <c r="U372" s="17">
        <f t="shared" si="75"/>
        <v>1.57867632592289E-4</v>
      </c>
      <c r="V372" s="17">
        <f t="shared" si="76"/>
        <v>2.8860627530583E-5</v>
      </c>
      <c r="W372" s="40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Shifted'!$AE$32:$AO$75,MATCH($R372,'Futures &amp; Perps Shifted'!$AE$30:$AO$30,0),FALSE),0),0)))</f>
        <v>0</v>
      </c>
      <c r="X372" s="17">
        <f t="shared" si="77"/>
        <v>0</v>
      </c>
      <c r="Y372" s="14" t="str">
        <f t="shared" si="78"/>
        <v>OKEX</v>
      </c>
      <c r="Z372" t="str">
        <f t="shared" si="79"/>
        <v>XEC COIN LONG</v>
      </c>
    </row>
    <row r="373" spans="1:26" customFormat="1" x14ac:dyDescent="0.25">
      <c r="A373" s="14">
        <v>371</v>
      </c>
      <c r="B373" s="77">
        <v>44910.000003275461</v>
      </c>
      <c r="C373" s="14" t="s">
        <v>46</v>
      </c>
      <c r="D373" s="23" t="s">
        <v>177</v>
      </c>
      <c r="E373" s="23" t="s">
        <v>102</v>
      </c>
      <c r="F373" s="23">
        <v>6.9987000000000001E-4</v>
      </c>
      <c r="G373" s="23">
        <v>2.7043936866175702E-4</v>
      </c>
      <c r="H373" s="23">
        <v>0.38641371777866901</v>
      </c>
      <c r="I373" s="23">
        <v>0</v>
      </c>
      <c r="J373" s="23" t="s">
        <v>88</v>
      </c>
      <c r="K373" s="24">
        <v>44910.000003275461</v>
      </c>
      <c r="L373" s="23">
        <v>1</v>
      </c>
      <c r="M373" s="23" t="s">
        <v>102</v>
      </c>
      <c r="N373" s="46">
        <f t="shared" si="69"/>
        <v>1</v>
      </c>
      <c r="O373" s="47">
        <f t="shared" si="70"/>
        <v>6.9987000000000001E-4</v>
      </c>
      <c r="P373" s="48">
        <f t="shared" si="71"/>
        <v>2.7043936866175708E-4</v>
      </c>
      <c r="Q373" s="25">
        <f t="shared" si="72"/>
        <v>0</v>
      </c>
      <c r="R373" s="26" t="str">
        <f t="shared" si="73"/>
        <v>COIN</v>
      </c>
      <c r="S373" s="26" t="str">
        <f t="shared" si="68"/>
        <v>LONG</v>
      </c>
      <c r="T373" s="26" t="str">
        <f t="shared" si="74"/>
        <v>COIN LONG</v>
      </c>
      <c r="U373" s="17">
        <f t="shared" si="75"/>
        <v>2.7043936866175702E-4</v>
      </c>
      <c r="V373" s="17">
        <f t="shared" si="76"/>
        <v>0.38641371777866901</v>
      </c>
      <c r="W373" s="40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Shifted'!$AE$32:$AO$75,MATCH($R373,'Futures &amp; Perps Shifted'!$AE$30:$AO$30,0),FALSE),0),0)))</f>
        <v>0</v>
      </c>
      <c r="X373" s="17">
        <f t="shared" si="77"/>
        <v>0</v>
      </c>
      <c r="Y373" s="14" t="str">
        <f t="shared" si="78"/>
        <v>OKEX</v>
      </c>
      <c r="Z373" t="str">
        <f t="shared" si="79"/>
        <v>XRP COIN LONG</v>
      </c>
    </row>
    <row r="374" spans="1:26" customFormat="1" x14ac:dyDescent="0.25">
      <c r="A374" s="14">
        <v>372</v>
      </c>
      <c r="B374" s="77">
        <v>44909.915996724536</v>
      </c>
      <c r="C374" s="14" t="s">
        <v>179</v>
      </c>
      <c r="D374" s="23" t="s">
        <v>178</v>
      </c>
      <c r="E374" s="23" t="s">
        <v>16</v>
      </c>
      <c r="F374" s="23">
        <v>7.1361999999999999E-4</v>
      </c>
      <c r="G374" s="23">
        <v>0.93436313043289998</v>
      </c>
      <c r="H374" s="23">
        <v>1309.32867693296</v>
      </c>
      <c r="I374" s="23">
        <v>0</v>
      </c>
      <c r="J374" s="23" t="s">
        <v>88</v>
      </c>
      <c r="K374" s="24">
        <v>44909.915996724536</v>
      </c>
      <c r="L374" s="23">
        <v>1</v>
      </c>
      <c r="M374" s="23" t="s">
        <v>16</v>
      </c>
      <c r="N374" s="46">
        <f t="shared" si="69"/>
        <v>1</v>
      </c>
      <c r="O374" s="47">
        <f t="shared" si="70"/>
        <v>7.1361999999999999E-4</v>
      </c>
      <c r="P374" s="48">
        <f t="shared" si="71"/>
        <v>0.93436313043289887</v>
      </c>
      <c r="Q374" s="25">
        <f t="shared" si="72"/>
        <v>0</v>
      </c>
      <c r="R374" s="26" t="str">
        <f t="shared" si="73"/>
        <v>COIN</v>
      </c>
      <c r="S374" s="26" t="str">
        <f t="shared" si="68"/>
        <v>LONG</v>
      </c>
      <c r="T374" s="26" t="str">
        <f t="shared" si="74"/>
        <v>COIN LONG</v>
      </c>
      <c r="U374" s="17">
        <f t="shared" si="75"/>
        <v>0.93436313043289998</v>
      </c>
      <c r="V374" s="17">
        <f t="shared" si="76"/>
        <v>1309.32867693296</v>
      </c>
      <c r="W374" s="40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Shifted'!$AE$32:$AO$75,MATCH($R374,'Futures &amp; Perps Shifted'!$AE$30:$AO$30,0),FALSE),0),0)))</f>
        <v>0</v>
      </c>
      <c r="X374" s="17">
        <f t="shared" si="77"/>
        <v>0</v>
      </c>
      <c r="Y374" s="14" t="str">
        <f t="shared" si="78"/>
        <v>PITX</v>
      </c>
      <c r="Z374" t="str">
        <f t="shared" si="79"/>
        <v>ETH COIN LONG</v>
      </c>
    </row>
    <row r="375" spans="1:26" customFormat="1" x14ac:dyDescent="0.25">
      <c r="A375" s="14">
        <v>373</v>
      </c>
      <c r="B375" s="77">
        <v>44909.915996909724</v>
      </c>
      <c r="C375" s="14" t="s">
        <v>179</v>
      </c>
      <c r="D375" s="23" t="s">
        <v>178</v>
      </c>
      <c r="E375" s="23" t="s">
        <v>110</v>
      </c>
      <c r="F375" s="23">
        <v>0.01</v>
      </c>
      <c r="G375" s="23">
        <v>1.06827E-2</v>
      </c>
      <c r="H375" s="23">
        <v>1.0682700000000001</v>
      </c>
      <c r="I375" s="23">
        <v>0</v>
      </c>
      <c r="J375" s="23" t="s">
        <v>88</v>
      </c>
      <c r="K375" s="24">
        <v>44909.915996909724</v>
      </c>
      <c r="L375" s="23">
        <v>1</v>
      </c>
      <c r="M375" s="23" t="s">
        <v>110</v>
      </c>
      <c r="N375" s="46">
        <f t="shared" si="69"/>
        <v>1</v>
      </c>
      <c r="O375" s="47">
        <f t="shared" si="70"/>
        <v>0.01</v>
      </c>
      <c r="P375" s="48">
        <f t="shared" si="71"/>
        <v>1.0682700000000002E-2</v>
      </c>
      <c r="Q375" s="25">
        <f t="shared" si="72"/>
        <v>0</v>
      </c>
      <c r="R375" s="26" t="str">
        <f t="shared" si="73"/>
        <v>CASH</v>
      </c>
      <c r="S375" s="26" t="str">
        <f t="shared" si="68"/>
        <v>LONG</v>
      </c>
      <c r="T375" s="26" t="str">
        <f t="shared" si="74"/>
        <v>CASH LONG</v>
      </c>
      <c r="U375" s="17">
        <f t="shared" si="75"/>
        <v>1.06827E-2</v>
      </c>
      <c r="V375" s="17">
        <f t="shared" si="76"/>
        <v>1.0682700000000001</v>
      </c>
      <c r="W375" s="40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Shifted'!$AE$32:$AO$75,MATCH($R375,'Futures &amp; Perps Shifted'!$AE$30:$AO$30,0),FALSE),0),0)))</f>
        <v>0</v>
      </c>
      <c r="X375" s="17">
        <f t="shared" si="77"/>
        <v>0</v>
      </c>
      <c r="Y375" s="14" t="str">
        <f t="shared" si="78"/>
        <v>PITX</v>
      </c>
      <c r="Z375" t="str">
        <f t="shared" si="79"/>
        <v>EUR CASH LONG</v>
      </c>
    </row>
    <row r="376" spans="1:26" customFormat="1" x14ac:dyDescent="0.25">
      <c r="A376" s="14">
        <v>374</v>
      </c>
      <c r="B376" s="77">
        <v>44909.915996909724</v>
      </c>
      <c r="C376" s="14" t="s">
        <v>179</v>
      </c>
      <c r="D376" s="23" t="s">
        <v>178</v>
      </c>
      <c r="E376" s="23" t="s">
        <v>180</v>
      </c>
      <c r="F376" s="23">
        <v>0.01</v>
      </c>
      <c r="G376" s="23">
        <v>1.24276499999999E-2</v>
      </c>
      <c r="H376" s="23">
        <v>1.2427649999999999</v>
      </c>
      <c r="I376" s="23">
        <v>0</v>
      </c>
      <c r="J376" s="23" t="s">
        <v>88</v>
      </c>
      <c r="K376" s="24">
        <v>44909.915996909724</v>
      </c>
      <c r="L376" s="23">
        <v>1</v>
      </c>
      <c r="M376" s="23" t="s">
        <v>180</v>
      </c>
      <c r="N376" s="46">
        <f t="shared" si="69"/>
        <v>1</v>
      </c>
      <c r="O376" s="47">
        <f t="shared" si="70"/>
        <v>0.01</v>
      </c>
      <c r="P376" s="48">
        <f t="shared" si="71"/>
        <v>1.2427649999999998E-2</v>
      </c>
      <c r="Q376" s="25">
        <f t="shared" si="72"/>
        <v>0</v>
      </c>
      <c r="R376" s="26" t="str">
        <f t="shared" si="73"/>
        <v>COIN</v>
      </c>
      <c r="S376" s="26" t="str">
        <f t="shared" si="68"/>
        <v>LONG</v>
      </c>
      <c r="T376" s="26" t="str">
        <f t="shared" si="74"/>
        <v>COIN LONG</v>
      </c>
      <c r="U376" s="17">
        <f t="shared" si="75"/>
        <v>1.24276499999999E-2</v>
      </c>
      <c r="V376" s="17">
        <f t="shared" si="76"/>
        <v>1.2427649999999999</v>
      </c>
      <c r="W376" s="40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Shifted'!$AE$32:$AO$75,MATCH($R376,'Futures &amp; Perps Shifted'!$AE$30:$AO$30,0),FALSE),0),0)))</f>
        <v>0</v>
      </c>
      <c r="X376" s="17">
        <f t="shared" si="77"/>
        <v>0</v>
      </c>
      <c r="Y376" s="14" t="str">
        <f t="shared" si="78"/>
        <v>PITX</v>
      </c>
      <c r="Z376" t="str">
        <f t="shared" si="79"/>
        <v>GBP COIN LONG</v>
      </c>
    </row>
    <row r="377" spans="1:26" customFormat="1" x14ac:dyDescent="0.25">
      <c r="A377" s="14">
        <v>375</v>
      </c>
      <c r="B377" s="77">
        <v>44909.915996909724</v>
      </c>
      <c r="C377" s="14" t="s">
        <v>179</v>
      </c>
      <c r="D377" s="23" t="s">
        <v>178</v>
      </c>
      <c r="E377" s="23" t="s">
        <v>182</v>
      </c>
      <c r="F377" s="23">
        <v>0.10983253</v>
      </c>
      <c r="G377" s="23">
        <v>5.8358694645149999E-3</v>
      </c>
      <c r="H377" s="23">
        <v>5.3134253253703599E-2</v>
      </c>
      <c r="I377" s="23">
        <v>0</v>
      </c>
      <c r="J377" s="23" t="s">
        <v>88</v>
      </c>
      <c r="K377" s="24">
        <v>44909.915996909724</v>
      </c>
      <c r="L377" s="23">
        <v>1</v>
      </c>
      <c r="M377" s="23" t="s">
        <v>182</v>
      </c>
      <c r="N377" s="46">
        <f t="shared" si="69"/>
        <v>1</v>
      </c>
      <c r="O377" s="47">
        <f t="shared" si="70"/>
        <v>0.10983253</v>
      </c>
      <c r="P377" s="48">
        <f t="shared" si="71"/>
        <v>5.8358694645149981E-3</v>
      </c>
      <c r="Q377" s="25">
        <f t="shared" si="72"/>
        <v>0</v>
      </c>
      <c r="R377" s="26" t="str">
        <f t="shared" si="73"/>
        <v>COIN</v>
      </c>
      <c r="S377" s="26" t="str">
        <f t="shared" ref="S377:S440" si="80">IF($C377="","",IF($J377="CME FUTURE",IF($G377&gt;0,"LONG","SHORT"),IF($G377&gt;0,"LONG","SHORT")))</f>
        <v>LONG</v>
      </c>
      <c r="T377" s="26" t="str">
        <f t="shared" si="74"/>
        <v>COIN LONG</v>
      </c>
      <c r="U377" s="17">
        <f t="shared" si="75"/>
        <v>5.8358694645149999E-3</v>
      </c>
      <c r="V377" s="17">
        <f t="shared" si="76"/>
        <v>5.3134253253703599E-2</v>
      </c>
      <c r="W377" s="40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Shifted'!$AE$32:$AO$75,MATCH($R377,'Futures &amp; Perps Shifted'!$AE$30:$AO$30,0),FALSE),0),0)))</f>
        <v>0</v>
      </c>
      <c r="X377" s="17">
        <f t="shared" si="77"/>
        <v>0</v>
      </c>
      <c r="Y377" s="14" t="str">
        <f t="shared" si="78"/>
        <v>PITX</v>
      </c>
      <c r="Z377" t="str">
        <f t="shared" si="79"/>
        <v>TRY COIN LONG</v>
      </c>
    </row>
    <row r="378" spans="1:26" customFormat="1" x14ac:dyDescent="0.25">
      <c r="A378" s="14">
        <v>376</v>
      </c>
      <c r="B378" s="77">
        <v>44909.915996724536</v>
      </c>
      <c r="C378" s="14" t="s">
        <v>179</v>
      </c>
      <c r="D378" s="23" t="s">
        <v>178</v>
      </c>
      <c r="E378" s="23" t="s">
        <v>98</v>
      </c>
      <c r="F378" s="23">
        <v>6.5778299999999998E-3</v>
      </c>
      <c r="G378" s="23">
        <v>6.5778299999999998E-3</v>
      </c>
      <c r="H378" s="23">
        <v>1</v>
      </c>
      <c r="I378" s="23">
        <v>0</v>
      </c>
      <c r="J378" s="23" t="s">
        <v>88</v>
      </c>
      <c r="K378" s="24">
        <v>44909.915996724536</v>
      </c>
      <c r="L378" s="23">
        <v>1</v>
      </c>
      <c r="M378" s="23" t="s">
        <v>98</v>
      </c>
      <c r="N378" s="46">
        <f t="shared" si="69"/>
        <v>1</v>
      </c>
      <c r="O378" s="47">
        <f t="shared" si="70"/>
        <v>6.5778299999999998E-3</v>
      </c>
      <c r="P378" s="48">
        <f t="shared" si="71"/>
        <v>6.5778299999999998E-3</v>
      </c>
      <c r="Q378" s="25">
        <f t="shared" si="72"/>
        <v>0</v>
      </c>
      <c r="R378" s="26" t="str">
        <f t="shared" si="73"/>
        <v>CASH</v>
      </c>
      <c r="S378" s="26" t="str">
        <f t="shared" si="80"/>
        <v>LONG</v>
      </c>
      <c r="T378" s="26" t="str">
        <f t="shared" si="74"/>
        <v>CASH LONG</v>
      </c>
      <c r="U378" s="17">
        <f t="shared" si="75"/>
        <v>6.5778299999999998E-3</v>
      </c>
      <c r="V378" s="17">
        <f t="shared" si="76"/>
        <v>1</v>
      </c>
      <c r="W378" s="40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Shifted'!$AE$32:$AO$75,MATCH($R378,'Futures &amp; Perps Shifted'!$AE$30:$AO$30,0),FALSE),0),0)))</f>
        <v>0</v>
      </c>
      <c r="X378" s="17">
        <f t="shared" si="77"/>
        <v>0</v>
      </c>
      <c r="Y378" s="14" t="str">
        <f t="shared" si="78"/>
        <v>PITX</v>
      </c>
      <c r="Z378" t="str">
        <f t="shared" si="79"/>
        <v>USD CASH LONG</v>
      </c>
    </row>
    <row r="379" spans="1:26" customFormat="1" x14ac:dyDescent="0.25">
      <c r="A379" s="14">
        <v>377</v>
      </c>
      <c r="B379" s="77">
        <v>44909.915996909724</v>
      </c>
      <c r="C379" s="14" t="s">
        <v>179</v>
      </c>
      <c r="D379" s="23" t="s">
        <v>178</v>
      </c>
      <c r="E379" s="23" t="s">
        <v>39</v>
      </c>
      <c r="F379" s="23">
        <v>9.9996000000000004E-4</v>
      </c>
      <c r="G379" s="23">
        <v>1.0000654061081201E-3</v>
      </c>
      <c r="H379" s="23">
        <v>1.0001054103245299</v>
      </c>
      <c r="I379" s="23">
        <v>0</v>
      </c>
      <c r="J379" s="23" t="s">
        <v>88</v>
      </c>
      <c r="K379" s="24">
        <v>44909.915996909724</v>
      </c>
      <c r="L379" s="23">
        <v>1</v>
      </c>
      <c r="M379" s="23" t="s">
        <v>39</v>
      </c>
      <c r="N379" s="46">
        <f t="shared" ref="N379:N442" si="81">IF($C379="","",IF(OR($J379="SWAP",$J379="FUTURE",$J379="CME FUTURE"),IF($L379=1,ROUND($G379/$H379/$F379,3),POWER(10,ROUND(LOG($G379/$F379),1))),1))</f>
        <v>1</v>
      </c>
      <c r="O379" s="47">
        <f t="shared" si="70"/>
        <v>9.9996000000000004E-4</v>
      </c>
      <c r="P379" s="48">
        <f t="shared" si="71"/>
        <v>1.000065406108117E-3</v>
      </c>
      <c r="Q379" s="25">
        <f t="shared" si="72"/>
        <v>0</v>
      </c>
      <c r="R379" s="26" t="str">
        <f t="shared" si="73"/>
        <v>COIN</v>
      </c>
      <c r="S379" s="26" t="str">
        <f t="shared" si="80"/>
        <v>LONG</v>
      </c>
      <c r="T379" s="26" t="str">
        <f t="shared" si="74"/>
        <v>COIN LONG</v>
      </c>
      <c r="U379" s="17">
        <f t="shared" si="75"/>
        <v>1.0000654061081201E-3</v>
      </c>
      <c r="V379" s="17">
        <f t="shared" si="76"/>
        <v>1.0001054103245299</v>
      </c>
      <c r="W379" s="40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Shifted'!$AE$32:$AO$75,MATCH($R379,'Futures &amp; Perps Shifted'!$AE$30:$AO$30,0),FALSE),0),0)))</f>
        <v>0</v>
      </c>
      <c r="X379" s="17">
        <f t="shared" si="77"/>
        <v>0</v>
      </c>
      <c r="Y379" s="14" t="str">
        <f t="shared" si="78"/>
        <v>PITX</v>
      </c>
      <c r="Z379" t="str">
        <f t="shared" si="79"/>
        <v>USDT COIN LONG</v>
      </c>
    </row>
    <row r="380" spans="1:26" customFormat="1" x14ac:dyDescent="0.25">
      <c r="A380" s="14">
        <v>378</v>
      </c>
      <c r="B380" s="77">
        <v>44909.915996909724</v>
      </c>
      <c r="C380" s="14" t="s">
        <v>179</v>
      </c>
      <c r="D380" s="23" t="s">
        <v>178</v>
      </c>
      <c r="E380" s="23" t="s">
        <v>166</v>
      </c>
      <c r="F380" s="23">
        <v>9.9999999999999995E-8</v>
      </c>
      <c r="G380" s="23">
        <v>8.3013789241186207E-9</v>
      </c>
      <c r="H380" s="23">
        <v>8.3013789241186201E-2</v>
      </c>
      <c r="I380" s="23">
        <v>0</v>
      </c>
      <c r="J380" s="23" t="s">
        <v>88</v>
      </c>
      <c r="K380" s="24">
        <v>44909.915996909724</v>
      </c>
      <c r="L380" s="23">
        <v>1</v>
      </c>
      <c r="M380" s="23" t="s">
        <v>166</v>
      </c>
      <c r="N380" s="46">
        <f t="shared" si="81"/>
        <v>1</v>
      </c>
      <c r="O380" s="47">
        <f t="shared" ref="O380:O443" si="82">IF($C380="","",IF(OR($J380="SWAP",$J380="FUTURE",$J380="CME FUTURE"),IF($L380=1,$F380*$N380,$AA$2*$F380*$N380/$H380),F380))</f>
        <v>9.9999999999999995E-8</v>
      </c>
      <c r="P380" s="48">
        <f t="shared" si="71"/>
        <v>8.301378924118619E-9</v>
      </c>
      <c r="Q380" s="25">
        <f t="shared" si="72"/>
        <v>0</v>
      </c>
      <c r="R380" s="26" t="str">
        <f t="shared" si="73"/>
        <v>COIN</v>
      </c>
      <c r="S380" s="26" t="str">
        <f t="shared" si="80"/>
        <v>LONG</v>
      </c>
      <c r="T380" s="26" t="str">
        <f t="shared" si="74"/>
        <v>COIN LONG</v>
      </c>
      <c r="U380" s="17">
        <f t="shared" si="75"/>
        <v>8.3013789241186207E-9</v>
      </c>
      <c r="V380" s="17">
        <f t="shared" si="76"/>
        <v>8.3013789241186201E-2</v>
      </c>
      <c r="W380" s="40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Shifted'!$AE$32:$AO$75,MATCH($R380,'Futures &amp; Perps Shifted'!$AE$30:$AO$30,0),FALSE),0),0)))</f>
        <v>0</v>
      </c>
      <c r="X380" s="17">
        <f t="shared" si="77"/>
        <v>0</v>
      </c>
      <c r="Y380" s="14" t="str">
        <f t="shared" si="78"/>
        <v>PITX</v>
      </c>
      <c r="Z380" t="str">
        <f t="shared" si="79"/>
        <v>XLM COIN LONG</v>
      </c>
    </row>
    <row r="381" spans="1:26" customFormat="1" x14ac:dyDescent="0.25">
      <c r="A381" s="14">
        <v>379</v>
      </c>
      <c r="B381" s="77">
        <v>44910.000002974535</v>
      </c>
      <c r="C381" s="14" t="s">
        <v>185</v>
      </c>
      <c r="D381" s="23" t="s">
        <v>183</v>
      </c>
      <c r="E381" s="23" t="s">
        <v>184</v>
      </c>
      <c r="F381" s="23">
        <v>3393052.5294192201</v>
      </c>
      <c r="G381" s="23">
        <v>31408.321681189798</v>
      </c>
      <c r="H381" s="23">
        <v>9.2566564793401199E-3</v>
      </c>
      <c r="I381" s="23">
        <v>0</v>
      </c>
      <c r="J381" s="23" t="s">
        <v>88</v>
      </c>
      <c r="K381" s="24">
        <v>44910.000002974535</v>
      </c>
      <c r="L381" s="23">
        <v>1</v>
      </c>
      <c r="M381" s="23" t="s">
        <v>184</v>
      </c>
      <c r="N381" s="46">
        <f t="shared" si="81"/>
        <v>1</v>
      </c>
      <c r="O381" s="47">
        <f t="shared" si="82"/>
        <v>3393052.5294192201</v>
      </c>
      <c r="P381" s="48">
        <f t="shared" si="71"/>
        <v>31408.321681189806</v>
      </c>
      <c r="Q381" s="25">
        <f t="shared" si="72"/>
        <v>0</v>
      </c>
      <c r="R381" s="26" t="str">
        <f t="shared" si="73"/>
        <v>COIN</v>
      </c>
      <c r="S381" s="26" t="str">
        <f t="shared" si="80"/>
        <v>LONG</v>
      </c>
      <c r="T381" s="26" t="str">
        <f t="shared" si="74"/>
        <v>COIN LONG</v>
      </c>
      <c r="U381" s="17">
        <f t="shared" si="75"/>
        <v>31408.321681189798</v>
      </c>
      <c r="V381" s="17">
        <f t="shared" si="76"/>
        <v>9.2566564793401199E-3</v>
      </c>
      <c r="W381" s="40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Shifted'!$AE$32:$AO$75,MATCH($R381,'Futures &amp; Perps Shifted'!$AE$30:$AO$30,0),FALSE),0),0)))</f>
        <v>0</v>
      </c>
      <c r="X381" s="17">
        <f t="shared" si="77"/>
        <v>0</v>
      </c>
      <c r="Y381" s="14" t="str">
        <f t="shared" si="78"/>
        <v>SHFT</v>
      </c>
      <c r="Z381" t="str">
        <f t="shared" si="79"/>
        <v>SHFT COIN LONG</v>
      </c>
    </row>
    <row r="382" spans="1:26" customFormat="1" x14ac:dyDescent="0.25">
      <c r="A382" s="14">
        <v>380</v>
      </c>
      <c r="B382" s="77">
        <v>44910.000001469911</v>
      </c>
      <c r="C382" s="14" t="s">
        <v>187</v>
      </c>
      <c r="D382" s="23" t="s">
        <v>186</v>
      </c>
      <c r="E382" s="23" t="s">
        <v>87</v>
      </c>
      <c r="F382" s="23">
        <v>59</v>
      </c>
      <c r="G382" s="23">
        <v>18.179920864869501</v>
      </c>
      <c r="H382" s="23">
        <v>0.308134251946941</v>
      </c>
      <c r="I382" s="23">
        <v>0</v>
      </c>
      <c r="J382" s="23" t="s">
        <v>88</v>
      </c>
      <c r="K382" s="24">
        <v>44910.000001469911</v>
      </c>
      <c r="L382" s="23">
        <v>1</v>
      </c>
      <c r="M382" s="23" t="s">
        <v>87</v>
      </c>
      <c r="N382" s="46">
        <f t="shared" si="81"/>
        <v>1</v>
      </c>
      <c r="O382" s="47">
        <f t="shared" si="82"/>
        <v>59</v>
      </c>
      <c r="P382" s="48">
        <f t="shared" si="71"/>
        <v>18.179920864869519</v>
      </c>
      <c r="Q382" s="25">
        <f t="shared" si="72"/>
        <v>0</v>
      </c>
      <c r="R382" s="26" t="str">
        <f t="shared" si="73"/>
        <v>COIN</v>
      </c>
      <c r="S382" s="26" t="str">
        <f t="shared" si="80"/>
        <v>LONG</v>
      </c>
      <c r="T382" s="26" t="str">
        <f t="shared" si="74"/>
        <v>COIN LONG</v>
      </c>
      <c r="U382" s="17">
        <f t="shared" si="75"/>
        <v>18.179920864869501</v>
      </c>
      <c r="V382" s="17">
        <f t="shared" si="76"/>
        <v>0.308134251946941</v>
      </c>
      <c r="W382" s="40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Shifted'!$AE$32:$AO$75,MATCH($R382,'Futures &amp; Perps Shifted'!$AE$30:$AO$30,0),FALSE),0),0)))</f>
        <v>0</v>
      </c>
      <c r="X382" s="17">
        <f t="shared" si="77"/>
        <v>0</v>
      </c>
      <c r="Y382" s="14" t="str">
        <f t="shared" si="78"/>
        <v>WOOX</v>
      </c>
      <c r="Z382" t="str">
        <f t="shared" si="79"/>
        <v>ADA COIN LONG</v>
      </c>
    </row>
    <row r="383" spans="1:26" customFormat="1" x14ac:dyDescent="0.25">
      <c r="A383" s="14">
        <v>381</v>
      </c>
      <c r="B383" s="77">
        <v>44910.000001469911</v>
      </c>
      <c r="C383" s="14" t="s">
        <v>187</v>
      </c>
      <c r="D383" s="23" t="s">
        <v>186</v>
      </c>
      <c r="E383" s="23" t="s">
        <v>15</v>
      </c>
      <c r="F383" s="23">
        <v>349.04641047000001</v>
      </c>
      <c r="G383" s="23">
        <v>6218488.63195627</v>
      </c>
      <c r="H383" s="23">
        <v>17815.649854650899</v>
      </c>
      <c r="I383" s="23">
        <v>0</v>
      </c>
      <c r="J383" s="23" t="s">
        <v>88</v>
      </c>
      <c r="K383" s="24">
        <v>44910.000001469911</v>
      </c>
      <c r="L383" s="23">
        <v>1</v>
      </c>
      <c r="M383" s="23" t="s">
        <v>15</v>
      </c>
      <c r="N383" s="46">
        <f t="shared" si="81"/>
        <v>1</v>
      </c>
      <c r="O383" s="47">
        <f t="shared" si="82"/>
        <v>349.04641047000001</v>
      </c>
      <c r="P383" s="48">
        <f t="shared" si="71"/>
        <v>6218488.6319562737</v>
      </c>
      <c r="Q383" s="25">
        <f t="shared" si="72"/>
        <v>0</v>
      </c>
      <c r="R383" s="26" t="str">
        <f t="shared" si="73"/>
        <v>COIN</v>
      </c>
      <c r="S383" s="26" t="str">
        <f t="shared" si="80"/>
        <v>LONG</v>
      </c>
      <c r="T383" s="26" t="str">
        <f t="shared" si="74"/>
        <v>COIN LONG</v>
      </c>
      <c r="U383" s="17">
        <f t="shared" si="75"/>
        <v>6218488.63195627</v>
      </c>
      <c r="V383" s="17">
        <f t="shared" si="76"/>
        <v>17815.649854650899</v>
      </c>
      <c r="W383" s="40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Shifted'!$AE$32:$AO$75,MATCH($R383,'Futures &amp; Perps Shifted'!$AE$30:$AO$30,0),FALSE),0),0)))</f>
        <v>0</v>
      </c>
      <c r="X383" s="17">
        <f t="shared" si="77"/>
        <v>0</v>
      </c>
      <c r="Y383" s="14" t="str">
        <f t="shared" si="78"/>
        <v>WOOX</v>
      </c>
      <c r="Z383" t="str">
        <f t="shared" si="79"/>
        <v>BTC COIN LONG</v>
      </c>
    </row>
    <row r="384" spans="1:26" customFormat="1" x14ac:dyDescent="0.25">
      <c r="A384" s="14">
        <v>382</v>
      </c>
      <c r="B384" s="77">
        <v>44910.000001469911</v>
      </c>
      <c r="C384" s="14" t="s">
        <v>187</v>
      </c>
      <c r="D384" s="23" t="s">
        <v>186</v>
      </c>
      <c r="E384" s="23" t="s">
        <v>16</v>
      </c>
      <c r="F384" s="23">
        <v>2104.7725880100002</v>
      </c>
      <c r="G384" s="23">
        <v>2755839.1079039001</v>
      </c>
      <c r="H384" s="23">
        <v>1309.32867693296</v>
      </c>
      <c r="I384" s="23">
        <v>0</v>
      </c>
      <c r="J384" s="23" t="s">
        <v>88</v>
      </c>
      <c r="K384" s="24">
        <v>44910.000001469911</v>
      </c>
      <c r="L384" s="23">
        <v>1</v>
      </c>
      <c r="M384" s="23" t="s">
        <v>16</v>
      </c>
      <c r="N384" s="46">
        <f t="shared" si="81"/>
        <v>1</v>
      </c>
      <c r="O384" s="47">
        <f t="shared" si="82"/>
        <v>2104.7725880100002</v>
      </c>
      <c r="P384" s="48">
        <f t="shared" si="71"/>
        <v>2755839.1079038954</v>
      </c>
      <c r="Q384" s="25">
        <f t="shared" si="72"/>
        <v>0</v>
      </c>
      <c r="R384" s="26" t="str">
        <f t="shared" si="73"/>
        <v>COIN</v>
      </c>
      <c r="S384" s="26" t="str">
        <f t="shared" si="80"/>
        <v>LONG</v>
      </c>
      <c r="T384" s="26" t="str">
        <f t="shared" si="74"/>
        <v>COIN LONG</v>
      </c>
      <c r="U384" s="17">
        <f t="shared" si="75"/>
        <v>2755839.1079039001</v>
      </c>
      <c r="V384" s="17">
        <f t="shared" si="76"/>
        <v>1309.32867693296</v>
      </c>
      <c r="W384" s="40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Shifted'!$AE$32:$AO$75,MATCH($R384,'Futures &amp; Perps Shifted'!$AE$30:$AO$30,0),FALSE),0),0)))</f>
        <v>0</v>
      </c>
      <c r="X384" s="17">
        <f t="shared" si="77"/>
        <v>0</v>
      </c>
      <c r="Y384" s="14" t="str">
        <f t="shared" si="78"/>
        <v>WOOX</v>
      </c>
      <c r="Z384" t="str">
        <f t="shared" si="79"/>
        <v>ETH COIN LONG</v>
      </c>
    </row>
    <row r="385" spans="1:26" customFormat="1" x14ac:dyDescent="0.25">
      <c r="A385" s="14">
        <v>383</v>
      </c>
      <c r="B385" s="77">
        <v>44910.000001469911</v>
      </c>
      <c r="C385" s="14" t="s">
        <v>187</v>
      </c>
      <c r="D385" s="23" t="s">
        <v>186</v>
      </c>
      <c r="E385" s="23" t="s">
        <v>275</v>
      </c>
      <c r="F385" s="23">
        <v>1267.7570125100001</v>
      </c>
      <c r="G385" s="23">
        <v>4488.5091304412199</v>
      </c>
      <c r="H385" s="23">
        <v>3.5405121692480601</v>
      </c>
      <c r="I385" s="23">
        <v>0</v>
      </c>
      <c r="J385" s="23" t="s">
        <v>88</v>
      </c>
      <c r="K385" s="24">
        <v>44910.000001469911</v>
      </c>
      <c r="L385" s="23">
        <v>1</v>
      </c>
      <c r="M385" s="23" t="s">
        <v>275</v>
      </c>
      <c r="N385" s="46">
        <f t="shared" si="81"/>
        <v>1</v>
      </c>
      <c r="O385" s="47">
        <f t="shared" si="82"/>
        <v>1267.7570125100001</v>
      </c>
      <c r="P385" s="48">
        <f t="shared" si="71"/>
        <v>4488.5091304412208</v>
      </c>
      <c r="Q385" s="25">
        <f t="shared" si="72"/>
        <v>0</v>
      </c>
      <c r="R385" s="26" t="str">
        <f t="shared" si="73"/>
        <v>COIN</v>
      </c>
      <c r="S385" s="26" t="str">
        <f t="shared" si="80"/>
        <v>LONG</v>
      </c>
      <c r="T385" s="26" t="str">
        <f t="shared" si="74"/>
        <v>COIN LONG</v>
      </c>
      <c r="U385" s="17">
        <f t="shared" si="75"/>
        <v>4488.5091304412199</v>
      </c>
      <c r="V385" s="17">
        <f t="shared" si="76"/>
        <v>3.5405121692480601</v>
      </c>
      <c r="W385" s="40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Shifted'!$AE$32:$AO$75,MATCH($R385,'Futures &amp; Perps Shifted'!$AE$30:$AO$30,0),FALSE),0),0)))</f>
        <v>0</v>
      </c>
      <c r="X385" s="17">
        <f t="shared" si="77"/>
        <v>0</v>
      </c>
      <c r="Y385" s="14" t="str">
        <f t="shared" si="78"/>
        <v>WOOX</v>
      </c>
      <c r="Z385" t="str">
        <f t="shared" si="79"/>
        <v>ETHW COIN LONG</v>
      </c>
    </row>
    <row r="386" spans="1:26" customFormat="1" x14ac:dyDescent="0.25">
      <c r="A386" s="14">
        <v>384</v>
      </c>
      <c r="B386" s="77">
        <v>44910.000001469911</v>
      </c>
      <c r="C386" s="14" t="s">
        <v>187</v>
      </c>
      <c r="D386" s="23" t="s">
        <v>186</v>
      </c>
      <c r="E386" s="23" t="s">
        <v>188</v>
      </c>
      <c r="F386" s="23">
        <v>1644286.05309931</v>
      </c>
      <c r="G386" s="23">
        <v>222148.28450126699</v>
      </c>
      <c r="H386" s="23">
        <v>0.135103186019574</v>
      </c>
      <c r="I386" s="23">
        <v>0</v>
      </c>
      <c r="J386" s="23" t="s">
        <v>88</v>
      </c>
      <c r="K386" s="24">
        <v>44910.000001469911</v>
      </c>
      <c r="L386" s="23">
        <v>1</v>
      </c>
      <c r="M386" s="23" t="s">
        <v>188</v>
      </c>
      <c r="N386" s="46">
        <f t="shared" si="81"/>
        <v>1</v>
      </c>
      <c r="O386" s="47">
        <f t="shared" si="82"/>
        <v>1644286.05309931</v>
      </c>
      <c r="P386" s="48">
        <f t="shared" ref="P386:P449" si="83">IF($C386="","",IF(OR($J386="SWAP",$J386="FUTURE",$J386="CME FUTURE"),IF(NOT(ISERROR(VLOOKUP($M386,SpotUSDRateTable,2,FALSE))),VLOOKUP($M386,SpotUSDRateTable,2,FALSE),$H386)*O386,VLOOKUP($M386,SpotUSDRateTable,2,FALSE)*O386))</f>
        <v>222148.28450126722</v>
      </c>
      <c r="Q386" s="25">
        <f t="shared" si="72"/>
        <v>0</v>
      </c>
      <c r="R386" s="26" t="str">
        <f t="shared" si="73"/>
        <v>COIN</v>
      </c>
      <c r="S386" s="26" t="str">
        <f t="shared" si="80"/>
        <v>LONG</v>
      </c>
      <c r="T386" s="26" t="str">
        <f t="shared" si="74"/>
        <v>COIN LONG</v>
      </c>
      <c r="U386" s="17">
        <f t="shared" si="75"/>
        <v>222148.28450126699</v>
      </c>
      <c r="V386" s="17">
        <f t="shared" si="76"/>
        <v>0.135103186019574</v>
      </c>
      <c r="W386" s="40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Shifted'!$AE$32:$AO$75,MATCH($R386,'Futures &amp; Perps Shifted'!$AE$30:$AO$30,0),FALSE),0),0)))</f>
        <v>0</v>
      </c>
      <c r="X386" s="17">
        <f t="shared" si="77"/>
        <v>0</v>
      </c>
      <c r="Y386" s="14" t="str">
        <f t="shared" si="78"/>
        <v>WOOX</v>
      </c>
      <c r="Z386" t="str">
        <f t="shared" si="79"/>
        <v>WOO COIN LONG</v>
      </c>
    </row>
    <row r="387" spans="1:26" customFormat="1" x14ac:dyDescent="0.25">
      <c r="A387" s="14">
        <v>385</v>
      </c>
      <c r="B387" s="77">
        <v>44910.019369756941</v>
      </c>
      <c r="C387" s="14" t="s">
        <v>189</v>
      </c>
      <c r="D387" s="23" t="s">
        <v>189</v>
      </c>
      <c r="E387" s="23" t="s">
        <v>119</v>
      </c>
      <c r="F387" s="23">
        <v>21.553935809999999</v>
      </c>
      <c r="G387" s="23">
        <v>1348.4765286499101</v>
      </c>
      <c r="H387" s="23">
        <v>62.562890626420497</v>
      </c>
      <c r="I387" s="23">
        <v>0</v>
      </c>
      <c r="J387" s="23" t="s">
        <v>88</v>
      </c>
      <c r="K387" s="24">
        <v>44910.019369756941</v>
      </c>
      <c r="L387" s="23">
        <v>1</v>
      </c>
      <c r="M387" s="23" t="s">
        <v>119</v>
      </c>
      <c r="N387" s="46">
        <f t="shared" si="81"/>
        <v>1</v>
      </c>
      <c r="O387" s="47">
        <f t="shared" si="82"/>
        <v>21.553935809999999</v>
      </c>
      <c r="P387" s="48">
        <f t="shared" si="83"/>
        <v>1348.476528649918</v>
      </c>
      <c r="Q387" s="25">
        <f t="shared" ref="Q387:Q450" si="84">IF($C387="","",IF(OR($J387="SWAP",$J387="FUTURE",$J387="CME FUTURE"),INT($K387-$B387),0))</f>
        <v>0</v>
      </c>
      <c r="R387" s="26" t="str">
        <f t="shared" ref="R387:R450" si="85">IF($C387="","",IF(OR($E387="USD",$E387="EUR"),"CASH",IF($Q387=0,"COIN",IF($Q387&gt;720,"PERP",IF($J387="FUTURE",TEXT($K387-1,"mmm yy"),"CME "&amp;TEXT($K387-1,"mmm yy"))))))</f>
        <v>COIN</v>
      </c>
      <c r="S387" s="26" t="str">
        <f t="shared" si="80"/>
        <v>LONG</v>
      </c>
      <c r="T387" s="26" t="str">
        <f t="shared" ref="T387:T450" si="86">IF($C387="","",$R387&amp;" "&amp;$S387)</f>
        <v>COIN LONG</v>
      </c>
      <c r="U387" s="17">
        <f t="shared" ref="U387:U450" si="87">IF($C387="","",$G387*(1+$W387))</f>
        <v>1348.4765286499101</v>
      </c>
      <c r="V387" s="17">
        <f t="shared" ref="V387:V450" si="88">IF($C387="","",$H387*(1+$W387))</f>
        <v>62.562890626420497</v>
      </c>
      <c r="W387" s="40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Shifted'!$AE$32:$AO$75,MATCH($R387,'Futures &amp; Perps Shifted'!$AE$30:$AO$30,0),FALSE),0),0)))</f>
        <v>0</v>
      </c>
      <c r="X387" s="17">
        <f t="shared" ref="X387:X450" si="89">IF($C387="","",$U387-$G387)</f>
        <v>0</v>
      </c>
      <c r="Y387" s="14" t="str">
        <f t="shared" ref="Y387:Y450" si="90">IF($C387="","",IF(ISERROR(SEARCH("-",$D387)),$D387,LEFT($D387,SEARCH("-",$D387)-1)))</f>
        <v>FBLK</v>
      </c>
      <c r="Z387" t="str">
        <f t="shared" ref="Z387:Z450" si="91">IF($C387="","",$M387&amp;" "&amp;$T387)</f>
        <v>AAVE COIN LONG</v>
      </c>
    </row>
    <row r="388" spans="1:26" customFormat="1" x14ac:dyDescent="0.25">
      <c r="A388" s="14">
        <v>386</v>
      </c>
      <c r="B388" s="77">
        <v>44910.019369756941</v>
      </c>
      <c r="C388" s="14" t="s">
        <v>189</v>
      </c>
      <c r="D388" s="23" t="s">
        <v>189</v>
      </c>
      <c r="E388" s="23" t="s">
        <v>87</v>
      </c>
      <c r="F388" s="23">
        <v>72355.023579999994</v>
      </c>
      <c r="G388" s="23">
        <v>22295.061065426598</v>
      </c>
      <c r="H388" s="23">
        <v>0.308134251946941</v>
      </c>
      <c r="I388" s="23">
        <v>0</v>
      </c>
      <c r="J388" s="23" t="s">
        <v>88</v>
      </c>
      <c r="K388" s="24">
        <v>44910.019369756941</v>
      </c>
      <c r="L388" s="23">
        <v>1</v>
      </c>
      <c r="M388" s="23" t="s">
        <v>87</v>
      </c>
      <c r="N388" s="46">
        <f t="shared" si="81"/>
        <v>1</v>
      </c>
      <c r="O388" s="47">
        <f t="shared" si="82"/>
        <v>72355.023579999994</v>
      </c>
      <c r="P388" s="48">
        <f t="shared" si="83"/>
        <v>22295.061065426573</v>
      </c>
      <c r="Q388" s="25">
        <f t="shared" si="84"/>
        <v>0</v>
      </c>
      <c r="R388" s="26" t="str">
        <f t="shared" si="85"/>
        <v>COIN</v>
      </c>
      <c r="S388" s="26" t="str">
        <f t="shared" si="80"/>
        <v>LONG</v>
      </c>
      <c r="T388" s="26" t="str">
        <f t="shared" si="86"/>
        <v>COIN LONG</v>
      </c>
      <c r="U388" s="17">
        <f t="shared" si="87"/>
        <v>22295.061065426598</v>
      </c>
      <c r="V388" s="17">
        <f t="shared" si="88"/>
        <v>0.308134251946941</v>
      </c>
      <c r="W388" s="40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Shifted'!$AE$32:$AO$75,MATCH($R388,'Futures &amp; Perps Shifted'!$AE$30:$AO$30,0),FALSE),0),0)))</f>
        <v>0</v>
      </c>
      <c r="X388" s="17">
        <f t="shared" si="89"/>
        <v>0</v>
      </c>
      <c r="Y388" s="14" t="str">
        <f t="shared" si="90"/>
        <v>FBLK</v>
      </c>
      <c r="Z388" t="str">
        <f t="shared" si="91"/>
        <v>ADA COIN LONG</v>
      </c>
    </row>
    <row r="389" spans="1:26" customFormat="1" x14ac:dyDescent="0.25">
      <c r="A389" s="14">
        <v>387</v>
      </c>
      <c r="B389" s="77">
        <v>44910.019369756941</v>
      </c>
      <c r="C389" s="14" t="s">
        <v>189</v>
      </c>
      <c r="D389" s="23" t="s">
        <v>189</v>
      </c>
      <c r="E389" s="23" t="s">
        <v>125</v>
      </c>
      <c r="F389" s="23">
        <v>7939.9443799999999</v>
      </c>
      <c r="G389" s="23">
        <v>1754.0592206604599</v>
      </c>
      <c r="H389" s="23">
        <v>0.220915807052601</v>
      </c>
      <c r="I389" s="23">
        <v>0</v>
      </c>
      <c r="J389" s="23" t="s">
        <v>88</v>
      </c>
      <c r="K389" s="24">
        <v>44910.019369756941</v>
      </c>
      <c r="L389" s="23">
        <v>1</v>
      </c>
      <c r="M389" s="23" t="s">
        <v>125</v>
      </c>
      <c r="N389" s="46">
        <f t="shared" si="81"/>
        <v>1</v>
      </c>
      <c r="O389" s="47">
        <f t="shared" si="82"/>
        <v>7939.9443799999999</v>
      </c>
      <c r="P389" s="48">
        <f t="shared" si="83"/>
        <v>1754.0592206604636</v>
      </c>
      <c r="Q389" s="25">
        <f t="shared" si="84"/>
        <v>0</v>
      </c>
      <c r="R389" s="26" t="str">
        <f t="shared" si="85"/>
        <v>COIN</v>
      </c>
      <c r="S389" s="26" t="str">
        <f t="shared" si="80"/>
        <v>LONG</v>
      </c>
      <c r="T389" s="26" t="str">
        <f t="shared" si="86"/>
        <v>COIN LONG</v>
      </c>
      <c r="U389" s="17">
        <f t="shared" si="87"/>
        <v>1754.0592206604599</v>
      </c>
      <c r="V389" s="17">
        <f t="shared" si="88"/>
        <v>0.220915807052601</v>
      </c>
      <c r="W389" s="40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Shifted'!$AE$32:$AO$75,MATCH($R389,'Futures &amp; Perps Shifted'!$AE$30:$AO$30,0),FALSE),0),0)))</f>
        <v>0</v>
      </c>
      <c r="X389" s="17">
        <f t="shared" si="89"/>
        <v>0</v>
      </c>
      <c r="Y389" s="14" t="str">
        <f t="shared" si="90"/>
        <v>FBLK</v>
      </c>
      <c r="Z389" t="str">
        <f t="shared" si="91"/>
        <v>ALGO COIN LONG</v>
      </c>
    </row>
    <row r="390" spans="1:26" customFormat="1" x14ac:dyDescent="0.25">
      <c r="A390" s="14">
        <v>388</v>
      </c>
      <c r="B390" s="77">
        <v>44910.019369756941</v>
      </c>
      <c r="C390" s="14" t="s">
        <v>189</v>
      </c>
      <c r="D390" s="23" t="s">
        <v>189</v>
      </c>
      <c r="E390" s="23" t="s">
        <v>190</v>
      </c>
      <c r="F390" s="23">
        <v>1336.2276758400001</v>
      </c>
      <c r="G390" s="23">
        <v>18343.1450310949</v>
      </c>
      <c r="H390" s="23">
        <v>13.7275595789196</v>
      </c>
      <c r="I390" s="23">
        <v>0</v>
      </c>
      <c r="J390" s="23" t="s">
        <v>88</v>
      </c>
      <c r="K390" s="24">
        <v>44910.019369756941</v>
      </c>
      <c r="L390" s="23">
        <v>1</v>
      </c>
      <c r="M390" s="23" t="s">
        <v>190</v>
      </c>
      <c r="N390" s="46">
        <f t="shared" si="81"/>
        <v>1</v>
      </c>
      <c r="O390" s="47">
        <f t="shared" si="82"/>
        <v>1336.2276758400001</v>
      </c>
      <c r="P390" s="48">
        <f t="shared" si="83"/>
        <v>18343.145031094868</v>
      </c>
      <c r="Q390" s="25">
        <f t="shared" si="84"/>
        <v>0</v>
      </c>
      <c r="R390" s="26" t="str">
        <f t="shared" si="85"/>
        <v>COIN</v>
      </c>
      <c r="S390" s="26" t="str">
        <f t="shared" si="80"/>
        <v>LONG</v>
      </c>
      <c r="T390" s="26" t="str">
        <f t="shared" si="86"/>
        <v>COIN LONG</v>
      </c>
      <c r="U390" s="17">
        <f t="shared" si="87"/>
        <v>18343.1450310949</v>
      </c>
      <c r="V390" s="17">
        <f t="shared" si="88"/>
        <v>13.7275595789196</v>
      </c>
      <c r="W390" s="40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Shifted'!$AE$32:$AO$75,MATCH($R390,'Futures &amp; Perps Shifted'!$AE$30:$AO$30,0),FALSE),0),0)))</f>
        <v>0</v>
      </c>
      <c r="X390" s="17">
        <f t="shared" si="89"/>
        <v>0</v>
      </c>
      <c r="Y390" s="14" t="str">
        <f t="shared" si="90"/>
        <v>FBLK</v>
      </c>
      <c r="Z390" t="str">
        <f t="shared" si="91"/>
        <v>AVAX COIN LONG</v>
      </c>
    </row>
    <row r="391" spans="1:26" customFormat="1" x14ac:dyDescent="0.25">
      <c r="A391" s="14">
        <v>389</v>
      </c>
      <c r="B391" s="77">
        <v>44910.019369756941</v>
      </c>
      <c r="C391" s="14" t="s">
        <v>189</v>
      </c>
      <c r="D391" s="23" t="s">
        <v>189</v>
      </c>
      <c r="E391" s="23" t="s">
        <v>127</v>
      </c>
      <c r="F391" s="23">
        <v>8346.3712095800001</v>
      </c>
      <c r="G391" s="23">
        <v>1869.2646151084</v>
      </c>
      <c r="H391" s="23">
        <v>0.223961356159531</v>
      </c>
      <c r="I391" s="23">
        <v>0</v>
      </c>
      <c r="J391" s="23" t="s">
        <v>88</v>
      </c>
      <c r="K391" s="24">
        <v>44910.019369756941</v>
      </c>
      <c r="L391" s="23">
        <v>1</v>
      </c>
      <c r="M391" s="23" t="s">
        <v>127</v>
      </c>
      <c r="N391" s="46">
        <f t="shared" si="81"/>
        <v>1</v>
      </c>
      <c r="O391" s="47">
        <f t="shared" si="82"/>
        <v>8346.3712095800001</v>
      </c>
      <c r="P391" s="48">
        <f t="shared" si="83"/>
        <v>1869.264615108402</v>
      </c>
      <c r="Q391" s="25">
        <f t="shared" si="84"/>
        <v>0</v>
      </c>
      <c r="R391" s="26" t="str">
        <f t="shared" si="85"/>
        <v>COIN</v>
      </c>
      <c r="S391" s="26" t="str">
        <f t="shared" si="80"/>
        <v>LONG</v>
      </c>
      <c r="T391" s="26" t="str">
        <f t="shared" si="86"/>
        <v>COIN LONG</v>
      </c>
      <c r="U391" s="17">
        <f t="shared" si="87"/>
        <v>1869.2646151084</v>
      </c>
      <c r="V391" s="17">
        <f t="shared" si="88"/>
        <v>0.223961356159531</v>
      </c>
      <c r="W391" s="40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Shifted'!$AE$32:$AO$75,MATCH($R391,'Futures &amp; Perps Shifted'!$AE$30:$AO$30,0),FALSE),0),0)))</f>
        <v>0</v>
      </c>
      <c r="X391" s="17">
        <f t="shared" si="89"/>
        <v>0</v>
      </c>
      <c r="Y391" s="14" t="str">
        <f t="shared" si="90"/>
        <v>FBLK</v>
      </c>
      <c r="Z391" t="str">
        <f t="shared" si="91"/>
        <v>BAT COIN LONG</v>
      </c>
    </row>
    <row r="392" spans="1:26" customFormat="1" x14ac:dyDescent="0.25">
      <c r="A392" s="14">
        <v>390</v>
      </c>
      <c r="B392" s="77">
        <v>44910.019369756941</v>
      </c>
      <c r="C392" s="14" t="s">
        <v>189</v>
      </c>
      <c r="D392" s="23" t="s">
        <v>189</v>
      </c>
      <c r="E392" s="23" t="s">
        <v>21</v>
      </c>
      <c r="F392" s="23">
        <v>0.826766</v>
      </c>
      <c r="G392" s="23">
        <v>90.207194765138198</v>
      </c>
      <c r="H392" s="23">
        <v>109.10849595307199</v>
      </c>
      <c r="I392" s="23">
        <v>0</v>
      </c>
      <c r="J392" s="23" t="s">
        <v>88</v>
      </c>
      <c r="K392" s="24">
        <v>44910.019369756941</v>
      </c>
      <c r="L392" s="23">
        <v>1</v>
      </c>
      <c r="M392" s="23" t="s">
        <v>21</v>
      </c>
      <c r="N392" s="46">
        <f t="shared" si="81"/>
        <v>1</v>
      </c>
      <c r="O392" s="47">
        <f t="shared" si="82"/>
        <v>0.826766</v>
      </c>
      <c r="P392" s="48">
        <f t="shared" si="83"/>
        <v>90.207194765137515</v>
      </c>
      <c r="Q392" s="25">
        <f t="shared" si="84"/>
        <v>0</v>
      </c>
      <c r="R392" s="26" t="str">
        <f t="shared" si="85"/>
        <v>COIN</v>
      </c>
      <c r="S392" s="26" t="str">
        <f t="shared" si="80"/>
        <v>LONG</v>
      </c>
      <c r="T392" s="26" t="str">
        <f t="shared" si="86"/>
        <v>COIN LONG</v>
      </c>
      <c r="U392" s="17">
        <f t="shared" si="87"/>
        <v>90.207194765138198</v>
      </c>
      <c r="V392" s="17">
        <f t="shared" si="88"/>
        <v>109.10849595307199</v>
      </c>
      <c r="W392" s="40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Shifted'!$AE$32:$AO$75,MATCH($R392,'Futures &amp; Perps Shifted'!$AE$30:$AO$30,0),FALSE),0),0)))</f>
        <v>0</v>
      </c>
      <c r="X392" s="17">
        <f t="shared" si="89"/>
        <v>0</v>
      </c>
      <c r="Y392" s="14" t="str">
        <f t="shared" si="90"/>
        <v>FBLK</v>
      </c>
      <c r="Z392" t="str">
        <f t="shared" si="91"/>
        <v>BCH COIN LONG</v>
      </c>
    </row>
    <row r="393" spans="1:26" customFormat="1" x14ac:dyDescent="0.25">
      <c r="A393" s="14">
        <v>391</v>
      </c>
      <c r="B393" s="77">
        <v>44910.019369756941</v>
      </c>
      <c r="C393" s="14" t="s">
        <v>189</v>
      </c>
      <c r="D393" s="23" t="s">
        <v>189</v>
      </c>
      <c r="E393" s="23" t="s">
        <v>15</v>
      </c>
      <c r="F393" s="23">
        <v>598.26817843000003</v>
      </c>
      <c r="G393" s="23">
        <v>10658536.3860886</v>
      </c>
      <c r="H393" s="23">
        <v>17815.649854650899</v>
      </c>
      <c r="I393" s="23">
        <v>0</v>
      </c>
      <c r="J393" s="23" t="s">
        <v>88</v>
      </c>
      <c r="K393" s="24">
        <v>44910.019369756941</v>
      </c>
      <c r="L393" s="23">
        <v>1</v>
      </c>
      <c r="M393" s="23" t="s">
        <v>15</v>
      </c>
      <c r="N393" s="46">
        <f t="shared" si="81"/>
        <v>1</v>
      </c>
      <c r="O393" s="47">
        <f t="shared" si="82"/>
        <v>598.26817843000003</v>
      </c>
      <c r="P393" s="48">
        <f t="shared" si="83"/>
        <v>10658536.386088688</v>
      </c>
      <c r="Q393" s="25">
        <f t="shared" si="84"/>
        <v>0</v>
      </c>
      <c r="R393" s="26" t="str">
        <f t="shared" si="85"/>
        <v>COIN</v>
      </c>
      <c r="S393" s="26" t="str">
        <f t="shared" si="80"/>
        <v>LONG</v>
      </c>
      <c r="T393" s="26" t="str">
        <f t="shared" si="86"/>
        <v>COIN LONG</v>
      </c>
      <c r="U393" s="17">
        <f t="shared" si="87"/>
        <v>10658536.3860886</v>
      </c>
      <c r="V393" s="17">
        <f t="shared" si="88"/>
        <v>17815.649854650899</v>
      </c>
      <c r="W393" s="40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Shifted'!$AE$32:$AO$75,MATCH($R393,'Futures &amp; Perps Shifted'!$AE$30:$AO$30,0),FALSE),0),0)))</f>
        <v>0</v>
      </c>
      <c r="X393" s="17">
        <f t="shared" si="89"/>
        <v>0</v>
      </c>
      <c r="Y393" s="14" t="str">
        <f t="shared" si="90"/>
        <v>FBLK</v>
      </c>
      <c r="Z393" t="str">
        <f t="shared" si="91"/>
        <v>BTC COIN LONG</v>
      </c>
    </row>
    <row r="394" spans="1:26" customFormat="1" x14ac:dyDescent="0.25">
      <c r="A394" s="14">
        <v>392</v>
      </c>
      <c r="B394" s="77">
        <v>44910.019369756941</v>
      </c>
      <c r="C394" s="14" t="s">
        <v>189</v>
      </c>
      <c r="D394" s="23" t="s">
        <v>189</v>
      </c>
      <c r="E394" s="23" t="s">
        <v>32</v>
      </c>
      <c r="F394" s="23">
        <v>107.31036570000001</v>
      </c>
      <c r="G394" s="23">
        <v>4223.0104824482896</v>
      </c>
      <c r="H394" s="23">
        <v>39.353239129333097</v>
      </c>
      <c r="I394" s="23">
        <v>0</v>
      </c>
      <c r="J394" s="23" t="s">
        <v>88</v>
      </c>
      <c r="K394" s="24">
        <v>44910.019369756941</v>
      </c>
      <c r="L394" s="23">
        <v>1</v>
      </c>
      <c r="M394" s="23" t="s">
        <v>32</v>
      </c>
      <c r="N394" s="46">
        <f t="shared" si="81"/>
        <v>1</v>
      </c>
      <c r="O394" s="47">
        <f t="shared" si="82"/>
        <v>107.31036570000001</v>
      </c>
      <c r="P394" s="48">
        <f t="shared" si="83"/>
        <v>4223.0104824482842</v>
      </c>
      <c r="Q394" s="25">
        <f t="shared" si="84"/>
        <v>0</v>
      </c>
      <c r="R394" s="26" t="str">
        <f t="shared" si="85"/>
        <v>COIN</v>
      </c>
      <c r="S394" s="26" t="str">
        <f t="shared" si="80"/>
        <v>LONG</v>
      </c>
      <c r="T394" s="26" t="str">
        <f t="shared" si="86"/>
        <v>COIN LONG</v>
      </c>
      <c r="U394" s="17">
        <f t="shared" si="87"/>
        <v>4223.0104824482896</v>
      </c>
      <c r="V394" s="17">
        <f t="shared" si="88"/>
        <v>39.353239129333097</v>
      </c>
      <c r="W394" s="40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Shifted'!$AE$32:$AO$75,MATCH($R394,'Futures &amp; Perps Shifted'!$AE$30:$AO$30,0),FALSE),0),0)))</f>
        <v>0</v>
      </c>
      <c r="X394" s="17">
        <f t="shared" si="89"/>
        <v>0</v>
      </c>
      <c r="Y394" s="14" t="str">
        <f t="shared" si="90"/>
        <v>FBLK</v>
      </c>
      <c r="Z394" t="str">
        <f t="shared" si="91"/>
        <v>COMP COIN LONG</v>
      </c>
    </row>
    <row r="395" spans="1:26" customFormat="1" x14ac:dyDescent="0.25">
      <c r="A395" s="14">
        <v>393</v>
      </c>
      <c r="B395" s="77">
        <v>44910.019369756941</v>
      </c>
      <c r="C395" s="14" t="s">
        <v>189</v>
      </c>
      <c r="D395" s="23" t="s">
        <v>189</v>
      </c>
      <c r="E395" s="23" t="s">
        <v>135</v>
      </c>
      <c r="F395" s="23">
        <v>2.5788782800000001</v>
      </c>
      <c r="G395" s="23">
        <v>125.961666061678</v>
      </c>
      <c r="H395" s="23">
        <v>48.843587166773403</v>
      </c>
      <c r="I395" s="23">
        <v>0</v>
      </c>
      <c r="J395" s="23" t="s">
        <v>88</v>
      </c>
      <c r="K395" s="24">
        <v>44910.019369756941</v>
      </c>
      <c r="L395" s="23">
        <v>1</v>
      </c>
      <c r="M395" s="23" t="s">
        <v>135</v>
      </c>
      <c r="N395" s="46">
        <f t="shared" si="81"/>
        <v>1</v>
      </c>
      <c r="O395" s="47">
        <f t="shared" si="82"/>
        <v>2.5788782800000001</v>
      </c>
      <c r="P395" s="48">
        <f t="shared" si="83"/>
        <v>125.96166606167867</v>
      </c>
      <c r="Q395" s="25">
        <f t="shared" si="84"/>
        <v>0</v>
      </c>
      <c r="R395" s="26" t="str">
        <f t="shared" si="85"/>
        <v>COIN</v>
      </c>
      <c r="S395" s="26" t="str">
        <f t="shared" si="80"/>
        <v>LONG</v>
      </c>
      <c r="T395" s="26" t="str">
        <f t="shared" si="86"/>
        <v>COIN LONG</v>
      </c>
      <c r="U395" s="17">
        <f t="shared" si="87"/>
        <v>125.961666061678</v>
      </c>
      <c r="V395" s="17">
        <f t="shared" si="88"/>
        <v>48.843587166773403</v>
      </c>
      <c r="W395" s="40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Shifted'!$AE$32:$AO$75,MATCH($R395,'Futures &amp; Perps Shifted'!$AE$30:$AO$30,0),FALSE),0),0)))</f>
        <v>0</v>
      </c>
      <c r="X395" s="17">
        <f t="shared" si="89"/>
        <v>0</v>
      </c>
      <c r="Y395" s="14" t="str">
        <f t="shared" si="90"/>
        <v>FBLK</v>
      </c>
      <c r="Z395" t="str">
        <f t="shared" si="91"/>
        <v>DASH COIN LONG</v>
      </c>
    </row>
    <row r="396" spans="1:26" customFormat="1" x14ac:dyDescent="0.25">
      <c r="A396" s="14">
        <v>394</v>
      </c>
      <c r="B396" s="77">
        <v>44910.019369756941</v>
      </c>
      <c r="C396" s="14" t="s">
        <v>189</v>
      </c>
      <c r="D396" s="23" t="s">
        <v>189</v>
      </c>
      <c r="E396" s="23" t="s">
        <v>193</v>
      </c>
      <c r="F396" s="23">
        <v>5680.2592693400002</v>
      </c>
      <c r="G396" s="23">
        <v>502.78469967242597</v>
      </c>
      <c r="H396" s="23">
        <v>8.8514392712015305E-2</v>
      </c>
      <c r="I396" s="23">
        <v>0</v>
      </c>
      <c r="J396" s="23" t="s">
        <v>88</v>
      </c>
      <c r="K396" s="24">
        <v>44910.019369756941</v>
      </c>
      <c r="L396" s="23">
        <v>1</v>
      </c>
      <c r="M396" s="23" t="s">
        <v>193</v>
      </c>
      <c r="N396" s="46">
        <f t="shared" si="81"/>
        <v>1</v>
      </c>
      <c r="O396" s="47">
        <f t="shared" si="82"/>
        <v>5680.2592693400002</v>
      </c>
      <c r="P396" s="48">
        <f t="shared" si="83"/>
        <v>502.78469967242592</v>
      </c>
      <c r="Q396" s="25">
        <f t="shared" si="84"/>
        <v>0</v>
      </c>
      <c r="R396" s="26" t="str">
        <f t="shared" si="85"/>
        <v>COIN</v>
      </c>
      <c r="S396" s="26" t="str">
        <f t="shared" si="80"/>
        <v>LONG</v>
      </c>
      <c r="T396" s="26" t="str">
        <f t="shared" si="86"/>
        <v>COIN LONG</v>
      </c>
      <c r="U396" s="17">
        <f t="shared" si="87"/>
        <v>502.78469967242597</v>
      </c>
      <c r="V396" s="17">
        <f t="shared" si="88"/>
        <v>8.8514392712015305E-2</v>
      </c>
      <c r="W396" s="40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Shifted'!$AE$32:$AO$75,MATCH($R396,'Futures &amp; Perps Shifted'!$AE$30:$AO$30,0),FALSE),0),0)))</f>
        <v>0</v>
      </c>
      <c r="X396" s="17">
        <f t="shared" si="89"/>
        <v>0</v>
      </c>
      <c r="Y396" s="14" t="str">
        <f t="shared" si="90"/>
        <v>FBLK</v>
      </c>
      <c r="Z396" t="str">
        <f t="shared" si="91"/>
        <v>DOGE COIN LONG</v>
      </c>
    </row>
    <row r="397" spans="1:26" customFormat="1" x14ac:dyDescent="0.25">
      <c r="A397" s="14">
        <v>395</v>
      </c>
      <c r="B397" s="77">
        <v>44910.019369756941</v>
      </c>
      <c r="C397" s="14" t="s">
        <v>189</v>
      </c>
      <c r="D397" s="23" t="s">
        <v>189</v>
      </c>
      <c r="E397" s="23" t="s">
        <v>23</v>
      </c>
      <c r="F397" s="23">
        <v>2.0019999999999998</v>
      </c>
      <c r="G397" s="23">
        <v>10.4408499214328</v>
      </c>
      <c r="H397" s="23">
        <v>5.21520975096543</v>
      </c>
      <c r="I397" s="23">
        <v>0</v>
      </c>
      <c r="J397" s="23" t="s">
        <v>88</v>
      </c>
      <c r="K397" s="24">
        <v>44910.019369756941</v>
      </c>
      <c r="L397" s="23">
        <v>1</v>
      </c>
      <c r="M397" s="23" t="s">
        <v>23</v>
      </c>
      <c r="N397" s="46">
        <f t="shared" si="81"/>
        <v>1</v>
      </c>
      <c r="O397" s="47">
        <f t="shared" si="82"/>
        <v>2.0019999999999998</v>
      </c>
      <c r="P397" s="48">
        <f t="shared" si="83"/>
        <v>10.44084992143279</v>
      </c>
      <c r="Q397" s="25">
        <f t="shared" si="84"/>
        <v>0</v>
      </c>
      <c r="R397" s="26" t="str">
        <f t="shared" si="85"/>
        <v>COIN</v>
      </c>
      <c r="S397" s="26" t="str">
        <f t="shared" si="80"/>
        <v>LONG</v>
      </c>
      <c r="T397" s="26" t="str">
        <f t="shared" si="86"/>
        <v>COIN LONG</v>
      </c>
      <c r="U397" s="17">
        <f t="shared" si="87"/>
        <v>10.4408499214328</v>
      </c>
      <c r="V397" s="17">
        <f t="shared" si="88"/>
        <v>5.21520975096543</v>
      </c>
      <c r="W397" s="40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Shifted'!$AE$32:$AO$75,MATCH($R397,'Futures &amp; Perps Shifted'!$AE$30:$AO$30,0),FALSE),0),0)))</f>
        <v>0</v>
      </c>
      <c r="X397" s="17">
        <f t="shared" si="89"/>
        <v>0</v>
      </c>
      <c r="Y397" s="14" t="str">
        <f t="shared" si="90"/>
        <v>FBLK</v>
      </c>
      <c r="Z397" t="str">
        <f t="shared" si="91"/>
        <v>DOT COIN LONG</v>
      </c>
    </row>
    <row r="398" spans="1:26" customFormat="1" x14ac:dyDescent="0.25">
      <c r="A398" s="14">
        <v>396</v>
      </c>
      <c r="B398" s="77">
        <v>44910.019369756941</v>
      </c>
      <c r="C398" s="14" t="s">
        <v>189</v>
      </c>
      <c r="D398" s="23" t="s">
        <v>189</v>
      </c>
      <c r="E398" s="23" t="s">
        <v>29</v>
      </c>
      <c r="F398" s="23">
        <v>170.34154862</v>
      </c>
      <c r="G398" s="23">
        <v>51.147438254390501</v>
      </c>
      <c r="H398" s="23">
        <v>0.30026402054434098</v>
      </c>
      <c r="I398" s="23">
        <v>0</v>
      </c>
      <c r="J398" s="23" t="s">
        <v>88</v>
      </c>
      <c r="K398" s="24">
        <v>44910.019369756941</v>
      </c>
      <c r="L398" s="23">
        <v>1</v>
      </c>
      <c r="M398" s="23" t="s">
        <v>29</v>
      </c>
      <c r="N398" s="46">
        <f t="shared" si="81"/>
        <v>1</v>
      </c>
      <c r="O398" s="47">
        <f t="shared" si="82"/>
        <v>170.34154862</v>
      </c>
      <c r="P398" s="48">
        <f t="shared" si="83"/>
        <v>51.147438254390536</v>
      </c>
      <c r="Q398" s="25">
        <f t="shared" si="84"/>
        <v>0</v>
      </c>
      <c r="R398" s="26" t="str">
        <f t="shared" si="85"/>
        <v>COIN</v>
      </c>
      <c r="S398" s="26" t="str">
        <f t="shared" si="80"/>
        <v>LONG</v>
      </c>
      <c r="T398" s="26" t="str">
        <f t="shared" si="86"/>
        <v>COIN LONG</v>
      </c>
      <c r="U398" s="17">
        <f t="shared" si="87"/>
        <v>51.147438254390501</v>
      </c>
      <c r="V398" s="17">
        <f t="shared" si="88"/>
        <v>0.30026402054434098</v>
      </c>
      <c r="W398" s="40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Shifted'!$AE$32:$AO$75,MATCH($R398,'Futures &amp; Perps Shifted'!$AE$30:$AO$30,0),FALSE),0),0)))</f>
        <v>0</v>
      </c>
      <c r="X398" s="17">
        <f t="shared" si="89"/>
        <v>0</v>
      </c>
      <c r="Y398" s="14" t="str">
        <f t="shared" si="90"/>
        <v>FBLK</v>
      </c>
      <c r="Z398" t="str">
        <f t="shared" si="91"/>
        <v>ENJ COIN LONG</v>
      </c>
    </row>
    <row r="399" spans="1:26" customFormat="1" x14ac:dyDescent="0.25">
      <c r="A399" s="14">
        <v>397</v>
      </c>
      <c r="B399" s="77">
        <v>44910.019369756941</v>
      </c>
      <c r="C399" s="14" t="s">
        <v>189</v>
      </c>
      <c r="D399" s="23" t="s">
        <v>189</v>
      </c>
      <c r="E399" s="23" t="s">
        <v>24</v>
      </c>
      <c r="F399" s="23">
        <v>885.21320000000003</v>
      </c>
      <c r="G399" s="23">
        <v>865.75739712052905</v>
      </c>
      <c r="H399" s="23">
        <v>0.97802133669101299</v>
      </c>
      <c r="I399" s="23">
        <v>0</v>
      </c>
      <c r="J399" s="23" t="s">
        <v>88</v>
      </c>
      <c r="K399" s="24">
        <v>44910.019369756941</v>
      </c>
      <c r="L399" s="23">
        <v>1</v>
      </c>
      <c r="M399" s="23" t="s">
        <v>24</v>
      </c>
      <c r="N399" s="46">
        <f t="shared" si="81"/>
        <v>1</v>
      </c>
      <c r="O399" s="47">
        <f t="shared" si="82"/>
        <v>885.21320000000003</v>
      </c>
      <c r="P399" s="48">
        <f t="shared" si="83"/>
        <v>865.75739712052905</v>
      </c>
      <c r="Q399" s="25">
        <f t="shared" si="84"/>
        <v>0</v>
      </c>
      <c r="R399" s="26" t="str">
        <f t="shared" si="85"/>
        <v>COIN</v>
      </c>
      <c r="S399" s="26" t="str">
        <f t="shared" si="80"/>
        <v>LONG</v>
      </c>
      <c r="T399" s="26" t="str">
        <f t="shared" si="86"/>
        <v>COIN LONG</v>
      </c>
      <c r="U399" s="17">
        <f t="shared" si="87"/>
        <v>865.75739712052905</v>
      </c>
      <c r="V399" s="17">
        <f t="shared" si="88"/>
        <v>0.97802133669101299</v>
      </c>
      <c r="W399" s="40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Shifted'!$AE$32:$AO$75,MATCH($R399,'Futures &amp; Perps Shifted'!$AE$30:$AO$30,0),FALSE),0),0)))</f>
        <v>0</v>
      </c>
      <c r="X399" s="17">
        <f t="shared" si="89"/>
        <v>0</v>
      </c>
      <c r="Y399" s="14" t="str">
        <f t="shared" si="90"/>
        <v>FBLK</v>
      </c>
      <c r="Z399" t="str">
        <f t="shared" si="91"/>
        <v>EOS COIN LONG</v>
      </c>
    </row>
    <row r="400" spans="1:26" customFormat="1" x14ac:dyDescent="0.25">
      <c r="A400" s="14">
        <v>398</v>
      </c>
      <c r="B400" s="77">
        <v>44910.019369756941</v>
      </c>
      <c r="C400" s="14" t="s">
        <v>189</v>
      </c>
      <c r="D400" s="23" t="s">
        <v>189</v>
      </c>
      <c r="E400" s="23" t="s">
        <v>30</v>
      </c>
      <c r="F400" s="23">
        <v>5.8852999999999998E-4</v>
      </c>
      <c r="G400" s="23">
        <v>1.10571175645403E-2</v>
      </c>
      <c r="H400" s="23">
        <v>18.787687228417099</v>
      </c>
      <c r="I400" s="23">
        <v>0</v>
      </c>
      <c r="J400" s="23" t="s">
        <v>88</v>
      </c>
      <c r="K400" s="24">
        <v>44910.019369756941</v>
      </c>
      <c r="L400" s="23">
        <v>1</v>
      </c>
      <c r="M400" s="23" t="s">
        <v>30</v>
      </c>
      <c r="N400" s="46">
        <f t="shared" si="81"/>
        <v>1</v>
      </c>
      <c r="O400" s="47">
        <f t="shared" si="82"/>
        <v>5.8852999999999998E-4</v>
      </c>
      <c r="P400" s="48">
        <f t="shared" si="83"/>
        <v>1.1057117564540314E-2</v>
      </c>
      <c r="Q400" s="25">
        <f t="shared" si="84"/>
        <v>0</v>
      </c>
      <c r="R400" s="26" t="str">
        <f t="shared" si="85"/>
        <v>COIN</v>
      </c>
      <c r="S400" s="26" t="str">
        <f t="shared" si="80"/>
        <v>LONG</v>
      </c>
      <c r="T400" s="26" t="str">
        <f t="shared" si="86"/>
        <v>COIN LONG</v>
      </c>
      <c r="U400" s="17">
        <f t="shared" si="87"/>
        <v>1.10571175645403E-2</v>
      </c>
      <c r="V400" s="17">
        <f t="shared" si="88"/>
        <v>18.787687228417099</v>
      </c>
      <c r="W400" s="40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Shifted'!$AE$32:$AO$75,MATCH($R400,'Futures &amp; Perps Shifted'!$AE$30:$AO$30,0),FALSE),0),0)))</f>
        <v>0</v>
      </c>
      <c r="X400" s="17">
        <f t="shared" si="89"/>
        <v>0</v>
      </c>
      <c r="Y400" s="14" t="str">
        <f t="shared" si="90"/>
        <v>FBLK</v>
      </c>
      <c r="Z400" t="str">
        <f t="shared" si="91"/>
        <v>ETC COIN LONG</v>
      </c>
    </row>
    <row r="401" spans="1:26" customFormat="1" x14ac:dyDescent="0.25">
      <c r="A401" s="14">
        <v>399</v>
      </c>
      <c r="B401" s="77">
        <v>44910.019369756941</v>
      </c>
      <c r="C401" s="14" t="s">
        <v>189</v>
      </c>
      <c r="D401" s="23" t="s">
        <v>189</v>
      </c>
      <c r="E401" s="23" t="s">
        <v>16</v>
      </c>
      <c r="F401" s="23">
        <v>3813.7481754699902</v>
      </c>
      <c r="G401" s="23">
        <v>4993449.8527436303</v>
      </c>
      <c r="H401" s="23">
        <v>1309.32867693296</v>
      </c>
      <c r="I401" s="23">
        <v>0</v>
      </c>
      <c r="J401" s="23" t="s">
        <v>88</v>
      </c>
      <c r="K401" s="24">
        <v>44910.019369756941</v>
      </c>
      <c r="L401" s="23">
        <v>1</v>
      </c>
      <c r="M401" s="23" t="s">
        <v>16</v>
      </c>
      <c r="N401" s="46">
        <f t="shared" si="81"/>
        <v>1</v>
      </c>
      <c r="O401" s="47">
        <f t="shared" si="82"/>
        <v>3813.7481754699902</v>
      </c>
      <c r="P401" s="48">
        <f t="shared" si="83"/>
        <v>4993449.8527436126</v>
      </c>
      <c r="Q401" s="25">
        <f t="shared" si="84"/>
        <v>0</v>
      </c>
      <c r="R401" s="26" t="str">
        <f t="shared" si="85"/>
        <v>COIN</v>
      </c>
      <c r="S401" s="26" t="str">
        <f t="shared" si="80"/>
        <v>LONG</v>
      </c>
      <c r="T401" s="26" t="str">
        <f t="shared" si="86"/>
        <v>COIN LONG</v>
      </c>
      <c r="U401" s="17">
        <f t="shared" si="87"/>
        <v>4993449.8527436303</v>
      </c>
      <c r="V401" s="17">
        <f t="shared" si="88"/>
        <v>1309.32867693296</v>
      </c>
      <c r="W401" s="40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Shifted'!$AE$32:$AO$75,MATCH($R401,'Futures &amp; Perps Shifted'!$AE$30:$AO$30,0),FALSE),0),0)))</f>
        <v>0</v>
      </c>
      <c r="X401" s="17">
        <f t="shared" si="89"/>
        <v>0</v>
      </c>
      <c r="Y401" s="14" t="str">
        <f t="shared" si="90"/>
        <v>FBLK</v>
      </c>
      <c r="Z401" t="str">
        <f t="shared" si="91"/>
        <v>ETH COIN LONG</v>
      </c>
    </row>
    <row r="402" spans="1:26" customFormat="1" x14ac:dyDescent="0.25">
      <c r="A402" s="14">
        <v>400</v>
      </c>
      <c r="B402" s="77">
        <v>44910.019369756941</v>
      </c>
      <c r="C402" s="14" t="s">
        <v>189</v>
      </c>
      <c r="D402" s="23" t="s">
        <v>189</v>
      </c>
      <c r="E402" s="23" t="s">
        <v>275</v>
      </c>
      <c r="F402" s="23">
        <v>0.42501022999999999</v>
      </c>
      <c r="G402" s="23">
        <v>1.5047538913699099</v>
      </c>
      <c r="H402" s="23">
        <v>3.5405121692480601</v>
      </c>
      <c r="I402" s="23">
        <v>0</v>
      </c>
      <c r="J402" s="23" t="s">
        <v>88</v>
      </c>
      <c r="K402" s="24">
        <v>44910.019369756941</v>
      </c>
      <c r="L402" s="23">
        <v>1</v>
      </c>
      <c r="M402" s="23" t="s">
        <v>275</v>
      </c>
      <c r="N402" s="46">
        <f t="shared" si="81"/>
        <v>1</v>
      </c>
      <c r="O402" s="47">
        <f t="shared" si="82"/>
        <v>0.42501022999999999</v>
      </c>
      <c r="P402" s="48">
        <f t="shared" si="83"/>
        <v>1.504753891369917</v>
      </c>
      <c r="Q402" s="25">
        <f t="shared" si="84"/>
        <v>0</v>
      </c>
      <c r="R402" s="26" t="str">
        <f t="shared" si="85"/>
        <v>COIN</v>
      </c>
      <c r="S402" s="26" t="str">
        <f t="shared" si="80"/>
        <v>LONG</v>
      </c>
      <c r="T402" s="26" t="str">
        <f t="shared" si="86"/>
        <v>COIN LONG</v>
      </c>
      <c r="U402" s="17">
        <f t="shared" si="87"/>
        <v>1.5047538913699099</v>
      </c>
      <c r="V402" s="17">
        <f t="shared" si="88"/>
        <v>3.5405121692480601</v>
      </c>
      <c r="W402" s="40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Shifted'!$AE$32:$AO$75,MATCH($R402,'Futures &amp; Perps Shifted'!$AE$30:$AO$30,0),FALSE),0),0)))</f>
        <v>0</v>
      </c>
      <c r="X402" s="17">
        <f t="shared" si="89"/>
        <v>0</v>
      </c>
      <c r="Y402" s="14" t="str">
        <f t="shared" si="90"/>
        <v>FBLK</v>
      </c>
      <c r="Z402" t="str">
        <f t="shared" si="91"/>
        <v>ETHW COIN LONG</v>
      </c>
    </row>
    <row r="403" spans="1:26" customFormat="1" x14ac:dyDescent="0.25">
      <c r="A403" s="14">
        <v>401</v>
      </c>
      <c r="B403" s="77">
        <v>44910.019369756941</v>
      </c>
      <c r="C403" s="14" t="s">
        <v>189</v>
      </c>
      <c r="D403" s="23" t="s">
        <v>189</v>
      </c>
      <c r="E403" s="23" t="s">
        <v>261</v>
      </c>
      <c r="F403" s="23">
        <v>5024</v>
      </c>
      <c r="G403" s="23">
        <v>5367.2971709891099</v>
      </c>
      <c r="H403" s="23">
        <v>1.0683314432701201</v>
      </c>
      <c r="I403" s="23">
        <v>0</v>
      </c>
      <c r="J403" s="23" t="s">
        <v>88</v>
      </c>
      <c r="K403" s="24">
        <v>44910.019369756941</v>
      </c>
      <c r="L403" s="23">
        <v>1</v>
      </c>
      <c r="M403" s="23" t="s">
        <v>261</v>
      </c>
      <c r="N403" s="46">
        <f t="shared" si="81"/>
        <v>1</v>
      </c>
      <c r="O403" s="47">
        <f t="shared" si="82"/>
        <v>5024</v>
      </c>
      <c r="P403" s="48">
        <f t="shared" si="83"/>
        <v>5367.2971709890835</v>
      </c>
      <c r="Q403" s="25">
        <f t="shared" si="84"/>
        <v>0</v>
      </c>
      <c r="R403" s="26" t="str">
        <f t="shared" si="85"/>
        <v>COIN</v>
      </c>
      <c r="S403" s="26" t="str">
        <f t="shared" si="80"/>
        <v>LONG</v>
      </c>
      <c r="T403" s="26" t="str">
        <f t="shared" si="86"/>
        <v>COIN LONG</v>
      </c>
      <c r="U403" s="17">
        <f t="shared" si="87"/>
        <v>5367.2971709891099</v>
      </c>
      <c r="V403" s="17">
        <f t="shared" si="88"/>
        <v>1.0683314432701201</v>
      </c>
      <c r="W403" s="40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Shifted'!$AE$32:$AO$75,MATCH($R403,'Futures &amp; Perps Shifted'!$AE$30:$AO$30,0),FALSE),0),0)))</f>
        <v>0</v>
      </c>
      <c r="X403" s="17">
        <f t="shared" si="89"/>
        <v>0</v>
      </c>
      <c r="Y403" s="14" t="str">
        <f t="shared" si="90"/>
        <v>FBLK</v>
      </c>
      <c r="Z403" t="str">
        <f t="shared" si="91"/>
        <v>EUROC COIN LONG</v>
      </c>
    </row>
    <row r="404" spans="1:26" customFormat="1" x14ac:dyDescent="0.25">
      <c r="A404" s="14">
        <v>402</v>
      </c>
      <c r="B404" s="77">
        <v>44910.019369756941</v>
      </c>
      <c r="C404" s="14" t="s">
        <v>189</v>
      </c>
      <c r="D404" s="23" t="s">
        <v>189</v>
      </c>
      <c r="E404" s="23" t="s">
        <v>194</v>
      </c>
      <c r="F404" s="23">
        <v>3969.6552405000002</v>
      </c>
      <c r="G404" s="23">
        <v>955.17595012880599</v>
      </c>
      <c r="H404" s="23">
        <v>0.24061937177408299</v>
      </c>
      <c r="I404" s="23">
        <v>0</v>
      </c>
      <c r="J404" s="23" t="s">
        <v>88</v>
      </c>
      <c r="K404" s="24">
        <v>44910.019369756941</v>
      </c>
      <c r="L404" s="23">
        <v>1</v>
      </c>
      <c r="M404" s="23" t="s">
        <v>194</v>
      </c>
      <c r="N404" s="46">
        <f t="shared" si="81"/>
        <v>1</v>
      </c>
      <c r="O404" s="47">
        <f t="shared" si="82"/>
        <v>3969.6552405000002</v>
      </c>
      <c r="P404" s="48">
        <f t="shared" si="83"/>
        <v>955.17595012880633</v>
      </c>
      <c r="Q404" s="25">
        <f t="shared" si="84"/>
        <v>0</v>
      </c>
      <c r="R404" s="26" t="str">
        <f t="shared" si="85"/>
        <v>COIN</v>
      </c>
      <c r="S404" s="26" t="str">
        <f t="shared" si="80"/>
        <v>LONG</v>
      </c>
      <c r="T404" s="26" t="str">
        <f t="shared" si="86"/>
        <v>COIN LONG</v>
      </c>
      <c r="U404" s="17">
        <f t="shared" si="87"/>
        <v>955.17595012880599</v>
      </c>
      <c r="V404" s="17">
        <f t="shared" si="88"/>
        <v>0.24061937177408299</v>
      </c>
      <c r="W404" s="40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Shifted'!$AE$32:$AO$75,MATCH($R404,'Futures &amp; Perps Shifted'!$AE$30:$AO$30,0),FALSE),0),0)))</f>
        <v>0</v>
      </c>
      <c r="X404" s="17">
        <f t="shared" si="89"/>
        <v>0</v>
      </c>
      <c r="Y404" s="14" t="str">
        <f t="shared" si="90"/>
        <v>FBLK</v>
      </c>
      <c r="Z404" t="str">
        <f t="shared" si="91"/>
        <v>FTM COIN LONG</v>
      </c>
    </row>
    <row r="405" spans="1:26" customFormat="1" x14ac:dyDescent="0.25">
      <c r="A405" s="14">
        <v>403</v>
      </c>
      <c r="B405" s="77">
        <v>44910.019369756941</v>
      </c>
      <c r="C405" s="14" t="s">
        <v>189</v>
      </c>
      <c r="D405" s="23" t="s">
        <v>189</v>
      </c>
      <c r="E405" s="23" t="s">
        <v>112</v>
      </c>
      <c r="F405" s="23">
        <v>2.53888889</v>
      </c>
      <c r="G405" s="23">
        <v>3.4814643363341302</v>
      </c>
      <c r="H405" s="23">
        <v>1.37125509905009</v>
      </c>
      <c r="I405" s="23">
        <v>0</v>
      </c>
      <c r="J405" s="23" t="s">
        <v>88</v>
      </c>
      <c r="K405" s="24">
        <v>44910.019369756941</v>
      </c>
      <c r="L405" s="23">
        <v>1</v>
      </c>
      <c r="M405" s="23" t="s">
        <v>112</v>
      </c>
      <c r="N405" s="46">
        <f t="shared" si="81"/>
        <v>1</v>
      </c>
      <c r="O405" s="47">
        <f t="shared" si="82"/>
        <v>2.53888889</v>
      </c>
      <c r="P405" s="48">
        <f t="shared" si="83"/>
        <v>3.4814643363341231</v>
      </c>
      <c r="Q405" s="25">
        <f t="shared" si="84"/>
        <v>0</v>
      </c>
      <c r="R405" s="26" t="str">
        <f t="shared" si="85"/>
        <v>COIN</v>
      </c>
      <c r="S405" s="26" t="str">
        <f t="shared" si="80"/>
        <v>LONG</v>
      </c>
      <c r="T405" s="26" t="str">
        <f t="shared" si="86"/>
        <v>COIN LONG</v>
      </c>
      <c r="U405" s="17">
        <f t="shared" si="87"/>
        <v>3.4814643363341302</v>
      </c>
      <c r="V405" s="17">
        <f t="shared" si="88"/>
        <v>1.37125509905009</v>
      </c>
      <c r="W405" s="40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Shifted'!$AE$32:$AO$75,MATCH($R405,'Futures &amp; Perps Shifted'!$AE$30:$AO$30,0),FALSE),0),0)))</f>
        <v>0</v>
      </c>
      <c r="X405" s="17">
        <f t="shared" si="89"/>
        <v>0</v>
      </c>
      <c r="Y405" s="14" t="str">
        <f t="shared" si="90"/>
        <v>FBLK</v>
      </c>
      <c r="Z405" t="str">
        <f t="shared" si="91"/>
        <v>FTT COIN LONG</v>
      </c>
    </row>
    <row r="406" spans="1:26" customFormat="1" x14ac:dyDescent="0.25">
      <c r="A406" s="14">
        <v>404</v>
      </c>
      <c r="B406" s="77">
        <v>44910.019369756941</v>
      </c>
      <c r="C406" s="14" t="s">
        <v>189</v>
      </c>
      <c r="D406" s="23" t="s">
        <v>189</v>
      </c>
      <c r="E406" s="23" t="s">
        <v>635</v>
      </c>
      <c r="F406" s="23">
        <v>401.2307831</v>
      </c>
      <c r="G406" s="23">
        <v>26.365646284376101</v>
      </c>
      <c r="H406" s="23">
        <v>6.5711922900504302E-2</v>
      </c>
      <c r="I406" s="23">
        <v>0</v>
      </c>
      <c r="J406" s="23" t="s">
        <v>88</v>
      </c>
      <c r="K406" s="24">
        <v>44910.019369756941</v>
      </c>
      <c r="L406" s="23">
        <v>1</v>
      </c>
      <c r="M406" s="23" t="s">
        <v>635</v>
      </c>
      <c r="N406" s="46">
        <f t="shared" si="81"/>
        <v>1</v>
      </c>
      <c r="O406" s="47">
        <f t="shared" si="82"/>
        <v>401.2307831</v>
      </c>
      <c r="P406" s="48">
        <f t="shared" si="83"/>
        <v>26.365646284376165</v>
      </c>
      <c r="Q406" s="25">
        <f t="shared" si="84"/>
        <v>0</v>
      </c>
      <c r="R406" s="26" t="str">
        <f t="shared" si="85"/>
        <v>COIN</v>
      </c>
      <c r="S406" s="26" t="str">
        <f t="shared" si="80"/>
        <v>LONG</v>
      </c>
      <c r="T406" s="26" t="str">
        <f t="shared" si="86"/>
        <v>COIN LONG</v>
      </c>
      <c r="U406" s="17">
        <f t="shared" si="87"/>
        <v>26.365646284376101</v>
      </c>
      <c r="V406" s="17">
        <f t="shared" si="88"/>
        <v>6.5711922900504302E-2</v>
      </c>
      <c r="W406" s="40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Shifted'!$AE$32:$AO$75,MATCH($R406,'Futures &amp; Perps Shifted'!$AE$30:$AO$30,0),FALSE),0),0)))</f>
        <v>0</v>
      </c>
      <c r="X406" s="17">
        <f t="shared" si="89"/>
        <v>0</v>
      </c>
      <c r="Y406" s="14" t="str">
        <f t="shared" si="90"/>
        <v>FBLK</v>
      </c>
      <c r="Z406" t="str">
        <f t="shared" si="91"/>
        <v>GRT COIN LONG</v>
      </c>
    </row>
    <row r="407" spans="1:26" customFormat="1" x14ac:dyDescent="0.25">
      <c r="A407" s="14">
        <v>405</v>
      </c>
      <c r="B407" s="77">
        <v>44910.019369756941</v>
      </c>
      <c r="C407" s="14" t="s">
        <v>189</v>
      </c>
      <c r="D407" s="23" t="s">
        <v>189</v>
      </c>
      <c r="E407" s="23" t="s">
        <v>138</v>
      </c>
      <c r="F407" s="23">
        <v>6955.5320218500001</v>
      </c>
      <c r="G407" s="23">
        <v>324.67637506528399</v>
      </c>
      <c r="H407" s="23">
        <v>4.6678870005249097E-2</v>
      </c>
      <c r="I407" s="23">
        <v>0</v>
      </c>
      <c r="J407" s="23" t="s">
        <v>88</v>
      </c>
      <c r="K407" s="24">
        <v>44910.019369756941</v>
      </c>
      <c r="L407" s="23">
        <v>1</v>
      </c>
      <c r="M407" s="23" t="s">
        <v>138</v>
      </c>
      <c r="N407" s="46">
        <f t="shared" si="81"/>
        <v>1</v>
      </c>
      <c r="O407" s="47">
        <f t="shared" si="82"/>
        <v>6955.5320218500001</v>
      </c>
      <c r="P407" s="48">
        <f t="shared" si="83"/>
        <v>324.67637506528359</v>
      </c>
      <c r="Q407" s="25">
        <f t="shared" si="84"/>
        <v>0</v>
      </c>
      <c r="R407" s="26" t="str">
        <f t="shared" si="85"/>
        <v>COIN</v>
      </c>
      <c r="S407" s="26" t="str">
        <f t="shared" si="80"/>
        <v>LONG</v>
      </c>
      <c r="T407" s="26" t="str">
        <f t="shared" si="86"/>
        <v>COIN LONG</v>
      </c>
      <c r="U407" s="17">
        <f t="shared" si="87"/>
        <v>324.67637506528399</v>
      </c>
      <c r="V407" s="17">
        <f t="shared" si="88"/>
        <v>4.6678870005249097E-2</v>
      </c>
      <c r="W407" s="40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Shifted'!$AE$32:$AO$75,MATCH($R407,'Futures &amp; Perps Shifted'!$AE$30:$AO$30,0),FALSE),0),0)))</f>
        <v>0</v>
      </c>
      <c r="X407" s="17">
        <f t="shared" si="89"/>
        <v>0</v>
      </c>
      <c r="Y407" s="14" t="str">
        <f t="shared" si="90"/>
        <v>FBLK</v>
      </c>
      <c r="Z407" t="str">
        <f t="shared" si="91"/>
        <v>HBAR COIN LONG</v>
      </c>
    </row>
    <row r="408" spans="1:26" customFormat="1" x14ac:dyDescent="0.25">
      <c r="A408" s="14">
        <v>406</v>
      </c>
      <c r="B408" s="77">
        <v>44910.019369756941</v>
      </c>
      <c r="C408" s="14" t="s">
        <v>189</v>
      </c>
      <c r="D408" s="23" t="s">
        <v>189</v>
      </c>
      <c r="E408" s="23" t="s">
        <v>44</v>
      </c>
      <c r="F408" s="23">
        <v>9.2269799999999992E-3</v>
      </c>
      <c r="G408" s="23">
        <v>0.25417860522711799</v>
      </c>
      <c r="H408" s="23">
        <v>27.547323742667501</v>
      </c>
      <c r="I408" s="23">
        <v>0</v>
      </c>
      <c r="J408" s="23" t="s">
        <v>88</v>
      </c>
      <c r="K408" s="24">
        <v>44910.019369756941</v>
      </c>
      <c r="L408" s="23">
        <v>1</v>
      </c>
      <c r="M408" s="23" t="s">
        <v>44</v>
      </c>
      <c r="N408" s="46">
        <f t="shared" si="81"/>
        <v>1</v>
      </c>
      <c r="O408" s="47">
        <f t="shared" si="82"/>
        <v>9.2269799999999992E-3</v>
      </c>
      <c r="P408" s="48">
        <f t="shared" si="83"/>
        <v>0.25417860522711816</v>
      </c>
      <c r="Q408" s="25">
        <f t="shared" si="84"/>
        <v>0</v>
      </c>
      <c r="R408" s="26" t="str">
        <f t="shared" si="85"/>
        <v>COIN</v>
      </c>
      <c r="S408" s="26" t="str">
        <f t="shared" si="80"/>
        <v>LONG</v>
      </c>
      <c r="T408" s="26" t="str">
        <f t="shared" si="86"/>
        <v>COIN LONG</v>
      </c>
      <c r="U408" s="17">
        <f t="shared" si="87"/>
        <v>0.25417860522711799</v>
      </c>
      <c r="V408" s="17">
        <f t="shared" si="88"/>
        <v>27.547323742667501</v>
      </c>
      <c r="W408" s="40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Shifted'!$AE$32:$AO$75,MATCH($R408,'Futures &amp; Perps Shifted'!$AE$30:$AO$30,0),FALSE),0),0)))</f>
        <v>0</v>
      </c>
      <c r="X408" s="17">
        <f t="shared" si="89"/>
        <v>0</v>
      </c>
      <c r="Y408" s="14" t="str">
        <f t="shared" si="90"/>
        <v>FBLK</v>
      </c>
      <c r="Z408" t="str">
        <f t="shared" si="91"/>
        <v>KSM COIN LONG</v>
      </c>
    </row>
    <row r="409" spans="1:26" customFormat="1" x14ac:dyDescent="0.25">
      <c r="A409" s="14">
        <v>407</v>
      </c>
      <c r="B409" s="77">
        <v>44910.019369756941</v>
      </c>
      <c r="C409" s="14" t="s">
        <v>189</v>
      </c>
      <c r="D409" s="23" t="s">
        <v>189</v>
      </c>
      <c r="E409" s="23" t="s">
        <v>28</v>
      </c>
      <c r="F409" s="23">
        <v>991.68718306000005</v>
      </c>
      <c r="G409" s="23">
        <v>6672.89254172864</v>
      </c>
      <c r="H409" s="23">
        <v>6.72882805759214</v>
      </c>
      <c r="I409" s="23">
        <v>0</v>
      </c>
      <c r="J409" s="23" t="s">
        <v>88</v>
      </c>
      <c r="K409" s="24">
        <v>44910.019369756941</v>
      </c>
      <c r="L409" s="23">
        <v>1</v>
      </c>
      <c r="M409" s="23" t="s">
        <v>28</v>
      </c>
      <c r="N409" s="46">
        <f t="shared" si="81"/>
        <v>1</v>
      </c>
      <c r="O409" s="47">
        <f t="shared" si="82"/>
        <v>991.68718306000005</v>
      </c>
      <c r="P409" s="48">
        <f t="shared" si="83"/>
        <v>6672.8925417286409</v>
      </c>
      <c r="Q409" s="25">
        <f t="shared" si="84"/>
        <v>0</v>
      </c>
      <c r="R409" s="26" t="str">
        <f t="shared" si="85"/>
        <v>COIN</v>
      </c>
      <c r="S409" s="26" t="str">
        <f t="shared" si="80"/>
        <v>LONG</v>
      </c>
      <c r="T409" s="26" t="str">
        <f t="shared" si="86"/>
        <v>COIN LONG</v>
      </c>
      <c r="U409" s="17">
        <f t="shared" si="87"/>
        <v>6672.89254172864</v>
      </c>
      <c r="V409" s="17">
        <f t="shared" si="88"/>
        <v>6.72882805759214</v>
      </c>
      <c r="W409" s="40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Shifted'!$AE$32:$AO$75,MATCH($R409,'Futures &amp; Perps Shifted'!$AE$30:$AO$30,0),FALSE),0),0)))</f>
        <v>0</v>
      </c>
      <c r="X409" s="17">
        <f t="shared" si="89"/>
        <v>0</v>
      </c>
      <c r="Y409" s="14" t="str">
        <f t="shared" si="90"/>
        <v>FBLK</v>
      </c>
      <c r="Z409" t="str">
        <f t="shared" si="91"/>
        <v>LINK COIN LONG</v>
      </c>
    </row>
    <row r="410" spans="1:26" customFormat="1" x14ac:dyDescent="0.25">
      <c r="A410" s="14">
        <v>408</v>
      </c>
      <c r="B410" s="77">
        <v>44910.019369756941</v>
      </c>
      <c r="C410" s="14" t="s">
        <v>189</v>
      </c>
      <c r="D410" s="23" t="s">
        <v>189</v>
      </c>
      <c r="E410" s="23" t="s">
        <v>25</v>
      </c>
      <c r="F410" s="23">
        <v>6.3299567400000001</v>
      </c>
      <c r="G410" s="23">
        <v>477.75895179417302</v>
      </c>
      <c r="H410" s="23">
        <v>75.475863646134997</v>
      </c>
      <c r="I410" s="23">
        <v>0</v>
      </c>
      <c r="J410" s="23" t="s">
        <v>88</v>
      </c>
      <c r="K410" s="24">
        <v>44910.019369756941</v>
      </c>
      <c r="L410" s="23">
        <v>1</v>
      </c>
      <c r="M410" s="23" t="s">
        <v>25</v>
      </c>
      <c r="N410" s="46">
        <f t="shared" si="81"/>
        <v>1</v>
      </c>
      <c r="O410" s="47">
        <f t="shared" si="82"/>
        <v>6.3299567400000001</v>
      </c>
      <c r="P410" s="48">
        <f t="shared" si="83"/>
        <v>477.75895179417319</v>
      </c>
      <c r="Q410" s="25">
        <f t="shared" si="84"/>
        <v>0</v>
      </c>
      <c r="R410" s="26" t="str">
        <f t="shared" si="85"/>
        <v>COIN</v>
      </c>
      <c r="S410" s="26" t="str">
        <f t="shared" si="80"/>
        <v>LONG</v>
      </c>
      <c r="T410" s="26" t="str">
        <f t="shared" si="86"/>
        <v>COIN LONG</v>
      </c>
      <c r="U410" s="17">
        <f t="shared" si="87"/>
        <v>477.75895179417302</v>
      </c>
      <c r="V410" s="17">
        <f t="shared" si="88"/>
        <v>75.475863646134997</v>
      </c>
      <c r="W410" s="40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Shifted'!$AE$32:$AO$75,MATCH($R410,'Futures &amp; Perps Shifted'!$AE$30:$AO$30,0),FALSE),0),0)))</f>
        <v>0</v>
      </c>
      <c r="X410" s="17">
        <f t="shared" si="89"/>
        <v>0</v>
      </c>
      <c r="Y410" s="14" t="str">
        <f t="shared" si="90"/>
        <v>FBLK</v>
      </c>
      <c r="Z410" t="str">
        <f t="shared" si="91"/>
        <v>LTC COIN LONG</v>
      </c>
    </row>
    <row r="411" spans="1:26" customFormat="1" x14ac:dyDescent="0.25">
      <c r="A411" s="14">
        <v>409</v>
      </c>
      <c r="B411" s="77">
        <v>44910.019369756941</v>
      </c>
      <c r="C411" s="14" t="s">
        <v>189</v>
      </c>
      <c r="D411" s="23" t="s">
        <v>189</v>
      </c>
      <c r="E411" s="23" t="s">
        <v>195</v>
      </c>
      <c r="F411" s="23">
        <v>1894.9818869999999</v>
      </c>
      <c r="G411" s="23">
        <v>723.61853302628197</v>
      </c>
      <c r="H411" s="23">
        <v>0.38186039560085799</v>
      </c>
      <c r="I411" s="23">
        <v>0</v>
      </c>
      <c r="J411" s="23" t="s">
        <v>88</v>
      </c>
      <c r="K411" s="24">
        <v>44910.019369756941</v>
      </c>
      <c r="L411" s="23">
        <v>1</v>
      </c>
      <c r="M411" s="23" t="s">
        <v>195</v>
      </c>
      <c r="N411" s="46">
        <f t="shared" si="81"/>
        <v>1</v>
      </c>
      <c r="O411" s="47">
        <f t="shared" si="82"/>
        <v>1894.9818869999999</v>
      </c>
      <c r="P411" s="48">
        <f t="shared" si="83"/>
        <v>723.61853302628037</v>
      </c>
      <c r="Q411" s="25">
        <f t="shared" si="84"/>
        <v>0</v>
      </c>
      <c r="R411" s="26" t="str">
        <f t="shared" si="85"/>
        <v>COIN</v>
      </c>
      <c r="S411" s="26" t="str">
        <f t="shared" si="80"/>
        <v>LONG</v>
      </c>
      <c r="T411" s="26" t="str">
        <f t="shared" si="86"/>
        <v>COIN LONG</v>
      </c>
      <c r="U411" s="17">
        <f t="shared" si="87"/>
        <v>723.61853302628197</v>
      </c>
      <c r="V411" s="17">
        <f t="shared" si="88"/>
        <v>0.38186039560085799</v>
      </c>
      <c r="W411" s="40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Shifted'!$AE$32:$AO$75,MATCH($R411,'Futures &amp; Perps Shifted'!$AE$30:$AO$30,0),FALSE),0),0)))</f>
        <v>0</v>
      </c>
      <c r="X411" s="17">
        <f t="shared" si="89"/>
        <v>0</v>
      </c>
      <c r="Y411" s="14" t="str">
        <f t="shared" si="90"/>
        <v>FBLK</v>
      </c>
      <c r="Z411" t="str">
        <f t="shared" si="91"/>
        <v>MANA COIN LONG</v>
      </c>
    </row>
    <row r="412" spans="1:26" customFormat="1" x14ac:dyDescent="0.25">
      <c r="A412" s="14">
        <v>410</v>
      </c>
      <c r="B412" s="77">
        <v>44910.019369756941</v>
      </c>
      <c r="C412" s="14" t="s">
        <v>189</v>
      </c>
      <c r="D412" s="23" t="s">
        <v>189</v>
      </c>
      <c r="E412" s="23" t="s">
        <v>196</v>
      </c>
      <c r="F412" s="23">
        <v>9754.9953736700008</v>
      </c>
      <c r="G412" s="23">
        <v>8812.1492566720899</v>
      </c>
      <c r="H412" s="23">
        <v>0.90334735375244002</v>
      </c>
      <c r="I412" s="23">
        <v>0</v>
      </c>
      <c r="J412" s="23" t="s">
        <v>88</v>
      </c>
      <c r="K412" s="24">
        <v>44910.019369756941</v>
      </c>
      <c r="L412" s="23">
        <v>1</v>
      </c>
      <c r="M412" s="23" t="s">
        <v>196</v>
      </c>
      <c r="N412" s="46">
        <f t="shared" si="81"/>
        <v>1</v>
      </c>
      <c r="O412" s="47">
        <f t="shared" si="82"/>
        <v>9754.9953736700008</v>
      </c>
      <c r="P412" s="48">
        <f t="shared" si="83"/>
        <v>8812.1492566720899</v>
      </c>
      <c r="Q412" s="25">
        <f t="shared" si="84"/>
        <v>0</v>
      </c>
      <c r="R412" s="26" t="str">
        <f t="shared" si="85"/>
        <v>COIN</v>
      </c>
      <c r="S412" s="26" t="str">
        <f t="shared" si="80"/>
        <v>LONG</v>
      </c>
      <c r="T412" s="26" t="str">
        <f t="shared" si="86"/>
        <v>COIN LONG</v>
      </c>
      <c r="U412" s="17">
        <f t="shared" si="87"/>
        <v>8812.1492566720899</v>
      </c>
      <c r="V412" s="17">
        <f t="shared" si="88"/>
        <v>0.90334735375244002</v>
      </c>
      <c r="W412" s="40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Shifted'!$AE$32:$AO$75,MATCH($R412,'Futures &amp; Perps Shifted'!$AE$30:$AO$30,0),FALSE),0),0)))</f>
        <v>0</v>
      </c>
      <c r="X412" s="17">
        <f t="shared" si="89"/>
        <v>0</v>
      </c>
      <c r="Y412" s="14" t="str">
        <f t="shared" si="90"/>
        <v>FBLK</v>
      </c>
      <c r="Z412" t="str">
        <f t="shared" si="91"/>
        <v>MATIC COIN LONG</v>
      </c>
    </row>
    <row r="413" spans="1:26" customFormat="1" x14ac:dyDescent="0.25">
      <c r="A413" s="14">
        <v>411</v>
      </c>
      <c r="B413" s="77">
        <v>44910.019369756941</v>
      </c>
      <c r="C413" s="14" t="s">
        <v>189</v>
      </c>
      <c r="D413" s="23" t="s">
        <v>189</v>
      </c>
      <c r="E413" s="23" t="s">
        <v>567</v>
      </c>
      <c r="F413" s="23">
        <v>0.77666018999999997</v>
      </c>
      <c r="G413" s="23">
        <v>470.77853044224997</v>
      </c>
      <c r="H413" s="23">
        <v>606.15766908594901</v>
      </c>
      <c r="I413" s="23">
        <v>0</v>
      </c>
      <c r="J413" s="23" t="s">
        <v>88</v>
      </c>
      <c r="K413" s="24">
        <v>44910.019369756941</v>
      </c>
      <c r="L413" s="23">
        <v>1</v>
      </c>
      <c r="M413" s="23" t="s">
        <v>567</v>
      </c>
      <c r="N413" s="46">
        <f t="shared" si="81"/>
        <v>1</v>
      </c>
      <c r="O413" s="47">
        <f t="shared" si="82"/>
        <v>0.77666018999999997</v>
      </c>
      <c r="P413" s="48">
        <f t="shared" si="83"/>
        <v>470.77853044225026</v>
      </c>
      <c r="Q413" s="25">
        <f t="shared" si="84"/>
        <v>0</v>
      </c>
      <c r="R413" s="26" t="str">
        <f t="shared" si="85"/>
        <v>COIN</v>
      </c>
      <c r="S413" s="26" t="str">
        <f t="shared" si="80"/>
        <v>LONG</v>
      </c>
      <c r="T413" s="26" t="str">
        <f t="shared" si="86"/>
        <v>COIN LONG</v>
      </c>
      <c r="U413" s="17">
        <f t="shared" si="87"/>
        <v>470.77853044224997</v>
      </c>
      <c r="V413" s="17">
        <f t="shared" si="88"/>
        <v>606.15766908594901</v>
      </c>
      <c r="W413" s="40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Shifted'!$AE$32:$AO$75,MATCH($R413,'Futures &amp; Perps Shifted'!$AE$30:$AO$30,0),FALSE),0),0)))</f>
        <v>0</v>
      </c>
      <c r="X413" s="17">
        <f t="shared" si="89"/>
        <v>0</v>
      </c>
      <c r="Y413" s="14" t="str">
        <f t="shared" si="90"/>
        <v>FBLK</v>
      </c>
      <c r="Z413" t="str">
        <f t="shared" si="91"/>
        <v>MKR COIN LONG</v>
      </c>
    </row>
    <row r="414" spans="1:26" customFormat="1" x14ac:dyDescent="0.25">
      <c r="A414" s="14">
        <v>412</v>
      </c>
      <c r="B414" s="77">
        <v>44910.019369756941</v>
      </c>
      <c r="C414" s="14" t="s">
        <v>189</v>
      </c>
      <c r="D414" s="23" t="s">
        <v>189</v>
      </c>
      <c r="E414" s="23" t="s">
        <v>153</v>
      </c>
      <c r="F414" s="23">
        <v>106.971</v>
      </c>
      <c r="G414" s="23">
        <v>125.99285361318501</v>
      </c>
      <c r="H414" s="23">
        <v>1.1778225277242</v>
      </c>
      <c r="I414" s="23">
        <v>0</v>
      </c>
      <c r="J414" s="23" t="s">
        <v>88</v>
      </c>
      <c r="K414" s="24">
        <v>44910.019369756941</v>
      </c>
      <c r="L414" s="23">
        <v>1</v>
      </c>
      <c r="M414" s="23" t="s">
        <v>153</v>
      </c>
      <c r="N414" s="46">
        <f t="shared" si="81"/>
        <v>1</v>
      </c>
      <c r="O414" s="47">
        <f t="shared" si="82"/>
        <v>106.971</v>
      </c>
      <c r="P414" s="48">
        <f t="shared" si="83"/>
        <v>125.9928536131854</v>
      </c>
      <c r="Q414" s="25">
        <f t="shared" si="84"/>
        <v>0</v>
      </c>
      <c r="R414" s="26" t="str">
        <f t="shared" si="85"/>
        <v>COIN</v>
      </c>
      <c r="S414" s="26" t="str">
        <f t="shared" si="80"/>
        <v>LONG</v>
      </c>
      <c r="T414" s="26" t="str">
        <f t="shared" si="86"/>
        <v>COIN LONG</v>
      </c>
      <c r="U414" s="17">
        <f t="shared" si="87"/>
        <v>125.99285361318501</v>
      </c>
      <c r="V414" s="17">
        <f t="shared" si="88"/>
        <v>1.1778225277242</v>
      </c>
      <c r="W414" s="40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Shifted'!$AE$32:$AO$75,MATCH($R414,'Futures &amp; Perps Shifted'!$AE$30:$AO$30,0),FALSE),0),0)))</f>
        <v>0</v>
      </c>
      <c r="X414" s="17">
        <f t="shared" si="89"/>
        <v>0</v>
      </c>
      <c r="Y414" s="14" t="str">
        <f t="shared" si="90"/>
        <v>FBLK</v>
      </c>
      <c r="Z414" t="str">
        <f t="shared" si="91"/>
        <v>OMG COIN LONG</v>
      </c>
    </row>
    <row r="415" spans="1:26" customFormat="1" x14ac:dyDescent="0.25">
      <c r="A415" s="14">
        <v>413</v>
      </c>
      <c r="B415" s="77">
        <v>44910.019369756941</v>
      </c>
      <c r="C415" s="14" t="s">
        <v>189</v>
      </c>
      <c r="D415" s="23" t="s">
        <v>189</v>
      </c>
      <c r="E415" s="23" t="s">
        <v>92</v>
      </c>
      <c r="F415" s="23">
        <v>24.565999999999999</v>
      </c>
      <c r="G415" s="23">
        <v>1.9942155881477901</v>
      </c>
      <c r="H415" s="23">
        <v>8.1177871372945895E-2</v>
      </c>
      <c r="I415" s="23">
        <v>0</v>
      </c>
      <c r="J415" s="23" t="s">
        <v>88</v>
      </c>
      <c r="K415" s="24">
        <v>44910.019369756941</v>
      </c>
      <c r="L415" s="23">
        <v>1</v>
      </c>
      <c r="M415" s="23" t="s">
        <v>92</v>
      </c>
      <c r="N415" s="46">
        <f t="shared" si="81"/>
        <v>1</v>
      </c>
      <c r="O415" s="47">
        <f t="shared" si="82"/>
        <v>24.565999999999999</v>
      </c>
      <c r="P415" s="48">
        <f t="shared" si="83"/>
        <v>1.9942155881477888</v>
      </c>
      <c r="Q415" s="25">
        <f t="shared" si="84"/>
        <v>0</v>
      </c>
      <c r="R415" s="26" t="str">
        <f t="shared" si="85"/>
        <v>COIN</v>
      </c>
      <c r="S415" s="26" t="str">
        <f t="shared" si="80"/>
        <v>LONG</v>
      </c>
      <c r="T415" s="26" t="str">
        <f t="shared" si="86"/>
        <v>COIN LONG</v>
      </c>
      <c r="U415" s="17">
        <f t="shared" si="87"/>
        <v>1.9942155881477901</v>
      </c>
      <c r="V415" s="17">
        <f t="shared" si="88"/>
        <v>8.1177871372945895E-2</v>
      </c>
      <c r="W415" s="40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Shifted'!$AE$32:$AO$75,MATCH($R415,'Futures &amp; Perps Shifted'!$AE$30:$AO$30,0),FALSE),0),0)))</f>
        <v>0</v>
      </c>
      <c r="X415" s="17">
        <f t="shared" si="89"/>
        <v>0</v>
      </c>
      <c r="Y415" s="14" t="str">
        <f t="shared" si="90"/>
        <v>FBLK</v>
      </c>
      <c r="Z415" t="str">
        <f t="shared" si="91"/>
        <v>OXT COIN LONG</v>
      </c>
    </row>
    <row r="416" spans="1:26" customFormat="1" x14ac:dyDescent="0.25">
      <c r="A416" s="14">
        <v>414</v>
      </c>
      <c r="B416" s="77">
        <v>44910.019369756941</v>
      </c>
      <c r="C416" s="14" t="s">
        <v>189</v>
      </c>
      <c r="D416" s="23" t="s">
        <v>189</v>
      </c>
      <c r="E416" s="23" t="s">
        <v>38</v>
      </c>
      <c r="F416" s="23">
        <v>664916118.04308903</v>
      </c>
      <c r="G416" s="23">
        <v>5966.1302010747604</v>
      </c>
      <c r="H416" s="23">
        <v>8.9727561705582505E-6</v>
      </c>
      <c r="I416" s="23">
        <v>0</v>
      </c>
      <c r="J416" s="23" t="s">
        <v>88</v>
      </c>
      <c r="K416" s="24">
        <v>44910.019369756941</v>
      </c>
      <c r="L416" s="23">
        <v>1</v>
      </c>
      <c r="M416" s="23" t="s">
        <v>38</v>
      </c>
      <c r="N416" s="46">
        <f t="shared" si="81"/>
        <v>1</v>
      </c>
      <c r="O416" s="47">
        <f t="shared" si="82"/>
        <v>664916118.04308903</v>
      </c>
      <c r="P416" s="48">
        <f t="shared" si="83"/>
        <v>5966.130201074765</v>
      </c>
      <c r="Q416" s="25">
        <f t="shared" si="84"/>
        <v>0</v>
      </c>
      <c r="R416" s="26" t="str">
        <f t="shared" si="85"/>
        <v>COIN</v>
      </c>
      <c r="S416" s="26" t="str">
        <f t="shared" si="80"/>
        <v>LONG</v>
      </c>
      <c r="T416" s="26" t="str">
        <f t="shared" si="86"/>
        <v>COIN LONG</v>
      </c>
      <c r="U416" s="17">
        <f t="shared" si="87"/>
        <v>5966.1302010747604</v>
      </c>
      <c r="V416" s="17">
        <f t="shared" si="88"/>
        <v>8.9727561705582505E-6</v>
      </c>
      <c r="W416" s="40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Shifted'!$AE$32:$AO$75,MATCH($R416,'Futures &amp; Perps Shifted'!$AE$30:$AO$30,0),FALSE),0),0)))</f>
        <v>0</v>
      </c>
      <c r="X416" s="17">
        <f t="shared" si="89"/>
        <v>0</v>
      </c>
      <c r="Y416" s="14" t="str">
        <f t="shared" si="90"/>
        <v>FBLK</v>
      </c>
      <c r="Z416" t="str">
        <f t="shared" si="91"/>
        <v>SHIB COIN LONG</v>
      </c>
    </row>
    <row r="417" spans="1:26" customFormat="1" x14ac:dyDescent="0.25">
      <c r="A417" s="14">
        <v>415</v>
      </c>
      <c r="B417" s="77">
        <v>44910.019369756941</v>
      </c>
      <c r="C417" s="14" t="s">
        <v>189</v>
      </c>
      <c r="D417" s="23" t="s">
        <v>189</v>
      </c>
      <c r="E417" s="23" t="s">
        <v>157</v>
      </c>
      <c r="F417" s="23">
        <v>464.53931548000003</v>
      </c>
      <c r="G417" s="23">
        <v>6568.8303608919496</v>
      </c>
      <c r="H417" s="23">
        <v>14.1405261987448</v>
      </c>
      <c r="I417" s="23">
        <v>0</v>
      </c>
      <c r="J417" s="23" t="s">
        <v>88</v>
      </c>
      <c r="K417" s="24">
        <v>44910.019369756941</v>
      </c>
      <c r="L417" s="23">
        <v>1</v>
      </c>
      <c r="M417" s="23" t="s">
        <v>157</v>
      </c>
      <c r="N417" s="46">
        <f t="shared" si="81"/>
        <v>1</v>
      </c>
      <c r="O417" s="47">
        <f t="shared" si="82"/>
        <v>464.53931548000003</v>
      </c>
      <c r="P417" s="48">
        <f t="shared" si="83"/>
        <v>6568.8303608919159</v>
      </c>
      <c r="Q417" s="25">
        <f t="shared" si="84"/>
        <v>0</v>
      </c>
      <c r="R417" s="26" t="str">
        <f t="shared" si="85"/>
        <v>COIN</v>
      </c>
      <c r="S417" s="26" t="str">
        <f t="shared" si="80"/>
        <v>LONG</v>
      </c>
      <c r="T417" s="26" t="str">
        <f t="shared" si="86"/>
        <v>COIN LONG</v>
      </c>
      <c r="U417" s="17">
        <f t="shared" si="87"/>
        <v>6568.8303608919496</v>
      </c>
      <c r="V417" s="17">
        <f t="shared" si="88"/>
        <v>14.1405261987448</v>
      </c>
      <c r="W417" s="40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Shifted'!$AE$32:$AO$75,MATCH($R417,'Futures &amp; Perps Shifted'!$AE$30:$AO$30,0),FALSE),0),0)))</f>
        <v>0</v>
      </c>
      <c r="X417" s="17">
        <f t="shared" si="89"/>
        <v>0</v>
      </c>
      <c r="Y417" s="14" t="str">
        <f t="shared" si="90"/>
        <v>FBLK</v>
      </c>
      <c r="Z417" t="str">
        <f t="shared" si="91"/>
        <v>SOL COIN LONG</v>
      </c>
    </row>
    <row r="418" spans="1:26" customFormat="1" x14ac:dyDescent="0.25">
      <c r="A418" s="14">
        <v>416</v>
      </c>
      <c r="B418" s="77">
        <v>44910.019369756941</v>
      </c>
      <c r="C418" s="14" t="s">
        <v>189</v>
      </c>
      <c r="D418" s="23" t="s">
        <v>189</v>
      </c>
      <c r="E418" s="23" t="s">
        <v>615</v>
      </c>
      <c r="F418" s="23">
        <v>1600.35402912</v>
      </c>
      <c r="G418" s="23">
        <v>1791.8438991088899</v>
      </c>
      <c r="H418" s="23">
        <v>1.1196546929645199</v>
      </c>
      <c r="I418" s="23">
        <v>0</v>
      </c>
      <c r="J418" s="23" t="s">
        <v>88</v>
      </c>
      <c r="K418" s="24">
        <v>44910.019369756941</v>
      </c>
      <c r="L418" s="23">
        <v>1</v>
      </c>
      <c r="M418" s="23" t="s">
        <v>615</v>
      </c>
      <c r="N418" s="46">
        <f t="shared" si="81"/>
        <v>1</v>
      </c>
      <c r="O418" s="47">
        <f t="shared" si="82"/>
        <v>1600.35402912</v>
      </c>
      <c r="P418" s="48">
        <f t="shared" si="83"/>
        <v>1791.8438991088858</v>
      </c>
      <c r="Q418" s="25">
        <f t="shared" si="84"/>
        <v>0</v>
      </c>
      <c r="R418" s="26" t="str">
        <f t="shared" si="85"/>
        <v>COIN</v>
      </c>
      <c r="S418" s="26" t="str">
        <f t="shared" si="80"/>
        <v>LONG</v>
      </c>
      <c r="T418" s="26" t="str">
        <f t="shared" si="86"/>
        <v>COIN LONG</v>
      </c>
      <c r="U418" s="17">
        <f t="shared" si="87"/>
        <v>1791.8438991088899</v>
      </c>
      <c r="V418" s="17">
        <f t="shared" si="88"/>
        <v>1.1196546929645199</v>
      </c>
      <c r="W418" s="40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Shifted'!$AE$32:$AO$75,MATCH($R418,'Futures &amp; Perps Shifted'!$AE$30:$AO$30,0),FALSE),0),0)))</f>
        <v>0</v>
      </c>
      <c r="X418" s="17">
        <f t="shared" si="89"/>
        <v>0</v>
      </c>
      <c r="Y418" s="14" t="str">
        <f t="shared" si="90"/>
        <v>FBLK</v>
      </c>
      <c r="Z418" t="str">
        <f t="shared" si="91"/>
        <v>SUSHI COIN LONG</v>
      </c>
    </row>
    <row r="419" spans="1:26" customFormat="1" x14ac:dyDescent="0.25">
      <c r="A419" s="14">
        <v>417</v>
      </c>
      <c r="B419" s="77">
        <v>44910.019369756941</v>
      </c>
      <c r="C419" s="14" t="s">
        <v>189</v>
      </c>
      <c r="D419" s="23" t="s">
        <v>189</v>
      </c>
      <c r="E419" s="23" t="s">
        <v>162</v>
      </c>
      <c r="F419" s="23">
        <v>733.96397166999998</v>
      </c>
      <c r="G419" s="23">
        <v>4344.8006056570202</v>
      </c>
      <c r="H419" s="23">
        <v>5.9196374391119297</v>
      </c>
      <c r="I419" s="23">
        <v>0</v>
      </c>
      <c r="J419" s="23" t="s">
        <v>88</v>
      </c>
      <c r="K419" s="24">
        <v>44910.019369756941</v>
      </c>
      <c r="L419" s="23">
        <v>1</v>
      </c>
      <c r="M419" s="23" t="s">
        <v>162</v>
      </c>
      <c r="N419" s="46">
        <f t="shared" si="81"/>
        <v>1</v>
      </c>
      <c r="O419" s="47">
        <f t="shared" si="82"/>
        <v>733.96397166999998</v>
      </c>
      <c r="P419" s="48">
        <f t="shared" si="83"/>
        <v>4344.8006056570193</v>
      </c>
      <c r="Q419" s="25">
        <f t="shared" si="84"/>
        <v>0</v>
      </c>
      <c r="R419" s="26" t="str">
        <f t="shared" si="85"/>
        <v>COIN</v>
      </c>
      <c r="S419" s="26" t="str">
        <f t="shared" si="80"/>
        <v>LONG</v>
      </c>
      <c r="T419" s="26" t="str">
        <f t="shared" si="86"/>
        <v>COIN LONG</v>
      </c>
      <c r="U419" s="17">
        <f t="shared" si="87"/>
        <v>4344.8006056570202</v>
      </c>
      <c r="V419" s="17">
        <f t="shared" si="88"/>
        <v>5.9196374391119297</v>
      </c>
      <c r="W419" s="40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Shifted'!$AE$32:$AO$75,MATCH($R419,'Futures &amp; Perps Shifted'!$AE$30:$AO$30,0),FALSE),0),0)))</f>
        <v>0</v>
      </c>
      <c r="X419" s="17">
        <f t="shared" si="89"/>
        <v>0</v>
      </c>
      <c r="Y419" s="14" t="str">
        <f t="shared" si="90"/>
        <v>FBLK</v>
      </c>
      <c r="Z419" t="str">
        <f t="shared" si="91"/>
        <v>UNI COIN LONG</v>
      </c>
    </row>
    <row r="420" spans="1:26" customFormat="1" x14ac:dyDescent="0.25">
      <c r="A420" s="14">
        <v>418</v>
      </c>
      <c r="B420" s="77">
        <v>44910.019369756941</v>
      </c>
      <c r="C420" s="14" t="s">
        <v>189</v>
      </c>
      <c r="D420" s="23" t="s">
        <v>189</v>
      </c>
      <c r="E420" s="23" t="s">
        <v>95</v>
      </c>
      <c r="F420" s="23">
        <v>28895.690009999998</v>
      </c>
      <c r="G420" s="23">
        <v>28895.098379543899</v>
      </c>
      <c r="H420" s="23">
        <v>0.99997952530443501</v>
      </c>
      <c r="I420" s="23">
        <v>0</v>
      </c>
      <c r="J420" s="23" t="s">
        <v>88</v>
      </c>
      <c r="K420" s="24">
        <v>44910.019369756941</v>
      </c>
      <c r="L420" s="23">
        <v>1</v>
      </c>
      <c r="M420" s="23" t="s">
        <v>95</v>
      </c>
      <c r="N420" s="46">
        <f t="shared" si="81"/>
        <v>1</v>
      </c>
      <c r="O420" s="47">
        <f t="shared" si="82"/>
        <v>28895.690009999998</v>
      </c>
      <c r="P420" s="48">
        <f t="shared" si="83"/>
        <v>28895.098379543902</v>
      </c>
      <c r="Q420" s="25">
        <f t="shared" si="84"/>
        <v>0</v>
      </c>
      <c r="R420" s="26" t="str">
        <f t="shared" si="85"/>
        <v>COIN</v>
      </c>
      <c r="S420" s="26" t="str">
        <f t="shared" si="80"/>
        <v>LONG</v>
      </c>
      <c r="T420" s="26" t="str">
        <f t="shared" si="86"/>
        <v>COIN LONG</v>
      </c>
      <c r="U420" s="17">
        <f t="shared" si="87"/>
        <v>28895.098379543899</v>
      </c>
      <c r="V420" s="17">
        <f t="shared" si="88"/>
        <v>0.99997952530443501</v>
      </c>
      <c r="W420" s="40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Shifted'!$AE$32:$AO$75,MATCH($R420,'Futures &amp; Perps Shifted'!$AE$30:$AO$30,0),FALSE),0),0)))</f>
        <v>0</v>
      </c>
      <c r="X420" s="17">
        <f t="shared" si="89"/>
        <v>0</v>
      </c>
      <c r="Y420" s="14" t="str">
        <f t="shared" si="90"/>
        <v>FBLK</v>
      </c>
      <c r="Z420" t="str">
        <f t="shared" si="91"/>
        <v>USDC COIN LONG</v>
      </c>
    </row>
    <row r="421" spans="1:26" customFormat="1" x14ac:dyDescent="0.25">
      <c r="A421" s="14">
        <v>419</v>
      </c>
      <c r="B421" s="77">
        <v>44910.019369756941</v>
      </c>
      <c r="C421" s="14" t="s">
        <v>189</v>
      </c>
      <c r="D421" s="23" t="s">
        <v>189</v>
      </c>
      <c r="E421" s="23" t="s">
        <v>39</v>
      </c>
      <c r="F421" s="23">
        <v>4892269.848123</v>
      </c>
      <c r="G421" s="23">
        <v>4892785.5438754102</v>
      </c>
      <c r="H421" s="23">
        <v>1.0001054103245299</v>
      </c>
      <c r="I421" s="23">
        <v>0</v>
      </c>
      <c r="J421" s="23" t="s">
        <v>88</v>
      </c>
      <c r="K421" s="24">
        <v>44910.019369756941</v>
      </c>
      <c r="L421" s="23">
        <v>1</v>
      </c>
      <c r="M421" s="23" t="s">
        <v>39</v>
      </c>
      <c r="N421" s="46">
        <f t="shared" si="81"/>
        <v>1</v>
      </c>
      <c r="O421" s="47">
        <f t="shared" si="82"/>
        <v>4892269.848123</v>
      </c>
      <c r="P421" s="48">
        <f t="shared" si="83"/>
        <v>4892785.5438753786</v>
      </c>
      <c r="Q421" s="25">
        <f t="shared" si="84"/>
        <v>0</v>
      </c>
      <c r="R421" s="26" t="str">
        <f t="shared" si="85"/>
        <v>COIN</v>
      </c>
      <c r="S421" s="26" t="str">
        <f t="shared" si="80"/>
        <v>LONG</v>
      </c>
      <c r="T421" s="26" t="str">
        <f t="shared" si="86"/>
        <v>COIN LONG</v>
      </c>
      <c r="U421" s="17">
        <f t="shared" si="87"/>
        <v>4892785.5438754102</v>
      </c>
      <c r="V421" s="17">
        <f t="shared" si="88"/>
        <v>1.0001054103245299</v>
      </c>
      <c r="W421" s="40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Shifted'!$AE$32:$AO$75,MATCH($R421,'Futures &amp; Perps Shifted'!$AE$30:$AO$30,0),FALSE),0),0)))</f>
        <v>0</v>
      </c>
      <c r="X421" s="17">
        <f t="shared" si="89"/>
        <v>0</v>
      </c>
      <c r="Y421" s="14" t="str">
        <f t="shared" si="90"/>
        <v>FBLK</v>
      </c>
      <c r="Z421" t="str">
        <f t="shared" si="91"/>
        <v>USDT COIN LONG</v>
      </c>
    </row>
    <row r="422" spans="1:26" customFormat="1" x14ac:dyDescent="0.25">
      <c r="A422" s="14">
        <v>420</v>
      </c>
      <c r="B422" s="77">
        <v>44910.019369756941</v>
      </c>
      <c r="C422" s="14" t="s">
        <v>189</v>
      </c>
      <c r="D422" s="23" t="s">
        <v>189</v>
      </c>
      <c r="E422" s="23" t="s">
        <v>166</v>
      </c>
      <c r="F422" s="23">
        <v>5546.1452737</v>
      </c>
      <c r="G422" s="23">
        <v>460.40653485193297</v>
      </c>
      <c r="H422" s="23">
        <v>8.3013789241186201E-2</v>
      </c>
      <c r="I422" s="23">
        <v>0</v>
      </c>
      <c r="J422" s="23" t="s">
        <v>88</v>
      </c>
      <c r="K422" s="24">
        <v>44910.019369756941</v>
      </c>
      <c r="L422" s="23">
        <v>1</v>
      </c>
      <c r="M422" s="23" t="s">
        <v>166</v>
      </c>
      <c r="N422" s="46">
        <f t="shared" si="81"/>
        <v>1</v>
      </c>
      <c r="O422" s="47">
        <f t="shared" si="82"/>
        <v>5546.1452737</v>
      </c>
      <c r="P422" s="48">
        <f t="shared" si="83"/>
        <v>460.40653485193275</v>
      </c>
      <c r="Q422" s="25">
        <f t="shared" si="84"/>
        <v>0</v>
      </c>
      <c r="R422" s="26" t="str">
        <f t="shared" si="85"/>
        <v>COIN</v>
      </c>
      <c r="S422" s="26" t="str">
        <f t="shared" si="80"/>
        <v>LONG</v>
      </c>
      <c r="T422" s="26" t="str">
        <f t="shared" si="86"/>
        <v>COIN LONG</v>
      </c>
      <c r="U422" s="17">
        <f t="shared" si="87"/>
        <v>460.40653485193297</v>
      </c>
      <c r="V422" s="17">
        <f t="shared" si="88"/>
        <v>8.3013789241186201E-2</v>
      </c>
      <c r="W422" s="40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Shifted'!$AE$32:$AO$75,MATCH($R422,'Futures &amp; Perps Shifted'!$AE$30:$AO$30,0),FALSE),0),0)))</f>
        <v>0</v>
      </c>
      <c r="X422" s="17">
        <f t="shared" si="89"/>
        <v>0</v>
      </c>
      <c r="Y422" s="14" t="str">
        <f t="shared" si="90"/>
        <v>FBLK</v>
      </c>
      <c r="Z422" t="str">
        <f t="shared" si="91"/>
        <v>XLM COIN LONG</v>
      </c>
    </row>
    <row r="423" spans="1:26" customFormat="1" x14ac:dyDescent="0.25">
      <c r="A423" s="14">
        <v>421</v>
      </c>
      <c r="B423" s="77">
        <v>44910.019369756941</v>
      </c>
      <c r="C423" s="14" t="s">
        <v>189</v>
      </c>
      <c r="D423" s="23" t="s">
        <v>189</v>
      </c>
      <c r="E423" s="23" t="s">
        <v>102</v>
      </c>
      <c r="F423" s="23">
        <v>313.68986200000001</v>
      </c>
      <c r="G423" s="23">
        <v>121.214065804897</v>
      </c>
      <c r="H423" s="23">
        <v>0.38641371777866901</v>
      </c>
      <c r="I423" s="23">
        <v>0</v>
      </c>
      <c r="J423" s="23" t="s">
        <v>88</v>
      </c>
      <c r="K423" s="24">
        <v>44910.019369756941</v>
      </c>
      <c r="L423" s="23">
        <v>1</v>
      </c>
      <c r="M423" s="23" t="s">
        <v>102</v>
      </c>
      <c r="N423" s="46">
        <f t="shared" si="81"/>
        <v>1</v>
      </c>
      <c r="O423" s="47">
        <f t="shared" si="82"/>
        <v>313.68986200000001</v>
      </c>
      <c r="P423" s="48">
        <f t="shared" si="83"/>
        <v>121.21406580489763</v>
      </c>
      <c r="Q423" s="25">
        <f t="shared" si="84"/>
        <v>0</v>
      </c>
      <c r="R423" s="26" t="str">
        <f t="shared" si="85"/>
        <v>COIN</v>
      </c>
      <c r="S423" s="26" t="str">
        <f t="shared" si="80"/>
        <v>LONG</v>
      </c>
      <c r="T423" s="26" t="str">
        <f t="shared" si="86"/>
        <v>COIN LONG</v>
      </c>
      <c r="U423" s="17">
        <f t="shared" si="87"/>
        <v>121.214065804897</v>
      </c>
      <c r="V423" s="17">
        <f t="shared" si="88"/>
        <v>0.38641371777866901</v>
      </c>
      <c r="W423" s="40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Shifted'!$AE$32:$AO$75,MATCH($R423,'Futures &amp; Perps Shifted'!$AE$30:$AO$30,0),FALSE),0),0)))</f>
        <v>0</v>
      </c>
      <c r="X423" s="17">
        <f t="shared" si="89"/>
        <v>0</v>
      </c>
      <c r="Y423" s="14" t="str">
        <f t="shared" si="90"/>
        <v>FBLK</v>
      </c>
      <c r="Z423" t="str">
        <f t="shared" si="91"/>
        <v>XRP COIN LONG</v>
      </c>
    </row>
    <row r="424" spans="1:26" customFormat="1" x14ac:dyDescent="0.25">
      <c r="A424" s="14">
        <v>422</v>
      </c>
      <c r="B424" s="77">
        <v>44910.019369756941</v>
      </c>
      <c r="C424" s="14" t="s">
        <v>189</v>
      </c>
      <c r="D424" s="23" t="s">
        <v>189</v>
      </c>
      <c r="E424" s="23" t="s">
        <v>167</v>
      </c>
      <c r="F424" s="23">
        <v>74.496399999999994</v>
      </c>
      <c r="G424" s="23">
        <v>70.879699859790193</v>
      </c>
      <c r="H424" s="23">
        <v>0.95145134341780602</v>
      </c>
      <c r="I424" s="23">
        <v>0</v>
      </c>
      <c r="J424" s="23" t="s">
        <v>88</v>
      </c>
      <c r="K424" s="24">
        <v>44910.019369756941</v>
      </c>
      <c r="L424" s="23">
        <v>1</v>
      </c>
      <c r="M424" s="23" t="s">
        <v>167</v>
      </c>
      <c r="N424" s="46">
        <f t="shared" si="81"/>
        <v>1</v>
      </c>
      <c r="O424" s="47">
        <f t="shared" si="82"/>
        <v>74.496399999999994</v>
      </c>
      <c r="P424" s="48">
        <f t="shared" si="83"/>
        <v>70.879699859790236</v>
      </c>
      <c r="Q424" s="25">
        <f t="shared" si="84"/>
        <v>0</v>
      </c>
      <c r="R424" s="26" t="str">
        <f t="shared" si="85"/>
        <v>COIN</v>
      </c>
      <c r="S424" s="26" t="str">
        <f t="shared" si="80"/>
        <v>LONG</v>
      </c>
      <c r="T424" s="26" t="str">
        <f t="shared" si="86"/>
        <v>COIN LONG</v>
      </c>
      <c r="U424" s="17">
        <f t="shared" si="87"/>
        <v>70.879699859790193</v>
      </c>
      <c r="V424" s="17">
        <f t="shared" si="88"/>
        <v>0.95145134341780602</v>
      </c>
      <c r="W424" s="40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Shifted'!$AE$32:$AO$75,MATCH($R424,'Futures &amp; Perps Shifted'!$AE$30:$AO$30,0),FALSE),0),0)))</f>
        <v>0</v>
      </c>
      <c r="X424" s="17">
        <f t="shared" si="89"/>
        <v>0</v>
      </c>
      <c r="Y424" s="14" t="str">
        <f t="shared" si="90"/>
        <v>FBLK</v>
      </c>
      <c r="Z424" t="str">
        <f t="shared" si="91"/>
        <v>XTZ COIN LONG</v>
      </c>
    </row>
    <row r="425" spans="1:26" customFormat="1" x14ac:dyDescent="0.25">
      <c r="A425" s="14">
        <v>423</v>
      </c>
      <c r="B425" s="77">
        <v>44910.019369756941</v>
      </c>
      <c r="C425" s="14" t="s">
        <v>189</v>
      </c>
      <c r="D425" s="23" t="s">
        <v>189</v>
      </c>
      <c r="E425" s="23" t="s">
        <v>174</v>
      </c>
      <c r="F425" s="23">
        <v>1.9935830000000002E-2</v>
      </c>
      <c r="G425" s="23">
        <v>128.64154809617199</v>
      </c>
      <c r="H425" s="23">
        <v>6452.7811531384496</v>
      </c>
      <c r="I425" s="23">
        <v>0</v>
      </c>
      <c r="J425" s="23" t="s">
        <v>88</v>
      </c>
      <c r="K425" s="24">
        <v>44910.019369756941</v>
      </c>
      <c r="L425" s="23">
        <v>1</v>
      </c>
      <c r="M425" s="23" t="s">
        <v>174</v>
      </c>
      <c r="N425" s="46">
        <f t="shared" si="81"/>
        <v>1</v>
      </c>
      <c r="O425" s="47">
        <f t="shared" si="82"/>
        <v>1.9935830000000002E-2</v>
      </c>
      <c r="P425" s="48">
        <f t="shared" si="83"/>
        <v>128.6415480961721</v>
      </c>
      <c r="Q425" s="25">
        <f t="shared" si="84"/>
        <v>0</v>
      </c>
      <c r="R425" s="26" t="str">
        <f t="shared" si="85"/>
        <v>COIN</v>
      </c>
      <c r="S425" s="26" t="str">
        <f t="shared" si="80"/>
        <v>LONG</v>
      </c>
      <c r="T425" s="26" t="str">
        <f t="shared" si="86"/>
        <v>COIN LONG</v>
      </c>
      <c r="U425" s="17">
        <f t="shared" si="87"/>
        <v>128.64154809617199</v>
      </c>
      <c r="V425" s="17">
        <f t="shared" si="88"/>
        <v>6452.7811531384496</v>
      </c>
      <c r="W425" s="40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Shifted'!$AE$32:$AO$75,MATCH($R425,'Futures &amp; Perps Shifted'!$AE$30:$AO$30,0),FALSE),0),0)))</f>
        <v>0</v>
      </c>
      <c r="X425" s="17">
        <f t="shared" si="89"/>
        <v>0</v>
      </c>
      <c r="Y425" s="14" t="str">
        <f t="shared" si="90"/>
        <v>FBLK</v>
      </c>
      <c r="Z425" t="str">
        <f t="shared" si="91"/>
        <v>YFI COIN LONG</v>
      </c>
    </row>
    <row r="426" spans="1:26" customFormat="1" x14ac:dyDescent="0.25">
      <c r="A426" s="14">
        <v>424</v>
      </c>
      <c r="B426" s="77">
        <v>44910.000002928238</v>
      </c>
      <c r="C426" s="14" t="s">
        <v>11</v>
      </c>
      <c r="D426" s="23" t="s">
        <v>197</v>
      </c>
      <c r="E426" s="23" t="s">
        <v>119</v>
      </c>
      <c r="F426" s="23">
        <v>-600</v>
      </c>
      <c r="G426" s="23">
        <v>-37537.734375852298</v>
      </c>
      <c r="H426" s="23">
        <v>62.562890626420497</v>
      </c>
      <c r="I426" s="23">
        <v>0</v>
      </c>
      <c r="J426" s="23" t="s">
        <v>266</v>
      </c>
      <c r="K426" s="24">
        <v>44910.000002928238</v>
      </c>
      <c r="L426" s="23">
        <v>1</v>
      </c>
      <c r="M426" s="23" t="s">
        <v>119</v>
      </c>
      <c r="N426" s="46">
        <f t="shared" si="81"/>
        <v>1</v>
      </c>
      <c r="O426" s="47">
        <f t="shared" si="82"/>
        <v>-600</v>
      </c>
      <c r="P426" s="48">
        <f t="shared" si="83"/>
        <v>-37537.734375852298</v>
      </c>
      <c r="Q426" s="25">
        <f t="shared" si="84"/>
        <v>0</v>
      </c>
      <c r="R426" s="26" t="str">
        <f t="shared" si="85"/>
        <v>COIN</v>
      </c>
      <c r="S426" s="26" t="str">
        <f t="shared" si="80"/>
        <v>SHORT</v>
      </c>
      <c r="T426" s="26" t="str">
        <f t="shared" si="86"/>
        <v>COIN SHORT</v>
      </c>
      <c r="U426" s="17">
        <f t="shared" si="87"/>
        <v>-37537.734375852298</v>
      </c>
      <c r="V426" s="17">
        <f t="shared" si="88"/>
        <v>62.562890626420497</v>
      </c>
      <c r="W426" s="40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Shifted'!$AE$32:$AO$75,MATCH($R426,'Futures &amp; Perps Shifted'!$AE$30:$AO$30,0),FALSE),0),0)))</f>
        <v>0</v>
      </c>
      <c r="X426" s="17">
        <f t="shared" si="89"/>
        <v>0</v>
      </c>
      <c r="Y426" s="14" t="str">
        <f t="shared" si="90"/>
        <v>BINE</v>
      </c>
      <c r="Z426" t="str">
        <f t="shared" si="91"/>
        <v>AAVE COIN SHORT</v>
      </c>
    </row>
    <row r="427" spans="1:26" customFormat="1" x14ac:dyDescent="0.25">
      <c r="A427" s="14">
        <v>425</v>
      </c>
      <c r="B427" s="77">
        <v>44910.000002928238</v>
      </c>
      <c r="C427" s="14" t="s">
        <v>11</v>
      </c>
      <c r="D427" s="23" t="s">
        <v>197</v>
      </c>
      <c r="E427" s="23" t="s">
        <v>87</v>
      </c>
      <c r="F427" s="23">
        <v>-300000</v>
      </c>
      <c r="G427" s="23">
        <v>-92440.275584082498</v>
      </c>
      <c r="H427" s="23">
        <v>0.308134251946941</v>
      </c>
      <c r="I427" s="23">
        <v>0</v>
      </c>
      <c r="J427" s="23" t="s">
        <v>266</v>
      </c>
      <c r="K427" s="24">
        <v>44910.000002928238</v>
      </c>
      <c r="L427" s="23">
        <v>1</v>
      </c>
      <c r="M427" s="23" t="s">
        <v>87</v>
      </c>
      <c r="N427" s="46">
        <f t="shared" si="81"/>
        <v>1</v>
      </c>
      <c r="O427" s="47">
        <f t="shared" si="82"/>
        <v>-300000</v>
      </c>
      <c r="P427" s="48">
        <f t="shared" si="83"/>
        <v>-92440.275584082294</v>
      </c>
      <c r="Q427" s="25">
        <f t="shared" si="84"/>
        <v>0</v>
      </c>
      <c r="R427" s="26" t="str">
        <f t="shared" si="85"/>
        <v>COIN</v>
      </c>
      <c r="S427" s="26" t="str">
        <f t="shared" si="80"/>
        <v>SHORT</v>
      </c>
      <c r="T427" s="26" t="str">
        <f t="shared" si="86"/>
        <v>COIN SHORT</v>
      </c>
      <c r="U427" s="17">
        <f t="shared" si="87"/>
        <v>-92440.275584082498</v>
      </c>
      <c r="V427" s="17">
        <f t="shared" si="88"/>
        <v>0.308134251946941</v>
      </c>
      <c r="W427" s="40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Shifted'!$AE$32:$AO$75,MATCH($R427,'Futures &amp; Perps Shifted'!$AE$30:$AO$30,0),FALSE),0),0)))</f>
        <v>0</v>
      </c>
      <c r="X427" s="17">
        <f t="shared" si="89"/>
        <v>0</v>
      </c>
      <c r="Y427" s="14" t="str">
        <f t="shared" si="90"/>
        <v>BINE</v>
      </c>
      <c r="Z427" t="str">
        <f t="shared" si="91"/>
        <v>ADA COIN SHORT</v>
      </c>
    </row>
    <row r="428" spans="1:26" customFormat="1" x14ac:dyDescent="0.25">
      <c r="A428" s="14">
        <v>426</v>
      </c>
      <c r="B428" s="77">
        <v>44910.000002928238</v>
      </c>
      <c r="C428" s="14" t="s">
        <v>11</v>
      </c>
      <c r="D428" s="23" t="s">
        <v>197</v>
      </c>
      <c r="E428" s="23" t="s">
        <v>125</v>
      </c>
      <c r="F428" s="23">
        <v>-140000</v>
      </c>
      <c r="G428" s="23">
        <v>-30928.212987364099</v>
      </c>
      <c r="H428" s="23">
        <v>0.220915807052601</v>
      </c>
      <c r="I428" s="23">
        <v>0</v>
      </c>
      <c r="J428" s="23" t="s">
        <v>266</v>
      </c>
      <c r="K428" s="24">
        <v>44910.000002928238</v>
      </c>
      <c r="L428" s="23">
        <v>1</v>
      </c>
      <c r="M428" s="23" t="s">
        <v>125</v>
      </c>
      <c r="N428" s="46">
        <f t="shared" si="81"/>
        <v>1</v>
      </c>
      <c r="O428" s="47">
        <f t="shared" si="82"/>
        <v>-140000</v>
      </c>
      <c r="P428" s="48">
        <f t="shared" si="83"/>
        <v>-30928.212987364139</v>
      </c>
      <c r="Q428" s="25">
        <f t="shared" si="84"/>
        <v>0</v>
      </c>
      <c r="R428" s="26" t="str">
        <f t="shared" si="85"/>
        <v>COIN</v>
      </c>
      <c r="S428" s="26" t="str">
        <f t="shared" si="80"/>
        <v>SHORT</v>
      </c>
      <c r="T428" s="26" t="str">
        <f t="shared" si="86"/>
        <v>COIN SHORT</v>
      </c>
      <c r="U428" s="17">
        <f t="shared" si="87"/>
        <v>-30928.212987364099</v>
      </c>
      <c r="V428" s="17">
        <f t="shared" si="88"/>
        <v>0.220915807052601</v>
      </c>
      <c r="W428" s="40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Shifted'!$AE$32:$AO$75,MATCH($R428,'Futures &amp; Perps Shifted'!$AE$30:$AO$30,0),FALSE),0),0)))</f>
        <v>0</v>
      </c>
      <c r="X428" s="17">
        <f t="shared" si="89"/>
        <v>0</v>
      </c>
      <c r="Y428" s="14" t="str">
        <f t="shared" si="90"/>
        <v>BINE</v>
      </c>
      <c r="Z428" t="str">
        <f t="shared" si="91"/>
        <v>ALGO COIN SHORT</v>
      </c>
    </row>
    <row r="429" spans="1:26" customFormat="1" x14ac:dyDescent="0.25">
      <c r="A429" s="14">
        <v>427</v>
      </c>
      <c r="B429" s="77">
        <v>44910.000002928238</v>
      </c>
      <c r="C429" s="14" t="s">
        <v>11</v>
      </c>
      <c r="D429" s="23" t="s">
        <v>197</v>
      </c>
      <c r="E429" s="23" t="s">
        <v>190</v>
      </c>
      <c r="F429" s="23">
        <v>-3000</v>
      </c>
      <c r="G429" s="23">
        <v>-41182.678736759</v>
      </c>
      <c r="H429" s="23">
        <v>13.7275595789196</v>
      </c>
      <c r="I429" s="23">
        <v>0</v>
      </c>
      <c r="J429" s="23" t="s">
        <v>266</v>
      </c>
      <c r="K429" s="24">
        <v>44910.000002928238</v>
      </c>
      <c r="L429" s="23">
        <v>1</v>
      </c>
      <c r="M429" s="23" t="s">
        <v>190</v>
      </c>
      <c r="N429" s="46">
        <f t="shared" si="81"/>
        <v>1</v>
      </c>
      <c r="O429" s="47">
        <f t="shared" si="82"/>
        <v>-3000</v>
      </c>
      <c r="P429" s="48">
        <f t="shared" si="83"/>
        <v>-41182.678736758797</v>
      </c>
      <c r="Q429" s="25">
        <f t="shared" si="84"/>
        <v>0</v>
      </c>
      <c r="R429" s="26" t="str">
        <f t="shared" si="85"/>
        <v>COIN</v>
      </c>
      <c r="S429" s="26" t="str">
        <f t="shared" si="80"/>
        <v>SHORT</v>
      </c>
      <c r="T429" s="26" t="str">
        <f t="shared" si="86"/>
        <v>COIN SHORT</v>
      </c>
      <c r="U429" s="17">
        <f t="shared" si="87"/>
        <v>-41182.678736759</v>
      </c>
      <c r="V429" s="17">
        <f t="shared" si="88"/>
        <v>13.7275595789196</v>
      </c>
      <c r="W429" s="40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Shifted'!$AE$32:$AO$75,MATCH($R429,'Futures &amp; Perps Shifted'!$AE$30:$AO$30,0),FALSE),0),0)))</f>
        <v>0</v>
      </c>
      <c r="X429" s="17">
        <f t="shared" si="89"/>
        <v>0</v>
      </c>
      <c r="Y429" s="14" t="str">
        <f t="shared" si="90"/>
        <v>BINE</v>
      </c>
      <c r="Z429" t="str">
        <f t="shared" si="91"/>
        <v>AVAX COIN SHORT</v>
      </c>
    </row>
    <row r="430" spans="1:26" customFormat="1" x14ac:dyDescent="0.25">
      <c r="A430" s="14">
        <v>428</v>
      </c>
      <c r="B430" s="77">
        <v>44910.000002928238</v>
      </c>
      <c r="C430" s="14" t="s">
        <v>11</v>
      </c>
      <c r="D430" s="23" t="s">
        <v>197</v>
      </c>
      <c r="E430" s="23" t="s">
        <v>127</v>
      </c>
      <c r="F430" s="23">
        <v>-100000</v>
      </c>
      <c r="G430" s="23">
        <v>-22396.135615953099</v>
      </c>
      <c r="H430" s="23">
        <v>0.223961356159531</v>
      </c>
      <c r="I430" s="23">
        <v>0</v>
      </c>
      <c r="J430" s="23" t="s">
        <v>266</v>
      </c>
      <c r="K430" s="24">
        <v>44910.000002928238</v>
      </c>
      <c r="L430" s="23">
        <v>1</v>
      </c>
      <c r="M430" s="23" t="s">
        <v>127</v>
      </c>
      <c r="N430" s="46">
        <f t="shared" si="81"/>
        <v>1</v>
      </c>
      <c r="O430" s="47">
        <f t="shared" si="82"/>
        <v>-100000</v>
      </c>
      <c r="P430" s="48">
        <f t="shared" si="83"/>
        <v>-22396.135615953099</v>
      </c>
      <c r="Q430" s="25">
        <f t="shared" si="84"/>
        <v>0</v>
      </c>
      <c r="R430" s="26" t="str">
        <f t="shared" si="85"/>
        <v>COIN</v>
      </c>
      <c r="S430" s="26" t="str">
        <f t="shared" si="80"/>
        <v>SHORT</v>
      </c>
      <c r="T430" s="26" t="str">
        <f t="shared" si="86"/>
        <v>COIN SHORT</v>
      </c>
      <c r="U430" s="17">
        <f t="shared" si="87"/>
        <v>-22396.135615953099</v>
      </c>
      <c r="V430" s="17">
        <f t="shared" si="88"/>
        <v>0.223961356159531</v>
      </c>
      <c r="W430" s="40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Shifted'!$AE$32:$AO$75,MATCH($R430,'Futures &amp; Perps Shifted'!$AE$30:$AO$30,0),FALSE),0),0)))</f>
        <v>0</v>
      </c>
      <c r="X430" s="17">
        <f t="shared" si="89"/>
        <v>0</v>
      </c>
      <c r="Y430" s="14" t="str">
        <f t="shared" si="90"/>
        <v>BINE</v>
      </c>
      <c r="Z430" t="str">
        <f t="shared" si="91"/>
        <v>BAT COIN SHORT</v>
      </c>
    </row>
    <row r="431" spans="1:26" customFormat="1" x14ac:dyDescent="0.25">
      <c r="A431" s="14">
        <v>429</v>
      </c>
      <c r="B431" s="77">
        <v>44910.000002928238</v>
      </c>
      <c r="C431" s="14" t="s">
        <v>11</v>
      </c>
      <c r="D431" s="23" t="s">
        <v>197</v>
      </c>
      <c r="E431" s="23" t="s">
        <v>21</v>
      </c>
      <c r="F431" s="23">
        <v>-90</v>
      </c>
      <c r="G431" s="23">
        <v>-9819.7646357765607</v>
      </c>
      <c r="H431" s="23">
        <v>109.10849595307199</v>
      </c>
      <c r="I431" s="23">
        <v>0</v>
      </c>
      <c r="J431" s="23" t="s">
        <v>266</v>
      </c>
      <c r="K431" s="24">
        <v>44910.000002928238</v>
      </c>
      <c r="L431" s="23">
        <v>1</v>
      </c>
      <c r="M431" s="23" t="s">
        <v>21</v>
      </c>
      <c r="N431" s="46">
        <f t="shared" si="81"/>
        <v>1</v>
      </c>
      <c r="O431" s="47">
        <f t="shared" si="82"/>
        <v>-90</v>
      </c>
      <c r="P431" s="48">
        <f t="shared" si="83"/>
        <v>-9819.7646357764788</v>
      </c>
      <c r="Q431" s="25">
        <f t="shared" si="84"/>
        <v>0</v>
      </c>
      <c r="R431" s="26" t="str">
        <f t="shared" si="85"/>
        <v>COIN</v>
      </c>
      <c r="S431" s="26" t="str">
        <f t="shared" si="80"/>
        <v>SHORT</v>
      </c>
      <c r="T431" s="26" t="str">
        <f t="shared" si="86"/>
        <v>COIN SHORT</v>
      </c>
      <c r="U431" s="17">
        <f t="shared" si="87"/>
        <v>-9819.7646357765607</v>
      </c>
      <c r="V431" s="17">
        <f t="shared" si="88"/>
        <v>109.10849595307199</v>
      </c>
      <c r="W431" s="40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Shifted'!$AE$32:$AO$75,MATCH($R431,'Futures &amp; Perps Shifted'!$AE$30:$AO$30,0),FALSE),0),0)))</f>
        <v>0</v>
      </c>
      <c r="X431" s="17">
        <f t="shared" si="89"/>
        <v>0</v>
      </c>
      <c r="Y431" s="14" t="str">
        <f t="shared" si="90"/>
        <v>BINE</v>
      </c>
      <c r="Z431" t="str">
        <f t="shared" si="91"/>
        <v>BCH COIN SHORT</v>
      </c>
    </row>
    <row r="432" spans="1:26" customFormat="1" x14ac:dyDescent="0.25">
      <c r="A432" s="14">
        <v>430</v>
      </c>
      <c r="B432" s="77">
        <v>44910.000002928238</v>
      </c>
      <c r="C432" s="14" t="s">
        <v>11</v>
      </c>
      <c r="D432" s="23" t="s">
        <v>197</v>
      </c>
      <c r="E432" s="23" t="s">
        <v>91</v>
      </c>
      <c r="F432" s="23">
        <v>-3677799.0840893998</v>
      </c>
      <c r="G432" s="23">
        <v>-3678725.90524658</v>
      </c>
      <c r="H432" s="23">
        <v>1.0002520042927801</v>
      </c>
      <c r="I432" s="23">
        <v>0</v>
      </c>
      <c r="J432" s="23" t="s">
        <v>266</v>
      </c>
      <c r="K432" s="24">
        <v>44910.000002928238</v>
      </c>
      <c r="L432" s="23">
        <v>1</v>
      </c>
      <c r="M432" s="23" t="s">
        <v>91</v>
      </c>
      <c r="N432" s="46">
        <f t="shared" si="81"/>
        <v>1</v>
      </c>
      <c r="O432" s="47">
        <f t="shared" si="82"/>
        <v>-3677799.0840893998</v>
      </c>
      <c r="P432" s="48">
        <f t="shared" si="83"/>
        <v>-3678725.905246573</v>
      </c>
      <c r="Q432" s="25">
        <f t="shared" si="84"/>
        <v>0</v>
      </c>
      <c r="R432" s="26" t="str">
        <f t="shared" si="85"/>
        <v>COIN</v>
      </c>
      <c r="S432" s="26" t="str">
        <f t="shared" si="80"/>
        <v>SHORT</v>
      </c>
      <c r="T432" s="26" t="str">
        <f t="shared" si="86"/>
        <v>COIN SHORT</v>
      </c>
      <c r="U432" s="17">
        <f t="shared" si="87"/>
        <v>-3678725.90524658</v>
      </c>
      <c r="V432" s="17">
        <f t="shared" si="88"/>
        <v>1.0002520042927801</v>
      </c>
      <c r="W432" s="40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Shifted'!$AE$32:$AO$75,MATCH($R432,'Futures &amp; Perps Shifted'!$AE$30:$AO$30,0),FALSE),0),0)))</f>
        <v>0</v>
      </c>
      <c r="X432" s="17">
        <f t="shared" si="89"/>
        <v>0</v>
      </c>
      <c r="Y432" s="14" t="str">
        <f t="shared" si="90"/>
        <v>BINE</v>
      </c>
      <c r="Z432" t="str">
        <f t="shared" si="91"/>
        <v>BUSD COIN SHORT</v>
      </c>
    </row>
    <row r="433" spans="1:26" customFormat="1" x14ac:dyDescent="0.25">
      <c r="A433" s="14">
        <v>431</v>
      </c>
      <c r="B433" s="77">
        <v>44910.000002928238</v>
      </c>
      <c r="C433" s="14" t="s">
        <v>11</v>
      </c>
      <c r="D433" s="23" t="s">
        <v>197</v>
      </c>
      <c r="E433" s="23" t="s">
        <v>32</v>
      </c>
      <c r="F433" s="23">
        <v>-4800</v>
      </c>
      <c r="G433" s="23">
        <v>-188895.54782079899</v>
      </c>
      <c r="H433" s="23">
        <v>39.353239129333097</v>
      </c>
      <c r="I433" s="23">
        <v>0</v>
      </c>
      <c r="J433" s="23" t="s">
        <v>266</v>
      </c>
      <c r="K433" s="24">
        <v>44910.000002928238</v>
      </c>
      <c r="L433" s="23">
        <v>1</v>
      </c>
      <c r="M433" s="23" t="s">
        <v>32</v>
      </c>
      <c r="N433" s="46">
        <f t="shared" si="81"/>
        <v>1</v>
      </c>
      <c r="O433" s="47">
        <f t="shared" si="82"/>
        <v>-4800</v>
      </c>
      <c r="P433" s="48">
        <f t="shared" si="83"/>
        <v>-188895.54782079888</v>
      </c>
      <c r="Q433" s="25">
        <f t="shared" si="84"/>
        <v>0</v>
      </c>
      <c r="R433" s="26" t="str">
        <f t="shared" si="85"/>
        <v>COIN</v>
      </c>
      <c r="S433" s="26" t="str">
        <f t="shared" si="80"/>
        <v>SHORT</v>
      </c>
      <c r="T433" s="26" t="str">
        <f t="shared" si="86"/>
        <v>COIN SHORT</v>
      </c>
      <c r="U433" s="17">
        <f t="shared" si="87"/>
        <v>-188895.54782079899</v>
      </c>
      <c r="V433" s="17">
        <f t="shared" si="88"/>
        <v>39.353239129333097</v>
      </c>
      <c r="W433" s="40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Shifted'!$AE$32:$AO$75,MATCH($R433,'Futures &amp; Perps Shifted'!$AE$30:$AO$30,0),FALSE),0),0)))</f>
        <v>0</v>
      </c>
      <c r="X433" s="17">
        <f t="shared" si="89"/>
        <v>0</v>
      </c>
      <c r="Y433" s="14" t="str">
        <f t="shared" si="90"/>
        <v>BINE</v>
      </c>
      <c r="Z433" t="str">
        <f t="shared" si="91"/>
        <v>COMP COIN SHORT</v>
      </c>
    </row>
    <row r="434" spans="1:26" customFormat="1" x14ac:dyDescent="0.25">
      <c r="A434" s="14">
        <v>432</v>
      </c>
      <c r="B434" s="77">
        <v>44910.000002928238</v>
      </c>
      <c r="C434" s="14" t="s">
        <v>11</v>
      </c>
      <c r="D434" s="23" t="s">
        <v>197</v>
      </c>
      <c r="E434" s="23" t="s">
        <v>135</v>
      </c>
      <c r="F434" s="23">
        <v>-500</v>
      </c>
      <c r="G434" s="23">
        <v>-24421.793583386701</v>
      </c>
      <c r="H434" s="23">
        <v>48.843587166773403</v>
      </c>
      <c r="I434" s="23">
        <v>0</v>
      </c>
      <c r="J434" s="23" t="s">
        <v>266</v>
      </c>
      <c r="K434" s="24">
        <v>44910.000002928238</v>
      </c>
      <c r="L434" s="23">
        <v>1</v>
      </c>
      <c r="M434" s="23" t="s">
        <v>135</v>
      </c>
      <c r="N434" s="46">
        <f t="shared" si="81"/>
        <v>1</v>
      </c>
      <c r="O434" s="47">
        <f t="shared" si="82"/>
        <v>-500</v>
      </c>
      <c r="P434" s="48">
        <f t="shared" si="83"/>
        <v>-24421.793583386701</v>
      </c>
      <c r="Q434" s="25">
        <f t="shared" si="84"/>
        <v>0</v>
      </c>
      <c r="R434" s="26" t="str">
        <f t="shared" si="85"/>
        <v>COIN</v>
      </c>
      <c r="S434" s="26" t="str">
        <f t="shared" si="80"/>
        <v>SHORT</v>
      </c>
      <c r="T434" s="26" t="str">
        <f t="shared" si="86"/>
        <v>COIN SHORT</v>
      </c>
      <c r="U434" s="17">
        <f t="shared" si="87"/>
        <v>-24421.793583386701</v>
      </c>
      <c r="V434" s="17">
        <f t="shared" si="88"/>
        <v>48.843587166773403</v>
      </c>
      <c r="W434" s="40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Shifted'!$AE$32:$AO$75,MATCH($R434,'Futures &amp; Perps Shifted'!$AE$30:$AO$30,0),FALSE),0),0)))</f>
        <v>0</v>
      </c>
      <c r="X434" s="17">
        <f t="shared" si="89"/>
        <v>0</v>
      </c>
      <c r="Y434" s="14" t="str">
        <f t="shared" si="90"/>
        <v>BINE</v>
      </c>
      <c r="Z434" t="str">
        <f t="shared" si="91"/>
        <v>DASH COIN SHORT</v>
      </c>
    </row>
    <row r="435" spans="1:26" customFormat="1" x14ac:dyDescent="0.25">
      <c r="A435" s="14">
        <v>433</v>
      </c>
      <c r="B435" s="77">
        <v>44910.000002928238</v>
      </c>
      <c r="C435" s="14" t="s">
        <v>11</v>
      </c>
      <c r="D435" s="23" t="s">
        <v>197</v>
      </c>
      <c r="E435" s="23" t="s">
        <v>193</v>
      </c>
      <c r="F435" s="23">
        <v>-500000</v>
      </c>
      <c r="G435" s="23">
        <v>-44257.196356007596</v>
      </c>
      <c r="H435" s="23">
        <v>8.8514392712015305E-2</v>
      </c>
      <c r="I435" s="23">
        <v>0</v>
      </c>
      <c r="J435" s="23" t="s">
        <v>266</v>
      </c>
      <c r="K435" s="24">
        <v>44910.000002928238</v>
      </c>
      <c r="L435" s="23">
        <v>1</v>
      </c>
      <c r="M435" s="23" t="s">
        <v>193</v>
      </c>
      <c r="N435" s="46">
        <f t="shared" si="81"/>
        <v>1</v>
      </c>
      <c r="O435" s="47">
        <f t="shared" si="82"/>
        <v>-500000</v>
      </c>
      <c r="P435" s="48">
        <f t="shared" si="83"/>
        <v>-44257.196356007655</v>
      </c>
      <c r="Q435" s="25">
        <f t="shared" si="84"/>
        <v>0</v>
      </c>
      <c r="R435" s="26" t="str">
        <f t="shared" si="85"/>
        <v>COIN</v>
      </c>
      <c r="S435" s="26" t="str">
        <f t="shared" si="80"/>
        <v>SHORT</v>
      </c>
      <c r="T435" s="26" t="str">
        <f t="shared" si="86"/>
        <v>COIN SHORT</v>
      </c>
      <c r="U435" s="17">
        <f t="shared" si="87"/>
        <v>-44257.196356007596</v>
      </c>
      <c r="V435" s="17">
        <f t="shared" si="88"/>
        <v>8.8514392712015305E-2</v>
      </c>
      <c r="W435" s="40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Shifted'!$AE$32:$AO$75,MATCH($R435,'Futures &amp; Perps Shifted'!$AE$30:$AO$30,0),FALSE),0),0)))</f>
        <v>0</v>
      </c>
      <c r="X435" s="17">
        <f t="shared" si="89"/>
        <v>0</v>
      </c>
      <c r="Y435" s="14" t="str">
        <f t="shared" si="90"/>
        <v>BINE</v>
      </c>
      <c r="Z435" t="str">
        <f t="shared" si="91"/>
        <v>DOGE COIN SHORT</v>
      </c>
    </row>
    <row r="436" spans="1:26" customFormat="1" x14ac:dyDescent="0.25">
      <c r="A436" s="14">
        <v>434</v>
      </c>
      <c r="B436" s="77">
        <v>44910.000002928238</v>
      </c>
      <c r="C436" s="14" t="s">
        <v>11</v>
      </c>
      <c r="D436" s="23" t="s">
        <v>197</v>
      </c>
      <c r="E436" s="23" t="s">
        <v>23</v>
      </c>
      <c r="F436" s="23">
        <v>-5000</v>
      </c>
      <c r="G436" s="23">
        <v>-26076.048754827101</v>
      </c>
      <c r="H436" s="23">
        <v>5.21520975096543</v>
      </c>
      <c r="I436" s="23">
        <v>0</v>
      </c>
      <c r="J436" s="23" t="s">
        <v>266</v>
      </c>
      <c r="K436" s="24">
        <v>44910.000002928238</v>
      </c>
      <c r="L436" s="23">
        <v>1</v>
      </c>
      <c r="M436" s="23" t="s">
        <v>23</v>
      </c>
      <c r="N436" s="46">
        <f t="shared" si="81"/>
        <v>1</v>
      </c>
      <c r="O436" s="47">
        <f t="shared" si="82"/>
        <v>-5000</v>
      </c>
      <c r="P436" s="48">
        <f t="shared" si="83"/>
        <v>-26076.048754827149</v>
      </c>
      <c r="Q436" s="25">
        <f t="shared" si="84"/>
        <v>0</v>
      </c>
      <c r="R436" s="26" t="str">
        <f t="shared" si="85"/>
        <v>COIN</v>
      </c>
      <c r="S436" s="26" t="str">
        <f t="shared" si="80"/>
        <v>SHORT</v>
      </c>
      <c r="T436" s="26" t="str">
        <f t="shared" si="86"/>
        <v>COIN SHORT</v>
      </c>
      <c r="U436" s="17">
        <f t="shared" si="87"/>
        <v>-26076.048754827101</v>
      </c>
      <c r="V436" s="17">
        <f t="shared" si="88"/>
        <v>5.21520975096543</v>
      </c>
      <c r="W436" s="40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Shifted'!$AE$32:$AO$75,MATCH($R436,'Futures &amp; Perps Shifted'!$AE$30:$AO$30,0),FALSE),0),0)))</f>
        <v>0</v>
      </c>
      <c r="X436" s="17">
        <f t="shared" si="89"/>
        <v>0</v>
      </c>
      <c r="Y436" s="14" t="str">
        <f t="shared" si="90"/>
        <v>BINE</v>
      </c>
      <c r="Z436" t="str">
        <f t="shared" si="91"/>
        <v>DOT COIN SHORT</v>
      </c>
    </row>
    <row r="437" spans="1:26" customFormat="1" x14ac:dyDescent="0.25">
      <c r="A437" s="14">
        <v>435</v>
      </c>
      <c r="B437" s="77">
        <v>44910.000002928238</v>
      </c>
      <c r="C437" s="14" t="s">
        <v>11</v>
      </c>
      <c r="D437" s="23" t="s">
        <v>197</v>
      </c>
      <c r="E437" s="23" t="s">
        <v>29</v>
      </c>
      <c r="F437" s="23">
        <v>-30000</v>
      </c>
      <c r="G437" s="23">
        <v>-9007.9206163302297</v>
      </c>
      <c r="H437" s="23">
        <v>0.30026402054434098</v>
      </c>
      <c r="I437" s="23">
        <v>0</v>
      </c>
      <c r="J437" s="23" t="s">
        <v>266</v>
      </c>
      <c r="K437" s="24">
        <v>44910.000002928238</v>
      </c>
      <c r="L437" s="23">
        <v>1</v>
      </c>
      <c r="M437" s="23" t="s">
        <v>29</v>
      </c>
      <c r="N437" s="46">
        <f t="shared" si="81"/>
        <v>1</v>
      </c>
      <c r="O437" s="47">
        <f t="shared" si="82"/>
        <v>-30000</v>
      </c>
      <c r="P437" s="48">
        <f t="shared" si="83"/>
        <v>-9007.9206163302297</v>
      </c>
      <c r="Q437" s="25">
        <f t="shared" si="84"/>
        <v>0</v>
      </c>
      <c r="R437" s="26" t="str">
        <f t="shared" si="85"/>
        <v>COIN</v>
      </c>
      <c r="S437" s="26" t="str">
        <f t="shared" si="80"/>
        <v>SHORT</v>
      </c>
      <c r="T437" s="26" t="str">
        <f t="shared" si="86"/>
        <v>COIN SHORT</v>
      </c>
      <c r="U437" s="17">
        <f t="shared" si="87"/>
        <v>-9007.9206163302297</v>
      </c>
      <c r="V437" s="17">
        <f t="shared" si="88"/>
        <v>0.30026402054434098</v>
      </c>
      <c r="W437" s="40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Shifted'!$AE$32:$AO$75,MATCH($R437,'Futures &amp; Perps Shifted'!$AE$30:$AO$30,0),FALSE),0),0)))</f>
        <v>0</v>
      </c>
      <c r="X437" s="17">
        <f t="shared" si="89"/>
        <v>0</v>
      </c>
      <c r="Y437" s="14" t="str">
        <f t="shared" si="90"/>
        <v>BINE</v>
      </c>
      <c r="Z437" t="str">
        <f t="shared" si="91"/>
        <v>ENJ COIN SHORT</v>
      </c>
    </row>
    <row r="438" spans="1:26" customFormat="1" x14ac:dyDescent="0.25">
      <c r="A438" s="14">
        <v>436</v>
      </c>
      <c r="B438" s="77">
        <v>44910.000002928238</v>
      </c>
      <c r="C438" s="14" t="s">
        <v>11</v>
      </c>
      <c r="D438" s="23" t="s">
        <v>197</v>
      </c>
      <c r="E438" s="23" t="s">
        <v>194</v>
      </c>
      <c r="F438" s="23">
        <v>-150000</v>
      </c>
      <c r="G438" s="23">
        <v>-36092.905766112402</v>
      </c>
      <c r="H438" s="23">
        <v>0.24061937177408299</v>
      </c>
      <c r="I438" s="23">
        <v>0</v>
      </c>
      <c r="J438" s="23" t="s">
        <v>266</v>
      </c>
      <c r="K438" s="24">
        <v>44910.000002928238</v>
      </c>
      <c r="L438" s="23">
        <v>1</v>
      </c>
      <c r="M438" s="23" t="s">
        <v>194</v>
      </c>
      <c r="N438" s="46">
        <f t="shared" si="81"/>
        <v>1</v>
      </c>
      <c r="O438" s="47">
        <f t="shared" si="82"/>
        <v>-150000</v>
      </c>
      <c r="P438" s="48">
        <f t="shared" si="83"/>
        <v>-36092.905766112446</v>
      </c>
      <c r="Q438" s="25">
        <f t="shared" si="84"/>
        <v>0</v>
      </c>
      <c r="R438" s="26" t="str">
        <f t="shared" si="85"/>
        <v>COIN</v>
      </c>
      <c r="S438" s="26" t="str">
        <f t="shared" si="80"/>
        <v>SHORT</v>
      </c>
      <c r="T438" s="26" t="str">
        <f t="shared" si="86"/>
        <v>COIN SHORT</v>
      </c>
      <c r="U438" s="17">
        <f t="shared" si="87"/>
        <v>-36092.905766112402</v>
      </c>
      <c r="V438" s="17">
        <f t="shared" si="88"/>
        <v>0.24061937177408299</v>
      </c>
      <c r="W438" s="40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Shifted'!$AE$32:$AO$75,MATCH($R438,'Futures &amp; Perps Shifted'!$AE$30:$AO$30,0),FALSE),0),0)))</f>
        <v>0</v>
      </c>
      <c r="X438" s="17">
        <f t="shared" si="89"/>
        <v>0</v>
      </c>
      <c r="Y438" s="14" t="str">
        <f t="shared" si="90"/>
        <v>BINE</v>
      </c>
      <c r="Z438" t="str">
        <f t="shared" si="91"/>
        <v>FTM COIN SHORT</v>
      </c>
    </row>
    <row r="439" spans="1:26" customFormat="1" x14ac:dyDescent="0.25">
      <c r="A439" s="14">
        <v>437</v>
      </c>
      <c r="B439" s="77">
        <v>44910.000002928238</v>
      </c>
      <c r="C439" s="14" t="s">
        <v>11</v>
      </c>
      <c r="D439" s="23" t="s">
        <v>197</v>
      </c>
      <c r="E439" s="23" t="s">
        <v>635</v>
      </c>
      <c r="F439" s="23">
        <v>-240000</v>
      </c>
      <c r="G439" s="23">
        <v>-15770.861496121001</v>
      </c>
      <c r="H439" s="23">
        <v>6.5711922900504302E-2</v>
      </c>
      <c r="I439" s="23">
        <v>0</v>
      </c>
      <c r="J439" s="23" t="s">
        <v>266</v>
      </c>
      <c r="K439" s="24">
        <v>44910.000002928238</v>
      </c>
      <c r="L439" s="23">
        <v>1</v>
      </c>
      <c r="M439" s="23" t="s">
        <v>635</v>
      </c>
      <c r="N439" s="46">
        <f t="shared" si="81"/>
        <v>1</v>
      </c>
      <c r="O439" s="47">
        <f t="shared" si="82"/>
        <v>-240000</v>
      </c>
      <c r="P439" s="48">
        <f t="shared" si="83"/>
        <v>-15770.861496121033</v>
      </c>
      <c r="Q439" s="25">
        <f t="shared" si="84"/>
        <v>0</v>
      </c>
      <c r="R439" s="26" t="str">
        <f t="shared" si="85"/>
        <v>COIN</v>
      </c>
      <c r="S439" s="26" t="str">
        <f t="shared" si="80"/>
        <v>SHORT</v>
      </c>
      <c r="T439" s="26" t="str">
        <f t="shared" si="86"/>
        <v>COIN SHORT</v>
      </c>
      <c r="U439" s="17">
        <f t="shared" si="87"/>
        <v>-15770.861496121001</v>
      </c>
      <c r="V439" s="17">
        <f t="shared" si="88"/>
        <v>6.5711922900504302E-2</v>
      </c>
      <c r="W439" s="40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Shifted'!$AE$32:$AO$75,MATCH($R439,'Futures &amp; Perps Shifted'!$AE$30:$AO$30,0),FALSE),0),0)))</f>
        <v>0</v>
      </c>
      <c r="X439" s="17">
        <f t="shared" si="89"/>
        <v>0</v>
      </c>
      <c r="Y439" s="14" t="str">
        <f t="shared" si="90"/>
        <v>BINE</v>
      </c>
      <c r="Z439" t="str">
        <f t="shared" si="91"/>
        <v>GRT COIN SHORT</v>
      </c>
    </row>
    <row r="440" spans="1:26" customFormat="1" x14ac:dyDescent="0.25">
      <c r="A440" s="14">
        <v>438</v>
      </c>
      <c r="B440" s="77">
        <v>44910.000002928238</v>
      </c>
      <c r="C440" s="14" t="s">
        <v>11</v>
      </c>
      <c r="D440" s="23" t="s">
        <v>197</v>
      </c>
      <c r="E440" s="23" t="s">
        <v>138</v>
      </c>
      <c r="F440" s="23">
        <v>-628800</v>
      </c>
      <c r="G440" s="23">
        <v>-29351.6734593006</v>
      </c>
      <c r="H440" s="23">
        <v>4.6678870005249097E-2</v>
      </c>
      <c r="I440" s="23">
        <v>0</v>
      </c>
      <c r="J440" s="23" t="s">
        <v>266</v>
      </c>
      <c r="K440" s="24">
        <v>44910.000002928238</v>
      </c>
      <c r="L440" s="23">
        <v>1</v>
      </c>
      <c r="M440" s="23" t="s">
        <v>138</v>
      </c>
      <c r="N440" s="46">
        <f t="shared" si="81"/>
        <v>1</v>
      </c>
      <c r="O440" s="47">
        <f t="shared" si="82"/>
        <v>-628800</v>
      </c>
      <c r="P440" s="48">
        <f t="shared" si="83"/>
        <v>-29351.673459300633</v>
      </c>
      <c r="Q440" s="25">
        <f t="shared" si="84"/>
        <v>0</v>
      </c>
      <c r="R440" s="26" t="str">
        <f t="shared" si="85"/>
        <v>COIN</v>
      </c>
      <c r="S440" s="26" t="str">
        <f t="shared" si="80"/>
        <v>SHORT</v>
      </c>
      <c r="T440" s="26" t="str">
        <f t="shared" si="86"/>
        <v>COIN SHORT</v>
      </c>
      <c r="U440" s="17">
        <f t="shared" si="87"/>
        <v>-29351.6734593006</v>
      </c>
      <c r="V440" s="17">
        <f t="shared" si="88"/>
        <v>4.6678870005249097E-2</v>
      </c>
      <c r="W440" s="40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Shifted'!$AE$32:$AO$75,MATCH($R440,'Futures &amp; Perps Shifted'!$AE$30:$AO$30,0),FALSE),0),0)))</f>
        <v>0</v>
      </c>
      <c r="X440" s="17">
        <f t="shared" si="89"/>
        <v>0</v>
      </c>
      <c r="Y440" s="14" t="str">
        <f t="shared" si="90"/>
        <v>BINE</v>
      </c>
      <c r="Z440" t="str">
        <f t="shared" si="91"/>
        <v>HBAR COIN SHORT</v>
      </c>
    </row>
    <row r="441" spans="1:26" customFormat="1" x14ac:dyDescent="0.25">
      <c r="A441" s="14">
        <v>439</v>
      </c>
      <c r="B441" s="77">
        <v>44910.000002928238</v>
      </c>
      <c r="C441" s="14" t="s">
        <v>11</v>
      </c>
      <c r="D441" s="23" t="s">
        <v>197</v>
      </c>
      <c r="E441" s="23" t="s">
        <v>28</v>
      </c>
      <c r="F441" s="23">
        <v>-12506.5</v>
      </c>
      <c r="G441" s="23">
        <v>-84154.088102276102</v>
      </c>
      <c r="H441" s="23">
        <v>6.72882805759214</v>
      </c>
      <c r="I441" s="23">
        <v>0</v>
      </c>
      <c r="J441" s="23" t="s">
        <v>266</v>
      </c>
      <c r="K441" s="24">
        <v>44910.000002928238</v>
      </c>
      <c r="L441" s="23">
        <v>1</v>
      </c>
      <c r="M441" s="23" t="s">
        <v>28</v>
      </c>
      <c r="N441" s="46">
        <f t="shared" si="81"/>
        <v>1</v>
      </c>
      <c r="O441" s="47">
        <f t="shared" si="82"/>
        <v>-12506.5</v>
      </c>
      <c r="P441" s="48">
        <f t="shared" si="83"/>
        <v>-84154.088102276102</v>
      </c>
      <c r="Q441" s="25">
        <f t="shared" si="84"/>
        <v>0</v>
      </c>
      <c r="R441" s="26" t="str">
        <f t="shared" si="85"/>
        <v>COIN</v>
      </c>
      <c r="S441" s="26" t="str">
        <f t="shared" ref="S441:S504" si="92">IF($C441="","",IF($J441="CME FUTURE",IF($G441&gt;0,"LONG","SHORT"),IF($G441&gt;0,"LONG","SHORT")))</f>
        <v>SHORT</v>
      </c>
      <c r="T441" s="26" t="str">
        <f t="shared" si="86"/>
        <v>COIN SHORT</v>
      </c>
      <c r="U441" s="17">
        <f t="shared" si="87"/>
        <v>-84154.088102276102</v>
      </c>
      <c r="V441" s="17">
        <f t="shared" si="88"/>
        <v>6.72882805759214</v>
      </c>
      <c r="W441" s="40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Shifted'!$AE$32:$AO$75,MATCH($R441,'Futures &amp; Perps Shifted'!$AE$30:$AO$30,0),FALSE),0),0)))</f>
        <v>0</v>
      </c>
      <c r="X441" s="17">
        <f t="shared" si="89"/>
        <v>0</v>
      </c>
      <c r="Y441" s="14" t="str">
        <f t="shared" si="90"/>
        <v>BINE</v>
      </c>
      <c r="Z441" t="str">
        <f t="shared" si="91"/>
        <v>LINK COIN SHORT</v>
      </c>
    </row>
    <row r="442" spans="1:26" customFormat="1" x14ac:dyDescent="0.25">
      <c r="A442" s="14">
        <v>440</v>
      </c>
      <c r="B442" s="77">
        <v>44910.000002928238</v>
      </c>
      <c r="C442" s="14" t="s">
        <v>11</v>
      </c>
      <c r="D442" s="23" t="s">
        <v>197</v>
      </c>
      <c r="E442" s="23" t="s">
        <v>25</v>
      </c>
      <c r="F442" s="23">
        <v>-928.62699999999995</v>
      </c>
      <c r="G442" s="23">
        <v>-70088.924830119402</v>
      </c>
      <c r="H442" s="23">
        <v>75.475863646134997</v>
      </c>
      <c r="I442" s="23">
        <v>0</v>
      </c>
      <c r="J442" s="23" t="s">
        <v>266</v>
      </c>
      <c r="K442" s="24">
        <v>44910.000002928238</v>
      </c>
      <c r="L442" s="23">
        <v>1</v>
      </c>
      <c r="M442" s="23" t="s">
        <v>25</v>
      </c>
      <c r="N442" s="46">
        <f t="shared" si="81"/>
        <v>1</v>
      </c>
      <c r="O442" s="47">
        <f t="shared" si="82"/>
        <v>-928.62699999999995</v>
      </c>
      <c r="P442" s="48">
        <f t="shared" si="83"/>
        <v>-70088.924830119402</v>
      </c>
      <c r="Q442" s="25">
        <f t="shared" si="84"/>
        <v>0</v>
      </c>
      <c r="R442" s="26" t="str">
        <f t="shared" si="85"/>
        <v>COIN</v>
      </c>
      <c r="S442" s="26" t="str">
        <f t="shared" si="92"/>
        <v>SHORT</v>
      </c>
      <c r="T442" s="26" t="str">
        <f t="shared" si="86"/>
        <v>COIN SHORT</v>
      </c>
      <c r="U442" s="17">
        <f t="shared" si="87"/>
        <v>-70088.924830119402</v>
      </c>
      <c r="V442" s="17">
        <f t="shared" si="88"/>
        <v>75.475863646134997</v>
      </c>
      <c r="W442" s="40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Shifted'!$AE$32:$AO$75,MATCH($R442,'Futures &amp; Perps Shifted'!$AE$30:$AO$30,0),FALSE),0),0)))</f>
        <v>0</v>
      </c>
      <c r="X442" s="17">
        <f t="shared" si="89"/>
        <v>0</v>
      </c>
      <c r="Y442" s="14" t="str">
        <f t="shared" si="90"/>
        <v>BINE</v>
      </c>
      <c r="Z442" t="str">
        <f t="shared" si="91"/>
        <v>LTC COIN SHORT</v>
      </c>
    </row>
    <row r="443" spans="1:26" customFormat="1" x14ac:dyDescent="0.25">
      <c r="A443" s="14">
        <v>441</v>
      </c>
      <c r="B443" s="77">
        <v>44910.000002928238</v>
      </c>
      <c r="C443" s="14" t="s">
        <v>11</v>
      </c>
      <c r="D443" s="23" t="s">
        <v>197</v>
      </c>
      <c r="E443" s="23" t="s">
        <v>195</v>
      </c>
      <c r="F443" s="23">
        <v>-45000</v>
      </c>
      <c r="G443" s="23">
        <v>-17183.717802038602</v>
      </c>
      <c r="H443" s="23">
        <v>0.38186039560085799</v>
      </c>
      <c r="I443" s="23">
        <v>0</v>
      </c>
      <c r="J443" s="23" t="s">
        <v>266</v>
      </c>
      <c r="K443" s="24">
        <v>44910.000002928238</v>
      </c>
      <c r="L443" s="23">
        <v>1</v>
      </c>
      <c r="M443" s="23" t="s">
        <v>195</v>
      </c>
      <c r="N443" s="46">
        <f t="shared" ref="N443:N506" si="93">IF($C443="","",IF(OR($J443="SWAP",$J443="FUTURE",$J443="CME FUTURE"),IF($L443=1,ROUND($G443/$H443/$F443,3),POWER(10,ROUND(LOG($G443/$F443),1))),1))</f>
        <v>1</v>
      </c>
      <c r="O443" s="47">
        <f t="shared" si="82"/>
        <v>-45000</v>
      </c>
      <c r="P443" s="48">
        <f t="shared" si="83"/>
        <v>-17183.717802038609</v>
      </c>
      <c r="Q443" s="25">
        <f t="shared" si="84"/>
        <v>0</v>
      </c>
      <c r="R443" s="26" t="str">
        <f t="shared" si="85"/>
        <v>COIN</v>
      </c>
      <c r="S443" s="26" t="str">
        <f t="shared" si="92"/>
        <v>SHORT</v>
      </c>
      <c r="T443" s="26" t="str">
        <f t="shared" si="86"/>
        <v>COIN SHORT</v>
      </c>
      <c r="U443" s="17">
        <f t="shared" si="87"/>
        <v>-17183.717802038602</v>
      </c>
      <c r="V443" s="17">
        <f t="shared" si="88"/>
        <v>0.38186039560085799</v>
      </c>
      <c r="W443" s="40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Shifted'!$AE$32:$AO$75,MATCH($R443,'Futures &amp; Perps Shifted'!$AE$30:$AO$30,0),FALSE),0),0)))</f>
        <v>0</v>
      </c>
      <c r="X443" s="17">
        <f t="shared" si="89"/>
        <v>0</v>
      </c>
      <c r="Y443" s="14" t="str">
        <f t="shared" si="90"/>
        <v>BINE</v>
      </c>
      <c r="Z443" t="str">
        <f t="shared" si="91"/>
        <v>MANA COIN SHORT</v>
      </c>
    </row>
    <row r="444" spans="1:26" customFormat="1" x14ac:dyDescent="0.25">
      <c r="A444" s="14">
        <v>442</v>
      </c>
      <c r="B444" s="77">
        <v>44910.000002928238</v>
      </c>
      <c r="C444" s="14" t="s">
        <v>11</v>
      </c>
      <c r="D444" s="23" t="s">
        <v>197</v>
      </c>
      <c r="E444" s="23" t="s">
        <v>196</v>
      </c>
      <c r="F444" s="23">
        <v>-50000</v>
      </c>
      <c r="G444" s="23">
        <v>-45167.367687621998</v>
      </c>
      <c r="H444" s="23">
        <v>0.90334735375244002</v>
      </c>
      <c r="I444" s="23">
        <v>0</v>
      </c>
      <c r="J444" s="23" t="s">
        <v>266</v>
      </c>
      <c r="K444" s="24">
        <v>44910.000002928238</v>
      </c>
      <c r="L444" s="23">
        <v>1</v>
      </c>
      <c r="M444" s="23" t="s">
        <v>196</v>
      </c>
      <c r="N444" s="46">
        <f t="shared" si="93"/>
        <v>1</v>
      </c>
      <c r="O444" s="47">
        <f t="shared" ref="O444:O507" si="94">IF($C444="","",IF(OR($J444="SWAP",$J444="FUTURE",$J444="CME FUTURE"),IF($L444=1,$F444*$N444,$AA$2*$F444*$N444/$H444),F444))</f>
        <v>-50000</v>
      </c>
      <c r="P444" s="48">
        <f t="shared" si="83"/>
        <v>-45167.367687621998</v>
      </c>
      <c r="Q444" s="25">
        <f t="shared" si="84"/>
        <v>0</v>
      </c>
      <c r="R444" s="26" t="str">
        <f t="shared" si="85"/>
        <v>COIN</v>
      </c>
      <c r="S444" s="26" t="str">
        <f t="shared" si="92"/>
        <v>SHORT</v>
      </c>
      <c r="T444" s="26" t="str">
        <f t="shared" si="86"/>
        <v>COIN SHORT</v>
      </c>
      <c r="U444" s="17">
        <f t="shared" si="87"/>
        <v>-45167.367687621998</v>
      </c>
      <c r="V444" s="17">
        <f t="shared" si="88"/>
        <v>0.90334735375244002</v>
      </c>
      <c r="W444" s="40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Shifted'!$AE$32:$AO$75,MATCH($R444,'Futures &amp; Perps Shifted'!$AE$30:$AO$30,0),FALSE),0),0)))</f>
        <v>0</v>
      </c>
      <c r="X444" s="17">
        <f t="shared" si="89"/>
        <v>0</v>
      </c>
      <c r="Y444" s="14" t="str">
        <f t="shared" si="90"/>
        <v>BINE</v>
      </c>
      <c r="Z444" t="str">
        <f t="shared" si="91"/>
        <v>MATIC COIN SHORT</v>
      </c>
    </row>
    <row r="445" spans="1:26" customFormat="1" x14ac:dyDescent="0.25">
      <c r="A445" s="14">
        <v>443</v>
      </c>
      <c r="B445" s="77">
        <v>44910.000002928238</v>
      </c>
      <c r="C445" s="14" t="s">
        <v>11</v>
      </c>
      <c r="D445" s="23" t="s">
        <v>197</v>
      </c>
      <c r="E445" s="23" t="s">
        <v>567</v>
      </c>
      <c r="F445" s="23">
        <v>-14</v>
      </c>
      <c r="G445" s="23">
        <v>-8486.2073672032893</v>
      </c>
      <c r="H445" s="23">
        <v>606.15766908594901</v>
      </c>
      <c r="I445" s="23">
        <v>0</v>
      </c>
      <c r="J445" s="23" t="s">
        <v>266</v>
      </c>
      <c r="K445" s="24">
        <v>44910.000002928238</v>
      </c>
      <c r="L445" s="23">
        <v>1</v>
      </c>
      <c r="M445" s="23" t="s">
        <v>567</v>
      </c>
      <c r="N445" s="46">
        <f t="shared" si="93"/>
        <v>1</v>
      </c>
      <c r="O445" s="47">
        <f t="shared" si="94"/>
        <v>-14</v>
      </c>
      <c r="P445" s="48">
        <f t="shared" si="83"/>
        <v>-8486.2073672032857</v>
      </c>
      <c r="Q445" s="25">
        <f t="shared" si="84"/>
        <v>0</v>
      </c>
      <c r="R445" s="26" t="str">
        <f t="shared" si="85"/>
        <v>COIN</v>
      </c>
      <c r="S445" s="26" t="str">
        <f t="shared" si="92"/>
        <v>SHORT</v>
      </c>
      <c r="T445" s="26" t="str">
        <f t="shared" si="86"/>
        <v>COIN SHORT</v>
      </c>
      <c r="U445" s="17">
        <f t="shared" si="87"/>
        <v>-8486.2073672032893</v>
      </c>
      <c r="V445" s="17">
        <f t="shared" si="88"/>
        <v>606.15766908594901</v>
      </c>
      <c r="W445" s="40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Shifted'!$AE$32:$AO$75,MATCH($R445,'Futures &amp; Perps Shifted'!$AE$30:$AO$30,0),FALSE),0),0)))</f>
        <v>0</v>
      </c>
      <c r="X445" s="17">
        <f t="shared" si="89"/>
        <v>0</v>
      </c>
      <c r="Y445" s="14" t="str">
        <f t="shared" si="90"/>
        <v>BINE</v>
      </c>
      <c r="Z445" t="str">
        <f t="shared" si="91"/>
        <v>MKR COIN SHORT</v>
      </c>
    </row>
    <row r="446" spans="1:26" customFormat="1" x14ac:dyDescent="0.25">
      <c r="A446" s="14">
        <v>444</v>
      </c>
      <c r="B446" s="77">
        <v>44908.142159340277</v>
      </c>
      <c r="C446" s="14" t="s">
        <v>11</v>
      </c>
      <c r="D446" s="23" t="s">
        <v>197</v>
      </c>
      <c r="E446" s="23" t="s">
        <v>153</v>
      </c>
      <c r="F446" s="23">
        <v>-290.39999999999998</v>
      </c>
      <c r="G446" s="23">
        <v>-342.039662051108</v>
      </c>
      <c r="H446" s="23">
        <v>1.1778225277242</v>
      </c>
      <c r="I446" s="23">
        <v>0</v>
      </c>
      <c r="J446" s="23" t="s">
        <v>266</v>
      </c>
      <c r="K446" s="24">
        <v>44908.142159340277</v>
      </c>
      <c r="L446" s="23">
        <v>1</v>
      </c>
      <c r="M446" s="23" t="s">
        <v>153</v>
      </c>
      <c r="N446" s="46">
        <f t="shared" si="93"/>
        <v>1</v>
      </c>
      <c r="O446" s="47">
        <f t="shared" si="94"/>
        <v>-290.39999999999998</v>
      </c>
      <c r="P446" s="48">
        <f t="shared" si="83"/>
        <v>-342.03966205110765</v>
      </c>
      <c r="Q446" s="25">
        <f t="shared" si="84"/>
        <v>0</v>
      </c>
      <c r="R446" s="26" t="str">
        <f t="shared" si="85"/>
        <v>COIN</v>
      </c>
      <c r="S446" s="26" t="str">
        <f t="shared" si="92"/>
        <v>SHORT</v>
      </c>
      <c r="T446" s="26" t="str">
        <f t="shared" si="86"/>
        <v>COIN SHORT</v>
      </c>
      <c r="U446" s="17">
        <f t="shared" si="87"/>
        <v>-342.039662051108</v>
      </c>
      <c r="V446" s="17">
        <f t="shared" si="88"/>
        <v>1.1778225277242</v>
      </c>
      <c r="W446" s="40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Shifted'!$AE$32:$AO$75,MATCH($R446,'Futures &amp; Perps Shifted'!$AE$30:$AO$30,0),FALSE),0),0)))</f>
        <v>0</v>
      </c>
      <c r="X446" s="17">
        <f t="shared" si="89"/>
        <v>0</v>
      </c>
      <c r="Y446" s="14" t="str">
        <f t="shared" si="90"/>
        <v>BINE</v>
      </c>
      <c r="Z446" t="str">
        <f t="shared" si="91"/>
        <v>OMG COIN SHORT</v>
      </c>
    </row>
    <row r="447" spans="1:26" customFormat="1" x14ac:dyDescent="0.25">
      <c r="A447" s="14">
        <v>445</v>
      </c>
      <c r="B447" s="77">
        <v>44910.000002928238</v>
      </c>
      <c r="C447" s="14" t="s">
        <v>11</v>
      </c>
      <c r="D447" s="23" t="s">
        <v>197</v>
      </c>
      <c r="E447" s="23" t="s">
        <v>38</v>
      </c>
      <c r="F447" s="23">
        <v>-6000000000</v>
      </c>
      <c r="G447" s="23">
        <v>-53836.537023349498</v>
      </c>
      <c r="H447" s="23">
        <v>8.9727561705582505E-6</v>
      </c>
      <c r="I447" s="23">
        <v>0</v>
      </c>
      <c r="J447" s="23" t="s">
        <v>266</v>
      </c>
      <c r="K447" s="24">
        <v>44910.000002928238</v>
      </c>
      <c r="L447" s="23">
        <v>1</v>
      </c>
      <c r="M447" s="23" t="s">
        <v>38</v>
      </c>
      <c r="N447" s="46">
        <f t="shared" si="93"/>
        <v>1</v>
      </c>
      <c r="O447" s="47">
        <f t="shared" si="94"/>
        <v>-6000000000</v>
      </c>
      <c r="P447" s="48">
        <f t="shared" si="83"/>
        <v>-53836.537023349505</v>
      </c>
      <c r="Q447" s="25">
        <f t="shared" si="84"/>
        <v>0</v>
      </c>
      <c r="R447" s="26" t="str">
        <f t="shared" si="85"/>
        <v>COIN</v>
      </c>
      <c r="S447" s="26" t="str">
        <f t="shared" si="92"/>
        <v>SHORT</v>
      </c>
      <c r="T447" s="26" t="str">
        <f t="shared" si="86"/>
        <v>COIN SHORT</v>
      </c>
      <c r="U447" s="17">
        <f t="shared" si="87"/>
        <v>-53836.537023349498</v>
      </c>
      <c r="V447" s="17">
        <f t="shared" si="88"/>
        <v>8.9727561705582505E-6</v>
      </c>
      <c r="W447" s="40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Shifted'!$AE$32:$AO$75,MATCH($R447,'Futures &amp; Perps Shifted'!$AE$30:$AO$30,0),FALSE),0),0)))</f>
        <v>0</v>
      </c>
      <c r="X447" s="17">
        <f t="shared" si="89"/>
        <v>0</v>
      </c>
      <c r="Y447" s="14" t="str">
        <f t="shared" si="90"/>
        <v>BINE</v>
      </c>
      <c r="Z447" t="str">
        <f t="shared" si="91"/>
        <v>SHIB COIN SHORT</v>
      </c>
    </row>
    <row r="448" spans="1:26" customFormat="1" x14ac:dyDescent="0.25">
      <c r="A448" s="14">
        <v>446</v>
      </c>
      <c r="B448" s="77">
        <v>44910.000002928238</v>
      </c>
      <c r="C448" s="14" t="s">
        <v>11</v>
      </c>
      <c r="D448" s="23" t="s">
        <v>197</v>
      </c>
      <c r="E448" s="23" t="s">
        <v>157</v>
      </c>
      <c r="F448" s="23">
        <v>-5000</v>
      </c>
      <c r="G448" s="23">
        <v>-70702.630993724306</v>
      </c>
      <c r="H448" s="23">
        <v>14.1405261987448</v>
      </c>
      <c r="I448" s="23">
        <v>0</v>
      </c>
      <c r="J448" s="23" t="s">
        <v>266</v>
      </c>
      <c r="K448" s="24">
        <v>44910.000002928238</v>
      </c>
      <c r="L448" s="23">
        <v>1</v>
      </c>
      <c r="M448" s="23" t="s">
        <v>157</v>
      </c>
      <c r="N448" s="46">
        <f t="shared" si="93"/>
        <v>1</v>
      </c>
      <c r="O448" s="47">
        <f t="shared" si="94"/>
        <v>-5000</v>
      </c>
      <c r="P448" s="48">
        <f t="shared" si="83"/>
        <v>-70702.630993724</v>
      </c>
      <c r="Q448" s="25">
        <f t="shared" si="84"/>
        <v>0</v>
      </c>
      <c r="R448" s="26" t="str">
        <f t="shared" si="85"/>
        <v>COIN</v>
      </c>
      <c r="S448" s="26" t="str">
        <f t="shared" si="92"/>
        <v>SHORT</v>
      </c>
      <c r="T448" s="26" t="str">
        <f t="shared" si="86"/>
        <v>COIN SHORT</v>
      </c>
      <c r="U448" s="17">
        <f t="shared" si="87"/>
        <v>-70702.630993724306</v>
      </c>
      <c r="V448" s="17">
        <f t="shared" si="88"/>
        <v>14.1405261987448</v>
      </c>
      <c r="W448" s="40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Shifted'!$AE$32:$AO$75,MATCH($R448,'Futures &amp; Perps Shifted'!$AE$30:$AO$30,0),FALSE),0),0)))</f>
        <v>0</v>
      </c>
      <c r="X448" s="17">
        <f t="shared" si="89"/>
        <v>0</v>
      </c>
      <c r="Y448" s="14" t="str">
        <f t="shared" si="90"/>
        <v>BINE</v>
      </c>
      <c r="Z448" t="str">
        <f t="shared" si="91"/>
        <v>SOL COIN SHORT</v>
      </c>
    </row>
    <row r="449" spans="1:26" customFormat="1" x14ac:dyDescent="0.25">
      <c r="A449" s="14">
        <v>447</v>
      </c>
      <c r="B449" s="77">
        <v>44910.000002928238</v>
      </c>
      <c r="C449" s="14" t="s">
        <v>11</v>
      </c>
      <c r="D449" s="23" t="s">
        <v>197</v>
      </c>
      <c r="E449" s="23" t="s">
        <v>615</v>
      </c>
      <c r="F449" s="23">
        <v>-30000</v>
      </c>
      <c r="G449" s="23">
        <v>-33589.6407889357</v>
      </c>
      <c r="H449" s="23">
        <v>1.1196546929645199</v>
      </c>
      <c r="I449" s="23">
        <v>0</v>
      </c>
      <c r="J449" s="23" t="s">
        <v>266</v>
      </c>
      <c r="K449" s="24">
        <v>44910.000002928238</v>
      </c>
      <c r="L449" s="23">
        <v>1</v>
      </c>
      <c r="M449" s="23" t="s">
        <v>615</v>
      </c>
      <c r="N449" s="46">
        <f t="shared" si="93"/>
        <v>1</v>
      </c>
      <c r="O449" s="47">
        <f t="shared" si="94"/>
        <v>-30000</v>
      </c>
      <c r="P449" s="48">
        <f t="shared" si="83"/>
        <v>-33589.640788935598</v>
      </c>
      <c r="Q449" s="25">
        <f t="shared" si="84"/>
        <v>0</v>
      </c>
      <c r="R449" s="26" t="str">
        <f t="shared" si="85"/>
        <v>COIN</v>
      </c>
      <c r="S449" s="26" t="str">
        <f t="shared" si="92"/>
        <v>SHORT</v>
      </c>
      <c r="T449" s="26" t="str">
        <f t="shared" si="86"/>
        <v>COIN SHORT</v>
      </c>
      <c r="U449" s="17">
        <f t="shared" si="87"/>
        <v>-33589.6407889357</v>
      </c>
      <c r="V449" s="17">
        <f t="shared" si="88"/>
        <v>1.1196546929645199</v>
      </c>
      <c r="W449" s="40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Shifted'!$AE$32:$AO$75,MATCH($R449,'Futures &amp; Perps Shifted'!$AE$30:$AO$30,0),FALSE),0),0)))</f>
        <v>0</v>
      </c>
      <c r="X449" s="17">
        <f t="shared" si="89"/>
        <v>0</v>
      </c>
      <c r="Y449" s="14" t="str">
        <f t="shared" si="90"/>
        <v>BINE</v>
      </c>
      <c r="Z449" t="str">
        <f t="shared" si="91"/>
        <v>SUSHI COIN SHORT</v>
      </c>
    </row>
    <row r="450" spans="1:26" customFormat="1" x14ac:dyDescent="0.25">
      <c r="A450" s="14">
        <v>448</v>
      </c>
      <c r="B450" s="77">
        <v>44910.000002928238</v>
      </c>
      <c r="C450" s="14" t="s">
        <v>11</v>
      </c>
      <c r="D450" s="23" t="s">
        <v>197</v>
      </c>
      <c r="E450" s="23" t="s">
        <v>162</v>
      </c>
      <c r="F450" s="23">
        <v>-6000</v>
      </c>
      <c r="G450" s="23">
        <v>-35517.824634671597</v>
      </c>
      <c r="H450" s="23">
        <v>5.9196374391119297</v>
      </c>
      <c r="I450" s="23">
        <v>0</v>
      </c>
      <c r="J450" s="23" t="s">
        <v>266</v>
      </c>
      <c r="K450" s="24">
        <v>44910.000002928238</v>
      </c>
      <c r="L450" s="23">
        <v>1</v>
      </c>
      <c r="M450" s="23" t="s">
        <v>162</v>
      </c>
      <c r="N450" s="46">
        <f t="shared" si="93"/>
        <v>1</v>
      </c>
      <c r="O450" s="47">
        <f t="shared" si="94"/>
        <v>-6000</v>
      </c>
      <c r="P450" s="48">
        <f t="shared" ref="P450:P513" si="95">IF($C450="","",IF(OR($J450="SWAP",$J450="FUTURE",$J450="CME FUTURE"),IF(NOT(ISERROR(VLOOKUP($M450,SpotUSDRateTable,2,FALSE))),VLOOKUP($M450,SpotUSDRateTable,2,FALSE),$H450)*O450,VLOOKUP($M450,SpotUSDRateTable,2,FALSE)*O450))</f>
        <v>-35517.824634671575</v>
      </c>
      <c r="Q450" s="25">
        <f t="shared" si="84"/>
        <v>0</v>
      </c>
      <c r="R450" s="26" t="str">
        <f t="shared" si="85"/>
        <v>COIN</v>
      </c>
      <c r="S450" s="26" t="str">
        <f t="shared" si="92"/>
        <v>SHORT</v>
      </c>
      <c r="T450" s="26" t="str">
        <f t="shared" si="86"/>
        <v>COIN SHORT</v>
      </c>
      <c r="U450" s="17">
        <f t="shared" si="87"/>
        <v>-35517.824634671597</v>
      </c>
      <c r="V450" s="17">
        <f t="shared" si="88"/>
        <v>5.9196374391119297</v>
      </c>
      <c r="W450" s="40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Shifted'!$AE$32:$AO$75,MATCH($R450,'Futures &amp; Perps Shifted'!$AE$30:$AO$30,0),FALSE),0),0)))</f>
        <v>0</v>
      </c>
      <c r="X450" s="17">
        <f t="shared" si="89"/>
        <v>0</v>
      </c>
      <c r="Y450" s="14" t="str">
        <f t="shared" si="90"/>
        <v>BINE</v>
      </c>
      <c r="Z450" t="str">
        <f t="shared" si="91"/>
        <v>UNI COIN SHORT</v>
      </c>
    </row>
    <row r="451" spans="1:26" customFormat="1" x14ac:dyDescent="0.25">
      <c r="A451" s="14">
        <v>449</v>
      </c>
      <c r="B451" s="77">
        <v>44910.000002928238</v>
      </c>
      <c r="C451" s="14" t="s">
        <v>11</v>
      </c>
      <c r="D451" s="23" t="s">
        <v>197</v>
      </c>
      <c r="E451" s="23" t="s">
        <v>39</v>
      </c>
      <c r="F451" s="23">
        <v>-4696108.9971914096</v>
      </c>
      <c r="G451" s="23">
        <v>-4696604.0155648598</v>
      </c>
      <c r="H451" s="23">
        <v>1.0001054103245299</v>
      </c>
      <c r="I451" s="23">
        <v>0</v>
      </c>
      <c r="J451" s="23" t="s">
        <v>266</v>
      </c>
      <c r="K451" s="24">
        <v>44910.000002928238</v>
      </c>
      <c r="L451" s="23">
        <v>1</v>
      </c>
      <c r="M451" s="23" t="s">
        <v>39</v>
      </c>
      <c r="N451" s="46">
        <f t="shared" si="93"/>
        <v>1</v>
      </c>
      <c r="O451" s="47">
        <f t="shared" si="94"/>
        <v>-4696108.9971914096</v>
      </c>
      <c r="P451" s="48">
        <f t="shared" si="95"/>
        <v>-4696604.0155648319</v>
      </c>
      <c r="Q451" s="25">
        <f t="shared" ref="Q451:Q514" si="96">IF($C451="","",IF(OR($J451="SWAP",$J451="FUTURE",$J451="CME FUTURE"),INT($K451-$B451),0))</f>
        <v>0</v>
      </c>
      <c r="R451" s="26" t="str">
        <f t="shared" ref="R451:R514" si="97">IF($C451="","",IF(OR($E451="USD",$E451="EUR"),"CASH",IF($Q451=0,"COIN",IF($Q451&gt;720,"PERP",IF($J451="FUTURE",TEXT($K451-1,"mmm yy"),"CME "&amp;TEXT($K451-1,"mmm yy"))))))</f>
        <v>COIN</v>
      </c>
      <c r="S451" s="26" t="str">
        <f t="shared" si="92"/>
        <v>SHORT</v>
      </c>
      <c r="T451" s="26" t="str">
        <f t="shared" ref="T451:T514" si="98">IF($C451="","",$R451&amp;" "&amp;$S451)</f>
        <v>COIN SHORT</v>
      </c>
      <c r="U451" s="17">
        <f t="shared" ref="U451:U514" si="99">IF($C451="","",$G451*(1+$W451))</f>
        <v>-4696604.0155648598</v>
      </c>
      <c r="V451" s="17">
        <f t="shared" ref="V451:V514" si="100">IF($C451="","",$H451*(1+$W451))</f>
        <v>1.0001054103245299</v>
      </c>
      <c r="W451" s="40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Shifted'!$AE$32:$AO$75,MATCH($R451,'Futures &amp; Perps Shifted'!$AE$30:$AO$30,0),FALSE),0),0)))</f>
        <v>0</v>
      </c>
      <c r="X451" s="17">
        <f t="shared" ref="X451:X514" si="101">IF($C451="","",$U451-$G451)</f>
        <v>0</v>
      </c>
      <c r="Y451" s="14" t="str">
        <f t="shared" ref="Y451:Y514" si="102">IF($C451="","",IF(ISERROR(SEARCH("-",$D451)),$D451,LEFT($D451,SEARCH("-",$D451)-1)))</f>
        <v>BINE</v>
      </c>
      <c r="Z451" t="str">
        <f t="shared" ref="Z451:Z514" si="103">IF($C451="","",$M451&amp;" "&amp;$T451)</f>
        <v>USDT COIN SHORT</v>
      </c>
    </row>
    <row r="452" spans="1:26" customFormat="1" x14ac:dyDescent="0.25">
      <c r="A452" s="14">
        <v>450</v>
      </c>
      <c r="B452" s="77">
        <v>44910.000002928238</v>
      </c>
      <c r="C452" s="14" t="s">
        <v>11</v>
      </c>
      <c r="D452" s="23" t="s">
        <v>197</v>
      </c>
      <c r="E452" s="23" t="s">
        <v>199</v>
      </c>
      <c r="F452" s="23">
        <v>-100</v>
      </c>
      <c r="G452" s="23">
        <v>-1.87445781415879</v>
      </c>
      <c r="H452" s="23">
        <v>1.8744578141587899E-2</v>
      </c>
      <c r="I452" s="23">
        <v>0</v>
      </c>
      <c r="J452" s="23" t="s">
        <v>266</v>
      </c>
      <c r="K452" s="24">
        <v>44910.000002928238</v>
      </c>
      <c r="L452" s="23">
        <v>1</v>
      </c>
      <c r="M452" s="23" t="s">
        <v>199</v>
      </c>
      <c r="N452" s="46">
        <f t="shared" si="93"/>
        <v>1</v>
      </c>
      <c r="O452" s="47">
        <f t="shared" si="94"/>
        <v>-100</v>
      </c>
      <c r="P452" s="48">
        <f t="shared" si="95"/>
        <v>-1.87445781415879</v>
      </c>
      <c r="Q452" s="25">
        <f t="shared" si="96"/>
        <v>0</v>
      </c>
      <c r="R452" s="26" t="str">
        <f t="shared" si="97"/>
        <v>COIN</v>
      </c>
      <c r="S452" s="26" t="str">
        <f t="shared" si="92"/>
        <v>SHORT</v>
      </c>
      <c r="T452" s="26" t="str">
        <f t="shared" si="98"/>
        <v>COIN SHORT</v>
      </c>
      <c r="U452" s="17">
        <f t="shared" si="99"/>
        <v>-1.87445781415879</v>
      </c>
      <c r="V452" s="17">
        <f t="shared" si="100"/>
        <v>1.8744578141587899E-2</v>
      </c>
      <c r="W452" s="40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Shifted'!$AE$32:$AO$75,MATCH($R452,'Futures &amp; Perps Shifted'!$AE$30:$AO$30,0),FALSE),0),0)))</f>
        <v>0</v>
      </c>
      <c r="X452" s="17">
        <f t="shared" si="101"/>
        <v>0</v>
      </c>
      <c r="Y452" s="14" t="str">
        <f t="shared" si="102"/>
        <v>BINE</v>
      </c>
      <c r="Z452" t="str">
        <f t="shared" si="103"/>
        <v>VET COIN SHORT</v>
      </c>
    </row>
    <row r="453" spans="1:26" customFormat="1" x14ac:dyDescent="0.25">
      <c r="A453" s="14">
        <v>451</v>
      </c>
      <c r="B453" s="77">
        <v>44910.000002928238</v>
      </c>
      <c r="C453" s="14" t="s">
        <v>11</v>
      </c>
      <c r="D453" s="14" t="s">
        <v>197</v>
      </c>
      <c r="E453" s="23" t="s">
        <v>166</v>
      </c>
      <c r="F453" s="23">
        <v>-500000</v>
      </c>
      <c r="G453" s="23">
        <v>-41506.894620593099</v>
      </c>
      <c r="H453" s="23">
        <v>8.3013789241186201E-2</v>
      </c>
      <c r="I453" s="23">
        <v>0</v>
      </c>
      <c r="J453" s="23" t="s">
        <v>266</v>
      </c>
      <c r="K453" s="24">
        <v>44910.000002928238</v>
      </c>
      <c r="L453" s="23">
        <v>1</v>
      </c>
      <c r="M453" s="23" t="s">
        <v>166</v>
      </c>
      <c r="N453" s="46">
        <f t="shared" si="93"/>
        <v>1</v>
      </c>
      <c r="O453" s="47">
        <f t="shared" si="94"/>
        <v>-500000</v>
      </c>
      <c r="P453" s="48">
        <f t="shared" si="95"/>
        <v>-41506.894620593099</v>
      </c>
      <c r="Q453" s="25">
        <f t="shared" si="96"/>
        <v>0</v>
      </c>
      <c r="R453" s="26" t="str">
        <f t="shared" si="97"/>
        <v>COIN</v>
      </c>
      <c r="S453" s="26" t="str">
        <f t="shared" si="92"/>
        <v>SHORT</v>
      </c>
      <c r="T453" s="26" t="str">
        <f t="shared" si="98"/>
        <v>COIN SHORT</v>
      </c>
      <c r="U453" s="17">
        <f t="shared" si="99"/>
        <v>-41506.894620593099</v>
      </c>
      <c r="V453" s="17">
        <f t="shared" si="100"/>
        <v>8.3013789241186201E-2</v>
      </c>
      <c r="W453" s="40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Shifted'!$AE$32:$AO$75,MATCH($R453,'Futures &amp; Perps Shifted'!$AE$30:$AO$30,0),FALSE),0),0)))</f>
        <v>0</v>
      </c>
      <c r="X453" s="17">
        <f t="shared" si="101"/>
        <v>0</v>
      </c>
      <c r="Y453" s="14" t="str">
        <f t="shared" si="102"/>
        <v>BINE</v>
      </c>
      <c r="Z453" t="str">
        <f t="shared" si="103"/>
        <v>XLM COIN SHORT</v>
      </c>
    </row>
    <row r="454" spans="1:26" customFormat="1" x14ac:dyDescent="0.25">
      <c r="A454" s="14">
        <v>452</v>
      </c>
      <c r="B454" s="77">
        <v>44910.000002928238</v>
      </c>
      <c r="C454" s="14" t="s">
        <v>11</v>
      </c>
      <c r="D454" s="23" t="s">
        <v>197</v>
      </c>
      <c r="E454" s="23" t="s">
        <v>167</v>
      </c>
      <c r="F454" s="23">
        <v>-40000</v>
      </c>
      <c r="G454" s="23">
        <v>-38058.053736712201</v>
      </c>
      <c r="H454" s="23">
        <v>0.95145134341780602</v>
      </c>
      <c r="I454" s="23">
        <v>0</v>
      </c>
      <c r="J454" s="23" t="s">
        <v>266</v>
      </c>
      <c r="K454" s="24">
        <v>44910.000002928238</v>
      </c>
      <c r="L454" s="23">
        <v>1</v>
      </c>
      <c r="M454" s="23" t="s">
        <v>167</v>
      </c>
      <c r="N454" s="46">
        <f t="shared" si="93"/>
        <v>1</v>
      </c>
      <c r="O454" s="47">
        <f t="shared" si="94"/>
        <v>-40000</v>
      </c>
      <c r="P454" s="48">
        <f t="shared" si="95"/>
        <v>-38058.053736712238</v>
      </c>
      <c r="Q454" s="25">
        <f t="shared" si="96"/>
        <v>0</v>
      </c>
      <c r="R454" s="26" t="str">
        <f t="shared" si="97"/>
        <v>COIN</v>
      </c>
      <c r="S454" s="26" t="str">
        <f t="shared" si="92"/>
        <v>SHORT</v>
      </c>
      <c r="T454" s="26" t="str">
        <f t="shared" si="98"/>
        <v>COIN SHORT</v>
      </c>
      <c r="U454" s="17">
        <f t="shared" si="99"/>
        <v>-38058.053736712201</v>
      </c>
      <c r="V454" s="17">
        <f t="shared" si="100"/>
        <v>0.95145134341780602</v>
      </c>
      <c r="W454" s="40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Shifted'!$AE$32:$AO$75,MATCH($R454,'Futures &amp; Perps Shifted'!$AE$30:$AO$30,0),FALSE),0),0)))</f>
        <v>0</v>
      </c>
      <c r="X454" s="17">
        <f t="shared" si="101"/>
        <v>0</v>
      </c>
      <c r="Y454" s="14" t="str">
        <f t="shared" si="102"/>
        <v>BINE</v>
      </c>
      <c r="Z454" t="str">
        <f t="shared" si="103"/>
        <v>XTZ COIN SHORT</v>
      </c>
    </row>
    <row r="455" spans="1:26" customFormat="1" x14ac:dyDescent="0.25">
      <c r="A455" s="14">
        <v>453</v>
      </c>
      <c r="B455" s="77">
        <v>44910.000001469911</v>
      </c>
      <c r="C455" s="14" t="s">
        <v>40</v>
      </c>
      <c r="D455" s="23" t="s">
        <v>205</v>
      </c>
      <c r="E455" s="23" t="s">
        <v>24</v>
      </c>
      <c r="F455" s="23">
        <v>-457203</v>
      </c>
      <c r="G455" s="23">
        <v>-447154.28919914103</v>
      </c>
      <c r="H455" s="23">
        <v>0.97802133669101299</v>
      </c>
      <c r="I455" s="23">
        <v>0</v>
      </c>
      <c r="J455" s="23" t="s">
        <v>266</v>
      </c>
      <c r="K455" s="24">
        <v>44910.000001469911</v>
      </c>
      <c r="L455" s="23">
        <v>1</v>
      </c>
      <c r="M455" s="23" t="s">
        <v>24</v>
      </c>
      <c r="N455" s="46">
        <f t="shared" si="93"/>
        <v>1</v>
      </c>
      <c r="O455" s="47">
        <f t="shared" si="94"/>
        <v>-457203</v>
      </c>
      <c r="P455" s="48">
        <f t="shared" si="95"/>
        <v>-447154.2891991412</v>
      </c>
      <c r="Q455" s="25">
        <f t="shared" si="96"/>
        <v>0</v>
      </c>
      <c r="R455" s="26" t="str">
        <f t="shared" si="97"/>
        <v>COIN</v>
      </c>
      <c r="S455" s="26" t="str">
        <f t="shared" si="92"/>
        <v>SHORT</v>
      </c>
      <c r="T455" s="26" t="str">
        <f t="shared" si="98"/>
        <v>COIN SHORT</v>
      </c>
      <c r="U455" s="17">
        <f t="shared" si="99"/>
        <v>-447154.28919914103</v>
      </c>
      <c r="V455" s="17">
        <f t="shared" si="100"/>
        <v>0.97802133669101299</v>
      </c>
      <c r="W455" s="40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Shifted'!$AE$32:$AO$75,MATCH($R455,'Futures &amp; Perps Shifted'!$AE$30:$AO$30,0),FALSE),0),0)))</f>
        <v>0</v>
      </c>
      <c r="X455" s="17">
        <f t="shared" si="101"/>
        <v>0</v>
      </c>
      <c r="Y455" s="14" t="str">
        <f t="shared" si="102"/>
        <v>HUBI</v>
      </c>
      <c r="Z455" t="str">
        <f t="shared" si="103"/>
        <v>EOS COIN SHORT</v>
      </c>
    </row>
    <row r="456" spans="1:26" customFormat="1" x14ac:dyDescent="0.25">
      <c r="A456" s="14">
        <v>454</v>
      </c>
      <c r="B456" s="77">
        <v>44910.000001469911</v>
      </c>
      <c r="C456" s="14" t="s">
        <v>40</v>
      </c>
      <c r="D456" s="23" t="s">
        <v>205</v>
      </c>
      <c r="E456" s="23" t="s">
        <v>28</v>
      </c>
      <c r="F456" s="23">
        <v>-2073</v>
      </c>
      <c r="G456" s="23">
        <v>-13948.8605633885</v>
      </c>
      <c r="H456" s="23">
        <v>6.72882805759214</v>
      </c>
      <c r="I456" s="23">
        <v>0</v>
      </c>
      <c r="J456" s="23" t="s">
        <v>266</v>
      </c>
      <c r="K456" s="24">
        <v>44910.000001469911</v>
      </c>
      <c r="L456" s="23">
        <v>1</v>
      </c>
      <c r="M456" s="23" t="s">
        <v>28</v>
      </c>
      <c r="N456" s="46">
        <f t="shared" si="93"/>
        <v>1</v>
      </c>
      <c r="O456" s="47">
        <f t="shared" si="94"/>
        <v>-2073</v>
      </c>
      <c r="P456" s="48">
        <f t="shared" si="95"/>
        <v>-13948.860563388505</v>
      </c>
      <c r="Q456" s="25">
        <f t="shared" si="96"/>
        <v>0</v>
      </c>
      <c r="R456" s="26" t="str">
        <f t="shared" si="97"/>
        <v>COIN</v>
      </c>
      <c r="S456" s="26" t="str">
        <f t="shared" si="92"/>
        <v>SHORT</v>
      </c>
      <c r="T456" s="26" t="str">
        <f t="shared" si="98"/>
        <v>COIN SHORT</v>
      </c>
      <c r="U456" s="17">
        <f t="shared" si="99"/>
        <v>-13948.8605633885</v>
      </c>
      <c r="V456" s="17">
        <f t="shared" si="100"/>
        <v>6.72882805759214</v>
      </c>
      <c r="W456" s="40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Shifted'!$AE$32:$AO$75,MATCH($R456,'Futures &amp; Perps Shifted'!$AE$30:$AO$30,0),FALSE),0),0)))</f>
        <v>0</v>
      </c>
      <c r="X456" s="17">
        <f t="shared" si="101"/>
        <v>0</v>
      </c>
      <c r="Y456" s="14" t="str">
        <f t="shared" si="102"/>
        <v>HUBI</v>
      </c>
      <c r="Z456" t="str">
        <f t="shared" si="103"/>
        <v>LINK COIN SHORT</v>
      </c>
    </row>
    <row r="457" spans="1:26" customFormat="1" x14ac:dyDescent="0.25">
      <c r="A457" s="14">
        <v>455</v>
      </c>
      <c r="B457" s="77">
        <v>44910.000001469911</v>
      </c>
      <c r="C457" s="14" t="s">
        <v>40</v>
      </c>
      <c r="D457" s="23" t="s">
        <v>205</v>
      </c>
      <c r="E457" s="23" t="s">
        <v>25</v>
      </c>
      <c r="F457" s="23">
        <v>-6100</v>
      </c>
      <c r="G457" s="23">
        <v>-460402.76824142301</v>
      </c>
      <c r="H457" s="23">
        <v>75.475863646134997</v>
      </c>
      <c r="I457" s="23">
        <v>0</v>
      </c>
      <c r="J457" s="23" t="s">
        <v>266</v>
      </c>
      <c r="K457" s="24">
        <v>44910.000001469911</v>
      </c>
      <c r="L457" s="23">
        <v>1</v>
      </c>
      <c r="M457" s="23" t="s">
        <v>25</v>
      </c>
      <c r="N457" s="46">
        <f t="shared" si="93"/>
        <v>1</v>
      </c>
      <c r="O457" s="47">
        <f t="shared" si="94"/>
        <v>-6100</v>
      </c>
      <c r="P457" s="48">
        <f t="shared" si="95"/>
        <v>-460402.76824142347</v>
      </c>
      <c r="Q457" s="25">
        <f t="shared" si="96"/>
        <v>0</v>
      </c>
      <c r="R457" s="26" t="str">
        <f t="shared" si="97"/>
        <v>COIN</v>
      </c>
      <c r="S457" s="26" t="str">
        <f t="shared" si="92"/>
        <v>SHORT</v>
      </c>
      <c r="T457" s="26" t="str">
        <f t="shared" si="98"/>
        <v>COIN SHORT</v>
      </c>
      <c r="U457" s="17">
        <f t="shared" si="99"/>
        <v>-460402.76824142301</v>
      </c>
      <c r="V457" s="17">
        <f t="shared" si="100"/>
        <v>75.475863646134997</v>
      </c>
      <c r="W457" s="40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Shifted'!$AE$32:$AO$75,MATCH($R457,'Futures &amp; Perps Shifted'!$AE$30:$AO$30,0),FALSE),0),0)))</f>
        <v>0</v>
      </c>
      <c r="X457" s="17">
        <f t="shared" si="101"/>
        <v>0</v>
      </c>
      <c r="Y457" s="14" t="str">
        <f t="shared" si="102"/>
        <v>HUBI</v>
      </c>
      <c r="Z457" t="str">
        <f t="shared" si="103"/>
        <v>LTC COIN SHORT</v>
      </c>
    </row>
    <row r="458" spans="1:26" customFormat="1" x14ac:dyDescent="0.25">
      <c r="A458" s="14">
        <v>456</v>
      </c>
      <c r="B458" s="77">
        <v>44910.000001469911</v>
      </c>
      <c r="C458" s="14" t="s">
        <v>40</v>
      </c>
      <c r="D458" s="23" t="s">
        <v>205</v>
      </c>
      <c r="E458" s="23" t="s">
        <v>39</v>
      </c>
      <c r="F458" s="23">
        <v>-200000</v>
      </c>
      <c r="G458" s="23">
        <v>-200021.08206490701</v>
      </c>
      <c r="H458" s="23">
        <v>1.0001054103245299</v>
      </c>
      <c r="I458" s="23">
        <v>0</v>
      </c>
      <c r="J458" s="23" t="s">
        <v>266</v>
      </c>
      <c r="K458" s="24">
        <v>44910.000001469911</v>
      </c>
      <c r="L458" s="23">
        <v>1</v>
      </c>
      <c r="M458" s="23" t="s">
        <v>39</v>
      </c>
      <c r="N458" s="46">
        <f t="shared" si="93"/>
        <v>1</v>
      </c>
      <c r="O458" s="47">
        <f t="shared" si="94"/>
        <v>-200000</v>
      </c>
      <c r="P458" s="48">
        <f t="shared" si="95"/>
        <v>-200021.08206490599</v>
      </c>
      <c r="Q458" s="25">
        <f t="shared" si="96"/>
        <v>0</v>
      </c>
      <c r="R458" s="26" t="str">
        <f t="shared" si="97"/>
        <v>COIN</v>
      </c>
      <c r="S458" s="26" t="str">
        <f t="shared" si="92"/>
        <v>SHORT</v>
      </c>
      <c r="T458" s="26" t="str">
        <f t="shared" si="98"/>
        <v>COIN SHORT</v>
      </c>
      <c r="U458" s="17">
        <f t="shared" si="99"/>
        <v>-200021.08206490701</v>
      </c>
      <c r="V458" s="17">
        <f t="shared" si="100"/>
        <v>1.0001054103245299</v>
      </c>
      <c r="W458" s="40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Shifted'!$AE$32:$AO$75,MATCH($R458,'Futures &amp; Perps Shifted'!$AE$30:$AO$30,0),FALSE),0),0)))</f>
        <v>0</v>
      </c>
      <c r="X458" s="17">
        <f t="shared" si="101"/>
        <v>0</v>
      </c>
      <c r="Y458" s="14" t="str">
        <f t="shared" si="102"/>
        <v>HUBI</v>
      </c>
      <c r="Z458" t="str">
        <f t="shared" si="103"/>
        <v>USDT COIN SHORT</v>
      </c>
    </row>
    <row r="459" spans="1:26" customFormat="1" x14ac:dyDescent="0.25">
      <c r="A459" s="14">
        <v>457</v>
      </c>
      <c r="B459" s="77">
        <v>44909</v>
      </c>
      <c r="C459" s="14" t="s">
        <v>104</v>
      </c>
      <c r="D459" s="23" t="s">
        <v>206</v>
      </c>
      <c r="E459" s="23" t="s">
        <v>15</v>
      </c>
      <c r="F459" s="23">
        <v>-3350</v>
      </c>
      <c r="G459" s="23">
        <v>-59682427.0130805</v>
      </c>
      <c r="H459" s="23">
        <v>17815.649854650899</v>
      </c>
      <c r="I459" s="23">
        <v>0</v>
      </c>
      <c r="J459" s="23" t="s">
        <v>198</v>
      </c>
      <c r="K459" s="24">
        <v>44909</v>
      </c>
      <c r="L459" s="23">
        <v>1</v>
      </c>
      <c r="M459" s="23" t="s">
        <v>15</v>
      </c>
      <c r="N459" s="46">
        <f t="shared" si="93"/>
        <v>1</v>
      </c>
      <c r="O459" s="47">
        <f t="shared" si="94"/>
        <v>-3350</v>
      </c>
      <c r="P459" s="48">
        <f t="shared" si="95"/>
        <v>-59682427.013080515</v>
      </c>
      <c r="Q459" s="25">
        <f t="shared" si="96"/>
        <v>0</v>
      </c>
      <c r="R459" s="26" t="str">
        <f t="shared" si="97"/>
        <v>COIN</v>
      </c>
      <c r="S459" s="26" t="str">
        <f t="shared" si="92"/>
        <v>SHORT</v>
      </c>
      <c r="T459" s="26" t="str">
        <f t="shared" si="98"/>
        <v>COIN SHORT</v>
      </c>
      <c r="U459" s="17">
        <f t="shared" si="99"/>
        <v>-59682427.0130805</v>
      </c>
      <c r="V459" s="17">
        <f t="shared" si="100"/>
        <v>17815.649854650899</v>
      </c>
      <c r="W459" s="40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Shifted'!$AE$32:$AO$75,MATCH($R459,'Futures &amp; Perps Shifted'!$AE$30:$AO$30,0),FALSE),0),0)))</f>
        <v>0</v>
      </c>
      <c r="X459" s="17">
        <f t="shared" si="101"/>
        <v>0</v>
      </c>
      <c r="Y459" s="14" t="str">
        <f t="shared" si="102"/>
        <v>LEND</v>
      </c>
      <c r="Z459" t="str">
        <f t="shared" si="103"/>
        <v>BTC COIN SHORT</v>
      </c>
    </row>
    <row r="460" spans="1:26" customFormat="1" x14ac:dyDescent="0.25">
      <c r="A460" s="14">
        <v>458</v>
      </c>
      <c r="B460" s="77">
        <v>44909</v>
      </c>
      <c r="C460" s="14" t="s">
        <v>104</v>
      </c>
      <c r="D460" s="23" t="s">
        <v>206</v>
      </c>
      <c r="E460" s="23" t="s">
        <v>24</v>
      </c>
      <c r="F460" s="23">
        <v>-4350822.18</v>
      </c>
      <c r="G460" s="23">
        <v>-4255196.9241885003</v>
      </c>
      <c r="H460" s="23">
        <v>0.97802133669101299</v>
      </c>
      <c r="I460" s="23">
        <v>0</v>
      </c>
      <c r="J460" s="23" t="s">
        <v>198</v>
      </c>
      <c r="K460" s="24">
        <v>44909</v>
      </c>
      <c r="L460" s="23">
        <v>1</v>
      </c>
      <c r="M460" s="23" t="s">
        <v>24</v>
      </c>
      <c r="N460" s="46">
        <f t="shared" si="93"/>
        <v>1</v>
      </c>
      <c r="O460" s="47">
        <f t="shared" si="94"/>
        <v>-4350822.18</v>
      </c>
      <c r="P460" s="48">
        <f t="shared" si="95"/>
        <v>-4255196.9241885068</v>
      </c>
      <c r="Q460" s="25">
        <f t="shared" si="96"/>
        <v>0</v>
      </c>
      <c r="R460" s="26" t="str">
        <f t="shared" si="97"/>
        <v>COIN</v>
      </c>
      <c r="S460" s="26" t="str">
        <f t="shared" si="92"/>
        <v>SHORT</v>
      </c>
      <c r="T460" s="26" t="str">
        <f t="shared" si="98"/>
        <v>COIN SHORT</v>
      </c>
      <c r="U460" s="17">
        <f t="shared" si="99"/>
        <v>-4255196.9241885003</v>
      </c>
      <c r="V460" s="17">
        <f t="shared" si="100"/>
        <v>0.97802133669101299</v>
      </c>
      <c r="W460" s="40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Shifted'!$AE$32:$AO$75,MATCH($R460,'Futures &amp; Perps Shifted'!$AE$30:$AO$30,0),FALSE),0),0)))</f>
        <v>0</v>
      </c>
      <c r="X460" s="17">
        <f t="shared" si="101"/>
        <v>0</v>
      </c>
      <c r="Y460" s="14" t="str">
        <f t="shared" si="102"/>
        <v>LEND</v>
      </c>
      <c r="Z460" t="str">
        <f t="shared" si="103"/>
        <v>EOS COIN SHORT</v>
      </c>
    </row>
    <row r="461" spans="1:26" customFormat="1" x14ac:dyDescent="0.25">
      <c r="A461" s="14">
        <v>459</v>
      </c>
      <c r="B461" s="77">
        <v>44909</v>
      </c>
      <c r="C461" s="14" t="s">
        <v>104</v>
      </c>
      <c r="D461" s="23" t="s">
        <v>206</v>
      </c>
      <c r="E461" s="23" t="s">
        <v>16</v>
      </c>
      <c r="F461" s="23">
        <v>-6499.9949999999999</v>
      </c>
      <c r="G461" s="23">
        <v>-8510629.8534208704</v>
      </c>
      <c r="H461" s="23">
        <v>1309.32867693296</v>
      </c>
      <c r="I461" s="23">
        <v>0</v>
      </c>
      <c r="J461" s="23" t="s">
        <v>198</v>
      </c>
      <c r="K461" s="24">
        <v>44909</v>
      </c>
      <c r="L461" s="23">
        <v>1</v>
      </c>
      <c r="M461" s="23" t="s">
        <v>16</v>
      </c>
      <c r="N461" s="46">
        <f t="shared" si="93"/>
        <v>1</v>
      </c>
      <c r="O461" s="47">
        <f t="shared" si="94"/>
        <v>-6499.9949999999999</v>
      </c>
      <c r="P461" s="48">
        <f t="shared" si="95"/>
        <v>-8510629.8534208555</v>
      </c>
      <c r="Q461" s="25">
        <f t="shared" si="96"/>
        <v>0</v>
      </c>
      <c r="R461" s="26" t="str">
        <f t="shared" si="97"/>
        <v>COIN</v>
      </c>
      <c r="S461" s="26" t="str">
        <f t="shared" si="92"/>
        <v>SHORT</v>
      </c>
      <c r="T461" s="26" t="str">
        <f t="shared" si="98"/>
        <v>COIN SHORT</v>
      </c>
      <c r="U461" s="17">
        <f t="shared" si="99"/>
        <v>-8510629.8534208704</v>
      </c>
      <c r="V461" s="17">
        <f t="shared" si="100"/>
        <v>1309.32867693296</v>
      </c>
      <c r="W461" s="40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Shifted'!$AE$32:$AO$75,MATCH($R461,'Futures &amp; Perps Shifted'!$AE$30:$AO$30,0),FALSE),0),0)))</f>
        <v>0</v>
      </c>
      <c r="X461" s="17">
        <f t="shared" si="101"/>
        <v>0</v>
      </c>
      <c r="Y461" s="14" t="str">
        <f t="shared" si="102"/>
        <v>LEND</v>
      </c>
      <c r="Z461" t="str">
        <f t="shared" si="103"/>
        <v>ETH COIN SHORT</v>
      </c>
    </row>
    <row r="462" spans="1:26" customFormat="1" x14ac:dyDescent="0.25">
      <c r="A462" s="14">
        <v>460</v>
      </c>
      <c r="B462" s="77">
        <v>44909</v>
      </c>
      <c r="C462" s="14" t="s">
        <v>173</v>
      </c>
      <c r="D462" s="23" t="s">
        <v>171</v>
      </c>
      <c r="E462" s="23" t="s">
        <v>15</v>
      </c>
      <c r="F462" s="23">
        <v>-1340.01684679</v>
      </c>
      <c r="G462" s="23">
        <v>-23873270.941744</v>
      </c>
      <c r="H462" s="23">
        <v>17815.649854650899</v>
      </c>
      <c r="I462" s="23">
        <v>0</v>
      </c>
      <c r="J462" s="23" t="s">
        <v>172</v>
      </c>
      <c r="K462" s="24">
        <v>44909</v>
      </c>
      <c r="L462" s="23">
        <v>1</v>
      </c>
      <c r="M462" s="23" t="s">
        <v>15</v>
      </c>
      <c r="N462" s="46">
        <f t="shared" si="93"/>
        <v>1</v>
      </c>
      <c r="O462" s="47">
        <f t="shared" si="94"/>
        <v>-1340.01684679</v>
      </c>
      <c r="P462" s="48">
        <f t="shared" si="95"/>
        <v>-23873270.941744022</v>
      </c>
      <c r="Q462" s="25">
        <f t="shared" si="96"/>
        <v>0</v>
      </c>
      <c r="R462" s="26" t="str">
        <f t="shared" si="97"/>
        <v>COIN</v>
      </c>
      <c r="S462" s="26" t="str">
        <f t="shared" si="92"/>
        <v>SHORT</v>
      </c>
      <c r="T462" s="26" t="str">
        <f t="shared" si="98"/>
        <v>COIN SHORT</v>
      </c>
      <c r="U462" s="17">
        <f t="shared" si="99"/>
        <v>-23873270.941744</v>
      </c>
      <c r="V462" s="17">
        <f t="shared" si="100"/>
        <v>17815.649854650899</v>
      </c>
      <c r="W462" s="40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Shifted'!$AE$32:$AO$75,MATCH($R462,'Futures &amp; Perps Shifted'!$AE$30:$AO$30,0),FALSE),0),0)))</f>
        <v>0</v>
      </c>
      <c r="X462" s="17">
        <f t="shared" si="101"/>
        <v>0</v>
      </c>
      <c r="Y462" s="14" t="str">
        <f t="shared" si="102"/>
        <v>LEND</v>
      </c>
      <c r="Z462" t="str">
        <f t="shared" si="103"/>
        <v>BTC COIN SHORT</v>
      </c>
    </row>
    <row r="463" spans="1:26" customFormat="1" x14ac:dyDescent="0.25">
      <c r="A463" s="14">
        <v>461</v>
      </c>
      <c r="B463" s="77">
        <v>44909</v>
      </c>
      <c r="C463" s="14" t="s">
        <v>173</v>
      </c>
      <c r="D463" s="23" t="s">
        <v>171</v>
      </c>
      <c r="E463" s="23" t="s">
        <v>16</v>
      </c>
      <c r="F463" s="23">
        <v>-25855</v>
      </c>
      <c r="G463" s="23">
        <v>-33852692.942101702</v>
      </c>
      <c r="H463" s="23">
        <v>1309.32867693296</v>
      </c>
      <c r="I463" s="23">
        <v>0</v>
      </c>
      <c r="J463" s="23" t="s">
        <v>172</v>
      </c>
      <c r="K463" s="24">
        <v>44909</v>
      </c>
      <c r="L463" s="23">
        <v>1</v>
      </c>
      <c r="M463" s="23" t="s">
        <v>16</v>
      </c>
      <c r="N463" s="46">
        <f t="shared" si="93"/>
        <v>1</v>
      </c>
      <c r="O463" s="47">
        <f t="shared" si="94"/>
        <v>-25855</v>
      </c>
      <c r="P463" s="48">
        <f t="shared" si="95"/>
        <v>-33852692.94210168</v>
      </c>
      <c r="Q463" s="25">
        <f t="shared" si="96"/>
        <v>0</v>
      </c>
      <c r="R463" s="26" t="str">
        <f t="shared" si="97"/>
        <v>COIN</v>
      </c>
      <c r="S463" s="26" t="str">
        <f t="shared" si="92"/>
        <v>SHORT</v>
      </c>
      <c r="T463" s="26" t="str">
        <f t="shared" si="98"/>
        <v>COIN SHORT</v>
      </c>
      <c r="U463" s="17">
        <f t="shared" si="99"/>
        <v>-33852692.942101702</v>
      </c>
      <c r="V463" s="17">
        <f t="shared" si="100"/>
        <v>1309.32867693296</v>
      </c>
      <c r="W463" s="40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Shifted'!$AE$32:$AO$75,MATCH($R463,'Futures &amp; Perps Shifted'!$AE$30:$AO$30,0),FALSE),0),0)))</f>
        <v>0</v>
      </c>
      <c r="X463" s="17">
        <f t="shared" si="101"/>
        <v>0</v>
      </c>
      <c r="Y463" s="14" t="str">
        <f t="shared" si="102"/>
        <v>LEND</v>
      </c>
      <c r="Z463" t="str">
        <f t="shared" si="103"/>
        <v>ETH COIN SHORT</v>
      </c>
    </row>
    <row r="464" spans="1:26" customFormat="1" x14ac:dyDescent="0.25">
      <c r="A464" s="14">
        <v>462</v>
      </c>
      <c r="B464" s="77">
        <v>44909</v>
      </c>
      <c r="C464" s="14" t="s">
        <v>173</v>
      </c>
      <c r="D464" s="23" t="s">
        <v>171</v>
      </c>
      <c r="E464" s="23" t="s">
        <v>110</v>
      </c>
      <c r="F464" s="23">
        <v>-30000000</v>
      </c>
      <c r="G464" s="23">
        <v>-32048100</v>
      </c>
      <c r="H464" s="23">
        <v>1.0682700000000001</v>
      </c>
      <c r="I464" s="23">
        <v>0</v>
      </c>
      <c r="J464" s="23" t="s">
        <v>172</v>
      </c>
      <c r="K464" s="24">
        <v>44909</v>
      </c>
      <c r="L464" s="23">
        <v>1</v>
      </c>
      <c r="M464" s="23" t="s">
        <v>110</v>
      </c>
      <c r="N464" s="46">
        <f t="shared" si="93"/>
        <v>1</v>
      </c>
      <c r="O464" s="47">
        <f t="shared" si="94"/>
        <v>-30000000</v>
      </c>
      <c r="P464" s="48">
        <f t="shared" si="95"/>
        <v>-32048100</v>
      </c>
      <c r="Q464" s="25">
        <f t="shared" si="96"/>
        <v>0</v>
      </c>
      <c r="R464" s="26" t="str">
        <f t="shared" si="97"/>
        <v>CASH</v>
      </c>
      <c r="S464" s="26" t="str">
        <f t="shared" si="92"/>
        <v>SHORT</v>
      </c>
      <c r="T464" s="26" t="str">
        <f t="shared" si="98"/>
        <v>CASH SHORT</v>
      </c>
      <c r="U464" s="17">
        <f t="shared" si="99"/>
        <v>-32048100</v>
      </c>
      <c r="V464" s="17">
        <f t="shared" si="100"/>
        <v>1.0682700000000001</v>
      </c>
      <c r="W464" s="40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Shifted'!$AE$32:$AO$75,MATCH($R464,'Futures &amp; Perps Shifted'!$AE$30:$AO$30,0),FALSE),0),0)))</f>
        <v>0</v>
      </c>
      <c r="X464" s="17">
        <f t="shared" si="101"/>
        <v>0</v>
      </c>
      <c r="Y464" s="14" t="str">
        <f t="shared" si="102"/>
        <v>LEND</v>
      </c>
      <c r="Z464" t="str">
        <f t="shared" si="103"/>
        <v>EUR CASH SHORT</v>
      </c>
    </row>
    <row r="465" spans="1:26" customFormat="1" x14ac:dyDescent="0.25">
      <c r="A465" s="14">
        <v>463</v>
      </c>
      <c r="B465" s="77">
        <v>44909</v>
      </c>
      <c r="C465" s="14" t="s">
        <v>173</v>
      </c>
      <c r="D465" s="23" t="s">
        <v>171</v>
      </c>
      <c r="E465" s="23" t="s">
        <v>261</v>
      </c>
      <c r="F465" s="23">
        <v>-15000000</v>
      </c>
      <c r="G465" s="23">
        <v>-16024971.6490518</v>
      </c>
      <c r="H465" s="23">
        <v>1.0683314432701201</v>
      </c>
      <c r="I465" s="23">
        <v>0</v>
      </c>
      <c r="J465" s="23" t="s">
        <v>172</v>
      </c>
      <c r="K465" s="24">
        <v>44909</v>
      </c>
      <c r="L465" s="23">
        <v>1</v>
      </c>
      <c r="M465" s="23" t="s">
        <v>261</v>
      </c>
      <c r="N465" s="46">
        <f t="shared" si="93"/>
        <v>1</v>
      </c>
      <c r="O465" s="47">
        <f t="shared" si="94"/>
        <v>-15000000</v>
      </c>
      <c r="P465" s="48">
        <f t="shared" si="95"/>
        <v>-16024971.6490518</v>
      </c>
      <c r="Q465" s="25">
        <f t="shared" si="96"/>
        <v>0</v>
      </c>
      <c r="R465" s="26" t="str">
        <f t="shared" si="97"/>
        <v>COIN</v>
      </c>
      <c r="S465" s="26" t="str">
        <f t="shared" si="92"/>
        <v>SHORT</v>
      </c>
      <c r="T465" s="26" t="str">
        <f t="shared" si="98"/>
        <v>COIN SHORT</v>
      </c>
      <c r="U465" s="17">
        <f t="shared" si="99"/>
        <v>-16024971.6490518</v>
      </c>
      <c r="V465" s="17">
        <f t="shared" si="100"/>
        <v>1.0683314432701201</v>
      </c>
      <c r="W465" s="40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Shifted'!$AE$32:$AO$75,MATCH($R465,'Futures &amp; Perps Shifted'!$AE$30:$AO$30,0),FALSE),0),0)))</f>
        <v>0</v>
      </c>
      <c r="X465" s="17">
        <f t="shared" si="101"/>
        <v>0</v>
      </c>
      <c r="Y465" s="14" t="str">
        <f t="shared" si="102"/>
        <v>LEND</v>
      </c>
      <c r="Z465" t="str">
        <f t="shared" si="103"/>
        <v>EUROC COIN SHORT</v>
      </c>
    </row>
    <row r="466" spans="1:26" customFormat="1" x14ac:dyDescent="0.25">
      <c r="A466" s="14">
        <v>464</v>
      </c>
      <c r="B466" s="77">
        <v>44909</v>
      </c>
      <c r="C466" s="14" t="s">
        <v>173</v>
      </c>
      <c r="D466" s="23" t="s">
        <v>171</v>
      </c>
      <c r="E466" s="23" t="s">
        <v>98</v>
      </c>
      <c r="F466" s="23">
        <v>-42800000</v>
      </c>
      <c r="G466" s="23">
        <v>-42800000</v>
      </c>
      <c r="H466" s="23">
        <v>1</v>
      </c>
      <c r="I466" s="23">
        <v>0</v>
      </c>
      <c r="J466" s="23" t="s">
        <v>172</v>
      </c>
      <c r="K466" s="24">
        <v>44909</v>
      </c>
      <c r="L466" s="23">
        <v>1</v>
      </c>
      <c r="M466" s="23" t="s">
        <v>98</v>
      </c>
      <c r="N466" s="46">
        <f t="shared" si="93"/>
        <v>1</v>
      </c>
      <c r="O466" s="47">
        <f t="shared" si="94"/>
        <v>-42800000</v>
      </c>
      <c r="P466" s="48">
        <f t="shared" si="95"/>
        <v>-42800000</v>
      </c>
      <c r="Q466" s="25">
        <f t="shared" si="96"/>
        <v>0</v>
      </c>
      <c r="R466" s="26" t="str">
        <f t="shared" si="97"/>
        <v>CASH</v>
      </c>
      <c r="S466" s="26" t="str">
        <f t="shared" si="92"/>
        <v>SHORT</v>
      </c>
      <c r="T466" s="26" t="str">
        <f t="shared" si="98"/>
        <v>CASH SHORT</v>
      </c>
      <c r="U466" s="17">
        <f t="shared" si="99"/>
        <v>-42800000</v>
      </c>
      <c r="V466" s="17">
        <f t="shared" si="100"/>
        <v>1</v>
      </c>
      <c r="W466" s="40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Shifted'!$AE$32:$AO$75,MATCH($R466,'Futures &amp; Perps Shifted'!$AE$30:$AO$30,0),FALSE),0),0)))</f>
        <v>0</v>
      </c>
      <c r="X466" s="17">
        <f t="shared" si="101"/>
        <v>0</v>
      </c>
      <c r="Y466" s="14" t="str">
        <f t="shared" si="102"/>
        <v>LEND</v>
      </c>
      <c r="Z466" t="str">
        <f t="shared" si="103"/>
        <v>USD CASH SHORT</v>
      </c>
    </row>
    <row r="467" spans="1:26" customFormat="1" x14ac:dyDescent="0.25">
      <c r="A467" s="14">
        <v>465</v>
      </c>
      <c r="B467" s="77">
        <v>44909</v>
      </c>
      <c r="C467" s="14" t="s">
        <v>173</v>
      </c>
      <c r="D467" s="23" t="s">
        <v>171</v>
      </c>
      <c r="E467" s="23" t="s">
        <v>95</v>
      </c>
      <c r="F467" s="23">
        <v>-56500000</v>
      </c>
      <c r="G467" s="23">
        <v>-56498843.179700501</v>
      </c>
      <c r="H467" s="23">
        <v>0.99997952530443501</v>
      </c>
      <c r="I467" s="23">
        <v>0</v>
      </c>
      <c r="J467" s="23" t="s">
        <v>172</v>
      </c>
      <c r="K467" s="24">
        <v>44909</v>
      </c>
      <c r="L467" s="23">
        <v>1</v>
      </c>
      <c r="M467" s="23" t="s">
        <v>95</v>
      </c>
      <c r="N467" s="46">
        <f t="shared" si="93"/>
        <v>1</v>
      </c>
      <c r="O467" s="47">
        <f t="shared" si="94"/>
        <v>-56500000</v>
      </c>
      <c r="P467" s="48">
        <f t="shared" si="95"/>
        <v>-56498843.179700576</v>
      </c>
      <c r="Q467" s="25">
        <f t="shared" si="96"/>
        <v>0</v>
      </c>
      <c r="R467" s="26" t="str">
        <f t="shared" si="97"/>
        <v>COIN</v>
      </c>
      <c r="S467" s="26" t="str">
        <f t="shared" si="92"/>
        <v>SHORT</v>
      </c>
      <c r="T467" s="26" t="str">
        <f t="shared" si="98"/>
        <v>COIN SHORT</v>
      </c>
      <c r="U467" s="17">
        <f t="shared" si="99"/>
        <v>-56498843.179700501</v>
      </c>
      <c r="V467" s="17">
        <f t="shared" si="100"/>
        <v>0.99997952530443501</v>
      </c>
      <c r="W467" s="40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Shifted'!$AE$32:$AO$75,MATCH($R467,'Futures &amp; Perps Shifted'!$AE$30:$AO$30,0),FALSE),0),0)))</f>
        <v>0</v>
      </c>
      <c r="X467" s="17">
        <f t="shared" si="101"/>
        <v>0</v>
      </c>
      <c r="Y467" s="14" t="str">
        <f t="shared" si="102"/>
        <v>LEND</v>
      </c>
      <c r="Z467" t="str">
        <f t="shared" si="103"/>
        <v>USDC COIN SHORT</v>
      </c>
    </row>
    <row r="468" spans="1:26" customFormat="1" x14ac:dyDescent="0.25">
      <c r="A468" s="14">
        <v>466</v>
      </c>
      <c r="B468" s="77">
        <v>44909</v>
      </c>
      <c r="C468" s="14" t="s">
        <v>173</v>
      </c>
      <c r="D468" s="23" t="s">
        <v>171</v>
      </c>
      <c r="E468" s="23" t="s">
        <v>27</v>
      </c>
      <c r="F468" s="23">
        <v>-20000000</v>
      </c>
      <c r="G468" s="23">
        <v>-435807.45829612599</v>
      </c>
      <c r="H468" s="23">
        <v>2.1790372914806299E-2</v>
      </c>
      <c r="I468" s="23">
        <v>0</v>
      </c>
      <c r="J468" s="23" t="s">
        <v>172</v>
      </c>
      <c r="K468" s="24">
        <v>44909</v>
      </c>
      <c r="L468" s="23">
        <v>1</v>
      </c>
      <c r="M468" s="23" t="s">
        <v>27</v>
      </c>
      <c r="N468" s="46">
        <f t="shared" si="93"/>
        <v>1</v>
      </c>
      <c r="O468" s="47">
        <f t="shared" si="94"/>
        <v>-20000000</v>
      </c>
      <c r="P468" s="48">
        <f t="shared" si="95"/>
        <v>-435807.45829612599</v>
      </c>
      <c r="Q468" s="25">
        <f t="shared" si="96"/>
        <v>0</v>
      </c>
      <c r="R468" s="26" t="str">
        <f t="shared" si="97"/>
        <v>COIN</v>
      </c>
      <c r="S468" s="26" t="str">
        <f t="shared" si="92"/>
        <v>SHORT</v>
      </c>
      <c r="T468" s="26" t="str">
        <f t="shared" si="98"/>
        <v>COIN SHORT</v>
      </c>
      <c r="U468" s="17">
        <f t="shared" si="99"/>
        <v>-435807.45829612599</v>
      </c>
      <c r="V468" s="17">
        <f t="shared" si="100"/>
        <v>2.1790372914806299E-2</v>
      </c>
      <c r="W468" s="40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Shifted'!$AE$32:$AO$75,MATCH($R468,'Futures &amp; Perps Shifted'!$AE$30:$AO$30,0),FALSE),0),0)))</f>
        <v>0</v>
      </c>
      <c r="X468" s="17">
        <f t="shared" si="101"/>
        <v>0</v>
      </c>
      <c r="Y468" s="14" t="str">
        <f t="shared" si="102"/>
        <v>LEND</v>
      </c>
      <c r="Z468" t="str">
        <f t="shared" si="103"/>
        <v>ZIL COIN SHORT</v>
      </c>
    </row>
    <row r="469" spans="1:26" customFormat="1" x14ac:dyDescent="0.25">
      <c r="A469" s="14">
        <v>467</v>
      </c>
      <c r="B469" s="77">
        <v>44909</v>
      </c>
      <c r="C469" s="14" t="s">
        <v>40</v>
      </c>
      <c r="D469" s="23" t="s">
        <v>207</v>
      </c>
      <c r="E469" s="23" t="s">
        <v>21</v>
      </c>
      <c r="F469" s="23">
        <v>-5000</v>
      </c>
      <c r="G469" s="23">
        <v>-545542.47976536397</v>
      </c>
      <c r="H469" s="23">
        <v>109.10849595307199</v>
      </c>
      <c r="I469" s="23">
        <v>0</v>
      </c>
      <c r="J469" s="23" t="s">
        <v>198</v>
      </c>
      <c r="K469" s="24">
        <v>44909</v>
      </c>
      <c r="L469" s="23">
        <v>1</v>
      </c>
      <c r="M469" s="23" t="s">
        <v>21</v>
      </c>
      <c r="N469" s="46">
        <f t="shared" si="93"/>
        <v>1</v>
      </c>
      <c r="O469" s="47">
        <f t="shared" si="94"/>
        <v>-5000</v>
      </c>
      <c r="P469" s="48">
        <f t="shared" si="95"/>
        <v>-545542.47976536001</v>
      </c>
      <c r="Q469" s="25">
        <f t="shared" si="96"/>
        <v>0</v>
      </c>
      <c r="R469" s="26" t="str">
        <f t="shared" si="97"/>
        <v>COIN</v>
      </c>
      <c r="S469" s="26" t="str">
        <f t="shared" si="92"/>
        <v>SHORT</v>
      </c>
      <c r="T469" s="26" t="str">
        <f t="shared" si="98"/>
        <v>COIN SHORT</v>
      </c>
      <c r="U469" s="17">
        <f t="shared" si="99"/>
        <v>-545542.47976536397</v>
      </c>
      <c r="V469" s="17">
        <f t="shared" si="100"/>
        <v>109.10849595307199</v>
      </c>
      <c r="W469" s="40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Shifted'!$AE$32:$AO$75,MATCH($R469,'Futures &amp; Perps Shifted'!$AE$30:$AO$30,0),FALSE),0),0)))</f>
        <v>0</v>
      </c>
      <c r="X469" s="17">
        <f t="shared" si="101"/>
        <v>0</v>
      </c>
      <c r="Y469" s="14" t="str">
        <f t="shared" si="102"/>
        <v>LEND</v>
      </c>
      <c r="Z469" t="str">
        <f t="shared" si="103"/>
        <v>BCH COIN SHORT</v>
      </c>
    </row>
    <row r="470" spans="1:26" customFormat="1" x14ac:dyDescent="0.25">
      <c r="A470" s="14">
        <v>468</v>
      </c>
      <c r="B470" s="77">
        <v>44909</v>
      </c>
      <c r="C470" s="14" t="s">
        <v>40</v>
      </c>
      <c r="D470" s="23" t="s">
        <v>207</v>
      </c>
      <c r="E470" s="23" t="s">
        <v>23</v>
      </c>
      <c r="F470" s="23">
        <v>-40000</v>
      </c>
      <c r="G470" s="23">
        <v>-208608.39003861701</v>
      </c>
      <c r="H470" s="23">
        <v>5.21520975096543</v>
      </c>
      <c r="I470" s="23">
        <v>0</v>
      </c>
      <c r="J470" s="23" t="s">
        <v>198</v>
      </c>
      <c r="K470" s="24">
        <v>44909</v>
      </c>
      <c r="L470" s="23">
        <v>1</v>
      </c>
      <c r="M470" s="23" t="s">
        <v>23</v>
      </c>
      <c r="N470" s="46">
        <f t="shared" si="93"/>
        <v>1</v>
      </c>
      <c r="O470" s="47">
        <f t="shared" si="94"/>
        <v>-40000</v>
      </c>
      <c r="P470" s="48">
        <f t="shared" si="95"/>
        <v>-208608.39003861719</v>
      </c>
      <c r="Q470" s="25">
        <f t="shared" si="96"/>
        <v>0</v>
      </c>
      <c r="R470" s="26" t="str">
        <f t="shared" si="97"/>
        <v>COIN</v>
      </c>
      <c r="S470" s="26" t="str">
        <f t="shared" si="92"/>
        <v>SHORT</v>
      </c>
      <c r="T470" s="26" t="str">
        <f t="shared" si="98"/>
        <v>COIN SHORT</v>
      </c>
      <c r="U470" s="17">
        <f t="shared" si="99"/>
        <v>-208608.39003861701</v>
      </c>
      <c r="V470" s="17">
        <f t="shared" si="100"/>
        <v>5.21520975096543</v>
      </c>
      <c r="W470" s="40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Shifted'!$AE$32:$AO$75,MATCH($R470,'Futures &amp; Perps Shifted'!$AE$30:$AO$30,0),FALSE),0),0)))</f>
        <v>0</v>
      </c>
      <c r="X470" s="17">
        <f t="shared" si="101"/>
        <v>0</v>
      </c>
      <c r="Y470" s="14" t="str">
        <f t="shared" si="102"/>
        <v>LEND</v>
      </c>
      <c r="Z470" t="str">
        <f t="shared" si="103"/>
        <v>DOT COIN SHORT</v>
      </c>
    </row>
    <row r="471" spans="1:26" customFormat="1" x14ac:dyDescent="0.25">
      <c r="A471" s="14">
        <v>469</v>
      </c>
      <c r="B471" s="77">
        <v>44909</v>
      </c>
      <c r="C471" s="14" t="s">
        <v>40</v>
      </c>
      <c r="D471" s="23" t="s">
        <v>207</v>
      </c>
      <c r="E471" s="23" t="s">
        <v>24</v>
      </c>
      <c r="F471" s="23">
        <v>-160000</v>
      </c>
      <c r="G471" s="23">
        <v>-156483.41387056201</v>
      </c>
      <c r="H471" s="23">
        <v>0.97802133669101299</v>
      </c>
      <c r="I471" s="23">
        <v>0</v>
      </c>
      <c r="J471" s="23" t="s">
        <v>198</v>
      </c>
      <c r="K471" s="24">
        <v>44909</v>
      </c>
      <c r="L471" s="23">
        <v>1</v>
      </c>
      <c r="M471" s="23" t="s">
        <v>24</v>
      </c>
      <c r="N471" s="46">
        <f t="shared" si="93"/>
        <v>1</v>
      </c>
      <c r="O471" s="47">
        <f t="shared" si="94"/>
        <v>-160000</v>
      </c>
      <c r="P471" s="48">
        <f t="shared" si="95"/>
        <v>-156483.41387056207</v>
      </c>
      <c r="Q471" s="25">
        <f t="shared" si="96"/>
        <v>0</v>
      </c>
      <c r="R471" s="26" t="str">
        <f t="shared" si="97"/>
        <v>COIN</v>
      </c>
      <c r="S471" s="26" t="str">
        <f t="shared" si="92"/>
        <v>SHORT</v>
      </c>
      <c r="T471" s="26" t="str">
        <f t="shared" si="98"/>
        <v>COIN SHORT</v>
      </c>
      <c r="U471" s="17">
        <f t="shared" si="99"/>
        <v>-156483.41387056201</v>
      </c>
      <c r="V471" s="17">
        <f t="shared" si="100"/>
        <v>0.97802133669101299</v>
      </c>
      <c r="W471" s="40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Shifted'!$AE$32:$AO$75,MATCH($R471,'Futures &amp; Perps Shifted'!$AE$30:$AO$30,0),FALSE),0),0)))</f>
        <v>0</v>
      </c>
      <c r="X471" s="17">
        <f t="shared" si="101"/>
        <v>0</v>
      </c>
      <c r="Y471" s="14" t="str">
        <f t="shared" si="102"/>
        <v>LEND</v>
      </c>
      <c r="Z471" t="str">
        <f t="shared" si="103"/>
        <v>EOS COIN SHORT</v>
      </c>
    </row>
    <row r="472" spans="1:26" customFormat="1" x14ac:dyDescent="0.25">
      <c r="A472" s="14">
        <v>470</v>
      </c>
      <c r="B472" s="77">
        <v>44909</v>
      </c>
      <c r="C472" s="14" t="s">
        <v>40</v>
      </c>
      <c r="D472" s="23" t="s">
        <v>207</v>
      </c>
      <c r="E472" s="23" t="s">
        <v>30</v>
      </c>
      <c r="F472" s="23">
        <v>-108000</v>
      </c>
      <c r="G472" s="23">
        <v>-2029070.22066905</v>
      </c>
      <c r="H472" s="23">
        <v>18.787687228417099</v>
      </c>
      <c r="I472" s="23">
        <v>0</v>
      </c>
      <c r="J472" s="23" t="s">
        <v>198</v>
      </c>
      <c r="K472" s="24">
        <v>44909</v>
      </c>
      <c r="L472" s="23">
        <v>1</v>
      </c>
      <c r="M472" s="23" t="s">
        <v>30</v>
      </c>
      <c r="N472" s="46">
        <f t="shared" si="93"/>
        <v>1</v>
      </c>
      <c r="O472" s="47">
        <f t="shared" si="94"/>
        <v>-108000</v>
      </c>
      <c r="P472" s="48">
        <f t="shared" si="95"/>
        <v>-2029070.2206690467</v>
      </c>
      <c r="Q472" s="25">
        <f t="shared" si="96"/>
        <v>0</v>
      </c>
      <c r="R472" s="26" t="str">
        <f t="shared" si="97"/>
        <v>COIN</v>
      </c>
      <c r="S472" s="26" t="str">
        <f t="shared" si="92"/>
        <v>SHORT</v>
      </c>
      <c r="T472" s="26" t="str">
        <f t="shared" si="98"/>
        <v>COIN SHORT</v>
      </c>
      <c r="U472" s="17">
        <f t="shared" si="99"/>
        <v>-2029070.22066905</v>
      </c>
      <c r="V472" s="17">
        <f t="shared" si="100"/>
        <v>18.787687228417099</v>
      </c>
      <c r="W472" s="40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Shifted'!$AE$32:$AO$75,MATCH($R472,'Futures &amp; Perps Shifted'!$AE$30:$AO$30,0),FALSE),0),0)))</f>
        <v>0</v>
      </c>
      <c r="X472" s="17">
        <f t="shared" si="101"/>
        <v>0</v>
      </c>
      <c r="Y472" s="14" t="str">
        <f t="shared" si="102"/>
        <v>LEND</v>
      </c>
      <c r="Z472" t="str">
        <f t="shared" si="103"/>
        <v>ETC COIN SHORT</v>
      </c>
    </row>
    <row r="473" spans="1:26" customFormat="1" x14ac:dyDescent="0.25">
      <c r="A473" s="14">
        <v>471</v>
      </c>
      <c r="B473" s="77">
        <v>44909</v>
      </c>
      <c r="C473" s="14" t="s">
        <v>40</v>
      </c>
      <c r="D473" s="23" t="s">
        <v>207</v>
      </c>
      <c r="E473" s="23" t="s">
        <v>16</v>
      </c>
      <c r="F473" s="23">
        <v>-4600</v>
      </c>
      <c r="G473" s="23">
        <v>-6022911.91389162</v>
      </c>
      <c r="H473" s="23">
        <v>1309.32867693296</v>
      </c>
      <c r="I473" s="23">
        <v>0</v>
      </c>
      <c r="J473" s="23" t="s">
        <v>198</v>
      </c>
      <c r="K473" s="24">
        <v>44909</v>
      </c>
      <c r="L473" s="23">
        <v>1</v>
      </c>
      <c r="M473" s="23" t="s">
        <v>16</v>
      </c>
      <c r="N473" s="46">
        <f t="shared" si="93"/>
        <v>1</v>
      </c>
      <c r="O473" s="47">
        <f t="shared" si="94"/>
        <v>-4600</v>
      </c>
      <c r="P473" s="48">
        <f t="shared" si="95"/>
        <v>-6022911.9138916163</v>
      </c>
      <c r="Q473" s="25">
        <f t="shared" si="96"/>
        <v>0</v>
      </c>
      <c r="R473" s="26" t="str">
        <f t="shared" si="97"/>
        <v>COIN</v>
      </c>
      <c r="S473" s="26" t="str">
        <f t="shared" si="92"/>
        <v>SHORT</v>
      </c>
      <c r="T473" s="26" t="str">
        <f t="shared" si="98"/>
        <v>COIN SHORT</v>
      </c>
      <c r="U473" s="17">
        <f t="shared" si="99"/>
        <v>-6022911.91389162</v>
      </c>
      <c r="V473" s="17">
        <f t="shared" si="100"/>
        <v>1309.32867693296</v>
      </c>
      <c r="W473" s="40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Shifted'!$AE$32:$AO$75,MATCH($R473,'Futures &amp; Perps Shifted'!$AE$30:$AO$30,0),FALSE),0),0)))</f>
        <v>0</v>
      </c>
      <c r="X473" s="17">
        <f t="shared" si="101"/>
        <v>0</v>
      </c>
      <c r="Y473" s="14" t="str">
        <f t="shared" si="102"/>
        <v>LEND</v>
      </c>
      <c r="Z473" t="str">
        <f t="shared" si="103"/>
        <v>ETH COIN SHORT</v>
      </c>
    </row>
    <row r="474" spans="1:26" customFormat="1" x14ac:dyDescent="0.25">
      <c r="A474" s="14">
        <v>472</v>
      </c>
      <c r="B474" s="77">
        <v>44909</v>
      </c>
      <c r="C474" s="14" t="s">
        <v>40</v>
      </c>
      <c r="D474" s="23" t="s">
        <v>207</v>
      </c>
      <c r="E474" s="23" t="s">
        <v>28</v>
      </c>
      <c r="F474" s="23">
        <v>-17000</v>
      </c>
      <c r="G474" s="23">
        <v>-114390.076979066</v>
      </c>
      <c r="H474" s="23">
        <v>6.72882805759214</v>
      </c>
      <c r="I474" s="23">
        <v>0</v>
      </c>
      <c r="J474" s="23" t="s">
        <v>198</v>
      </c>
      <c r="K474" s="24">
        <v>44909</v>
      </c>
      <c r="L474" s="23">
        <v>1</v>
      </c>
      <c r="M474" s="23" t="s">
        <v>28</v>
      </c>
      <c r="N474" s="46">
        <f t="shared" si="93"/>
        <v>1</v>
      </c>
      <c r="O474" s="47">
        <f t="shared" si="94"/>
        <v>-17000</v>
      </c>
      <c r="P474" s="48">
        <f t="shared" si="95"/>
        <v>-114390.07697906638</v>
      </c>
      <c r="Q474" s="25">
        <f t="shared" si="96"/>
        <v>0</v>
      </c>
      <c r="R474" s="26" t="str">
        <f t="shared" si="97"/>
        <v>COIN</v>
      </c>
      <c r="S474" s="26" t="str">
        <f t="shared" si="92"/>
        <v>SHORT</v>
      </c>
      <c r="T474" s="26" t="str">
        <f t="shared" si="98"/>
        <v>COIN SHORT</v>
      </c>
      <c r="U474" s="17">
        <f t="shared" si="99"/>
        <v>-114390.076979066</v>
      </c>
      <c r="V474" s="17">
        <f t="shared" si="100"/>
        <v>6.72882805759214</v>
      </c>
      <c r="W474" s="40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Shifted'!$AE$32:$AO$75,MATCH($R474,'Futures &amp; Perps Shifted'!$AE$30:$AO$30,0),FALSE),0),0)))</f>
        <v>0</v>
      </c>
      <c r="X474" s="17">
        <f t="shared" si="101"/>
        <v>0</v>
      </c>
      <c r="Y474" s="14" t="str">
        <f t="shared" si="102"/>
        <v>LEND</v>
      </c>
      <c r="Z474" t="str">
        <f t="shared" si="103"/>
        <v>LINK COIN SHORT</v>
      </c>
    </row>
    <row r="475" spans="1:26" customFormat="1" x14ac:dyDescent="0.25">
      <c r="A475" s="14">
        <v>473</v>
      </c>
      <c r="B475" s="77">
        <v>44909</v>
      </c>
      <c r="C475" s="14" t="s">
        <v>40</v>
      </c>
      <c r="D475" s="23" t="s">
        <v>207</v>
      </c>
      <c r="E475" s="23" t="s">
        <v>25</v>
      </c>
      <c r="F475" s="23">
        <v>-11800</v>
      </c>
      <c r="G475" s="23">
        <v>-890615.19102439296</v>
      </c>
      <c r="H475" s="23">
        <v>75.475863646134997</v>
      </c>
      <c r="I475" s="23">
        <v>0</v>
      </c>
      <c r="J475" s="23" t="s">
        <v>198</v>
      </c>
      <c r="K475" s="24">
        <v>44909</v>
      </c>
      <c r="L475" s="23">
        <v>1</v>
      </c>
      <c r="M475" s="23" t="s">
        <v>25</v>
      </c>
      <c r="N475" s="46">
        <f t="shared" si="93"/>
        <v>1</v>
      </c>
      <c r="O475" s="47">
        <f t="shared" si="94"/>
        <v>-11800</v>
      </c>
      <c r="P475" s="48">
        <f t="shared" si="95"/>
        <v>-890615.19102439296</v>
      </c>
      <c r="Q475" s="25">
        <f t="shared" si="96"/>
        <v>0</v>
      </c>
      <c r="R475" s="26" t="str">
        <f t="shared" si="97"/>
        <v>COIN</v>
      </c>
      <c r="S475" s="26" t="str">
        <f t="shared" si="92"/>
        <v>SHORT</v>
      </c>
      <c r="T475" s="26" t="str">
        <f t="shared" si="98"/>
        <v>COIN SHORT</v>
      </c>
      <c r="U475" s="17">
        <f t="shared" si="99"/>
        <v>-890615.19102439296</v>
      </c>
      <c r="V475" s="17">
        <f t="shared" si="100"/>
        <v>75.475863646134997</v>
      </c>
      <c r="W475" s="40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Shifted'!$AE$32:$AO$75,MATCH($R475,'Futures &amp; Perps Shifted'!$AE$30:$AO$30,0),FALSE),0),0)))</f>
        <v>0</v>
      </c>
      <c r="X475" s="17">
        <f t="shared" si="101"/>
        <v>0</v>
      </c>
      <c r="Y475" s="14" t="str">
        <f t="shared" si="102"/>
        <v>LEND</v>
      </c>
      <c r="Z475" t="str">
        <f t="shared" si="103"/>
        <v>LTC COIN SHORT</v>
      </c>
    </row>
    <row r="476" spans="1:26" customFormat="1" x14ac:dyDescent="0.25">
      <c r="A476" s="14">
        <v>474</v>
      </c>
      <c r="B476" s="77">
        <v>44909</v>
      </c>
      <c r="C476" s="14" t="s">
        <v>212</v>
      </c>
      <c r="D476" s="23" t="s">
        <v>210</v>
      </c>
      <c r="E476" s="23" t="s">
        <v>92</v>
      </c>
      <c r="F476" s="23">
        <v>-2600208</v>
      </c>
      <c r="G476" s="23">
        <v>-211079.35056690499</v>
      </c>
      <c r="H476" s="23">
        <v>8.1177871372945895E-2</v>
      </c>
      <c r="I476" s="23">
        <v>0</v>
      </c>
      <c r="J476" s="23" t="s">
        <v>211</v>
      </c>
      <c r="K476" s="24">
        <v>44909</v>
      </c>
      <c r="L476" s="23">
        <v>1</v>
      </c>
      <c r="M476" s="23" t="s">
        <v>92</v>
      </c>
      <c r="N476" s="46">
        <f t="shared" si="93"/>
        <v>1</v>
      </c>
      <c r="O476" s="47">
        <f t="shared" si="94"/>
        <v>-2600208</v>
      </c>
      <c r="P476" s="48">
        <f t="shared" si="95"/>
        <v>-211079.3505669049</v>
      </c>
      <c r="Q476" s="25">
        <f t="shared" si="96"/>
        <v>0</v>
      </c>
      <c r="R476" s="26" t="str">
        <f t="shared" si="97"/>
        <v>COIN</v>
      </c>
      <c r="S476" s="26" t="str">
        <f t="shared" si="92"/>
        <v>SHORT</v>
      </c>
      <c r="T476" s="26" t="str">
        <f t="shared" si="98"/>
        <v>COIN SHORT</v>
      </c>
      <c r="U476" s="17">
        <f t="shared" si="99"/>
        <v>-211079.35056690499</v>
      </c>
      <c r="V476" s="17">
        <f t="shared" si="100"/>
        <v>8.1177871372945895E-2</v>
      </c>
      <c r="W476" s="40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Shifted'!$AE$32:$AO$75,MATCH($R476,'Futures &amp; Perps Shifted'!$AE$30:$AO$30,0),FALSE),0),0)))</f>
        <v>0</v>
      </c>
      <c r="X476" s="17">
        <f t="shared" si="101"/>
        <v>0</v>
      </c>
      <c r="Y476" s="14" t="str">
        <f t="shared" si="102"/>
        <v>LEND</v>
      </c>
      <c r="Z476" t="str">
        <f t="shared" si="103"/>
        <v>OXT COIN SHORT</v>
      </c>
    </row>
    <row r="477" spans="1:26" customFormat="1" x14ac:dyDescent="0.25">
      <c r="A477" s="14">
        <v>475</v>
      </c>
      <c r="B477" s="77">
        <v>44909</v>
      </c>
      <c r="C477" s="14" t="s">
        <v>212</v>
      </c>
      <c r="D477" s="23" t="s">
        <v>210</v>
      </c>
      <c r="E477" s="23" t="s">
        <v>95</v>
      </c>
      <c r="F477" s="23">
        <v>-1000000</v>
      </c>
      <c r="G477" s="23">
        <v>-999979.52530443505</v>
      </c>
      <c r="H477" s="23">
        <v>0.99997952530443501</v>
      </c>
      <c r="I477" s="23">
        <v>0</v>
      </c>
      <c r="J477" s="23" t="s">
        <v>211</v>
      </c>
      <c r="K477" s="24">
        <v>44909</v>
      </c>
      <c r="L477" s="23">
        <v>1</v>
      </c>
      <c r="M477" s="23" t="s">
        <v>95</v>
      </c>
      <c r="N477" s="46">
        <f t="shared" si="93"/>
        <v>1</v>
      </c>
      <c r="O477" s="47">
        <f t="shared" si="94"/>
        <v>-1000000</v>
      </c>
      <c r="P477" s="48">
        <f t="shared" si="95"/>
        <v>-999979.52530443505</v>
      </c>
      <c r="Q477" s="25">
        <f t="shared" si="96"/>
        <v>0</v>
      </c>
      <c r="R477" s="26" t="str">
        <f t="shared" si="97"/>
        <v>COIN</v>
      </c>
      <c r="S477" s="26" t="str">
        <f t="shared" si="92"/>
        <v>SHORT</v>
      </c>
      <c r="T477" s="26" t="str">
        <f t="shared" si="98"/>
        <v>COIN SHORT</v>
      </c>
      <c r="U477" s="17">
        <f t="shared" si="99"/>
        <v>-999979.52530443505</v>
      </c>
      <c r="V477" s="17">
        <f t="shared" si="100"/>
        <v>0.99997952530443501</v>
      </c>
      <c r="W477" s="40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Shifted'!$AE$32:$AO$75,MATCH($R477,'Futures &amp; Perps Shifted'!$AE$30:$AO$30,0),FALSE),0),0)))</f>
        <v>0</v>
      </c>
      <c r="X477" s="17">
        <f t="shared" si="101"/>
        <v>0</v>
      </c>
      <c r="Y477" s="14" t="str">
        <f t="shared" si="102"/>
        <v>LEND</v>
      </c>
      <c r="Z477" t="str">
        <f t="shared" si="103"/>
        <v>USDC COIN SHORT</v>
      </c>
    </row>
    <row r="478" spans="1:26" customFormat="1" x14ac:dyDescent="0.25">
      <c r="A478" s="14">
        <v>476</v>
      </c>
      <c r="B478" s="77">
        <v>44909</v>
      </c>
      <c r="C478" s="14" t="s">
        <v>214</v>
      </c>
      <c r="D478" s="23" t="s">
        <v>213</v>
      </c>
      <c r="E478" s="23" t="s">
        <v>102</v>
      </c>
      <c r="F478" s="23">
        <v>-201.17</v>
      </c>
      <c r="G478" s="23">
        <v>-77.734847605534796</v>
      </c>
      <c r="H478" s="23">
        <v>0.38641371777866901</v>
      </c>
      <c r="I478" s="23">
        <v>0</v>
      </c>
      <c r="J478" s="23" t="s">
        <v>211</v>
      </c>
      <c r="K478" s="24">
        <v>44909</v>
      </c>
      <c r="L478" s="23">
        <v>1</v>
      </c>
      <c r="M478" s="23" t="s">
        <v>102</v>
      </c>
      <c r="N478" s="46">
        <f t="shared" si="93"/>
        <v>1</v>
      </c>
      <c r="O478" s="47">
        <f t="shared" si="94"/>
        <v>-201.17</v>
      </c>
      <c r="P478" s="48">
        <f t="shared" si="95"/>
        <v>-77.734847605534839</v>
      </c>
      <c r="Q478" s="25">
        <f t="shared" si="96"/>
        <v>0</v>
      </c>
      <c r="R478" s="26" t="str">
        <f t="shared" si="97"/>
        <v>COIN</v>
      </c>
      <c r="S478" s="26" t="str">
        <f t="shared" si="92"/>
        <v>SHORT</v>
      </c>
      <c r="T478" s="26" t="str">
        <f t="shared" si="98"/>
        <v>COIN SHORT</v>
      </c>
      <c r="U478" s="17">
        <f t="shared" si="99"/>
        <v>-77.734847605534796</v>
      </c>
      <c r="V478" s="17">
        <f t="shared" si="100"/>
        <v>0.38641371777866901</v>
      </c>
      <c r="W478" s="40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Shifted'!$AE$32:$AO$75,MATCH($R478,'Futures &amp; Perps Shifted'!$AE$30:$AO$30,0),FALSE),0),0)))</f>
        <v>0</v>
      </c>
      <c r="X478" s="17">
        <f t="shared" si="101"/>
        <v>0</v>
      </c>
      <c r="Y478" s="14" t="str">
        <f t="shared" si="102"/>
        <v>LEND</v>
      </c>
      <c r="Z478" t="str">
        <f t="shared" si="103"/>
        <v>XRP COIN SHORT</v>
      </c>
    </row>
    <row r="479" spans="1:26" customFormat="1" x14ac:dyDescent="0.25">
      <c r="A479" s="14">
        <v>477</v>
      </c>
      <c r="B479" s="77">
        <v>44910.000001273147</v>
      </c>
      <c r="C479" s="14" t="s">
        <v>46</v>
      </c>
      <c r="D479" s="23" t="s">
        <v>215</v>
      </c>
      <c r="E479" s="23" t="s">
        <v>39</v>
      </c>
      <c r="F479" s="23">
        <v>-22591.087326270001</v>
      </c>
      <c r="G479" s="23">
        <v>-22593.468660116701</v>
      </c>
      <c r="H479" s="23">
        <v>1.0001054103245299</v>
      </c>
      <c r="I479" s="23">
        <v>0</v>
      </c>
      <c r="J479" s="23" t="s">
        <v>266</v>
      </c>
      <c r="K479" s="24">
        <v>44910.000001273147</v>
      </c>
      <c r="L479" s="23">
        <v>1</v>
      </c>
      <c r="M479" s="23" t="s">
        <v>39</v>
      </c>
      <c r="N479" s="46">
        <f t="shared" si="93"/>
        <v>1</v>
      </c>
      <c r="O479" s="47">
        <f t="shared" si="94"/>
        <v>-22591.087326270001</v>
      </c>
      <c r="P479" s="48">
        <f t="shared" si="95"/>
        <v>-22593.468660116549</v>
      </c>
      <c r="Q479" s="25">
        <f t="shared" si="96"/>
        <v>0</v>
      </c>
      <c r="R479" s="26" t="str">
        <f t="shared" si="97"/>
        <v>COIN</v>
      </c>
      <c r="S479" s="26" t="str">
        <f t="shared" si="92"/>
        <v>SHORT</v>
      </c>
      <c r="T479" s="26" t="str">
        <f t="shared" si="98"/>
        <v>COIN SHORT</v>
      </c>
      <c r="U479" s="17">
        <f t="shared" si="99"/>
        <v>-22593.468660116701</v>
      </c>
      <c r="V479" s="17">
        <f t="shared" si="100"/>
        <v>1.0001054103245299</v>
      </c>
      <c r="W479" s="40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Shifted'!$AE$32:$AO$75,MATCH($R479,'Futures &amp; Perps Shifted'!$AE$30:$AO$30,0),FALSE),0),0)))</f>
        <v>0</v>
      </c>
      <c r="X479" s="17">
        <f t="shared" si="101"/>
        <v>0</v>
      </c>
      <c r="Y479" s="14" t="str">
        <f t="shared" si="102"/>
        <v>OKEX</v>
      </c>
      <c r="Z479" t="str">
        <f t="shared" si="103"/>
        <v>USDT COIN SHORT</v>
      </c>
    </row>
    <row r="480" spans="1:26" customFormat="1" x14ac:dyDescent="0.25">
      <c r="A480" s="14">
        <v>478</v>
      </c>
      <c r="B480" s="77">
        <v>44910.000003275461</v>
      </c>
      <c r="C480" s="14" t="s">
        <v>46</v>
      </c>
      <c r="D480" s="23" t="s">
        <v>216</v>
      </c>
      <c r="E480" s="23" t="s">
        <v>21</v>
      </c>
      <c r="F480" s="23">
        <v>-1.9866326700000001</v>
      </c>
      <c r="G480" s="23">
        <v>-216.758502634937</v>
      </c>
      <c r="H480" s="23">
        <v>109.10849595307199</v>
      </c>
      <c r="I480" s="23">
        <v>0</v>
      </c>
      <c r="J480" s="23" t="s">
        <v>266</v>
      </c>
      <c r="K480" s="24">
        <v>44910.000003275461</v>
      </c>
      <c r="L480" s="23">
        <v>1</v>
      </c>
      <c r="M480" s="23" t="s">
        <v>21</v>
      </c>
      <c r="N480" s="46">
        <f t="shared" si="93"/>
        <v>1</v>
      </c>
      <c r="O480" s="47">
        <f t="shared" si="94"/>
        <v>-1.9866326700000001</v>
      </c>
      <c r="P480" s="48">
        <f t="shared" si="95"/>
        <v>-216.75850263493561</v>
      </c>
      <c r="Q480" s="25">
        <f t="shared" si="96"/>
        <v>0</v>
      </c>
      <c r="R480" s="26" t="str">
        <f t="shared" si="97"/>
        <v>COIN</v>
      </c>
      <c r="S480" s="26" t="str">
        <f t="shared" si="92"/>
        <v>SHORT</v>
      </c>
      <c r="T480" s="26" t="str">
        <f t="shared" si="98"/>
        <v>COIN SHORT</v>
      </c>
      <c r="U480" s="17">
        <f t="shared" si="99"/>
        <v>-216.758502634937</v>
      </c>
      <c r="V480" s="17">
        <f t="shared" si="100"/>
        <v>109.10849595307199</v>
      </c>
      <c r="W480" s="40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Shifted'!$AE$32:$AO$75,MATCH($R480,'Futures &amp; Perps Shifted'!$AE$30:$AO$30,0),FALSE),0),0)))</f>
        <v>0</v>
      </c>
      <c r="X480" s="17">
        <f t="shared" si="101"/>
        <v>0</v>
      </c>
      <c r="Y480" s="14" t="str">
        <f t="shared" si="102"/>
        <v>OKEX</v>
      </c>
      <c r="Z480" t="str">
        <f t="shared" si="103"/>
        <v>BCH COIN SHORT</v>
      </c>
    </row>
    <row r="481" spans="1:26" customFormat="1" x14ac:dyDescent="0.25">
      <c r="A481" s="14">
        <v>479</v>
      </c>
      <c r="B481" s="77">
        <v>44910.000003275461</v>
      </c>
      <c r="C481" s="14" t="s">
        <v>46</v>
      </c>
      <c r="D481" s="23" t="s">
        <v>216</v>
      </c>
      <c r="E481" s="23" t="s">
        <v>23</v>
      </c>
      <c r="F481" s="23">
        <v>-33.055893580000003</v>
      </c>
      <c r="G481" s="23">
        <v>-172.393418525291</v>
      </c>
      <c r="H481" s="23">
        <v>5.21520975096543</v>
      </c>
      <c r="I481" s="23">
        <v>0</v>
      </c>
      <c r="J481" s="23" t="s">
        <v>266</v>
      </c>
      <c r="K481" s="24">
        <v>44910.000003275461</v>
      </c>
      <c r="L481" s="23">
        <v>1</v>
      </c>
      <c r="M481" s="23" t="s">
        <v>23</v>
      </c>
      <c r="N481" s="46">
        <f t="shared" si="93"/>
        <v>1</v>
      </c>
      <c r="O481" s="47">
        <f t="shared" si="94"/>
        <v>-33.055893580000003</v>
      </c>
      <c r="P481" s="48">
        <f t="shared" si="95"/>
        <v>-172.39341852529157</v>
      </c>
      <c r="Q481" s="25">
        <f t="shared" si="96"/>
        <v>0</v>
      </c>
      <c r="R481" s="26" t="str">
        <f t="shared" si="97"/>
        <v>COIN</v>
      </c>
      <c r="S481" s="26" t="str">
        <f t="shared" si="92"/>
        <v>SHORT</v>
      </c>
      <c r="T481" s="26" t="str">
        <f t="shared" si="98"/>
        <v>COIN SHORT</v>
      </c>
      <c r="U481" s="17">
        <f t="shared" si="99"/>
        <v>-172.393418525291</v>
      </c>
      <c r="V481" s="17">
        <f t="shared" si="100"/>
        <v>5.21520975096543</v>
      </c>
      <c r="W481" s="40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Shifted'!$AE$32:$AO$75,MATCH($R481,'Futures &amp; Perps Shifted'!$AE$30:$AO$30,0),FALSE),0),0)))</f>
        <v>0</v>
      </c>
      <c r="X481" s="17">
        <f t="shared" si="101"/>
        <v>0</v>
      </c>
      <c r="Y481" s="14" t="str">
        <f t="shared" si="102"/>
        <v>OKEX</v>
      </c>
      <c r="Z481" t="str">
        <f t="shared" si="103"/>
        <v>DOT COIN SHORT</v>
      </c>
    </row>
    <row r="482" spans="1:26" customFormat="1" x14ac:dyDescent="0.25">
      <c r="A482" s="14">
        <v>480</v>
      </c>
      <c r="B482" s="77">
        <v>44910.000003275461</v>
      </c>
      <c r="C482" s="14" t="s">
        <v>46</v>
      </c>
      <c r="D482" s="23" t="s">
        <v>216</v>
      </c>
      <c r="E482" s="23" t="s">
        <v>30</v>
      </c>
      <c r="F482" s="23">
        <v>-0.40742539</v>
      </c>
      <c r="G482" s="23">
        <v>-7.6545807962358801</v>
      </c>
      <c r="H482" s="23">
        <v>18.787687228417099</v>
      </c>
      <c r="I482" s="23">
        <v>0</v>
      </c>
      <c r="J482" s="23" t="s">
        <v>266</v>
      </c>
      <c r="K482" s="24">
        <v>44910.000003275461</v>
      </c>
      <c r="L482" s="23">
        <v>1</v>
      </c>
      <c r="M482" s="23" t="s">
        <v>30</v>
      </c>
      <c r="N482" s="46">
        <f t="shared" si="93"/>
        <v>1</v>
      </c>
      <c r="O482" s="47">
        <f t="shared" si="94"/>
        <v>-0.40742539</v>
      </c>
      <c r="P482" s="48">
        <f t="shared" si="95"/>
        <v>-7.6545807962358552</v>
      </c>
      <c r="Q482" s="25">
        <f t="shared" si="96"/>
        <v>0</v>
      </c>
      <c r="R482" s="26" t="str">
        <f t="shared" si="97"/>
        <v>COIN</v>
      </c>
      <c r="S482" s="26" t="str">
        <f t="shared" si="92"/>
        <v>SHORT</v>
      </c>
      <c r="T482" s="26" t="str">
        <f t="shared" si="98"/>
        <v>COIN SHORT</v>
      </c>
      <c r="U482" s="17">
        <f t="shared" si="99"/>
        <v>-7.6545807962358801</v>
      </c>
      <c r="V482" s="17">
        <f t="shared" si="100"/>
        <v>18.787687228417099</v>
      </c>
      <c r="W482" s="40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Shifted'!$AE$32:$AO$75,MATCH($R482,'Futures &amp; Perps Shifted'!$AE$30:$AO$30,0),FALSE),0),0)))</f>
        <v>0</v>
      </c>
      <c r="X482" s="17">
        <f t="shared" si="101"/>
        <v>0</v>
      </c>
      <c r="Y482" s="14" t="str">
        <f t="shared" si="102"/>
        <v>OKEX</v>
      </c>
      <c r="Z482" t="str">
        <f t="shared" si="103"/>
        <v>ETC COIN SHORT</v>
      </c>
    </row>
    <row r="483" spans="1:26" customFormat="1" x14ac:dyDescent="0.25">
      <c r="A483" s="14">
        <v>481</v>
      </c>
      <c r="B483" s="77">
        <v>44910.000003275461</v>
      </c>
      <c r="C483" s="14" t="s">
        <v>46</v>
      </c>
      <c r="D483" s="23" t="s">
        <v>216</v>
      </c>
      <c r="E483" s="23" t="s">
        <v>31</v>
      </c>
      <c r="F483" s="23">
        <v>-3.6931970000000001E-2</v>
      </c>
      <c r="G483" s="23">
        <v>-0.156225546246545</v>
      </c>
      <c r="H483" s="23">
        <v>4.2300897094453704</v>
      </c>
      <c r="I483" s="23">
        <v>0</v>
      </c>
      <c r="J483" s="23" t="s">
        <v>266</v>
      </c>
      <c r="K483" s="24">
        <v>44910.000003275461</v>
      </c>
      <c r="L483" s="23">
        <v>1</v>
      </c>
      <c r="M483" s="23" t="s">
        <v>31</v>
      </c>
      <c r="N483" s="46">
        <f t="shared" si="93"/>
        <v>1</v>
      </c>
      <c r="O483" s="47">
        <f t="shared" si="94"/>
        <v>-3.6931970000000001E-2</v>
      </c>
      <c r="P483" s="48">
        <f t="shared" si="95"/>
        <v>-0.15622554624654514</v>
      </c>
      <c r="Q483" s="25">
        <f t="shared" si="96"/>
        <v>0</v>
      </c>
      <c r="R483" s="26" t="str">
        <f t="shared" si="97"/>
        <v>COIN</v>
      </c>
      <c r="S483" s="26" t="str">
        <f t="shared" si="92"/>
        <v>SHORT</v>
      </c>
      <c r="T483" s="26" t="str">
        <f t="shared" si="98"/>
        <v>COIN SHORT</v>
      </c>
      <c r="U483" s="17">
        <f t="shared" si="99"/>
        <v>-0.156225546246545</v>
      </c>
      <c r="V483" s="17">
        <f t="shared" si="100"/>
        <v>4.2300897094453704</v>
      </c>
      <c r="W483" s="40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Shifted'!$AE$32:$AO$75,MATCH($R483,'Futures &amp; Perps Shifted'!$AE$30:$AO$30,0),FALSE),0),0)))</f>
        <v>0</v>
      </c>
      <c r="X483" s="17">
        <f t="shared" si="101"/>
        <v>0</v>
      </c>
      <c r="Y483" s="14" t="str">
        <f t="shared" si="102"/>
        <v>OKEX</v>
      </c>
      <c r="Z483" t="str">
        <f t="shared" si="103"/>
        <v>FIL COIN SHORT</v>
      </c>
    </row>
    <row r="484" spans="1:26" customFormat="1" x14ac:dyDescent="0.25">
      <c r="A484" s="14">
        <v>482</v>
      </c>
      <c r="B484" s="77">
        <v>44910.000003275461</v>
      </c>
      <c r="C484" s="14" t="s">
        <v>46</v>
      </c>
      <c r="D484" s="23" t="s">
        <v>216</v>
      </c>
      <c r="E484" s="23" t="s">
        <v>38</v>
      </c>
      <c r="F484" s="23">
        <v>-10039049522.907801</v>
      </c>
      <c r="G484" s="23">
        <v>-90077.943553211197</v>
      </c>
      <c r="H484" s="23">
        <v>8.9727561705582505E-6</v>
      </c>
      <c r="I484" s="23">
        <v>0</v>
      </c>
      <c r="J484" s="23" t="s">
        <v>266</v>
      </c>
      <c r="K484" s="24">
        <v>44910.000003275461</v>
      </c>
      <c r="L484" s="23">
        <v>1</v>
      </c>
      <c r="M484" s="23" t="s">
        <v>38</v>
      </c>
      <c r="N484" s="46">
        <f t="shared" si="93"/>
        <v>1</v>
      </c>
      <c r="O484" s="47">
        <f t="shared" si="94"/>
        <v>-10039049522.907801</v>
      </c>
      <c r="P484" s="48">
        <f t="shared" si="95"/>
        <v>-90077.943553210833</v>
      </c>
      <c r="Q484" s="25">
        <f t="shared" si="96"/>
        <v>0</v>
      </c>
      <c r="R484" s="26" t="str">
        <f t="shared" si="97"/>
        <v>COIN</v>
      </c>
      <c r="S484" s="26" t="str">
        <f t="shared" si="92"/>
        <v>SHORT</v>
      </c>
      <c r="T484" s="26" t="str">
        <f t="shared" si="98"/>
        <v>COIN SHORT</v>
      </c>
      <c r="U484" s="17">
        <f t="shared" si="99"/>
        <v>-90077.943553211197</v>
      </c>
      <c r="V484" s="17">
        <f t="shared" si="100"/>
        <v>8.9727561705582505E-6</v>
      </c>
      <c r="W484" s="40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Shifted'!$AE$32:$AO$75,MATCH($R484,'Futures &amp; Perps Shifted'!$AE$30:$AO$30,0),FALSE),0),0)))</f>
        <v>0</v>
      </c>
      <c r="X484" s="17">
        <f t="shared" si="101"/>
        <v>0</v>
      </c>
      <c r="Y484" s="14" t="str">
        <f t="shared" si="102"/>
        <v>OKEX</v>
      </c>
      <c r="Z484" t="str">
        <f t="shared" si="103"/>
        <v>SHIB COIN SHORT</v>
      </c>
    </row>
    <row r="485" spans="1:26" customFormat="1" x14ac:dyDescent="0.25">
      <c r="A485" s="14">
        <v>483</v>
      </c>
      <c r="B485" s="77">
        <v>44910.000003275461</v>
      </c>
      <c r="C485" s="14" t="s">
        <v>46</v>
      </c>
      <c r="D485" s="23" t="s">
        <v>216</v>
      </c>
      <c r="E485" s="23" t="s">
        <v>95</v>
      </c>
      <c r="F485" s="23">
        <v>-66891.138748700003</v>
      </c>
      <c r="G485" s="23">
        <v>-66889.769172998102</v>
      </c>
      <c r="H485" s="23">
        <v>0.99997952530443501</v>
      </c>
      <c r="I485" s="23">
        <v>0</v>
      </c>
      <c r="J485" s="23" t="s">
        <v>266</v>
      </c>
      <c r="K485" s="24">
        <v>44910.000003275461</v>
      </c>
      <c r="L485" s="23">
        <v>1</v>
      </c>
      <c r="M485" s="23" t="s">
        <v>95</v>
      </c>
      <c r="N485" s="46">
        <f t="shared" si="93"/>
        <v>1</v>
      </c>
      <c r="O485" s="47">
        <f t="shared" si="94"/>
        <v>-66891.138748700003</v>
      </c>
      <c r="P485" s="48">
        <f t="shared" si="95"/>
        <v>-66889.769172998131</v>
      </c>
      <c r="Q485" s="25">
        <f t="shared" si="96"/>
        <v>0</v>
      </c>
      <c r="R485" s="26" t="str">
        <f t="shared" si="97"/>
        <v>COIN</v>
      </c>
      <c r="S485" s="26" t="str">
        <f t="shared" si="92"/>
        <v>SHORT</v>
      </c>
      <c r="T485" s="26" t="str">
        <f t="shared" si="98"/>
        <v>COIN SHORT</v>
      </c>
      <c r="U485" s="17">
        <f t="shared" si="99"/>
        <v>-66889.769172998102</v>
      </c>
      <c r="V485" s="17">
        <f t="shared" si="100"/>
        <v>0.99997952530443501</v>
      </c>
      <c r="W485" s="40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Shifted'!$AE$32:$AO$75,MATCH($R485,'Futures &amp; Perps Shifted'!$AE$30:$AO$30,0),FALSE),0),0)))</f>
        <v>0</v>
      </c>
      <c r="X485" s="17">
        <f t="shared" si="101"/>
        <v>0</v>
      </c>
      <c r="Y485" s="14" t="str">
        <f t="shared" si="102"/>
        <v>OKEX</v>
      </c>
      <c r="Z485" t="str">
        <f t="shared" si="103"/>
        <v>USDC COIN SHORT</v>
      </c>
    </row>
    <row r="486" spans="1:26" customFormat="1" x14ac:dyDescent="0.25">
      <c r="A486" s="14">
        <v>484</v>
      </c>
      <c r="B486" s="77">
        <v>44910.000003275461</v>
      </c>
      <c r="C486" s="14" t="s">
        <v>46</v>
      </c>
      <c r="D486" s="23" t="s">
        <v>216</v>
      </c>
      <c r="E486" s="23" t="s">
        <v>39</v>
      </c>
      <c r="F486" s="23">
        <v>-2453174.9918184001</v>
      </c>
      <c r="G486" s="23">
        <v>-2453433.58179043</v>
      </c>
      <c r="H486" s="23">
        <v>1.0001054103245299</v>
      </c>
      <c r="I486" s="23">
        <v>0</v>
      </c>
      <c r="J486" s="23" t="s">
        <v>266</v>
      </c>
      <c r="K486" s="24">
        <v>44910.000003275461</v>
      </c>
      <c r="L486" s="23">
        <v>1</v>
      </c>
      <c r="M486" s="23" t="s">
        <v>39</v>
      </c>
      <c r="N486" s="46">
        <f t="shared" si="93"/>
        <v>1</v>
      </c>
      <c r="O486" s="47">
        <f t="shared" si="94"/>
        <v>-2453174.9918184001</v>
      </c>
      <c r="P486" s="48">
        <f t="shared" si="95"/>
        <v>-2453433.5817904165</v>
      </c>
      <c r="Q486" s="25">
        <f t="shared" si="96"/>
        <v>0</v>
      </c>
      <c r="R486" s="26" t="str">
        <f t="shared" si="97"/>
        <v>COIN</v>
      </c>
      <c r="S486" s="26" t="str">
        <f t="shared" si="92"/>
        <v>SHORT</v>
      </c>
      <c r="T486" s="26" t="str">
        <f t="shared" si="98"/>
        <v>COIN SHORT</v>
      </c>
      <c r="U486" s="17">
        <f t="shared" si="99"/>
        <v>-2453433.58179043</v>
      </c>
      <c r="V486" s="17">
        <f t="shared" si="100"/>
        <v>1.0001054103245299</v>
      </c>
      <c r="W486" s="40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Shifted'!$AE$32:$AO$75,MATCH($R486,'Futures &amp; Perps Shifted'!$AE$30:$AO$30,0),FALSE),0),0)))</f>
        <v>0</v>
      </c>
      <c r="X486" s="17">
        <f t="shared" si="101"/>
        <v>0</v>
      </c>
      <c r="Y486" s="14" t="str">
        <f t="shared" si="102"/>
        <v>OKEX</v>
      </c>
      <c r="Z486" t="str">
        <f t="shared" si="103"/>
        <v>USDT COIN SHORT</v>
      </c>
    </row>
    <row r="487" spans="1:26" customFormat="1" x14ac:dyDescent="0.25">
      <c r="A487" s="14">
        <v>485</v>
      </c>
      <c r="B487" s="77">
        <v>44910.000001469911</v>
      </c>
      <c r="C487" s="14" t="s">
        <v>187</v>
      </c>
      <c r="D487" s="23" t="s">
        <v>217</v>
      </c>
      <c r="E487" s="23" t="s">
        <v>39</v>
      </c>
      <c r="F487" s="23">
        <v>-5926778.0706390496</v>
      </c>
      <c r="G487" s="23">
        <v>-5927402.8142389301</v>
      </c>
      <c r="H487" s="23">
        <v>1.0001054103245299</v>
      </c>
      <c r="I487" s="23">
        <v>0</v>
      </c>
      <c r="J487" s="23" t="s">
        <v>266</v>
      </c>
      <c r="K487" s="24">
        <v>44910.000001469911</v>
      </c>
      <c r="L487" s="23">
        <v>1</v>
      </c>
      <c r="M487" s="23" t="s">
        <v>39</v>
      </c>
      <c r="N487" s="46">
        <f t="shared" si="93"/>
        <v>1</v>
      </c>
      <c r="O487" s="47">
        <f t="shared" si="94"/>
        <v>-5926778.0706390496</v>
      </c>
      <c r="P487" s="48">
        <f t="shared" si="95"/>
        <v>-5927402.8142388929</v>
      </c>
      <c r="Q487" s="25">
        <f t="shared" si="96"/>
        <v>0</v>
      </c>
      <c r="R487" s="26" t="str">
        <f t="shared" si="97"/>
        <v>COIN</v>
      </c>
      <c r="S487" s="26" t="str">
        <f t="shared" si="92"/>
        <v>SHORT</v>
      </c>
      <c r="T487" s="26" t="str">
        <f t="shared" si="98"/>
        <v>COIN SHORT</v>
      </c>
      <c r="U487" s="17">
        <f t="shared" si="99"/>
        <v>-5927402.8142389301</v>
      </c>
      <c r="V487" s="17">
        <f t="shared" si="100"/>
        <v>1.0001054103245299</v>
      </c>
      <c r="W487" s="40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Shifted'!$AE$32:$AO$75,MATCH($R487,'Futures &amp; Perps Shifted'!$AE$30:$AO$30,0),FALSE),0),0)))</f>
        <v>0</v>
      </c>
      <c r="X487" s="17">
        <f t="shared" si="101"/>
        <v>0</v>
      </c>
      <c r="Y487" s="14" t="str">
        <f t="shared" si="102"/>
        <v>WOOX</v>
      </c>
      <c r="Z487" t="str">
        <f t="shared" si="103"/>
        <v>USDT COIN SHORT</v>
      </c>
    </row>
    <row r="488" spans="1:26" customFormat="1" x14ac:dyDescent="0.25">
      <c r="A488" s="14">
        <v>486</v>
      </c>
      <c r="B488" s="77">
        <v>44910.000000081018</v>
      </c>
      <c r="C488" s="14" t="s">
        <v>713</v>
      </c>
      <c r="D488" s="23" t="s">
        <v>713</v>
      </c>
      <c r="E488" s="23" t="s">
        <v>98</v>
      </c>
      <c r="F488" s="23">
        <v>8579966.9199999999</v>
      </c>
      <c r="G488" s="23">
        <v>8579966.9199999999</v>
      </c>
      <c r="H488" s="23">
        <v>1</v>
      </c>
      <c r="I488" s="23">
        <v>0</v>
      </c>
      <c r="J488" s="23" t="s">
        <v>318</v>
      </c>
      <c r="K488" s="24">
        <v>44910.000000081018</v>
      </c>
      <c r="L488" s="23">
        <v>1</v>
      </c>
      <c r="M488" s="23" t="s">
        <v>98</v>
      </c>
      <c r="N488" s="46">
        <f t="shared" si="93"/>
        <v>1</v>
      </c>
      <c r="O488" s="47">
        <f t="shared" si="94"/>
        <v>8579966.9199999999</v>
      </c>
      <c r="P488" s="48">
        <f t="shared" si="95"/>
        <v>8579966.9199999999</v>
      </c>
      <c r="Q488" s="25">
        <f t="shared" si="96"/>
        <v>0</v>
      </c>
      <c r="R488" s="26" t="str">
        <f t="shared" si="97"/>
        <v>CASH</v>
      </c>
      <c r="S488" s="26" t="str">
        <f t="shared" si="92"/>
        <v>LONG</v>
      </c>
      <c r="T488" s="26" t="str">
        <f t="shared" si="98"/>
        <v>CASH LONG</v>
      </c>
      <c r="U488" s="17">
        <f t="shared" si="99"/>
        <v>8579966.9199999999</v>
      </c>
      <c r="V488" s="17">
        <f t="shared" si="100"/>
        <v>1</v>
      </c>
      <c r="W488" s="40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Shifted'!$AE$32:$AO$75,MATCH($R488,'Futures &amp; Perps Shifted'!$AE$30:$AO$30,0),FALSE),0),0)))</f>
        <v>0</v>
      </c>
      <c r="X488" s="17">
        <f t="shared" si="101"/>
        <v>0</v>
      </c>
      <c r="Y488" s="14" t="str">
        <f t="shared" si="102"/>
        <v>WEDBUSH</v>
      </c>
      <c r="Z488" t="str">
        <f t="shared" si="103"/>
        <v>USD CASH LONG</v>
      </c>
    </row>
    <row r="489" spans="1:26" customFormat="1" x14ac:dyDescent="0.25">
      <c r="A489" s="14">
        <v>487</v>
      </c>
      <c r="B489" s="77">
        <v>44910.000000081018</v>
      </c>
      <c r="C489" s="14" t="s">
        <v>262</v>
      </c>
      <c r="D489" s="23" t="s">
        <v>262</v>
      </c>
      <c r="E489" s="23" t="s">
        <v>98</v>
      </c>
      <c r="F489" s="23">
        <v>233100.16999999899</v>
      </c>
      <c r="G489" s="23">
        <v>233100.16999999899</v>
      </c>
      <c r="H489" s="23">
        <v>1</v>
      </c>
      <c r="I489" s="23">
        <v>0</v>
      </c>
      <c r="J489" s="23" t="s">
        <v>88</v>
      </c>
      <c r="K489" s="24">
        <v>44910.000000081018</v>
      </c>
      <c r="L489" s="23">
        <v>1</v>
      </c>
      <c r="M489" s="23" t="s">
        <v>98</v>
      </c>
      <c r="N489" s="46">
        <f t="shared" si="93"/>
        <v>1</v>
      </c>
      <c r="O489" s="47">
        <f t="shared" si="94"/>
        <v>233100.16999999899</v>
      </c>
      <c r="P489" s="48">
        <f t="shared" si="95"/>
        <v>233100.16999999899</v>
      </c>
      <c r="Q489" s="25">
        <f t="shared" si="96"/>
        <v>0</v>
      </c>
      <c r="R489" s="26" t="str">
        <f t="shared" si="97"/>
        <v>CASH</v>
      </c>
      <c r="S489" s="26" t="str">
        <f t="shared" si="92"/>
        <v>LONG</v>
      </c>
      <c r="T489" s="26" t="str">
        <f t="shared" si="98"/>
        <v>CASH LONG</v>
      </c>
      <c r="U489" s="17">
        <f t="shared" si="99"/>
        <v>233100.16999999899</v>
      </c>
      <c r="V489" s="17">
        <f t="shared" si="100"/>
        <v>1</v>
      </c>
      <c r="W489" s="40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Shifted'!$AE$32:$AO$75,MATCH($R489,'Futures &amp; Perps Shifted'!$AE$30:$AO$30,0),FALSE),0),0)))</f>
        <v>0</v>
      </c>
      <c r="X489" s="17">
        <f t="shared" si="101"/>
        <v>0</v>
      </c>
      <c r="Y489" s="14" t="str">
        <f t="shared" si="102"/>
        <v>CASH</v>
      </c>
      <c r="Z489" t="str">
        <f t="shared" si="103"/>
        <v>USD CASH LONG</v>
      </c>
    </row>
    <row r="490" spans="1:26" customFormat="1" x14ac:dyDescent="0.25">
      <c r="A490" s="14">
        <v>488</v>
      </c>
      <c r="B490" s="77">
        <v>44910.000000081018</v>
      </c>
      <c r="C490" s="14" t="s">
        <v>268</v>
      </c>
      <c r="D490" s="23" t="s">
        <v>240</v>
      </c>
      <c r="E490" s="23" t="s">
        <v>98</v>
      </c>
      <c r="F490" s="23">
        <v>30714150.289999999</v>
      </c>
      <c r="G490" s="23">
        <v>30714150.289999999</v>
      </c>
      <c r="H490" s="23">
        <v>1</v>
      </c>
      <c r="I490" s="23">
        <v>0</v>
      </c>
      <c r="J490" s="23" t="s">
        <v>318</v>
      </c>
      <c r="K490" s="24">
        <v>44910.000000081018</v>
      </c>
      <c r="L490" s="23">
        <v>1</v>
      </c>
      <c r="M490" s="23" t="s">
        <v>98</v>
      </c>
      <c r="N490" s="46">
        <f t="shared" si="93"/>
        <v>1</v>
      </c>
      <c r="O490" s="47">
        <f t="shared" si="94"/>
        <v>30714150.289999999</v>
      </c>
      <c r="P490" s="48">
        <f t="shared" si="95"/>
        <v>30714150.289999999</v>
      </c>
      <c r="Q490" s="25">
        <f t="shared" si="96"/>
        <v>0</v>
      </c>
      <c r="R490" s="26" t="str">
        <f t="shared" si="97"/>
        <v>CASH</v>
      </c>
      <c r="S490" s="26" t="str">
        <f t="shared" si="92"/>
        <v>LONG</v>
      </c>
      <c r="T490" s="26" t="str">
        <f t="shared" si="98"/>
        <v>CASH LONG</v>
      </c>
      <c r="U490" s="17">
        <f t="shared" si="99"/>
        <v>30714150.289999999</v>
      </c>
      <c r="V490" s="17">
        <f t="shared" si="100"/>
        <v>1</v>
      </c>
      <c r="W490" s="40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Shifted'!$AE$32:$AO$75,MATCH($R490,'Futures &amp; Perps Shifted'!$AE$30:$AO$30,0),FALSE),0),0)))</f>
        <v>0</v>
      </c>
      <c r="X490" s="17">
        <f t="shared" si="101"/>
        <v>0</v>
      </c>
      <c r="Y490" s="14" t="str">
        <f t="shared" si="102"/>
        <v>ED&amp;F Man Capital</v>
      </c>
      <c r="Z490" t="str">
        <f t="shared" si="103"/>
        <v>USD CASH LONG</v>
      </c>
    </row>
    <row r="491" spans="1:26" customFormat="1" x14ac:dyDescent="0.25">
      <c r="A491" s="14"/>
      <c r="B491" s="77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46" t="str">
        <f t="shared" si="93"/>
        <v/>
      </c>
      <c r="O491" s="47" t="str">
        <f t="shared" si="94"/>
        <v/>
      </c>
      <c r="P491" s="48" t="str">
        <f t="shared" si="95"/>
        <v/>
      </c>
      <c r="Q491" s="25" t="str">
        <f t="shared" si="96"/>
        <v/>
      </c>
      <c r="R491" s="26" t="str">
        <f t="shared" si="97"/>
        <v/>
      </c>
      <c r="S491" s="26" t="str">
        <f t="shared" si="92"/>
        <v/>
      </c>
      <c r="T491" s="26" t="str">
        <f t="shared" si="98"/>
        <v/>
      </c>
      <c r="U491" s="17" t="str">
        <f t="shared" si="99"/>
        <v/>
      </c>
      <c r="V491" s="17" t="str">
        <f t="shared" si="100"/>
        <v/>
      </c>
      <c r="W491" s="40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Shifted'!$AE$32:$AO$75,MATCH($R491,'Futures &amp; Perps Shifted'!$AE$30:$AO$30,0),FALSE),0),0)))</f>
        <v/>
      </c>
      <c r="X491" s="17" t="str">
        <f t="shared" si="101"/>
        <v/>
      </c>
      <c r="Y491" s="14" t="str">
        <f t="shared" si="102"/>
        <v/>
      </c>
      <c r="Z491" t="str">
        <f t="shared" si="103"/>
        <v/>
      </c>
    </row>
    <row r="492" spans="1:26" customFormat="1" x14ac:dyDescent="0.25">
      <c r="A492" s="14"/>
      <c r="B492" s="77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46" t="str">
        <f t="shared" si="93"/>
        <v/>
      </c>
      <c r="O492" s="47" t="str">
        <f t="shared" si="94"/>
        <v/>
      </c>
      <c r="P492" s="48" t="str">
        <f t="shared" si="95"/>
        <v/>
      </c>
      <c r="Q492" s="25" t="str">
        <f t="shared" si="96"/>
        <v/>
      </c>
      <c r="R492" s="26" t="str">
        <f t="shared" si="97"/>
        <v/>
      </c>
      <c r="S492" s="26" t="str">
        <f t="shared" si="92"/>
        <v/>
      </c>
      <c r="T492" s="26" t="str">
        <f t="shared" si="98"/>
        <v/>
      </c>
      <c r="U492" s="17" t="str">
        <f t="shared" si="99"/>
        <v/>
      </c>
      <c r="V492" s="17" t="str">
        <f t="shared" si="100"/>
        <v/>
      </c>
      <c r="W492" s="40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Shifted'!$AE$32:$AO$75,MATCH($R492,'Futures &amp; Perps Shifted'!$AE$30:$AO$30,0),FALSE),0),0)))</f>
        <v/>
      </c>
      <c r="X492" s="17" t="str">
        <f t="shared" si="101"/>
        <v/>
      </c>
      <c r="Y492" s="14" t="str">
        <f t="shared" si="102"/>
        <v/>
      </c>
      <c r="Z492" t="str">
        <f t="shared" si="103"/>
        <v/>
      </c>
    </row>
    <row r="493" spans="1:26" customFormat="1" x14ac:dyDescent="0.25">
      <c r="A493" s="14"/>
      <c r="B493" s="77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46" t="str">
        <f t="shared" si="93"/>
        <v/>
      </c>
      <c r="O493" s="47" t="str">
        <f t="shared" si="94"/>
        <v/>
      </c>
      <c r="P493" s="48" t="str">
        <f t="shared" si="95"/>
        <v/>
      </c>
      <c r="Q493" s="25" t="str">
        <f t="shared" si="96"/>
        <v/>
      </c>
      <c r="R493" s="26" t="str">
        <f t="shared" si="97"/>
        <v/>
      </c>
      <c r="S493" s="26" t="str">
        <f t="shared" si="92"/>
        <v/>
      </c>
      <c r="T493" s="26" t="str">
        <f t="shared" si="98"/>
        <v/>
      </c>
      <c r="U493" s="17" t="str">
        <f t="shared" si="99"/>
        <v/>
      </c>
      <c r="V493" s="17" t="str">
        <f t="shared" si="100"/>
        <v/>
      </c>
      <c r="W493" s="40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Shifted'!$AE$32:$AO$75,MATCH($R493,'Futures &amp; Perps Shifted'!$AE$30:$AO$30,0),FALSE),0),0)))</f>
        <v/>
      </c>
      <c r="X493" s="17" t="str">
        <f t="shared" si="101"/>
        <v/>
      </c>
      <c r="Y493" s="14" t="str">
        <f t="shared" si="102"/>
        <v/>
      </c>
      <c r="Z493" t="str">
        <f t="shared" si="103"/>
        <v/>
      </c>
    </row>
    <row r="494" spans="1:26" customFormat="1" x14ac:dyDescent="0.25">
      <c r="A494" s="14"/>
      <c r="B494" s="77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46" t="str">
        <f t="shared" si="93"/>
        <v/>
      </c>
      <c r="O494" s="47" t="str">
        <f t="shared" si="94"/>
        <v/>
      </c>
      <c r="P494" s="48" t="str">
        <f t="shared" si="95"/>
        <v/>
      </c>
      <c r="Q494" s="25" t="str">
        <f t="shared" si="96"/>
        <v/>
      </c>
      <c r="R494" s="26" t="str">
        <f t="shared" si="97"/>
        <v/>
      </c>
      <c r="S494" s="26" t="str">
        <f t="shared" si="92"/>
        <v/>
      </c>
      <c r="T494" s="26" t="str">
        <f t="shared" si="98"/>
        <v/>
      </c>
      <c r="U494" s="17" t="str">
        <f t="shared" si="99"/>
        <v/>
      </c>
      <c r="V494" s="17" t="str">
        <f t="shared" si="100"/>
        <v/>
      </c>
      <c r="W494" s="40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Shifted'!$AE$32:$AO$75,MATCH($R494,'Futures &amp; Perps Shifted'!$AE$30:$AO$30,0),FALSE),0),0)))</f>
        <v/>
      </c>
      <c r="X494" s="17" t="str">
        <f t="shared" si="101"/>
        <v/>
      </c>
      <c r="Y494" s="14" t="str">
        <f t="shared" si="102"/>
        <v/>
      </c>
      <c r="Z494" t="str">
        <f t="shared" si="103"/>
        <v/>
      </c>
    </row>
    <row r="495" spans="1:26" customFormat="1" x14ac:dyDescent="0.25">
      <c r="A495" s="14"/>
      <c r="B495" s="77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46" t="str">
        <f t="shared" si="93"/>
        <v/>
      </c>
      <c r="O495" s="47" t="str">
        <f t="shared" si="94"/>
        <v/>
      </c>
      <c r="P495" s="48" t="str">
        <f t="shared" si="95"/>
        <v/>
      </c>
      <c r="Q495" s="25" t="str">
        <f t="shared" si="96"/>
        <v/>
      </c>
      <c r="R495" s="26" t="str">
        <f t="shared" si="97"/>
        <v/>
      </c>
      <c r="S495" s="26" t="str">
        <f t="shared" si="92"/>
        <v/>
      </c>
      <c r="T495" s="26" t="str">
        <f t="shared" si="98"/>
        <v/>
      </c>
      <c r="U495" s="17" t="str">
        <f t="shared" si="99"/>
        <v/>
      </c>
      <c r="V495" s="17" t="str">
        <f t="shared" si="100"/>
        <v/>
      </c>
      <c r="W495" s="40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Shifted'!$AE$32:$AO$75,MATCH($R495,'Futures &amp; Perps Shifted'!$AE$30:$AO$30,0),FALSE),0),0)))</f>
        <v/>
      </c>
      <c r="X495" s="17" t="str">
        <f t="shared" si="101"/>
        <v/>
      </c>
      <c r="Y495" s="14" t="str">
        <f t="shared" si="102"/>
        <v/>
      </c>
      <c r="Z495" t="str">
        <f t="shared" si="103"/>
        <v/>
      </c>
    </row>
    <row r="496" spans="1:26" customFormat="1" x14ac:dyDescent="0.25">
      <c r="A496" s="14"/>
      <c r="B496" s="77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46" t="str">
        <f t="shared" si="93"/>
        <v/>
      </c>
      <c r="O496" s="47" t="str">
        <f t="shared" si="94"/>
        <v/>
      </c>
      <c r="P496" s="48" t="str">
        <f t="shared" si="95"/>
        <v/>
      </c>
      <c r="Q496" s="25" t="str">
        <f t="shared" si="96"/>
        <v/>
      </c>
      <c r="R496" s="26" t="str">
        <f t="shared" si="97"/>
        <v/>
      </c>
      <c r="S496" s="26" t="str">
        <f t="shared" si="92"/>
        <v/>
      </c>
      <c r="T496" s="26" t="str">
        <f t="shared" si="98"/>
        <v/>
      </c>
      <c r="U496" s="17" t="str">
        <f t="shared" si="99"/>
        <v/>
      </c>
      <c r="V496" s="17" t="str">
        <f t="shared" si="100"/>
        <v/>
      </c>
      <c r="W496" s="40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Shifted'!$AE$32:$AO$75,MATCH($R496,'Futures &amp; Perps Shifted'!$AE$30:$AO$30,0),FALSE),0),0)))</f>
        <v/>
      </c>
      <c r="X496" s="17" t="str">
        <f t="shared" si="101"/>
        <v/>
      </c>
      <c r="Y496" s="14" t="str">
        <f t="shared" si="102"/>
        <v/>
      </c>
      <c r="Z496" t="str">
        <f t="shared" si="103"/>
        <v/>
      </c>
    </row>
    <row r="497" spans="1:26" customFormat="1" x14ac:dyDescent="0.25">
      <c r="A497" s="14"/>
      <c r="B497" s="77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46" t="str">
        <f t="shared" si="93"/>
        <v/>
      </c>
      <c r="O497" s="47" t="str">
        <f t="shared" si="94"/>
        <v/>
      </c>
      <c r="P497" s="48" t="str">
        <f t="shared" si="95"/>
        <v/>
      </c>
      <c r="Q497" s="25" t="str">
        <f t="shared" si="96"/>
        <v/>
      </c>
      <c r="R497" s="26" t="str">
        <f t="shared" si="97"/>
        <v/>
      </c>
      <c r="S497" s="26" t="str">
        <f t="shared" si="92"/>
        <v/>
      </c>
      <c r="T497" s="26" t="str">
        <f t="shared" si="98"/>
        <v/>
      </c>
      <c r="U497" s="17" t="str">
        <f t="shared" si="99"/>
        <v/>
      </c>
      <c r="V497" s="17" t="str">
        <f t="shared" si="100"/>
        <v/>
      </c>
      <c r="W497" s="40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Shifted'!$AE$32:$AO$75,MATCH($R497,'Futures &amp; Perps Shifted'!$AE$30:$AO$30,0),FALSE),0),0)))</f>
        <v/>
      </c>
      <c r="X497" s="17" t="str">
        <f t="shared" si="101"/>
        <v/>
      </c>
      <c r="Y497" s="14" t="str">
        <f t="shared" si="102"/>
        <v/>
      </c>
      <c r="Z497" t="str">
        <f t="shared" si="103"/>
        <v/>
      </c>
    </row>
    <row r="498" spans="1:26" customFormat="1" x14ac:dyDescent="0.25">
      <c r="A498" s="14"/>
      <c r="B498" s="77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46" t="str">
        <f t="shared" si="93"/>
        <v/>
      </c>
      <c r="O498" s="47" t="str">
        <f t="shared" si="94"/>
        <v/>
      </c>
      <c r="P498" s="48" t="str">
        <f t="shared" si="95"/>
        <v/>
      </c>
      <c r="Q498" s="25" t="str">
        <f t="shared" si="96"/>
        <v/>
      </c>
      <c r="R498" s="26" t="str">
        <f t="shared" si="97"/>
        <v/>
      </c>
      <c r="S498" s="26" t="str">
        <f t="shared" si="92"/>
        <v/>
      </c>
      <c r="T498" s="26" t="str">
        <f t="shared" si="98"/>
        <v/>
      </c>
      <c r="U498" s="17" t="str">
        <f t="shared" si="99"/>
        <v/>
      </c>
      <c r="V498" s="17" t="str">
        <f t="shared" si="100"/>
        <v/>
      </c>
      <c r="W498" s="40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Shifted'!$AE$32:$AO$75,MATCH($R498,'Futures &amp; Perps Shifted'!$AE$30:$AO$30,0),FALSE),0),0)))</f>
        <v/>
      </c>
      <c r="X498" s="17" t="str">
        <f t="shared" si="101"/>
        <v/>
      </c>
      <c r="Y498" s="14" t="str">
        <f t="shared" si="102"/>
        <v/>
      </c>
      <c r="Z498" t="str">
        <f t="shared" si="103"/>
        <v/>
      </c>
    </row>
    <row r="499" spans="1:26" customFormat="1" x14ac:dyDescent="0.25">
      <c r="A499" s="14"/>
      <c r="B499" s="77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46" t="str">
        <f t="shared" si="93"/>
        <v/>
      </c>
      <c r="O499" s="47" t="str">
        <f t="shared" si="94"/>
        <v/>
      </c>
      <c r="P499" s="48" t="str">
        <f t="shared" si="95"/>
        <v/>
      </c>
      <c r="Q499" s="25" t="str">
        <f t="shared" si="96"/>
        <v/>
      </c>
      <c r="R499" s="26" t="str">
        <f t="shared" si="97"/>
        <v/>
      </c>
      <c r="S499" s="26" t="str">
        <f t="shared" si="92"/>
        <v/>
      </c>
      <c r="T499" s="26" t="str">
        <f t="shared" si="98"/>
        <v/>
      </c>
      <c r="U499" s="17" t="str">
        <f t="shared" si="99"/>
        <v/>
      </c>
      <c r="V499" s="17" t="str">
        <f t="shared" si="100"/>
        <v/>
      </c>
      <c r="W499" s="40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Shifted'!$AE$32:$AO$75,MATCH($R499,'Futures &amp; Perps Shifted'!$AE$30:$AO$30,0),FALSE),0),0)))</f>
        <v/>
      </c>
      <c r="X499" s="17" t="str">
        <f t="shared" si="101"/>
        <v/>
      </c>
      <c r="Y499" s="14" t="str">
        <f t="shared" si="102"/>
        <v/>
      </c>
      <c r="Z499" t="str">
        <f t="shared" si="103"/>
        <v/>
      </c>
    </row>
    <row r="500" spans="1:26" customFormat="1" x14ac:dyDescent="0.25">
      <c r="A500" s="14"/>
      <c r="B500" s="77"/>
      <c r="C500" s="14"/>
      <c r="D500" s="14"/>
      <c r="E500" s="14"/>
      <c r="F500" s="14"/>
      <c r="G500" s="14"/>
      <c r="H500" s="14"/>
      <c r="I500" s="14"/>
      <c r="J500" s="14"/>
      <c r="K500" s="24"/>
      <c r="L500" s="14"/>
      <c r="M500" s="14"/>
      <c r="N500" s="46" t="str">
        <f t="shared" si="93"/>
        <v/>
      </c>
      <c r="O500" s="47" t="str">
        <f t="shared" si="94"/>
        <v/>
      </c>
      <c r="P500" s="48" t="str">
        <f t="shared" si="95"/>
        <v/>
      </c>
      <c r="Q500" s="25" t="str">
        <f t="shared" si="96"/>
        <v/>
      </c>
      <c r="R500" s="26" t="str">
        <f t="shared" si="97"/>
        <v/>
      </c>
      <c r="S500" s="26" t="str">
        <f t="shared" si="92"/>
        <v/>
      </c>
      <c r="T500" s="26" t="str">
        <f t="shared" si="98"/>
        <v/>
      </c>
      <c r="U500" s="17" t="str">
        <f t="shared" si="99"/>
        <v/>
      </c>
      <c r="V500" s="17" t="str">
        <f t="shared" si="100"/>
        <v/>
      </c>
      <c r="W500" s="4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Shifted'!$AE$32:$AO$75,MATCH($R500,'Futures &amp; Perps Shifted'!$AE$30:$AO$30,0),FALSE),0),0)))</f>
        <v/>
      </c>
      <c r="X500" s="17" t="str">
        <f t="shared" si="101"/>
        <v/>
      </c>
      <c r="Y500" s="14" t="str">
        <f t="shared" si="102"/>
        <v/>
      </c>
      <c r="Z500" t="str">
        <f t="shared" si="103"/>
        <v/>
      </c>
    </row>
    <row r="501" spans="1:26" customFormat="1" x14ac:dyDescent="0.25">
      <c r="A501" s="14"/>
      <c r="B501" s="77"/>
      <c r="C501" s="14"/>
      <c r="D501" s="14"/>
      <c r="E501" s="14"/>
      <c r="F501" s="14"/>
      <c r="G501" s="14"/>
      <c r="H501" s="14"/>
      <c r="I501" s="14"/>
      <c r="J501" s="14"/>
      <c r="K501" s="24"/>
      <c r="L501" s="14"/>
      <c r="M501" s="14"/>
      <c r="N501" s="46" t="str">
        <f t="shared" si="93"/>
        <v/>
      </c>
      <c r="O501" s="47" t="str">
        <f t="shared" si="94"/>
        <v/>
      </c>
      <c r="P501" s="48" t="str">
        <f t="shared" si="95"/>
        <v/>
      </c>
      <c r="Q501" s="25" t="str">
        <f t="shared" si="96"/>
        <v/>
      </c>
      <c r="R501" s="26" t="str">
        <f t="shared" si="97"/>
        <v/>
      </c>
      <c r="S501" s="26" t="str">
        <f t="shared" si="92"/>
        <v/>
      </c>
      <c r="T501" s="26" t="str">
        <f t="shared" si="98"/>
        <v/>
      </c>
      <c r="U501" s="17" t="str">
        <f t="shared" si="99"/>
        <v/>
      </c>
      <c r="V501" s="17" t="str">
        <f t="shared" si="100"/>
        <v/>
      </c>
      <c r="W501" s="40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Shifted'!$AE$32:$AO$75,MATCH($R501,'Futures &amp; Perps Shifted'!$AE$30:$AO$30,0),FALSE),0),0)))</f>
        <v/>
      </c>
      <c r="X501" s="17" t="str">
        <f t="shared" si="101"/>
        <v/>
      </c>
      <c r="Y501" s="14" t="str">
        <f t="shared" si="102"/>
        <v/>
      </c>
      <c r="Z501" t="str">
        <f t="shared" si="103"/>
        <v/>
      </c>
    </row>
    <row r="502" spans="1:26" customFormat="1" x14ac:dyDescent="0.25">
      <c r="A502" s="14"/>
      <c r="B502" s="77"/>
      <c r="C502" s="14"/>
      <c r="D502" s="14"/>
      <c r="E502" s="14"/>
      <c r="F502" s="14"/>
      <c r="G502" s="14"/>
      <c r="H502" s="14"/>
      <c r="I502" s="14"/>
      <c r="J502" s="14"/>
      <c r="K502" s="24"/>
      <c r="L502" s="14"/>
      <c r="M502" s="14"/>
      <c r="N502" s="46" t="str">
        <f t="shared" si="93"/>
        <v/>
      </c>
      <c r="O502" s="47" t="str">
        <f t="shared" si="94"/>
        <v/>
      </c>
      <c r="P502" s="48" t="str">
        <f t="shared" si="95"/>
        <v/>
      </c>
      <c r="Q502" s="25" t="str">
        <f t="shared" si="96"/>
        <v/>
      </c>
      <c r="R502" s="26" t="str">
        <f t="shared" si="97"/>
        <v/>
      </c>
      <c r="S502" s="26" t="str">
        <f t="shared" si="92"/>
        <v/>
      </c>
      <c r="T502" s="26" t="str">
        <f t="shared" si="98"/>
        <v/>
      </c>
      <c r="U502" s="17" t="str">
        <f t="shared" si="99"/>
        <v/>
      </c>
      <c r="V502" s="17" t="str">
        <f t="shared" si="100"/>
        <v/>
      </c>
      <c r="W502" s="40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Shifted'!$AE$32:$AO$75,MATCH($R502,'Futures &amp; Perps Shifted'!$AE$30:$AO$30,0),FALSE),0),0)))</f>
        <v/>
      </c>
      <c r="X502" s="17" t="str">
        <f t="shared" si="101"/>
        <v/>
      </c>
      <c r="Y502" s="14" t="str">
        <f t="shared" si="102"/>
        <v/>
      </c>
      <c r="Z502" t="str">
        <f t="shared" si="103"/>
        <v/>
      </c>
    </row>
    <row r="503" spans="1:26" customFormat="1" x14ac:dyDescent="0.25">
      <c r="A503" s="14"/>
      <c r="B503" s="77"/>
      <c r="C503" s="14"/>
      <c r="D503" s="14"/>
      <c r="E503" s="14"/>
      <c r="F503" s="14"/>
      <c r="G503" s="14"/>
      <c r="H503" s="14"/>
      <c r="I503" s="14"/>
      <c r="J503" s="14"/>
      <c r="K503" s="24"/>
      <c r="L503" s="14"/>
      <c r="M503" s="14"/>
      <c r="N503" s="46" t="str">
        <f t="shared" si="93"/>
        <v/>
      </c>
      <c r="O503" s="47" t="str">
        <f t="shared" si="94"/>
        <v/>
      </c>
      <c r="P503" s="48" t="str">
        <f t="shared" si="95"/>
        <v/>
      </c>
      <c r="Q503" s="25" t="str">
        <f t="shared" si="96"/>
        <v/>
      </c>
      <c r="R503" s="26" t="str">
        <f t="shared" si="97"/>
        <v/>
      </c>
      <c r="S503" s="26" t="str">
        <f t="shared" si="92"/>
        <v/>
      </c>
      <c r="T503" s="26" t="str">
        <f t="shared" si="98"/>
        <v/>
      </c>
      <c r="U503" s="17" t="str">
        <f t="shared" si="99"/>
        <v/>
      </c>
      <c r="V503" s="17" t="str">
        <f t="shared" si="100"/>
        <v/>
      </c>
      <c r="W503" s="40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Shifted'!$AE$32:$AO$75,MATCH($R503,'Futures &amp; Perps Shifted'!$AE$30:$AO$30,0),FALSE),0),0)))</f>
        <v/>
      </c>
      <c r="X503" s="17" t="str">
        <f t="shared" si="101"/>
        <v/>
      </c>
      <c r="Y503" s="14" t="str">
        <f t="shared" si="102"/>
        <v/>
      </c>
      <c r="Z503" t="str">
        <f t="shared" si="103"/>
        <v/>
      </c>
    </row>
    <row r="504" spans="1:26" customFormat="1" x14ac:dyDescent="0.25">
      <c r="A504" s="14"/>
      <c r="B504" s="77"/>
      <c r="C504" s="14"/>
      <c r="D504" s="14"/>
      <c r="E504" s="14"/>
      <c r="F504" s="14"/>
      <c r="G504" s="14"/>
      <c r="H504" s="14"/>
      <c r="I504" s="14"/>
      <c r="J504" s="14"/>
      <c r="K504" s="24"/>
      <c r="L504" s="14"/>
      <c r="M504" s="14"/>
      <c r="N504" s="46" t="str">
        <f t="shared" si="93"/>
        <v/>
      </c>
      <c r="O504" s="47" t="str">
        <f t="shared" si="94"/>
        <v/>
      </c>
      <c r="P504" s="48" t="str">
        <f t="shared" si="95"/>
        <v/>
      </c>
      <c r="Q504" s="25" t="str">
        <f t="shared" si="96"/>
        <v/>
      </c>
      <c r="R504" s="26" t="str">
        <f t="shared" si="97"/>
        <v/>
      </c>
      <c r="S504" s="26" t="str">
        <f t="shared" si="92"/>
        <v/>
      </c>
      <c r="T504" s="26" t="str">
        <f t="shared" si="98"/>
        <v/>
      </c>
      <c r="U504" s="17" t="str">
        <f t="shared" si="99"/>
        <v/>
      </c>
      <c r="V504" s="17" t="str">
        <f t="shared" si="100"/>
        <v/>
      </c>
      <c r="W504" s="40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Shifted'!$AE$32:$AO$75,MATCH($R504,'Futures &amp; Perps Shifted'!$AE$30:$AO$30,0),FALSE),0),0)))</f>
        <v/>
      </c>
      <c r="X504" s="17" t="str">
        <f t="shared" si="101"/>
        <v/>
      </c>
      <c r="Y504" s="14" t="str">
        <f t="shared" si="102"/>
        <v/>
      </c>
      <c r="Z504" t="str">
        <f t="shared" si="103"/>
        <v/>
      </c>
    </row>
    <row r="505" spans="1:26" customFormat="1" x14ac:dyDescent="0.25">
      <c r="A505" s="14"/>
      <c r="B505" s="77"/>
      <c r="C505" s="14"/>
      <c r="D505" s="14"/>
      <c r="E505" s="14"/>
      <c r="F505" s="14"/>
      <c r="G505" s="14"/>
      <c r="H505" s="14"/>
      <c r="I505" s="14"/>
      <c r="J505" s="14"/>
      <c r="K505" s="24"/>
      <c r="L505" s="14"/>
      <c r="M505" s="14"/>
      <c r="N505" s="46" t="str">
        <f t="shared" si="93"/>
        <v/>
      </c>
      <c r="O505" s="47" t="str">
        <f t="shared" si="94"/>
        <v/>
      </c>
      <c r="P505" s="48" t="str">
        <f t="shared" si="95"/>
        <v/>
      </c>
      <c r="Q505" s="25" t="str">
        <f t="shared" si="96"/>
        <v/>
      </c>
      <c r="R505" s="26" t="str">
        <f t="shared" si="97"/>
        <v/>
      </c>
      <c r="S505" s="26" t="str">
        <f t="shared" ref="S505:S554" si="104">IF($C505="","",IF($J505="CME FUTURE",IF($G505&gt;0,"LONG","SHORT"),IF($G505&gt;0,"LONG","SHORT")))</f>
        <v/>
      </c>
      <c r="T505" s="26" t="str">
        <f t="shared" si="98"/>
        <v/>
      </c>
      <c r="U505" s="17" t="str">
        <f t="shared" si="99"/>
        <v/>
      </c>
      <c r="V505" s="17" t="str">
        <f t="shared" si="100"/>
        <v/>
      </c>
      <c r="W505" s="40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Shifted'!$AE$32:$AO$75,MATCH($R505,'Futures &amp; Perps Shifted'!$AE$30:$AO$30,0),FALSE),0),0)))</f>
        <v/>
      </c>
      <c r="X505" s="17" t="str">
        <f t="shared" si="101"/>
        <v/>
      </c>
      <c r="Y505" s="14" t="str">
        <f t="shared" si="102"/>
        <v/>
      </c>
      <c r="Z505" t="str">
        <f t="shared" si="103"/>
        <v/>
      </c>
    </row>
    <row r="506" spans="1:26" customFormat="1" x14ac:dyDescent="0.25">
      <c r="A506" s="14"/>
      <c r="B506" s="77"/>
      <c r="C506" s="14"/>
      <c r="D506" s="14"/>
      <c r="E506" s="14"/>
      <c r="F506" s="14"/>
      <c r="G506" s="14"/>
      <c r="H506" s="14"/>
      <c r="I506" s="14"/>
      <c r="J506" s="14"/>
      <c r="K506" s="24"/>
      <c r="L506" s="14"/>
      <c r="M506" s="14"/>
      <c r="N506" s="46" t="str">
        <f t="shared" si="93"/>
        <v/>
      </c>
      <c r="O506" s="47" t="str">
        <f t="shared" si="94"/>
        <v/>
      </c>
      <c r="P506" s="48" t="str">
        <f t="shared" si="95"/>
        <v/>
      </c>
      <c r="Q506" s="25" t="str">
        <f t="shared" si="96"/>
        <v/>
      </c>
      <c r="R506" s="26" t="str">
        <f t="shared" si="97"/>
        <v/>
      </c>
      <c r="S506" s="26" t="str">
        <f t="shared" si="104"/>
        <v/>
      </c>
      <c r="T506" s="26" t="str">
        <f t="shared" si="98"/>
        <v/>
      </c>
      <c r="U506" s="17" t="str">
        <f t="shared" si="99"/>
        <v/>
      </c>
      <c r="V506" s="17" t="str">
        <f t="shared" si="100"/>
        <v/>
      </c>
      <c r="W506" s="40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Shifted'!$AE$32:$AO$75,MATCH($R506,'Futures &amp; Perps Shifted'!$AE$30:$AO$30,0),FALSE),0),0)))</f>
        <v/>
      </c>
      <c r="X506" s="17" t="str">
        <f t="shared" si="101"/>
        <v/>
      </c>
      <c r="Y506" s="14" t="str">
        <f t="shared" si="102"/>
        <v/>
      </c>
      <c r="Z506" t="str">
        <f t="shared" si="103"/>
        <v/>
      </c>
    </row>
    <row r="507" spans="1:26" customFormat="1" x14ac:dyDescent="0.25">
      <c r="A507" s="14"/>
      <c r="B507" s="77"/>
      <c r="C507" s="14"/>
      <c r="D507" s="14"/>
      <c r="E507" s="14"/>
      <c r="F507" s="14"/>
      <c r="G507" s="14"/>
      <c r="H507" s="14"/>
      <c r="I507" s="14"/>
      <c r="J507" s="14"/>
      <c r="K507" s="24"/>
      <c r="L507" s="14"/>
      <c r="M507" s="14"/>
      <c r="N507" s="46" t="str">
        <f t="shared" ref="N507:N554" si="105">IF($C507="","",IF(OR($J507="SWAP",$J507="FUTURE",$J507="CME FUTURE"),IF($L507=1,ROUND($G507/$H507/$F507,3),POWER(10,ROUND(LOG($G507/$F507),1))),1))</f>
        <v/>
      </c>
      <c r="O507" s="47" t="str">
        <f t="shared" si="94"/>
        <v/>
      </c>
      <c r="P507" s="48" t="str">
        <f t="shared" si="95"/>
        <v/>
      </c>
      <c r="Q507" s="25" t="str">
        <f t="shared" si="96"/>
        <v/>
      </c>
      <c r="R507" s="26" t="str">
        <f t="shared" si="97"/>
        <v/>
      </c>
      <c r="S507" s="26" t="str">
        <f t="shared" si="104"/>
        <v/>
      </c>
      <c r="T507" s="26" t="str">
        <f t="shared" si="98"/>
        <v/>
      </c>
      <c r="U507" s="17" t="str">
        <f t="shared" si="99"/>
        <v/>
      </c>
      <c r="V507" s="17" t="str">
        <f t="shared" si="100"/>
        <v/>
      </c>
      <c r="W507" s="40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Shifted'!$AE$32:$AO$75,MATCH($R507,'Futures &amp; Perps Shifted'!$AE$30:$AO$30,0),FALSE),0),0)))</f>
        <v/>
      </c>
      <c r="X507" s="17" t="str">
        <f t="shared" si="101"/>
        <v/>
      </c>
      <c r="Y507" s="14" t="str">
        <f t="shared" si="102"/>
        <v/>
      </c>
      <c r="Z507" t="str">
        <f t="shared" si="103"/>
        <v/>
      </c>
    </row>
    <row r="508" spans="1:26" customFormat="1" x14ac:dyDescent="0.25">
      <c r="A508" s="14"/>
      <c r="B508" s="77"/>
      <c r="C508" s="14"/>
      <c r="D508" s="14"/>
      <c r="E508" s="14"/>
      <c r="F508" s="14"/>
      <c r="G508" s="14"/>
      <c r="H508" s="14"/>
      <c r="I508" s="14"/>
      <c r="J508" s="14"/>
      <c r="K508" s="24"/>
      <c r="L508" s="14"/>
      <c r="M508" s="14"/>
      <c r="N508" s="46" t="str">
        <f t="shared" si="105"/>
        <v/>
      </c>
      <c r="O508" s="47" t="str">
        <f t="shared" ref="O508:O554" si="106">IF($C508="","",IF(OR($J508="SWAP",$J508="FUTURE",$J508="CME FUTURE"),IF($L508=1,$F508*$N508,$AA$2*$F508*$N508/$H508),F508))</f>
        <v/>
      </c>
      <c r="P508" s="48" t="str">
        <f t="shared" si="95"/>
        <v/>
      </c>
      <c r="Q508" s="25" t="str">
        <f t="shared" si="96"/>
        <v/>
      </c>
      <c r="R508" s="26" t="str">
        <f t="shared" si="97"/>
        <v/>
      </c>
      <c r="S508" s="26" t="str">
        <f t="shared" si="104"/>
        <v/>
      </c>
      <c r="T508" s="26" t="str">
        <f t="shared" si="98"/>
        <v/>
      </c>
      <c r="U508" s="17" t="str">
        <f t="shared" si="99"/>
        <v/>
      </c>
      <c r="V508" s="17" t="str">
        <f t="shared" si="100"/>
        <v/>
      </c>
      <c r="W508" s="40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Shifted'!$AE$32:$AO$75,MATCH($R508,'Futures &amp; Perps Shifted'!$AE$30:$AO$30,0),FALSE),0),0)))</f>
        <v/>
      </c>
      <c r="X508" s="17" t="str">
        <f t="shared" si="101"/>
        <v/>
      </c>
      <c r="Y508" s="14" t="str">
        <f t="shared" si="102"/>
        <v/>
      </c>
      <c r="Z508" t="str">
        <f t="shared" si="103"/>
        <v/>
      </c>
    </row>
    <row r="509" spans="1:26" customFormat="1" x14ac:dyDescent="0.25">
      <c r="A509" s="14"/>
      <c r="B509" s="77"/>
      <c r="C509" s="14"/>
      <c r="D509" s="14"/>
      <c r="E509" s="14"/>
      <c r="F509" s="14"/>
      <c r="G509" s="14"/>
      <c r="H509" s="14"/>
      <c r="I509" s="14"/>
      <c r="J509" s="14"/>
      <c r="K509" s="24"/>
      <c r="L509" s="14"/>
      <c r="M509" s="14"/>
      <c r="N509" s="46" t="str">
        <f t="shared" si="105"/>
        <v/>
      </c>
      <c r="O509" s="47" t="str">
        <f t="shared" si="106"/>
        <v/>
      </c>
      <c r="P509" s="48" t="str">
        <f t="shared" si="95"/>
        <v/>
      </c>
      <c r="Q509" s="25" t="str">
        <f t="shared" si="96"/>
        <v/>
      </c>
      <c r="R509" s="26" t="str">
        <f t="shared" si="97"/>
        <v/>
      </c>
      <c r="S509" s="26" t="str">
        <f t="shared" si="104"/>
        <v/>
      </c>
      <c r="T509" s="26" t="str">
        <f t="shared" si="98"/>
        <v/>
      </c>
      <c r="U509" s="17" t="str">
        <f t="shared" si="99"/>
        <v/>
      </c>
      <c r="V509" s="17" t="str">
        <f t="shared" si="100"/>
        <v/>
      </c>
      <c r="W509" s="40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Shifted'!$AE$32:$AO$75,MATCH($R509,'Futures &amp; Perps Shifted'!$AE$30:$AO$30,0),FALSE),0),0)))</f>
        <v/>
      </c>
      <c r="X509" s="17" t="str">
        <f t="shared" si="101"/>
        <v/>
      </c>
      <c r="Y509" s="14" t="str">
        <f t="shared" si="102"/>
        <v/>
      </c>
      <c r="Z509" t="str">
        <f t="shared" si="103"/>
        <v/>
      </c>
    </row>
    <row r="510" spans="1:26" customFormat="1" x14ac:dyDescent="0.25">
      <c r="A510" s="14"/>
      <c r="B510" s="77"/>
      <c r="C510" s="14"/>
      <c r="D510" s="14"/>
      <c r="E510" s="14"/>
      <c r="F510" s="14"/>
      <c r="G510" s="14"/>
      <c r="H510" s="14"/>
      <c r="I510" s="14"/>
      <c r="J510" s="14"/>
      <c r="K510" s="24"/>
      <c r="L510" s="14"/>
      <c r="M510" s="14"/>
      <c r="N510" s="46" t="str">
        <f t="shared" si="105"/>
        <v/>
      </c>
      <c r="O510" s="47" t="str">
        <f t="shared" si="106"/>
        <v/>
      </c>
      <c r="P510" s="48" t="str">
        <f t="shared" si="95"/>
        <v/>
      </c>
      <c r="Q510" s="25" t="str">
        <f t="shared" si="96"/>
        <v/>
      </c>
      <c r="R510" s="26" t="str">
        <f t="shared" si="97"/>
        <v/>
      </c>
      <c r="S510" s="26" t="str">
        <f t="shared" si="104"/>
        <v/>
      </c>
      <c r="T510" s="26" t="str">
        <f t="shared" si="98"/>
        <v/>
      </c>
      <c r="U510" s="17" t="str">
        <f t="shared" si="99"/>
        <v/>
      </c>
      <c r="V510" s="17" t="str">
        <f t="shared" si="100"/>
        <v/>
      </c>
      <c r="W510" s="4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Shifted'!$AE$32:$AO$75,MATCH($R510,'Futures &amp; Perps Shifted'!$AE$30:$AO$30,0),FALSE),0),0)))</f>
        <v/>
      </c>
      <c r="X510" s="17" t="str">
        <f t="shared" si="101"/>
        <v/>
      </c>
      <c r="Y510" s="14" t="str">
        <f t="shared" si="102"/>
        <v/>
      </c>
      <c r="Z510" t="str">
        <f t="shared" si="103"/>
        <v/>
      </c>
    </row>
    <row r="511" spans="1:26" customFormat="1" x14ac:dyDescent="0.25">
      <c r="A511" s="14"/>
      <c r="B511" s="77"/>
      <c r="C511" s="14"/>
      <c r="D511" s="14"/>
      <c r="E511" s="14"/>
      <c r="F511" s="14"/>
      <c r="G511" s="14"/>
      <c r="H511" s="14"/>
      <c r="I511" s="14"/>
      <c r="J511" s="14"/>
      <c r="K511" s="24"/>
      <c r="L511" s="14"/>
      <c r="M511" s="14"/>
      <c r="N511" s="46" t="str">
        <f t="shared" si="105"/>
        <v/>
      </c>
      <c r="O511" s="47" t="str">
        <f t="shared" si="106"/>
        <v/>
      </c>
      <c r="P511" s="48" t="str">
        <f t="shared" si="95"/>
        <v/>
      </c>
      <c r="Q511" s="25" t="str">
        <f t="shared" si="96"/>
        <v/>
      </c>
      <c r="R511" s="26" t="str">
        <f t="shared" si="97"/>
        <v/>
      </c>
      <c r="S511" s="26" t="str">
        <f t="shared" si="104"/>
        <v/>
      </c>
      <c r="T511" s="26" t="str">
        <f t="shared" si="98"/>
        <v/>
      </c>
      <c r="U511" s="17" t="str">
        <f t="shared" si="99"/>
        <v/>
      </c>
      <c r="V511" s="17" t="str">
        <f t="shared" si="100"/>
        <v/>
      </c>
      <c r="W511" s="40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Shifted'!$AE$32:$AO$75,MATCH($R511,'Futures &amp; Perps Shifted'!$AE$30:$AO$30,0),FALSE),0),0)))</f>
        <v/>
      </c>
      <c r="X511" s="17" t="str">
        <f t="shared" si="101"/>
        <v/>
      </c>
      <c r="Y511" s="14" t="str">
        <f t="shared" si="102"/>
        <v/>
      </c>
      <c r="Z511" t="str">
        <f t="shared" si="103"/>
        <v/>
      </c>
    </row>
    <row r="512" spans="1:26" customFormat="1" x14ac:dyDescent="0.25">
      <c r="A512" s="14"/>
      <c r="B512" s="77"/>
      <c r="C512" s="14"/>
      <c r="D512" s="14"/>
      <c r="E512" s="14"/>
      <c r="F512" s="14"/>
      <c r="G512" s="14"/>
      <c r="H512" s="14"/>
      <c r="I512" s="14"/>
      <c r="J512" s="14"/>
      <c r="K512" s="24"/>
      <c r="L512" s="14"/>
      <c r="M512" s="14"/>
      <c r="N512" s="46" t="str">
        <f t="shared" si="105"/>
        <v/>
      </c>
      <c r="O512" s="47" t="str">
        <f t="shared" si="106"/>
        <v/>
      </c>
      <c r="P512" s="48" t="str">
        <f t="shared" si="95"/>
        <v/>
      </c>
      <c r="Q512" s="25" t="str">
        <f t="shared" si="96"/>
        <v/>
      </c>
      <c r="R512" s="26" t="str">
        <f t="shared" si="97"/>
        <v/>
      </c>
      <c r="S512" s="26" t="str">
        <f t="shared" si="104"/>
        <v/>
      </c>
      <c r="T512" s="26" t="str">
        <f t="shared" si="98"/>
        <v/>
      </c>
      <c r="U512" s="17" t="str">
        <f t="shared" si="99"/>
        <v/>
      </c>
      <c r="V512" s="17" t="str">
        <f t="shared" si="100"/>
        <v/>
      </c>
      <c r="W512" s="40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Shifted'!$AE$32:$AO$75,MATCH($R512,'Futures &amp; Perps Shifted'!$AE$30:$AO$30,0),FALSE),0),0)))</f>
        <v/>
      </c>
      <c r="X512" s="17" t="str">
        <f t="shared" si="101"/>
        <v/>
      </c>
      <c r="Y512" s="14" t="str">
        <f t="shared" si="102"/>
        <v/>
      </c>
      <c r="Z512" t="str">
        <f t="shared" si="103"/>
        <v/>
      </c>
    </row>
    <row r="513" spans="1:26" customFormat="1" x14ac:dyDescent="0.25">
      <c r="A513" s="14"/>
      <c r="B513" s="77"/>
      <c r="C513" s="14"/>
      <c r="D513" s="14"/>
      <c r="E513" s="14"/>
      <c r="F513" s="14"/>
      <c r="G513" s="14"/>
      <c r="H513" s="14"/>
      <c r="I513" s="14"/>
      <c r="J513" s="14"/>
      <c r="K513" s="24"/>
      <c r="L513" s="14"/>
      <c r="M513" s="14"/>
      <c r="N513" s="46" t="str">
        <f t="shared" si="105"/>
        <v/>
      </c>
      <c r="O513" s="47" t="str">
        <f t="shared" si="106"/>
        <v/>
      </c>
      <c r="P513" s="48" t="str">
        <f t="shared" si="95"/>
        <v/>
      </c>
      <c r="Q513" s="25" t="str">
        <f t="shared" si="96"/>
        <v/>
      </c>
      <c r="R513" s="26" t="str">
        <f t="shared" si="97"/>
        <v/>
      </c>
      <c r="S513" s="26" t="str">
        <f t="shared" si="104"/>
        <v/>
      </c>
      <c r="T513" s="26" t="str">
        <f t="shared" si="98"/>
        <v/>
      </c>
      <c r="U513" s="17" t="str">
        <f t="shared" si="99"/>
        <v/>
      </c>
      <c r="V513" s="17" t="str">
        <f t="shared" si="100"/>
        <v/>
      </c>
      <c r="W513" s="40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Shifted'!$AE$32:$AO$75,MATCH($R513,'Futures &amp; Perps Shifted'!$AE$30:$AO$30,0),FALSE),0),0)))</f>
        <v/>
      </c>
      <c r="X513" s="17" t="str">
        <f t="shared" si="101"/>
        <v/>
      </c>
      <c r="Y513" s="14" t="str">
        <f t="shared" si="102"/>
        <v/>
      </c>
      <c r="Z513" t="str">
        <f t="shared" si="103"/>
        <v/>
      </c>
    </row>
    <row r="514" spans="1:26" customFormat="1" x14ac:dyDescent="0.25">
      <c r="A514" s="14"/>
      <c r="B514" s="77"/>
      <c r="C514" s="14"/>
      <c r="D514" s="14"/>
      <c r="E514" s="14"/>
      <c r="F514" s="14"/>
      <c r="G514" s="14"/>
      <c r="H514" s="14"/>
      <c r="I514" s="14"/>
      <c r="J514" s="14"/>
      <c r="K514" s="24"/>
      <c r="L514" s="14"/>
      <c r="M514" s="14"/>
      <c r="N514" s="46" t="str">
        <f t="shared" si="105"/>
        <v/>
      </c>
      <c r="O514" s="47" t="str">
        <f t="shared" si="106"/>
        <v/>
      </c>
      <c r="P514" s="48" t="str">
        <f t="shared" ref="P514:P554" si="107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6"/>
        <v/>
      </c>
      <c r="R514" s="26" t="str">
        <f t="shared" si="97"/>
        <v/>
      </c>
      <c r="S514" s="26" t="str">
        <f t="shared" si="104"/>
        <v/>
      </c>
      <c r="T514" s="26" t="str">
        <f t="shared" si="98"/>
        <v/>
      </c>
      <c r="U514" s="17" t="str">
        <f t="shared" si="99"/>
        <v/>
      </c>
      <c r="V514" s="17" t="str">
        <f t="shared" si="100"/>
        <v/>
      </c>
      <c r="W514" s="40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Shifted'!$AE$32:$AO$75,MATCH($R514,'Futures &amp; Perps Shifted'!$AE$30:$AO$30,0),FALSE),0),0)))</f>
        <v/>
      </c>
      <c r="X514" s="17" t="str">
        <f t="shared" si="101"/>
        <v/>
      </c>
      <c r="Y514" s="14" t="str">
        <f t="shared" si="102"/>
        <v/>
      </c>
      <c r="Z514" t="str">
        <f t="shared" si="103"/>
        <v/>
      </c>
    </row>
    <row r="515" spans="1:26" customFormat="1" x14ac:dyDescent="0.25">
      <c r="A515" s="14"/>
      <c r="B515" s="77"/>
      <c r="C515" s="14"/>
      <c r="D515" s="14"/>
      <c r="E515" s="14"/>
      <c r="F515" s="14"/>
      <c r="G515" s="14"/>
      <c r="H515" s="14"/>
      <c r="I515" s="14"/>
      <c r="J515" s="14"/>
      <c r="K515" s="24"/>
      <c r="L515" s="14"/>
      <c r="M515" s="14"/>
      <c r="N515" s="46" t="str">
        <f t="shared" si="105"/>
        <v/>
      </c>
      <c r="O515" s="47" t="str">
        <f t="shared" si="106"/>
        <v/>
      </c>
      <c r="P515" s="48" t="str">
        <f t="shared" si="107"/>
        <v/>
      </c>
      <c r="Q515" s="25" t="str">
        <f t="shared" ref="Q515:Q554" si="108">IF($C515="","",IF(OR($J515="SWAP",$J515="FUTURE",$J515="CME FUTURE"),INT($K515-$B515),0))</f>
        <v/>
      </c>
      <c r="R515" s="26" t="str">
        <f t="shared" ref="R515:R554" si="109">IF($C515="","",IF(OR($E515="USD",$E515="EUR"),"CASH",IF($Q515=0,"COIN",IF($Q515&gt;720,"PERP",IF($J515="FUTURE",TEXT($K515-1,"mmm yy"),"CME "&amp;TEXT($K515-1,"mmm yy"))))))</f>
        <v/>
      </c>
      <c r="S515" s="26" t="str">
        <f t="shared" si="104"/>
        <v/>
      </c>
      <c r="T515" s="26" t="str">
        <f t="shared" ref="T515:T554" si="110">IF($C515="","",$R515&amp;" "&amp;$S515)</f>
        <v/>
      </c>
      <c r="U515" s="17" t="str">
        <f t="shared" ref="U515:U554" si="111">IF($C515="","",$G515*(1+$W515))</f>
        <v/>
      </c>
      <c r="V515" s="17" t="str">
        <f t="shared" ref="V515:V554" si="112">IF($C515="","",$H515*(1+$W515))</f>
        <v/>
      </c>
      <c r="W515" s="40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Shifted'!$AE$32:$AO$75,MATCH($R515,'Futures &amp; Perps Shifted'!$AE$30:$AO$30,0),FALSE),0),0)))</f>
        <v/>
      </c>
      <c r="X515" s="17" t="str">
        <f t="shared" ref="X515:X554" si="113">IF($C515="","",$U515-$G515)</f>
        <v/>
      </c>
      <c r="Y515" s="14" t="str">
        <f t="shared" ref="Y515:Y554" si="114">IF($C515="","",IF(ISERROR(SEARCH("-",$D515)),$D515,LEFT($D515,SEARCH("-",$D515)-1)))</f>
        <v/>
      </c>
      <c r="Z515" t="str">
        <f t="shared" ref="Z515:Z554" si="115">IF($C515="","",$M515&amp;" "&amp;$T515)</f>
        <v/>
      </c>
    </row>
    <row r="516" spans="1:26" customFormat="1" x14ac:dyDescent="0.25">
      <c r="A516" s="14"/>
      <c r="B516" s="77"/>
      <c r="C516" s="14"/>
      <c r="D516" s="14"/>
      <c r="E516" s="14"/>
      <c r="F516" s="14"/>
      <c r="G516" s="14"/>
      <c r="H516" s="14"/>
      <c r="I516" s="14"/>
      <c r="J516" s="14"/>
      <c r="K516" s="24"/>
      <c r="L516" s="14"/>
      <c r="M516" s="14"/>
      <c r="N516" s="46" t="str">
        <f t="shared" si="105"/>
        <v/>
      </c>
      <c r="O516" s="47" t="str">
        <f t="shared" si="106"/>
        <v/>
      </c>
      <c r="P516" s="48" t="str">
        <f t="shared" si="107"/>
        <v/>
      </c>
      <c r="Q516" s="25" t="str">
        <f t="shared" si="108"/>
        <v/>
      </c>
      <c r="R516" s="26" t="str">
        <f t="shared" si="109"/>
        <v/>
      </c>
      <c r="S516" s="26" t="str">
        <f t="shared" si="104"/>
        <v/>
      </c>
      <c r="T516" s="26" t="str">
        <f t="shared" si="110"/>
        <v/>
      </c>
      <c r="U516" s="17" t="str">
        <f t="shared" si="111"/>
        <v/>
      </c>
      <c r="V516" s="17" t="str">
        <f t="shared" si="112"/>
        <v/>
      </c>
      <c r="W516" s="40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Shifted'!$AE$32:$AO$75,MATCH($R516,'Futures &amp; Perps Shifted'!$AE$30:$AO$30,0),FALSE),0),0)))</f>
        <v/>
      </c>
      <c r="X516" s="17" t="str">
        <f t="shared" si="113"/>
        <v/>
      </c>
      <c r="Y516" s="14" t="str">
        <f t="shared" si="114"/>
        <v/>
      </c>
      <c r="Z516" t="str">
        <f t="shared" si="115"/>
        <v/>
      </c>
    </row>
    <row r="517" spans="1:26" customFormat="1" x14ac:dyDescent="0.25">
      <c r="A517" s="14"/>
      <c r="B517" s="77"/>
      <c r="C517" s="14"/>
      <c r="D517" s="14"/>
      <c r="E517" s="14"/>
      <c r="F517" s="14"/>
      <c r="G517" s="14"/>
      <c r="H517" s="14"/>
      <c r="I517" s="14"/>
      <c r="J517" s="14"/>
      <c r="K517" s="24"/>
      <c r="L517" s="14"/>
      <c r="M517" s="14"/>
      <c r="N517" s="46" t="str">
        <f t="shared" si="105"/>
        <v/>
      </c>
      <c r="O517" s="47" t="str">
        <f t="shared" si="106"/>
        <v/>
      </c>
      <c r="P517" s="48" t="str">
        <f t="shared" si="107"/>
        <v/>
      </c>
      <c r="Q517" s="25" t="str">
        <f t="shared" si="108"/>
        <v/>
      </c>
      <c r="R517" s="26" t="str">
        <f t="shared" si="109"/>
        <v/>
      </c>
      <c r="S517" s="26" t="str">
        <f t="shared" si="104"/>
        <v/>
      </c>
      <c r="T517" s="26" t="str">
        <f t="shared" si="110"/>
        <v/>
      </c>
      <c r="U517" s="17" t="str">
        <f t="shared" si="111"/>
        <v/>
      </c>
      <c r="V517" s="17" t="str">
        <f t="shared" si="112"/>
        <v/>
      </c>
      <c r="W517" s="40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Shifted'!$AE$32:$AO$75,MATCH($R517,'Futures &amp; Perps Shifted'!$AE$30:$AO$30,0),FALSE),0),0)))</f>
        <v/>
      </c>
      <c r="X517" s="17" t="str">
        <f t="shared" si="113"/>
        <v/>
      </c>
      <c r="Y517" s="14" t="str">
        <f t="shared" si="114"/>
        <v/>
      </c>
      <c r="Z517" t="str">
        <f t="shared" si="115"/>
        <v/>
      </c>
    </row>
    <row r="518" spans="1:26" customFormat="1" x14ac:dyDescent="0.25">
      <c r="A518" s="14"/>
      <c r="B518" s="77"/>
      <c r="C518" s="14"/>
      <c r="D518" s="14"/>
      <c r="E518" s="14"/>
      <c r="F518" s="14"/>
      <c r="G518" s="14"/>
      <c r="H518" s="14"/>
      <c r="I518" s="14"/>
      <c r="J518" s="14"/>
      <c r="K518" s="24"/>
      <c r="L518" s="14"/>
      <c r="M518" s="14"/>
      <c r="N518" s="46" t="str">
        <f t="shared" si="105"/>
        <v/>
      </c>
      <c r="O518" s="47" t="str">
        <f t="shared" si="106"/>
        <v/>
      </c>
      <c r="P518" s="48" t="str">
        <f t="shared" si="107"/>
        <v/>
      </c>
      <c r="Q518" s="25" t="str">
        <f t="shared" si="108"/>
        <v/>
      </c>
      <c r="R518" s="26" t="str">
        <f t="shared" si="109"/>
        <v/>
      </c>
      <c r="S518" s="26" t="str">
        <f t="shared" si="104"/>
        <v/>
      </c>
      <c r="T518" s="26" t="str">
        <f t="shared" si="110"/>
        <v/>
      </c>
      <c r="U518" s="17" t="str">
        <f t="shared" si="111"/>
        <v/>
      </c>
      <c r="V518" s="17" t="str">
        <f t="shared" si="112"/>
        <v/>
      </c>
      <c r="W518" s="40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Shifted'!$AE$32:$AO$75,MATCH($R518,'Futures &amp; Perps Shifted'!$AE$30:$AO$30,0),FALSE),0),0)))</f>
        <v/>
      </c>
      <c r="X518" s="17" t="str">
        <f t="shared" si="113"/>
        <v/>
      </c>
      <c r="Y518" s="14" t="str">
        <f t="shared" si="114"/>
        <v/>
      </c>
      <c r="Z518" t="str">
        <f t="shared" si="115"/>
        <v/>
      </c>
    </row>
    <row r="519" spans="1:26" customFormat="1" x14ac:dyDescent="0.25">
      <c r="A519" s="14"/>
      <c r="B519" s="77"/>
      <c r="C519" s="14"/>
      <c r="D519" s="14"/>
      <c r="E519" s="14"/>
      <c r="F519" s="14"/>
      <c r="G519" s="14"/>
      <c r="H519" s="14"/>
      <c r="I519" s="14"/>
      <c r="J519" s="14"/>
      <c r="K519" s="24"/>
      <c r="L519" s="14"/>
      <c r="M519" s="14"/>
      <c r="N519" s="46" t="str">
        <f t="shared" si="105"/>
        <v/>
      </c>
      <c r="O519" s="47" t="str">
        <f t="shared" si="106"/>
        <v/>
      </c>
      <c r="P519" s="48" t="str">
        <f t="shared" si="107"/>
        <v/>
      </c>
      <c r="Q519" s="25" t="str">
        <f t="shared" si="108"/>
        <v/>
      </c>
      <c r="R519" s="26" t="str">
        <f t="shared" si="109"/>
        <v/>
      </c>
      <c r="S519" s="26" t="str">
        <f t="shared" si="104"/>
        <v/>
      </c>
      <c r="T519" s="26" t="str">
        <f t="shared" si="110"/>
        <v/>
      </c>
      <c r="U519" s="17" t="str">
        <f t="shared" si="111"/>
        <v/>
      </c>
      <c r="V519" s="17" t="str">
        <f t="shared" si="112"/>
        <v/>
      </c>
      <c r="W519" s="40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Shifted'!$AE$32:$AO$75,MATCH($R519,'Futures &amp; Perps Shifted'!$AE$30:$AO$30,0),FALSE),0),0)))</f>
        <v/>
      </c>
      <c r="X519" s="17" t="str">
        <f t="shared" si="113"/>
        <v/>
      </c>
      <c r="Y519" s="14" t="str">
        <f t="shared" si="114"/>
        <v/>
      </c>
      <c r="Z519" t="str">
        <f t="shared" si="115"/>
        <v/>
      </c>
    </row>
    <row r="520" spans="1:26" customFormat="1" x14ac:dyDescent="0.25">
      <c r="A520" s="14"/>
      <c r="B520" s="77"/>
      <c r="C520" s="14"/>
      <c r="D520" s="14"/>
      <c r="E520" s="14"/>
      <c r="F520" s="14"/>
      <c r="G520" s="14"/>
      <c r="H520" s="14"/>
      <c r="I520" s="14"/>
      <c r="J520" s="14"/>
      <c r="K520" s="24"/>
      <c r="L520" s="14"/>
      <c r="M520" s="14"/>
      <c r="N520" s="46" t="str">
        <f t="shared" si="105"/>
        <v/>
      </c>
      <c r="O520" s="47" t="str">
        <f t="shared" si="106"/>
        <v/>
      </c>
      <c r="P520" s="48" t="str">
        <f t="shared" si="107"/>
        <v/>
      </c>
      <c r="Q520" s="25" t="str">
        <f t="shared" si="108"/>
        <v/>
      </c>
      <c r="R520" s="26" t="str">
        <f t="shared" si="109"/>
        <v/>
      </c>
      <c r="S520" s="26" t="str">
        <f t="shared" si="104"/>
        <v/>
      </c>
      <c r="T520" s="26" t="str">
        <f t="shared" si="110"/>
        <v/>
      </c>
      <c r="U520" s="17" t="str">
        <f t="shared" si="111"/>
        <v/>
      </c>
      <c r="V520" s="17" t="str">
        <f t="shared" si="112"/>
        <v/>
      </c>
      <c r="W520" s="4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Shifted'!$AE$32:$AO$75,MATCH($R520,'Futures &amp; Perps Shifted'!$AE$30:$AO$30,0),FALSE),0),0)))</f>
        <v/>
      </c>
      <c r="X520" s="17" t="str">
        <f t="shared" si="113"/>
        <v/>
      </c>
      <c r="Y520" s="14" t="str">
        <f t="shared" si="114"/>
        <v/>
      </c>
      <c r="Z520" t="str">
        <f t="shared" si="115"/>
        <v/>
      </c>
    </row>
    <row r="521" spans="1:26" customFormat="1" x14ac:dyDescent="0.25">
      <c r="A521" s="14"/>
      <c r="B521" s="77"/>
      <c r="C521" s="14"/>
      <c r="D521" s="14"/>
      <c r="E521" s="14"/>
      <c r="F521" s="14"/>
      <c r="G521" s="14"/>
      <c r="H521" s="14"/>
      <c r="I521" s="14"/>
      <c r="J521" s="14"/>
      <c r="K521" s="24"/>
      <c r="L521" s="14"/>
      <c r="M521" s="14"/>
      <c r="N521" s="46" t="str">
        <f t="shared" si="105"/>
        <v/>
      </c>
      <c r="O521" s="47" t="str">
        <f t="shared" si="106"/>
        <v/>
      </c>
      <c r="P521" s="48" t="str">
        <f t="shared" si="107"/>
        <v/>
      </c>
      <c r="Q521" s="25" t="str">
        <f t="shared" si="108"/>
        <v/>
      </c>
      <c r="R521" s="26" t="str">
        <f t="shared" si="109"/>
        <v/>
      </c>
      <c r="S521" s="26" t="str">
        <f t="shared" si="104"/>
        <v/>
      </c>
      <c r="T521" s="26" t="str">
        <f t="shared" si="110"/>
        <v/>
      </c>
      <c r="U521" s="17" t="str">
        <f t="shared" si="111"/>
        <v/>
      </c>
      <c r="V521" s="17" t="str">
        <f t="shared" si="112"/>
        <v/>
      </c>
      <c r="W521" s="40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Shifted'!$AE$32:$AO$75,MATCH($R521,'Futures &amp; Perps Shifted'!$AE$30:$AO$30,0),FALSE),0),0)))</f>
        <v/>
      </c>
      <c r="X521" s="17" t="str">
        <f t="shared" si="113"/>
        <v/>
      </c>
      <c r="Y521" s="14" t="str">
        <f t="shared" si="114"/>
        <v/>
      </c>
      <c r="Z521" t="str">
        <f t="shared" si="115"/>
        <v/>
      </c>
    </row>
    <row r="522" spans="1:26" customFormat="1" x14ac:dyDescent="0.25">
      <c r="A522" s="14"/>
      <c r="B522" s="77"/>
      <c r="C522" s="14"/>
      <c r="D522" s="14"/>
      <c r="E522" s="14"/>
      <c r="F522" s="14"/>
      <c r="G522" s="14"/>
      <c r="H522" s="14"/>
      <c r="I522" s="14"/>
      <c r="J522" s="14"/>
      <c r="K522" s="24"/>
      <c r="L522" s="14"/>
      <c r="M522" s="14"/>
      <c r="N522" s="46" t="str">
        <f t="shared" si="105"/>
        <v/>
      </c>
      <c r="O522" s="47" t="str">
        <f t="shared" si="106"/>
        <v/>
      </c>
      <c r="P522" s="48" t="str">
        <f t="shared" si="107"/>
        <v/>
      </c>
      <c r="Q522" s="25" t="str">
        <f t="shared" si="108"/>
        <v/>
      </c>
      <c r="R522" s="26" t="str">
        <f t="shared" si="109"/>
        <v/>
      </c>
      <c r="S522" s="26" t="str">
        <f t="shared" si="104"/>
        <v/>
      </c>
      <c r="T522" s="26" t="str">
        <f t="shared" si="110"/>
        <v/>
      </c>
      <c r="U522" s="17" t="str">
        <f t="shared" si="111"/>
        <v/>
      </c>
      <c r="V522" s="17" t="str">
        <f t="shared" si="112"/>
        <v/>
      </c>
      <c r="W522" s="40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Shifted'!$AE$32:$AO$75,MATCH($R522,'Futures &amp; Perps Shifted'!$AE$30:$AO$30,0),FALSE),0),0)))</f>
        <v/>
      </c>
      <c r="X522" s="17" t="str">
        <f t="shared" si="113"/>
        <v/>
      </c>
      <c r="Y522" s="14" t="str">
        <f t="shared" si="114"/>
        <v/>
      </c>
      <c r="Z522" t="str">
        <f t="shared" si="115"/>
        <v/>
      </c>
    </row>
    <row r="523" spans="1:26" customFormat="1" x14ac:dyDescent="0.25">
      <c r="A523" s="14"/>
      <c r="B523" s="77"/>
      <c r="C523" s="14"/>
      <c r="D523" s="14"/>
      <c r="E523" s="14"/>
      <c r="F523" s="14"/>
      <c r="G523" s="14"/>
      <c r="H523" s="14"/>
      <c r="I523" s="14"/>
      <c r="J523" s="14"/>
      <c r="K523" s="24"/>
      <c r="L523" s="14"/>
      <c r="M523" s="14"/>
      <c r="N523" s="46" t="str">
        <f t="shared" si="105"/>
        <v/>
      </c>
      <c r="O523" s="47" t="str">
        <f t="shared" si="106"/>
        <v/>
      </c>
      <c r="P523" s="48" t="str">
        <f t="shared" si="107"/>
        <v/>
      </c>
      <c r="Q523" s="25" t="str">
        <f t="shared" si="108"/>
        <v/>
      </c>
      <c r="R523" s="26" t="str">
        <f t="shared" si="109"/>
        <v/>
      </c>
      <c r="S523" s="26" t="str">
        <f t="shared" si="104"/>
        <v/>
      </c>
      <c r="T523" s="26" t="str">
        <f t="shared" si="110"/>
        <v/>
      </c>
      <c r="U523" s="17" t="str">
        <f t="shared" si="111"/>
        <v/>
      </c>
      <c r="V523" s="17" t="str">
        <f t="shared" si="112"/>
        <v/>
      </c>
      <c r="W523" s="40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Shifted'!$AE$32:$AO$75,MATCH($R523,'Futures &amp; Perps Shifted'!$AE$30:$AO$30,0),FALSE),0),0)))</f>
        <v/>
      </c>
      <c r="X523" s="17" t="str">
        <f t="shared" si="113"/>
        <v/>
      </c>
      <c r="Y523" s="14" t="str">
        <f t="shared" si="114"/>
        <v/>
      </c>
      <c r="Z523" t="str">
        <f t="shared" si="115"/>
        <v/>
      </c>
    </row>
    <row r="524" spans="1:26" customFormat="1" x14ac:dyDescent="0.25">
      <c r="A524" s="14"/>
      <c r="B524" s="77"/>
      <c r="C524" s="14"/>
      <c r="D524" s="14"/>
      <c r="E524" s="14"/>
      <c r="F524" s="14"/>
      <c r="G524" s="14"/>
      <c r="H524" s="14"/>
      <c r="I524" s="14"/>
      <c r="J524" s="14"/>
      <c r="K524" s="24"/>
      <c r="L524" s="14"/>
      <c r="M524" s="14"/>
      <c r="N524" s="46" t="str">
        <f t="shared" si="105"/>
        <v/>
      </c>
      <c r="O524" s="47" t="str">
        <f t="shared" si="106"/>
        <v/>
      </c>
      <c r="P524" s="48" t="str">
        <f t="shared" si="107"/>
        <v/>
      </c>
      <c r="Q524" s="25" t="str">
        <f t="shared" si="108"/>
        <v/>
      </c>
      <c r="R524" s="26" t="str">
        <f t="shared" si="109"/>
        <v/>
      </c>
      <c r="S524" s="26" t="str">
        <f t="shared" si="104"/>
        <v/>
      </c>
      <c r="T524" s="26" t="str">
        <f t="shared" si="110"/>
        <v/>
      </c>
      <c r="U524" s="17" t="str">
        <f t="shared" si="111"/>
        <v/>
      </c>
      <c r="V524" s="17" t="str">
        <f t="shared" si="112"/>
        <v/>
      </c>
      <c r="W524" s="40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Shifted'!$AE$32:$AO$75,MATCH($R524,'Futures &amp; Perps Shifted'!$AE$30:$AO$30,0),FALSE),0),0)))</f>
        <v/>
      </c>
      <c r="X524" s="17" t="str">
        <f t="shared" si="113"/>
        <v/>
      </c>
      <c r="Y524" s="14" t="str">
        <f t="shared" si="114"/>
        <v/>
      </c>
      <c r="Z524" t="str">
        <f t="shared" si="115"/>
        <v/>
      </c>
    </row>
    <row r="525" spans="1:26" customFormat="1" x14ac:dyDescent="0.25">
      <c r="A525" s="14"/>
      <c r="B525" s="77"/>
      <c r="C525" s="14"/>
      <c r="D525" s="14"/>
      <c r="E525" s="14"/>
      <c r="F525" s="14"/>
      <c r="G525" s="14"/>
      <c r="H525" s="14"/>
      <c r="I525" s="14"/>
      <c r="J525" s="14"/>
      <c r="K525" s="24"/>
      <c r="L525" s="14"/>
      <c r="M525" s="14"/>
      <c r="N525" s="46" t="str">
        <f t="shared" si="105"/>
        <v/>
      </c>
      <c r="O525" s="47" t="str">
        <f t="shared" si="106"/>
        <v/>
      </c>
      <c r="P525" s="48" t="str">
        <f t="shared" si="107"/>
        <v/>
      </c>
      <c r="Q525" s="25" t="str">
        <f t="shared" si="108"/>
        <v/>
      </c>
      <c r="R525" s="26" t="str">
        <f t="shared" si="109"/>
        <v/>
      </c>
      <c r="S525" s="26" t="str">
        <f t="shared" si="104"/>
        <v/>
      </c>
      <c r="T525" s="26" t="str">
        <f t="shared" si="110"/>
        <v/>
      </c>
      <c r="U525" s="17" t="str">
        <f t="shared" si="111"/>
        <v/>
      </c>
      <c r="V525" s="17" t="str">
        <f t="shared" si="112"/>
        <v/>
      </c>
      <c r="W525" s="40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Shifted'!$AE$32:$AO$75,MATCH($R525,'Futures &amp; Perps Shifted'!$AE$30:$AO$30,0),FALSE),0),0)))</f>
        <v/>
      </c>
      <c r="X525" s="17" t="str">
        <f t="shared" si="113"/>
        <v/>
      </c>
      <c r="Y525" s="14" t="str">
        <f t="shared" si="114"/>
        <v/>
      </c>
      <c r="Z525" t="str">
        <f t="shared" si="115"/>
        <v/>
      </c>
    </row>
    <row r="526" spans="1:26" customFormat="1" x14ac:dyDescent="0.25">
      <c r="A526" s="14"/>
      <c r="B526" s="77"/>
      <c r="C526" s="14"/>
      <c r="D526" s="14"/>
      <c r="E526" s="14"/>
      <c r="F526" s="14"/>
      <c r="G526" s="14"/>
      <c r="H526" s="14"/>
      <c r="I526" s="14"/>
      <c r="J526" s="14"/>
      <c r="K526" s="24"/>
      <c r="L526" s="14"/>
      <c r="M526" s="14"/>
      <c r="N526" s="46" t="str">
        <f t="shared" si="105"/>
        <v/>
      </c>
      <c r="O526" s="47" t="str">
        <f t="shared" si="106"/>
        <v/>
      </c>
      <c r="P526" s="48" t="str">
        <f t="shared" si="107"/>
        <v/>
      </c>
      <c r="Q526" s="25" t="str">
        <f t="shared" si="108"/>
        <v/>
      </c>
      <c r="R526" s="26" t="str">
        <f t="shared" si="109"/>
        <v/>
      </c>
      <c r="S526" s="26" t="str">
        <f t="shared" si="104"/>
        <v/>
      </c>
      <c r="T526" s="26" t="str">
        <f t="shared" si="110"/>
        <v/>
      </c>
      <c r="U526" s="17" t="str">
        <f t="shared" si="111"/>
        <v/>
      </c>
      <c r="V526" s="17" t="str">
        <f t="shared" si="112"/>
        <v/>
      </c>
      <c r="W526" s="40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Shifted'!$AE$32:$AO$75,MATCH($R526,'Futures &amp; Perps Shifted'!$AE$30:$AO$30,0),FALSE),0),0)))</f>
        <v/>
      </c>
      <c r="X526" s="17" t="str">
        <f t="shared" si="113"/>
        <v/>
      </c>
      <c r="Y526" s="14" t="str">
        <f t="shared" si="114"/>
        <v/>
      </c>
      <c r="Z526" t="str">
        <f t="shared" si="115"/>
        <v/>
      </c>
    </row>
    <row r="527" spans="1:26" customFormat="1" x14ac:dyDescent="0.25">
      <c r="A527" s="14"/>
      <c r="B527" s="77"/>
      <c r="C527" s="14"/>
      <c r="D527" s="14"/>
      <c r="E527" s="14"/>
      <c r="F527" s="14"/>
      <c r="G527" s="14"/>
      <c r="H527" s="14"/>
      <c r="I527" s="14"/>
      <c r="J527" s="14"/>
      <c r="K527" s="24"/>
      <c r="L527" s="14"/>
      <c r="M527" s="14"/>
      <c r="N527" s="46" t="str">
        <f t="shared" si="105"/>
        <v/>
      </c>
      <c r="O527" s="47" t="str">
        <f t="shared" si="106"/>
        <v/>
      </c>
      <c r="P527" s="48" t="str">
        <f t="shared" si="107"/>
        <v/>
      </c>
      <c r="Q527" s="25" t="str">
        <f t="shared" si="108"/>
        <v/>
      </c>
      <c r="R527" s="26" t="str">
        <f t="shared" si="109"/>
        <v/>
      </c>
      <c r="S527" s="26" t="str">
        <f t="shared" si="104"/>
        <v/>
      </c>
      <c r="T527" s="26" t="str">
        <f t="shared" si="110"/>
        <v/>
      </c>
      <c r="U527" s="17" t="str">
        <f t="shared" si="111"/>
        <v/>
      </c>
      <c r="V527" s="17" t="str">
        <f t="shared" si="112"/>
        <v/>
      </c>
      <c r="W527" s="40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Shifted'!$AE$32:$AO$75,MATCH($R527,'Futures &amp; Perps Shifted'!$AE$30:$AO$30,0),FALSE),0),0)))</f>
        <v/>
      </c>
      <c r="X527" s="17" t="str">
        <f t="shared" si="113"/>
        <v/>
      </c>
      <c r="Y527" s="14" t="str">
        <f t="shared" si="114"/>
        <v/>
      </c>
      <c r="Z527" t="str">
        <f t="shared" si="115"/>
        <v/>
      </c>
    </row>
    <row r="528" spans="1:26" customFormat="1" x14ac:dyDescent="0.25">
      <c r="A528" s="14"/>
      <c r="B528" s="77"/>
      <c r="C528" s="14"/>
      <c r="D528" s="14"/>
      <c r="E528" s="14"/>
      <c r="F528" s="14"/>
      <c r="G528" s="14"/>
      <c r="H528" s="14"/>
      <c r="I528" s="14"/>
      <c r="J528" s="14"/>
      <c r="K528" s="24"/>
      <c r="L528" s="14"/>
      <c r="M528" s="14"/>
      <c r="N528" s="46" t="str">
        <f t="shared" si="105"/>
        <v/>
      </c>
      <c r="O528" s="47" t="str">
        <f t="shared" si="106"/>
        <v/>
      </c>
      <c r="P528" s="48" t="str">
        <f t="shared" si="107"/>
        <v/>
      </c>
      <c r="Q528" s="25" t="str">
        <f t="shared" si="108"/>
        <v/>
      </c>
      <c r="R528" s="26" t="str">
        <f t="shared" si="109"/>
        <v/>
      </c>
      <c r="S528" s="26" t="str">
        <f t="shared" si="104"/>
        <v/>
      </c>
      <c r="T528" s="26" t="str">
        <f t="shared" si="110"/>
        <v/>
      </c>
      <c r="U528" s="17" t="str">
        <f t="shared" si="111"/>
        <v/>
      </c>
      <c r="V528" s="17" t="str">
        <f t="shared" si="112"/>
        <v/>
      </c>
      <c r="W528" s="40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Shifted'!$AE$32:$AO$75,MATCH($R528,'Futures &amp; Perps Shifted'!$AE$30:$AO$30,0),FALSE),0),0)))</f>
        <v/>
      </c>
      <c r="X528" s="17" t="str">
        <f t="shared" si="113"/>
        <v/>
      </c>
      <c r="Y528" s="14" t="str">
        <f t="shared" si="114"/>
        <v/>
      </c>
      <c r="Z528" t="str">
        <f t="shared" si="115"/>
        <v/>
      </c>
    </row>
    <row r="529" spans="1:26" customFormat="1" x14ac:dyDescent="0.25">
      <c r="A529" s="14"/>
      <c r="B529" s="77"/>
      <c r="C529" s="14"/>
      <c r="D529" s="14"/>
      <c r="E529" s="14"/>
      <c r="F529" s="14"/>
      <c r="G529" s="14"/>
      <c r="H529" s="14"/>
      <c r="I529" s="14"/>
      <c r="J529" s="14"/>
      <c r="K529" s="24"/>
      <c r="L529" s="14"/>
      <c r="M529" s="14"/>
      <c r="N529" s="46" t="str">
        <f t="shared" si="105"/>
        <v/>
      </c>
      <c r="O529" s="47" t="str">
        <f t="shared" si="106"/>
        <v/>
      </c>
      <c r="P529" s="48" t="str">
        <f t="shared" si="107"/>
        <v/>
      </c>
      <c r="Q529" s="25" t="str">
        <f t="shared" si="108"/>
        <v/>
      </c>
      <c r="R529" s="26" t="str">
        <f t="shared" si="109"/>
        <v/>
      </c>
      <c r="S529" s="26" t="str">
        <f t="shared" si="104"/>
        <v/>
      </c>
      <c r="T529" s="26" t="str">
        <f t="shared" si="110"/>
        <v/>
      </c>
      <c r="U529" s="17" t="str">
        <f t="shared" si="111"/>
        <v/>
      </c>
      <c r="V529" s="17" t="str">
        <f t="shared" si="112"/>
        <v/>
      </c>
      <c r="W529" s="40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Shifted'!$AE$32:$AO$75,MATCH($R529,'Futures &amp; Perps Shifted'!$AE$30:$AO$30,0),FALSE),0),0)))</f>
        <v/>
      </c>
      <c r="X529" s="17" t="str">
        <f t="shared" si="113"/>
        <v/>
      </c>
      <c r="Y529" s="14" t="str">
        <f t="shared" si="114"/>
        <v/>
      </c>
      <c r="Z529" t="str">
        <f t="shared" si="115"/>
        <v/>
      </c>
    </row>
    <row r="530" spans="1:26" customFormat="1" x14ac:dyDescent="0.25">
      <c r="A530" s="14"/>
      <c r="B530" s="77"/>
      <c r="C530" s="14"/>
      <c r="D530" s="14"/>
      <c r="E530" s="14"/>
      <c r="F530" s="14"/>
      <c r="G530" s="14"/>
      <c r="H530" s="14"/>
      <c r="I530" s="14"/>
      <c r="J530" s="14"/>
      <c r="K530" s="24"/>
      <c r="L530" s="14"/>
      <c r="M530" s="14"/>
      <c r="N530" s="46" t="str">
        <f t="shared" si="105"/>
        <v/>
      </c>
      <c r="O530" s="47" t="str">
        <f t="shared" si="106"/>
        <v/>
      </c>
      <c r="P530" s="48" t="str">
        <f t="shared" si="107"/>
        <v/>
      </c>
      <c r="Q530" s="25" t="str">
        <f t="shared" si="108"/>
        <v/>
      </c>
      <c r="R530" s="26" t="str">
        <f t="shared" si="109"/>
        <v/>
      </c>
      <c r="S530" s="26" t="str">
        <f t="shared" si="104"/>
        <v/>
      </c>
      <c r="T530" s="26" t="str">
        <f t="shared" si="110"/>
        <v/>
      </c>
      <c r="U530" s="17" t="str">
        <f t="shared" si="111"/>
        <v/>
      </c>
      <c r="V530" s="17" t="str">
        <f t="shared" si="112"/>
        <v/>
      </c>
      <c r="W530" s="4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Shifted'!$AE$32:$AO$75,MATCH($R530,'Futures &amp; Perps Shifted'!$AE$30:$AO$30,0),FALSE),0),0)))</f>
        <v/>
      </c>
      <c r="X530" s="17" t="str">
        <f t="shared" si="113"/>
        <v/>
      </c>
      <c r="Y530" s="14" t="str">
        <f t="shared" si="114"/>
        <v/>
      </c>
      <c r="Z530" t="str">
        <f t="shared" si="115"/>
        <v/>
      </c>
    </row>
    <row r="531" spans="1:26" customFormat="1" x14ac:dyDescent="0.25">
      <c r="A531" s="14"/>
      <c r="B531" s="77"/>
      <c r="C531" s="14"/>
      <c r="D531" s="14"/>
      <c r="E531" s="14"/>
      <c r="F531" s="14"/>
      <c r="G531" s="14"/>
      <c r="H531" s="14"/>
      <c r="I531" s="14"/>
      <c r="J531" s="14"/>
      <c r="K531" s="24"/>
      <c r="L531" s="14"/>
      <c r="M531" s="14"/>
      <c r="N531" s="46" t="str">
        <f t="shared" si="105"/>
        <v/>
      </c>
      <c r="O531" s="47" t="str">
        <f t="shared" si="106"/>
        <v/>
      </c>
      <c r="P531" s="48" t="str">
        <f t="shared" si="107"/>
        <v/>
      </c>
      <c r="Q531" s="25" t="str">
        <f t="shared" si="108"/>
        <v/>
      </c>
      <c r="R531" s="26" t="str">
        <f t="shared" si="109"/>
        <v/>
      </c>
      <c r="S531" s="26" t="str">
        <f t="shared" si="104"/>
        <v/>
      </c>
      <c r="T531" s="26" t="str">
        <f t="shared" si="110"/>
        <v/>
      </c>
      <c r="U531" s="17" t="str">
        <f t="shared" si="111"/>
        <v/>
      </c>
      <c r="V531" s="17" t="str">
        <f t="shared" si="112"/>
        <v/>
      </c>
      <c r="W531" s="40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Shifted'!$AE$32:$AO$75,MATCH($R531,'Futures &amp; Perps Shifted'!$AE$30:$AO$30,0),FALSE),0),0)))</f>
        <v/>
      </c>
      <c r="X531" s="17" t="str">
        <f t="shared" si="113"/>
        <v/>
      </c>
      <c r="Y531" s="14" t="str">
        <f t="shared" si="114"/>
        <v/>
      </c>
      <c r="Z531" t="str">
        <f t="shared" si="115"/>
        <v/>
      </c>
    </row>
    <row r="532" spans="1:26" customFormat="1" x14ac:dyDescent="0.25">
      <c r="A532" s="14"/>
      <c r="B532" s="77"/>
      <c r="C532" s="14"/>
      <c r="D532" s="14"/>
      <c r="E532" s="14"/>
      <c r="F532" s="14"/>
      <c r="G532" s="14"/>
      <c r="H532" s="14"/>
      <c r="I532" s="14"/>
      <c r="J532" s="14"/>
      <c r="K532" s="24"/>
      <c r="L532" s="14"/>
      <c r="M532" s="14"/>
      <c r="N532" s="46" t="str">
        <f t="shared" si="105"/>
        <v/>
      </c>
      <c r="O532" s="47" t="str">
        <f t="shared" si="106"/>
        <v/>
      </c>
      <c r="P532" s="48" t="str">
        <f t="shared" si="107"/>
        <v/>
      </c>
      <c r="Q532" s="25" t="str">
        <f t="shared" si="108"/>
        <v/>
      </c>
      <c r="R532" s="26" t="str">
        <f t="shared" si="109"/>
        <v/>
      </c>
      <c r="S532" s="26" t="str">
        <f t="shared" si="104"/>
        <v/>
      </c>
      <c r="T532" s="26" t="str">
        <f t="shared" si="110"/>
        <v/>
      </c>
      <c r="U532" s="17" t="str">
        <f t="shared" si="111"/>
        <v/>
      </c>
      <c r="V532" s="17" t="str">
        <f t="shared" si="112"/>
        <v/>
      </c>
      <c r="W532" s="40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Shifted'!$AE$32:$AO$75,MATCH($R532,'Futures &amp; Perps Shifted'!$AE$30:$AO$30,0),FALSE),0),0)))</f>
        <v/>
      </c>
      <c r="X532" s="17" t="str">
        <f t="shared" si="113"/>
        <v/>
      </c>
      <c r="Y532" s="14" t="str">
        <f t="shared" si="114"/>
        <v/>
      </c>
      <c r="Z532" t="str">
        <f t="shared" si="115"/>
        <v/>
      </c>
    </row>
    <row r="533" spans="1:26" customFormat="1" x14ac:dyDescent="0.25">
      <c r="A533" s="14"/>
      <c r="B533" s="77"/>
      <c r="C533" s="14"/>
      <c r="D533" s="14"/>
      <c r="E533" s="14"/>
      <c r="F533" s="14"/>
      <c r="G533" s="14"/>
      <c r="H533" s="14"/>
      <c r="I533" s="14"/>
      <c r="J533" s="14"/>
      <c r="K533" s="24"/>
      <c r="L533" s="14"/>
      <c r="M533" s="14"/>
      <c r="N533" s="46" t="str">
        <f t="shared" si="105"/>
        <v/>
      </c>
      <c r="O533" s="47" t="str">
        <f t="shared" si="106"/>
        <v/>
      </c>
      <c r="P533" s="48" t="str">
        <f t="shared" si="107"/>
        <v/>
      </c>
      <c r="Q533" s="25" t="str">
        <f t="shared" si="108"/>
        <v/>
      </c>
      <c r="R533" s="26" t="str">
        <f t="shared" si="109"/>
        <v/>
      </c>
      <c r="S533" s="26" t="str">
        <f t="shared" si="104"/>
        <v/>
      </c>
      <c r="T533" s="26" t="str">
        <f t="shared" si="110"/>
        <v/>
      </c>
      <c r="U533" s="17" t="str">
        <f t="shared" si="111"/>
        <v/>
      </c>
      <c r="V533" s="17" t="str">
        <f t="shared" si="112"/>
        <v/>
      </c>
      <c r="W533" s="40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Shifted'!$AE$32:$AO$75,MATCH($R533,'Futures &amp; Perps Shifted'!$AE$30:$AO$30,0),FALSE),0),0)))</f>
        <v/>
      </c>
      <c r="X533" s="17" t="str">
        <f t="shared" si="113"/>
        <v/>
      </c>
      <c r="Y533" s="14" t="str">
        <f t="shared" si="114"/>
        <v/>
      </c>
      <c r="Z533" t="str">
        <f t="shared" si="115"/>
        <v/>
      </c>
    </row>
    <row r="534" spans="1:26" customFormat="1" x14ac:dyDescent="0.25">
      <c r="A534" s="14"/>
      <c r="B534" s="77"/>
      <c r="C534" s="14"/>
      <c r="D534" s="14"/>
      <c r="E534" s="14"/>
      <c r="F534" s="14"/>
      <c r="G534" s="14"/>
      <c r="H534" s="14"/>
      <c r="I534" s="14"/>
      <c r="J534" s="14"/>
      <c r="K534" s="24"/>
      <c r="L534" s="14"/>
      <c r="M534" s="14"/>
      <c r="N534" s="46" t="str">
        <f t="shared" si="105"/>
        <v/>
      </c>
      <c r="O534" s="47" t="str">
        <f t="shared" si="106"/>
        <v/>
      </c>
      <c r="P534" s="48" t="str">
        <f t="shared" si="107"/>
        <v/>
      </c>
      <c r="Q534" s="25" t="str">
        <f t="shared" si="108"/>
        <v/>
      </c>
      <c r="R534" s="26" t="str">
        <f t="shared" si="109"/>
        <v/>
      </c>
      <c r="S534" s="26" t="str">
        <f t="shared" si="104"/>
        <v/>
      </c>
      <c r="T534" s="26" t="str">
        <f t="shared" si="110"/>
        <v/>
      </c>
      <c r="U534" s="17" t="str">
        <f t="shared" si="111"/>
        <v/>
      </c>
      <c r="V534" s="17" t="str">
        <f t="shared" si="112"/>
        <v/>
      </c>
      <c r="W534" s="40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Shifted'!$AE$32:$AO$75,MATCH($R534,'Futures &amp; Perps Shifted'!$AE$30:$AO$30,0),FALSE),0),0)))</f>
        <v/>
      </c>
      <c r="X534" s="17" t="str">
        <f t="shared" si="113"/>
        <v/>
      </c>
      <c r="Y534" s="14" t="str">
        <f t="shared" si="114"/>
        <v/>
      </c>
      <c r="Z534" t="str">
        <f t="shared" si="115"/>
        <v/>
      </c>
    </row>
    <row r="535" spans="1:26" customFormat="1" x14ac:dyDescent="0.25">
      <c r="A535" s="14"/>
      <c r="B535" s="77"/>
      <c r="C535" s="14"/>
      <c r="D535" s="14"/>
      <c r="E535" s="14"/>
      <c r="F535" s="14"/>
      <c r="G535" s="14"/>
      <c r="H535" s="14"/>
      <c r="I535" s="14"/>
      <c r="J535" s="14"/>
      <c r="K535" s="24"/>
      <c r="L535" s="14"/>
      <c r="M535" s="14"/>
      <c r="N535" s="46" t="str">
        <f t="shared" si="105"/>
        <v/>
      </c>
      <c r="O535" s="47" t="str">
        <f t="shared" si="106"/>
        <v/>
      </c>
      <c r="P535" s="48" t="str">
        <f t="shared" si="107"/>
        <v/>
      </c>
      <c r="Q535" s="25" t="str">
        <f t="shared" si="108"/>
        <v/>
      </c>
      <c r="R535" s="26" t="str">
        <f t="shared" si="109"/>
        <v/>
      </c>
      <c r="S535" s="26" t="str">
        <f t="shared" si="104"/>
        <v/>
      </c>
      <c r="T535" s="26" t="str">
        <f t="shared" si="110"/>
        <v/>
      </c>
      <c r="U535" s="17" t="str">
        <f t="shared" si="111"/>
        <v/>
      </c>
      <c r="V535" s="17" t="str">
        <f t="shared" si="112"/>
        <v/>
      </c>
      <c r="W535" s="40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Shifted'!$AE$32:$AO$75,MATCH($R535,'Futures &amp; Perps Shifted'!$AE$30:$AO$30,0),FALSE),0),0)))</f>
        <v/>
      </c>
      <c r="X535" s="17" t="str">
        <f t="shared" si="113"/>
        <v/>
      </c>
      <c r="Y535" s="14" t="str">
        <f t="shared" si="114"/>
        <v/>
      </c>
      <c r="Z535" t="str">
        <f t="shared" si="115"/>
        <v/>
      </c>
    </row>
    <row r="536" spans="1:26" customFormat="1" x14ac:dyDescent="0.25">
      <c r="A536" s="14"/>
      <c r="B536" s="77"/>
      <c r="C536" s="14"/>
      <c r="D536" s="14"/>
      <c r="E536" s="14"/>
      <c r="F536" s="14"/>
      <c r="G536" s="14"/>
      <c r="H536" s="14"/>
      <c r="I536" s="14"/>
      <c r="J536" s="14"/>
      <c r="K536" s="24"/>
      <c r="L536" s="14"/>
      <c r="M536" s="14"/>
      <c r="N536" s="46" t="str">
        <f t="shared" si="105"/>
        <v/>
      </c>
      <c r="O536" s="47" t="str">
        <f t="shared" si="106"/>
        <v/>
      </c>
      <c r="P536" s="48" t="str">
        <f t="shared" si="107"/>
        <v/>
      </c>
      <c r="Q536" s="25" t="str">
        <f t="shared" si="108"/>
        <v/>
      </c>
      <c r="R536" s="26" t="str">
        <f t="shared" si="109"/>
        <v/>
      </c>
      <c r="S536" s="26" t="str">
        <f t="shared" si="104"/>
        <v/>
      </c>
      <c r="T536" s="26" t="str">
        <f t="shared" si="110"/>
        <v/>
      </c>
      <c r="U536" s="17" t="str">
        <f t="shared" si="111"/>
        <v/>
      </c>
      <c r="V536" s="17" t="str">
        <f t="shared" si="112"/>
        <v/>
      </c>
      <c r="W536" s="40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Shifted'!$AE$32:$AO$75,MATCH($R536,'Futures &amp; Perps Shifted'!$AE$30:$AO$30,0),FALSE),0),0)))</f>
        <v/>
      </c>
      <c r="X536" s="17" t="str">
        <f t="shared" si="113"/>
        <v/>
      </c>
      <c r="Y536" s="14" t="str">
        <f t="shared" si="114"/>
        <v/>
      </c>
      <c r="Z536" t="str">
        <f t="shared" si="115"/>
        <v/>
      </c>
    </row>
    <row r="537" spans="1:26" customFormat="1" x14ac:dyDescent="0.25">
      <c r="A537" s="14"/>
      <c r="B537" s="77"/>
      <c r="C537" s="14"/>
      <c r="D537" s="14"/>
      <c r="E537" s="14"/>
      <c r="F537" s="14"/>
      <c r="G537" s="14"/>
      <c r="H537" s="14"/>
      <c r="I537" s="14"/>
      <c r="J537" s="14"/>
      <c r="K537" s="24"/>
      <c r="L537" s="14"/>
      <c r="M537" s="14"/>
      <c r="N537" s="46" t="str">
        <f t="shared" si="105"/>
        <v/>
      </c>
      <c r="O537" s="47" t="str">
        <f t="shared" si="106"/>
        <v/>
      </c>
      <c r="P537" s="48" t="str">
        <f t="shared" si="107"/>
        <v/>
      </c>
      <c r="Q537" s="25" t="str">
        <f t="shared" si="108"/>
        <v/>
      </c>
      <c r="R537" s="26" t="str">
        <f t="shared" si="109"/>
        <v/>
      </c>
      <c r="S537" s="26" t="str">
        <f t="shared" si="104"/>
        <v/>
      </c>
      <c r="T537" s="26" t="str">
        <f t="shared" si="110"/>
        <v/>
      </c>
      <c r="U537" s="17" t="str">
        <f t="shared" si="111"/>
        <v/>
      </c>
      <c r="V537" s="17" t="str">
        <f t="shared" si="112"/>
        <v/>
      </c>
      <c r="W537" s="40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Shifted'!$AE$32:$AO$75,MATCH($R537,'Futures &amp; Perps Shifted'!$AE$30:$AO$30,0),FALSE),0),0)))</f>
        <v/>
      </c>
      <c r="X537" s="17" t="str">
        <f t="shared" si="113"/>
        <v/>
      </c>
      <c r="Y537" s="14" t="str">
        <f t="shared" si="114"/>
        <v/>
      </c>
      <c r="Z537" t="str">
        <f t="shared" si="115"/>
        <v/>
      </c>
    </row>
    <row r="538" spans="1:26" customFormat="1" x14ac:dyDescent="0.25">
      <c r="A538" s="14"/>
      <c r="B538" s="77"/>
      <c r="C538" s="14"/>
      <c r="D538" s="14"/>
      <c r="E538" s="14"/>
      <c r="F538" s="14"/>
      <c r="G538" s="14"/>
      <c r="H538" s="14"/>
      <c r="I538" s="14"/>
      <c r="J538" s="14"/>
      <c r="K538" s="24"/>
      <c r="L538" s="14"/>
      <c r="M538" s="14"/>
      <c r="N538" s="46" t="str">
        <f t="shared" si="105"/>
        <v/>
      </c>
      <c r="O538" s="47" t="str">
        <f t="shared" si="106"/>
        <v/>
      </c>
      <c r="P538" s="48" t="str">
        <f t="shared" si="107"/>
        <v/>
      </c>
      <c r="Q538" s="25" t="str">
        <f t="shared" si="108"/>
        <v/>
      </c>
      <c r="R538" s="26" t="str">
        <f t="shared" si="109"/>
        <v/>
      </c>
      <c r="S538" s="26" t="str">
        <f t="shared" si="104"/>
        <v/>
      </c>
      <c r="T538" s="26" t="str">
        <f t="shared" si="110"/>
        <v/>
      </c>
      <c r="U538" s="17" t="str">
        <f t="shared" si="111"/>
        <v/>
      </c>
      <c r="V538" s="17" t="str">
        <f t="shared" si="112"/>
        <v/>
      </c>
      <c r="W538" s="40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Shifted'!$AE$32:$AO$75,MATCH($R538,'Futures &amp; Perps Shifted'!$AE$30:$AO$30,0),FALSE),0),0)))</f>
        <v/>
      </c>
      <c r="X538" s="17" t="str">
        <f t="shared" si="113"/>
        <v/>
      </c>
      <c r="Y538" s="14" t="str">
        <f t="shared" si="114"/>
        <v/>
      </c>
      <c r="Z538" t="str">
        <f t="shared" si="115"/>
        <v/>
      </c>
    </row>
    <row r="539" spans="1:26" customFormat="1" x14ac:dyDescent="0.25">
      <c r="A539" s="14"/>
      <c r="B539" s="77"/>
      <c r="C539" s="14"/>
      <c r="D539" s="14"/>
      <c r="E539" s="14"/>
      <c r="F539" s="14"/>
      <c r="G539" s="14"/>
      <c r="H539" s="14"/>
      <c r="I539" s="14"/>
      <c r="J539" s="14"/>
      <c r="K539" s="24"/>
      <c r="L539" s="14"/>
      <c r="M539" s="14"/>
      <c r="N539" s="46" t="str">
        <f t="shared" si="105"/>
        <v/>
      </c>
      <c r="O539" s="47" t="str">
        <f t="shared" si="106"/>
        <v/>
      </c>
      <c r="P539" s="48" t="str">
        <f t="shared" si="107"/>
        <v/>
      </c>
      <c r="Q539" s="25" t="str">
        <f t="shared" si="108"/>
        <v/>
      </c>
      <c r="R539" s="26" t="str">
        <f t="shared" si="109"/>
        <v/>
      </c>
      <c r="S539" s="26" t="str">
        <f t="shared" si="104"/>
        <v/>
      </c>
      <c r="T539" s="26" t="str">
        <f t="shared" si="110"/>
        <v/>
      </c>
      <c r="U539" s="17" t="str">
        <f t="shared" si="111"/>
        <v/>
      </c>
      <c r="V539" s="17" t="str">
        <f t="shared" si="112"/>
        <v/>
      </c>
      <c r="W539" s="40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Shifted'!$AE$32:$AO$75,MATCH($R539,'Futures &amp; Perps Shifted'!$AE$30:$AO$30,0),FALSE),0),0)))</f>
        <v/>
      </c>
      <c r="X539" s="17" t="str">
        <f t="shared" si="113"/>
        <v/>
      </c>
      <c r="Y539" s="14" t="str">
        <f t="shared" si="114"/>
        <v/>
      </c>
      <c r="Z539" t="str">
        <f t="shared" si="115"/>
        <v/>
      </c>
    </row>
    <row r="540" spans="1:26" customFormat="1" x14ac:dyDescent="0.25">
      <c r="A540" s="14"/>
      <c r="B540" s="77"/>
      <c r="C540" s="14"/>
      <c r="D540" s="14"/>
      <c r="E540" s="14"/>
      <c r="F540" s="14"/>
      <c r="G540" s="14"/>
      <c r="H540" s="14"/>
      <c r="I540" s="14"/>
      <c r="J540" s="14"/>
      <c r="K540" s="24"/>
      <c r="L540" s="14"/>
      <c r="M540" s="14"/>
      <c r="N540" s="46" t="str">
        <f t="shared" si="105"/>
        <v/>
      </c>
      <c r="O540" s="47" t="str">
        <f t="shared" si="106"/>
        <v/>
      </c>
      <c r="P540" s="48" t="str">
        <f t="shared" si="107"/>
        <v/>
      </c>
      <c r="Q540" s="25" t="str">
        <f t="shared" si="108"/>
        <v/>
      </c>
      <c r="R540" s="26" t="str">
        <f t="shared" si="109"/>
        <v/>
      </c>
      <c r="S540" s="26" t="str">
        <f t="shared" si="104"/>
        <v/>
      </c>
      <c r="T540" s="26" t="str">
        <f t="shared" si="110"/>
        <v/>
      </c>
      <c r="U540" s="17" t="str">
        <f t="shared" si="111"/>
        <v/>
      </c>
      <c r="V540" s="17" t="str">
        <f t="shared" si="112"/>
        <v/>
      </c>
      <c r="W540" s="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Shifted'!$AE$32:$AO$75,MATCH($R540,'Futures &amp; Perps Shifted'!$AE$30:$AO$30,0),FALSE),0),0)))</f>
        <v/>
      </c>
      <c r="X540" s="17" t="str">
        <f t="shared" si="113"/>
        <v/>
      </c>
      <c r="Y540" s="14" t="str">
        <f t="shared" si="114"/>
        <v/>
      </c>
      <c r="Z540" t="str">
        <f t="shared" si="115"/>
        <v/>
      </c>
    </row>
    <row r="541" spans="1:26" customFormat="1" x14ac:dyDescent="0.25">
      <c r="A541" s="14"/>
      <c r="B541" s="77"/>
      <c r="C541" s="14"/>
      <c r="D541" s="14"/>
      <c r="E541" s="14"/>
      <c r="F541" s="14"/>
      <c r="G541" s="14"/>
      <c r="H541" s="14"/>
      <c r="I541" s="14"/>
      <c r="J541" s="14"/>
      <c r="K541" s="24"/>
      <c r="L541" s="14"/>
      <c r="M541" s="14"/>
      <c r="N541" s="46" t="str">
        <f t="shared" si="105"/>
        <v/>
      </c>
      <c r="O541" s="47" t="str">
        <f t="shared" si="106"/>
        <v/>
      </c>
      <c r="P541" s="48" t="str">
        <f t="shared" si="107"/>
        <v/>
      </c>
      <c r="Q541" s="25" t="str">
        <f t="shared" si="108"/>
        <v/>
      </c>
      <c r="R541" s="26" t="str">
        <f t="shared" si="109"/>
        <v/>
      </c>
      <c r="S541" s="26" t="str">
        <f t="shared" si="104"/>
        <v/>
      </c>
      <c r="T541" s="26" t="str">
        <f t="shared" si="110"/>
        <v/>
      </c>
      <c r="U541" s="17" t="str">
        <f t="shared" si="111"/>
        <v/>
      </c>
      <c r="V541" s="17" t="str">
        <f t="shared" si="112"/>
        <v/>
      </c>
      <c r="W541" s="40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Shifted'!$AE$32:$AO$75,MATCH($R541,'Futures &amp; Perps Shifted'!$AE$30:$AO$30,0),FALSE),0),0)))</f>
        <v/>
      </c>
      <c r="X541" s="17" t="str">
        <f t="shared" si="113"/>
        <v/>
      </c>
      <c r="Y541" s="14" t="str">
        <f t="shared" si="114"/>
        <v/>
      </c>
      <c r="Z541" t="str">
        <f t="shared" si="115"/>
        <v/>
      </c>
    </row>
    <row r="542" spans="1:26" customFormat="1" x14ac:dyDescent="0.25">
      <c r="A542" s="14"/>
      <c r="B542" s="77"/>
      <c r="C542" s="14"/>
      <c r="D542" s="14"/>
      <c r="E542" s="14"/>
      <c r="F542" s="14"/>
      <c r="G542" s="14"/>
      <c r="H542" s="14"/>
      <c r="I542" s="14"/>
      <c r="J542" s="14"/>
      <c r="K542" s="24"/>
      <c r="L542" s="14"/>
      <c r="M542" s="14"/>
      <c r="N542" s="46" t="str">
        <f t="shared" si="105"/>
        <v/>
      </c>
      <c r="O542" s="47" t="str">
        <f t="shared" si="106"/>
        <v/>
      </c>
      <c r="P542" s="48" t="str">
        <f t="shared" si="107"/>
        <v/>
      </c>
      <c r="Q542" s="25" t="str">
        <f t="shared" si="108"/>
        <v/>
      </c>
      <c r="R542" s="26" t="str">
        <f t="shared" si="109"/>
        <v/>
      </c>
      <c r="S542" s="26" t="str">
        <f t="shared" si="104"/>
        <v/>
      </c>
      <c r="T542" s="26" t="str">
        <f t="shared" si="110"/>
        <v/>
      </c>
      <c r="U542" s="17" t="str">
        <f t="shared" si="111"/>
        <v/>
      </c>
      <c r="V542" s="17" t="str">
        <f t="shared" si="112"/>
        <v/>
      </c>
      <c r="W542" s="40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Shifted'!$AE$32:$AO$75,MATCH($R542,'Futures &amp; Perps Shifted'!$AE$30:$AO$30,0),FALSE),0),0)))</f>
        <v/>
      </c>
      <c r="X542" s="17" t="str">
        <f t="shared" si="113"/>
        <v/>
      </c>
      <c r="Y542" s="14" t="str">
        <f t="shared" si="114"/>
        <v/>
      </c>
      <c r="Z542" t="str">
        <f t="shared" si="115"/>
        <v/>
      </c>
    </row>
    <row r="543" spans="1:26" customFormat="1" x14ac:dyDescent="0.25">
      <c r="A543" s="14"/>
      <c r="B543" s="77"/>
      <c r="C543" s="14"/>
      <c r="D543" s="14"/>
      <c r="E543" s="14"/>
      <c r="F543" s="14"/>
      <c r="G543" s="14"/>
      <c r="H543" s="14"/>
      <c r="I543" s="14"/>
      <c r="J543" s="14"/>
      <c r="K543" s="24"/>
      <c r="L543" s="14"/>
      <c r="M543" s="14"/>
      <c r="N543" s="46" t="str">
        <f t="shared" si="105"/>
        <v/>
      </c>
      <c r="O543" s="47" t="str">
        <f t="shared" si="106"/>
        <v/>
      </c>
      <c r="P543" s="48" t="str">
        <f t="shared" si="107"/>
        <v/>
      </c>
      <c r="Q543" s="25" t="str">
        <f t="shared" si="108"/>
        <v/>
      </c>
      <c r="R543" s="26" t="str">
        <f t="shared" si="109"/>
        <v/>
      </c>
      <c r="S543" s="26" t="str">
        <f t="shared" si="104"/>
        <v/>
      </c>
      <c r="T543" s="26" t="str">
        <f t="shared" si="110"/>
        <v/>
      </c>
      <c r="U543" s="17" t="str">
        <f t="shared" si="111"/>
        <v/>
      </c>
      <c r="V543" s="17" t="str">
        <f t="shared" si="112"/>
        <v/>
      </c>
      <c r="W543" s="40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Shifted'!$AE$32:$AO$75,MATCH($R543,'Futures &amp; Perps Shifted'!$AE$30:$AO$30,0),FALSE),0),0)))</f>
        <v/>
      </c>
      <c r="X543" s="17" t="str">
        <f t="shared" si="113"/>
        <v/>
      </c>
      <c r="Y543" s="14" t="str">
        <f t="shared" si="114"/>
        <v/>
      </c>
      <c r="Z543" t="str">
        <f t="shared" si="115"/>
        <v/>
      </c>
    </row>
    <row r="544" spans="1:26" customFormat="1" x14ac:dyDescent="0.25">
      <c r="A544" s="14"/>
      <c r="B544" s="77"/>
      <c r="C544" s="14"/>
      <c r="D544" s="14"/>
      <c r="E544" s="14"/>
      <c r="F544" s="14"/>
      <c r="G544" s="14"/>
      <c r="H544" s="14"/>
      <c r="I544" s="14"/>
      <c r="J544" s="14"/>
      <c r="K544" s="24"/>
      <c r="L544" s="14"/>
      <c r="M544" s="14"/>
      <c r="N544" s="46" t="str">
        <f t="shared" si="105"/>
        <v/>
      </c>
      <c r="O544" s="47" t="str">
        <f t="shared" si="106"/>
        <v/>
      </c>
      <c r="P544" s="48" t="str">
        <f t="shared" si="107"/>
        <v/>
      </c>
      <c r="Q544" s="25" t="str">
        <f t="shared" si="108"/>
        <v/>
      </c>
      <c r="R544" s="26" t="str">
        <f t="shared" si="109"/>
        <v/>
      </c>
      <c r="S544" s="26" t="str">
        <f t="shared" si="104"/>
        <v/>
      </c>
      <c r="T544" s="26" t="str">
        <f t="shared" si="110"/>
        <v/>
      </c>
      <c r="U544" s="17" t="str">
        <f t="shared" si="111"/>
        <v/>
      </c>
      <c r="V544" s="17" t="str">
        <f t="shared" si="112"/>
        <v/>
      </c>
      <c r="W544" s="40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Shifted'!$AE$32:$AO$75,MATCH($R544,'Futures &amp; Perps Shifted'!$AE$30:$AO$30,0),FALSE),0),0)))</f>
        <v/>
      </c>
      <c r="X544" s="17" t="str">
        <f t="shared" si="113"/>
        <v/>
      </c>
      <c r="Y544" s="14" t="str">
        <f t="shared" si="114"/>
        <v/>
      </c>
      <c r="Z544" t="str">
        <f t="shared" si="115"/>
        <v/>
      </c>
    </row>
    <row r="545" spans="1:26" customFormat="1" x14ac:dyDescent="0.25">
      <c r="A545" s="14"/>
      <c r="B545" s="77"/>
      <c r="C545" s="14"/>
      <c r="D545" s="14"/>
      <c r="E545" s="14"/>
      <c r="F545" s="14"/>
      <c r="G545" s="14"/>
      <c r="H545" s="14"/>
      <c r="I545" s="14"/>
      <c r="J545" s="14"/>
      <c r="K545" s="24"/>
      <c r="L545" s="14"/>
      <c r="M545" s="14"/>
      <c r="N545" s="46" t="str">
        <f t="shared" si="105"/>
        <v/>
      </c>
      <c r="O545" s="47" t="str">
        <f t="shared" si="106"/>
        <v/>
      </c>
      <c r="P545" s="48" t="str">
        <f t="shared" si="107"/>
        <v/>
      </c>
      <c r="Q545" s="25" t="str">
        <f t="shared" si="108"/>
        <v/>
      </c>
      <c r="R545" s="26" t="str">
        <f t="shared" si="109"/>
        <v/>
      </c>
      <c r="S545" s="26" t="str">
        <f t="shared" si="104"/>
        <v/>
      </c>
      <c r="T545" s="26" t="str">
        <f t="shared" si="110"/>
        <v/>
      </c>
      <c r="U545" s="17" t="str">
        <f t="shared" si="111"/>
        <v/>
      </c>
      <c r="V545" s="17" t="str">
        <f t="shared" si="112"/>
        <v/>
      </c>
      <c r="W545" s="40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Shifted'!$AE$32:$AO$75,MATCH($R545,'Futures &amp; Perps Shifted'!$AE$30:$AO$30,0),FALSE),0),0)))</f>
        <v/>
      </c>
      <c r="X545" s="17" t="str">
        <f t="shared" si="113"/>
        <v/>
      </c>
      <c r="Y545" s="14" t="str">
        <f t="shared" si="114"/>
        <v/>
      </c>
      <c r="Z545" t="str">
        <f t="shared" si="115"/>
        <v/>
      </c>
    </row>
    <row r="546" spans="1:26" customFormat="1" x14ac:dyDescent="0.25">
      <c r="A546" s="14"/>
      <c r="B546" s="77"/>
      <c r="C546" s="14"/>
      <c r="D546" s="14"/>
      <c r="E546" s="14"/>
      <c r="F546" s="14"/>
      <c r="G546" s="14"/>
      <c r="H546" s="14"/>
      <c r="I546" s="14"/>
      <c r="J546" s="14"/>
      <c r="K546" s="24"/>
      <c r="L546" s="14"/>
      <c r="M546" s="14"/>
      <c r="N546" s="46" t="str">
        <f t="shared" si="105"/>
        <v/>
      </c>
      <c r="O546" s="47" t="str">
        <f t="shared" si="106"/>
        <v/>
      </c>
      <c r="P546" s="48" t="str">
        <f t="shared" si="107"/>
        <v/>
      </c>
      <c r="Q546" s="25" t="str">
        <f t="shared" si="108"/>
        <v/>
      </c>
      <c r="R546" s="26" t="str">
        <f t="shared" si="109"/>
        <v/>
      </c>
      <c r="S546" s="26" t="str">
        <f t="shared" si="104"/>
        <v/>
      </c>
      <c r="T546" s="26" t="str">
        <f t="shared" si="110"/>
        <v/>
      </c>
      <c r="U546" s="17" t="str">
        <f t="shared" si="111"/>
        <v/>
      </c>
      <c r="V546" s="17" t="str">
        <f t="shared" si="112"/>
        <v/>
      </c>
      <c r="W546" s="40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Shifted'!$AE$32:$AO$75,MATCH($R546,'Futures &amp; Perps Shifted'!$AE$30:$AO$30,0),FALSE),0),0)))</f>
        <v/>
      </c>
      <c r="X546" s="17" t="str">
        <f t="shared" si="113"/>
        <v/>
      </c>
      <c r="Y546" s="14" t="str">
        <f t="shared" si="114"/>
        <v/>
      </c>
      <c r="Z546" t="str">
        <f t="shared" si="115"/>
        <v/>
      </c>
    </row>
    <row r="547" spans="1:26" customFormat="1" x14ac:dyDescent="0.25">
      <c r="A547" s="14"/>
      <c r="B547" s="77"/>
      <c r="C547" s="14"/>
      <c r="D547" s="14"/>
      <c r="E547" s="14"/>
      <c r="F547" s="14"/>
      <c r="G547" s="14"/>
      <c r="H547" s="14"/>
      <c r="I547" s="14"/>
      <c r="J547" s="14"/>
      <c r="K547" s="24"/>
      <c r="L547" s="14"/>
      <c r="M547" s="14"/>
      <c r="N547" s="46" t="str">
        <f t="shared" si="105"/>
        <v/>
      </c>
      <c r="O547" s="47" t="str">
        <f t="shared" si="106"/>
        <v/>
      </c>
      <c r="P547" s="48" t="str">
        <f t="shared" si="107"/>
        <v/>
      </c>
      <c r="Q547" s="25" t="str">
        <f t="shared" si="108"/>
        <v/>
      </c>
      <c r="R547" s="26" t="str">
        <f t="shared" si="109"/>
        <v/>
      </c>
      <c r="S547" s="26" t="str">
        <f t="shared" si="104"/>
        <v/>
      </c>
      <c r="T547" s="26" t="str">
        <f t="shared" si="110"/>
        <v/>
      </c>
      <c r="U547" s="17" t="str">
        <f t="shared" si="111"/>
        <v/>
      </c>
      <c r="V547" s="17" t="str">
        <f t="shared" si="112"/>
        <v/>
      </c>
      <c r="W547" s="40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Shifted'!$AE$32:$AO$75,MATCH($R547,'Futures &amp; Perps Shifted'!$AE$30:$AO$30,0),FALSE),0),0)))</f>
        <v/>
      </c>
      <c r="X547" s="17" t="str">
        <f t="shared" si="113"/>
        <v/>
      </c>
      <c r="Y547" s="14" t="str">
        <f t="shared" si="114"/>
        <v/>
      </c>
      <c r="Z547" t="str">
        <f t="shared" si="115"/>
        <v/>
      </c>
    </row>
    <row r="548" spans="1:26" customFormat="1" x14ac:dyDescent="0.25">
      <c r="A548" s="14"/>
      <c r="B548" s="77"/>
      <c r="C548" s="14"/>
      <c r="D548" s="14"/>
      <c r="E548" s="14"/>
      <c r="F548" s="14"/>
      <c r="G548" s="14"/>
      <c r="H548" s="14"/>
      <c r="I548" s="14"/>
      <c r="J548" s="14"/>
      <c r="K548" s="24"/>
      <c r="L548" s="14"/>
      <c r="M548" s="14"/>
      <c r="N548" s="46" t="str">
        <f t="shared" si="105"/>
        <v/>
      </c>
      <c r="O548" s="47" t="str">
        <f t="shared" si="106"/>
        <v/>
      </c>
      <c r="P548" s="48" t="str">
        <f t="shared" si="107"/>
        <v/>
      </c>
      <c r="Q548" s="25" t="str">
        <f t="shared" si="108"/>
        <v/>
      </c>
      <c r="R548" s="26" t="str">
        <f t="shared" si="109"/>
        <v/>
      </c>
      <c r="S548" s="26" t="str">
        <f t="shared" si="104"/>
        <v/>
      </c>
      <c r="T548" s="26" t="str">
        <f t="shared" si="110"/>
        <v/>
      </c>
      <c r="U548" s="17" t="str">
        <f t="shared" si="111"/>
        <v/>
      </c>
      <c r="V548" s="17" t="str">
        <f t="shared" si="112"/>
        <v/>
      </c>
      <c r="W548" s="40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Shifted'!$AE$32:$AO$75,MATCH($R548,'Futures &amp; Perps Shifted'!$AE$30:$AO$30,0),FALSE),0),0)))</f>
        <v/>
      </c>
      <c r="X548" s="17" t="str">
        <f t="shared" si="113"/>
        <v/>
      </c>
      <c r="Y548" s="14" t="str">
        <f t="shared" si="114"/>
        <v/>
      </c>
      <c r="Z548" t="str">
        <f t="shared" si="115"/>
        <v/>
      </c>
    </row>
    <row r="549" spans="1:26" customFormat="1" x14ac:dyDescent="0.25">
      <c r="A549" s="14"/>
      <c r="B549" s="77"/>
      <c r="C549" s="14"/>
      <c r="D549" s="14"/>
      <c r="E549" s="14"/>
      <c r="F549" s="14"/>
      <c r="G549" s="14"/>
      <c r="H549" s="14"/>
      <c r="I549" s="14"/>
      <c r="J549" s="14"/>
      <c r="K549" s="24"/>
      <c r="L549" s="14"/>
      <c r="M549" s="14"/>
      <c r="N549" s="46" t="str">
        <f t="shared" si="105"/>
        <v/>
      </c>
      <c r="O549" s="47" t="str">
        <f t="shared" si="106"/>
        <v/>
      </c>
      <c r="P549" s="48" t="str">
        <f t="shared" si="107"/>
        <v/>
      </c>
      <c r="Q549" s="25" t="str">
        <f t="shared" si="108"/>
        <v/>
      </c>
      <c r="R549" s="26" t="str">
        <f t="shared" si="109"/>
        <v/>
      </c>
      <c r="S549" s="26" t="str">
        <f t="shared" si="104"/>
        <v/>
      </c>
      <c r="T549" s="26" t="str">
        <f t="shared" si="110"/>
        <v/>
      </c>
      <c r="U549" s="17" t="str">
        <f t="shared" si="111"/>
        <v/>
      </c>
      <c r="V549" s="17" t="str">
        <f t="shared" si="112"/>
        <v/>
      </c>
      <c r="W549" s="40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Shifted'!$AE$32:$AO$75,MATCH($R549,'Futures &amp; Perps Shifted'!$AE$30:$AO$30,0),FALSE),0),0)))</f>
        <v/>
      </c>
      <c r="X549" s="17" t="str">
        <f t="shared" si="113"/>
        <v/>
      </c>
      <c r="Y549" s="14" t="str">
        <f t="shared" si="114"/>
        <v/>
      </c>
      <c r="Z549" t="str">
        <f t="shared" si="115"/>
        <v/>
      </c>
    </row>
    <row r="550" spans="1:26" customFormat="1" x14ac:dyDescent="0.25">
      <c r="A550" s="14"/>
      <c r="B550" s="77"/>
      <c r="C550" s="14"/>
      <c r="D550" s="14"/>
      <c r="E550" s="14"/>
      <c r="F550" s="14"/>
      <c r="G550" s="14"/>
      <c r="H550" s="14"/>
      <c r="I550" s="14"/>
      <c r="J550" s="14"/>
      <c r="K550" s="24"/>
      <c r="L550" s="14"/>
      <c r="M550" s="14"/>
      <c r="N550" s="46" t="str">
        <f t="shared" si="105"/>
        <v/>
      </c>
      <c r="O550" s="47" t="str">
        <f t="shared" si="106"/>
        <v/>
      </c>
      <c r="P550" s="48" t="str">
        <f t="shared" si="107"/>
        <v/>
      </c>
      <c r="Q550" s="25" t="str">
        <f t="shared" si="108"/>
        <v/>
      </c>
      <c r="R550" s="26" t="str">
        <f t="shared" si="109"/>
        <v/>
      </c>
      <c r="S550" s="26" t="str">
        <f t="shared" si="104"/>
        <v/>
      </c>
      <c r="T550" s="26" t="str">
        <f t="shared" si="110"/>
        <v/>
      </c>
      <c r="U550" s="17" t="str">
        <f t="shared" si="111"/>
        <v/>
      </c>
      <c r="V550" s="17" t="str">
        <f t="shared" si="112"/>
        <v/>
      </c>
      <c r="W550" s="4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Shifted'!$AE$32:$AO$75,MATCH($R550,'Futures &amp; Perps Shifted'!$AE$30:$AO$30,0),FALSE),0),0)))</f>
        <v/>
      </c>
      <c r="X550" s="17" t="str">
        <f t="shared" si="113"/>
        <v/>
      </c>
      <c r="Y550" s="14" t="str">
        <f t="shared" si="114"/>
        <v/>
      </c>
      <c r="Z550" t="str">
        <f t="shared" si="115"/>
        <v/>
      </c>
    </row>
    <row r="551" spans="1:26" customFormat="1" x14ac:dyDescent="0.25">
      <c r="A551" s="14"/>
      <c r="B551" s="77"/>
      <c r="C551" s="14"/>
      <c r="D551" s="14"/>
      <c r="E551" s="14"/>
      <c r="F551" s="14"/>
      <c r="G551" s="14"/>
      <c r="H551" s="14"/>
      <c r="I551" s="14"/>
      <c r="J551" s="14"/>
      <c r="K551" s="24"/>
      <c r="L551" s="14"/>
      <c r="M551" s="14"/>
      <c r="N551" s="46" t="str">
        <f t="shared" si="105"/>
        <v/>
      </c>
      <c r="O551" s="47" t="str">
        <f t="shared" si="106"/>
        <v/>
      </c>
      <c r="P551" s="48" t="str">
        <f t="shared" si="107"/>
        <v/>
      </c>
      <c r="Q551" s="25" t="str">
        <f t="shared" si="108"/>
        <v/>
      </c>
      <c r="R551" s="26" t="str">
        <f t="shared" si="109"/>
        <v/>
      </c>
      <c r="S551" s="26" t="str">
        <f t="shared" si="104"/>
        <v/>
      </c>
      <c r="T551" s="26" t="str">
        <f t="shared" si="110"/>
        <v/>
      </c>
      <c r="U551" s="17" t="str">
        <f t="shared" si="111"/>
        <v/>
      </c>
      <c r="V551" s="17" t="str">
        <f t="shared" si="112"/>
        <v/>
      </c>
      <c r="W551" s="40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Shifted'!$AE$32:$AO$75,MATCH($R551,'Futures &amp; Perps Shifted'!$AE$30:$AO$30,0),FALSE),0),0)))</f>
        <v/>
      </c>
      <c r="X551" s="17" t="str">
        <f t="shared" si="113"/>
        <v/>
      </c>
      <c r="Y551" s="14" t="str">
        <f t="shared" si="114"/>
        <v/>
      </c>
      <c r="Z551" t="str">
        <f t="shared" si="115"/>
        <v/>
      </c>
    </row>
    <row r="552" spans="1:26" customFormat="1" x14ac:dyDescent="0.25">
      <c r="A552" s="14"/>
      <c r="B552" s="77"/>
      <c r="C552" s="14"/>
      <c r="D552" s="14"/>
      <c r="E552" s="14"/>
      <c r="F552" s="14"/>
      <c r="G552" s="14"/>
      <c r="H552" s="14"/>
      <c r="I552" s="14"/>
      <c r="J552" s="14"/>
      <c r="K552" s="24"/>
      <c r="L552" s="14"/>
      <c r="M552" s="14"/>
      <c r="N552" s="46" t="str">
        <f t="shared" si="105"/>
        <v/>
      </c>
      <c r="O552" s="47" t="str">
        <f t="shared" si="106"/>
        <v/>
      </c>
      <c r="P552" s="48" t="str">
        <f t="shared" si="107"/>
        <v/>
      </c>
      <c r="Q552" s="25" t="str">
        <f t="shared" si="108"/>
        <v/>
      </c>
      <c r="R552" s="26" t="str">
        <f t="shared" si="109"/>
        <v/>
      </c>
      <c r="S552" s="26" t="str">
        <f t="shared" si="104"/>
        <v/>
      </c>
      <c r="T552" s="26" t="str">
        <f t="shared" si="110"/>
        <v/>
      </c>
      <c r="U552" s="17" t="str">
        <f t="shared" si="111"/>
        <v/>
      </c>
      <c r="V552" s="17" t="str">
        <f t="shared" si="112"/>
        <v/>
      </c>
      <c r="W552" s="40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Shifted'!$AE$32:$AO$75,MATCH($R552,'Futures &amp; Perps Shifted'!$AE$30:$AO$30,0),FALSE),0),0)))</f>
        <v/>
      </c>
      <c r="X552" s="17" t="str">
        <f t="shared" si="113"/>
        <v/>
      </c>
      <c r="Y552" s="14" t="str">
        <f t="shared" si="114"/>
        <v/>
      </c>
      <c r="Z552" t="str">
        <f t="shared" si="115"/>
        <v/>
      </c>
    </row>
    <row r="553" spans="1:26" customFormat="1" x14ac:dyDescent="0.25">
      <c r="A553" s="14"/>
      <c r="B553" s="77"/>
      <c r="C553" s="14"/>
      <c r="D553" s="14"/>
      <c r="E553" s="14"/>
      <c r="F553" s="14"/>
      <c r="G553" s="14"/>
      <c r="H553" s="14"/>
      <c r="I553" s="14"/>
      <c r="J553" s="14"/>
      <c r="K553" s="24"/>
      <c r="L553" s="14"/>
      <c r="M553" s="14"/>
      <c r="N553" s="46" t="str">
        <f t="shared" si="105"/>
        <v/>
      </c>
      <c r="O553" s="47" t="str">
        <f t="shared" si="106"/>
        <v/>
      </c>
      <c r="P553" s="48" t="str">
        <f t="shared" si="107"/>
        <v/>
      </c>
      <c r="Q553" s="25" t="str">
        <f t="shared" si="108"/>
        <v/>
      </c>
      <c r="R553" s="26" t="str">
        <f t="shared" si="109"/>
        <v/>
      </c>
      <c r="S553" s="26" t="str">
        <f t="shared" si="104"/>
        <v/>
      </c>
      <c r="T553" s="26" t="str">
        <f t="shared" si="110"/>
        <v/>
      </c>
      <c r="U553" s="17" t="str">
        <f t="shared" si="111"/>
        <v/>
      </c>
      <c r="V553" s="17" t="str">
        <f t="shared" si="112"/>
        <v/>
      </c>
      <c r="W553" s="40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Shifted'!$AE$32:$AO$75,MATCH($R553,'Futures &amp; Perps Shifted'!$AE$30:$AO$30,0),FALSE),0),0)))</f>
        <v/>
      </c>
      <c r="X553" s="17" t="str">
        <f t="shared" si="113"/>
        <v/>
      </c>
      <c r="Y553" s="14" t="str">
        <f t="shared" si="114"/>
        <v/>
      </c>
      <c r="Z553" t="str">
        <f t="shared" si="115"/>
        <v/>
      </c>
    </row>
    <row r="554" spans="1:26" customFormat="1" x14ac:dyDescent="0.25">
      <c r="A554" s="14"/>
      <c r="B554" s="77"/>
      <c r="C554" s="14"/>
      <c r="D554" s="14"/>
      <c r="E554" s="14"/>
      <c r="F554" s="14"/>
      <c r="G554" s="14"/>
      <c r="H554" s="14"/>
      <c r="I554" s="14"/>
      <c r="J554" s="14"/>
      <c r="K554" s="24"/>
      <c r="L554" s="14"/>
      <c r="M554" s="14"/>
      <c r="N554" s="46" t="str">
        <f t="shared" si="105"/>
        <v/>
      </c>
      <c r="O554" s="47" t="str">
        <f t="shared" si="106"/>
        <v/>
      </c>
      <c r="P554" s="48" t="str">
        <f t="shared" si="107"/>
        <v/>
      </c>
      <c r="Q554" s="25" t="str">
        <f t="shared" si="108"/>
        <v/>
      </c>
      <c r="R554" s="26" t="str">
        <f t="shared" si="109"/>
        <v/>
      </c>
      <c r="S554" s="26" t="str">
        <f t="shared" si="104"/>
        <v/>
      </c>
      <c r="T554" s="26" t="str">
        <f t="shared" si="110"/>
        <v/>
      </c>
      <c r="U554" s="17" t="str">
        <f t="shared" si="111"/>
        <v/>
      </c>
      <c r="V554" s="17" t="str">
        <f t="shared" si="112"/>
        <v/>
      </c>
      <c r="W554" s="40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Shifted'!$AE$32:$AO$75,MATCH($R554,'Futures &amp; Perps Shifted'!$AE$30:$AO$30,0),FALSE),0),0)))</f>
        <v/>
      </c>
      <c r="X554" s="17" t="str">
        <f t="shared" si="113"/>
        <v/>
      </c>
      <c r="Y554" s="14" t="str">
        <f t="shared" si="114"/>
        <v/>
      </c>
      <c r="Z554" t="str">
        <f t="shared" si="115"/>
        <v/>
      </c>
    </row>
  </sheetData>
  <autoFilter ref="A1:Y554" xr:uid="{00000000-0001-0000-0800-000000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53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5" bestFit="1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721</v>
      </c>
      <c r="B1" s="10" t="s">
        <v>79</v>
      </c>
      <c r="C1" s="12" t="s">
        <v>0</v>
      </c>
      <c r="D1" s="12" t="s">
        <v>1</v>
      </c>
      <c r="E1" s="12" t="s">
        <v>2</v>
      </c>
      <c r="F1" s="44" t="s">
        <v>3</v>
      </c>
      <c r="G1" s="71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289</v>
      </c>
      <c r="O1" s="13" t="s">
        <v>290</v>
      </c>
      <c r="P1" s="13" t="s">
        <v>274</v>
      </c>
      <c r="Q1" s="13" t="s">
        <v>55</v>
      </c>
      <c r="R1" s="13" t="s">
        <v>56</v>
      </c>
      <c r="S1" s="13" t="s">
        <v>62</v>
      </c>
      <c r="T1" s="13" t="s">
        <v>65</v>
      </c>
      <c r="U1" s="13" t="s">
        <v>70</v>
      </c>
      <c r="V1" s="13" t="s">
        <v>71</v>
      </c>
      <c r="W1" s="13" t="s">
        <v>72</v>
      </c>
      <c r="X1" s="13" t="s">
        <v>73</v>
      </c>
      <c r="Y1" s="12" t="s">
        <v>219</v>
      </c>
      <c r="Z1" s="11" t="s">
        <v>257</v>
      </c>
      <c r="AA1" s="11"/>
      <c r="AB1" s="11" t="s">
        <v>291</v>
      </c>
      <c r="AC1" s="11"/>
      <c r="AD1" s="11"/>
      <c r="AQ1" s="73">
        <v>10</v>
      </c>
      <c r="AR1" s="10">
        <v>0</v>
      </c>
      <c r="AS1" s="74">
        <v>1E-4</v>
      </c>
      <c r="AT1" s="75">
        <v>1E-3</v>
      </c>
      <c r="AV1" s="10" t="s">
        <v>288</v>
      </c>
      <c r="AW1" s="74">
        <v>0.1</v>
      </c>
      <c r="AZ1" s="10" t="s">
        <v>304</v>
      </c>
      <c r="BA1" s="74">
        <v>1E-3</v>
      </c>
    </row>
    <row r="2" spans="1:53" x14ac:dyDescent="0.25">
      <c r="A2">
        <v>0</v>
      </c>
      <c r="B2" s="78">
        <v>44909.916666666664</v>
      </c>
      <c r="C2" t="s">
        <v>11</v>
      </c>
      <c r="D2" t="s">
        <v>12</v>
      </c>
      <c r="E2" t="s">
        <v>316</v>
      </c>
      <c r="F2">
        <v>4006</v>
      </c>
      <c r="G2" s="1">
        <v>400600</v>
      </c>
      <c r="H2">
        <v>18200.03058545</v>
      </c>
      <c r="I2">
        <v>1.94072069</v>
      </c>
      <c r="J2" t="s">
        <v>14</v>
      </c>
      <c r="K2" s="28">
        <v>45016.333333333336</v>
      </c>
      <c r="L2">
        <v>0</v>
      </c>
      <c r="M2" t="s">
        <v>15</v>
      </c>
      <c r="N2" s="49">
        <f t="shared" ref="N2:N65" si="0">IF($C2="","",IF($A2="",0,IF($L2=1,ROUND($G2/$H2/$F2,3),POWER(10,ROUND(LOG($G2/$F2),1)))))</f>
        <v>100</v>
      </c>
      <c r="O2" s="47">
        <f t="shared" ref="O2:O33" si="1">IF($C2="","",IF($A2="",0,IF($L2=1,$F2*$N2,$AA$6*$F2*$N2/$H2)))</f>
        <v>22.01095202116085</v>
      </c>
      <c r="P2" s="48">
        <f t="shared" ref="P2:P33" si="2">IF($C2="","",IF($A2="",0,IF(NOT(ISERROR(VLOOKUP($M2,SpotUSDRateTable,2,FALSE))),VLOOKUP($M2,SpotUSDRateTable,2,FALSE),$H2)*O2))</f>
        <v>392139.41417652223</v>
      </c>
      <c r="Q2" s="25">
        <f>IF($C2="","",IF(OR($J2="SWAP",$J2="FUTURE",$J2="CME FUTURE"),$K2-$B2,0))</f>
        <v>106.41666666667152</v>
      </c>
      <c r="R2" s="26" t="str">
        <f t="shared" ref="R2:R61" si="3">IF($C2="","",IF(OR($E2="USD",$E2="EUR"),"CASH",IF($Q2=0,"COIN",IF($Q2&gt;720,"PERP",IF($J2="FUTURE",TEXT($K2-1,"mmm yy"),"CME "&amp;TEXT($K2-1,"mmm yy"))))))</f>
        <v>Mar 23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Mar 23 LONG</v>
      </c>
      <c r="U2" s="26">
        <f t="shared" ref="U2:U61" si="5">IF($C2="","",$G2*(1+$W2))</f>
        <v>404606</v>
      </c>
      <c r="V2" s="26">
        <f t="shared" ref="V2:V61" si="6">IF($C2="","",$H2*(1+$W2))</f>
        <v>18382.030891304501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Shifted'!$AE$32:$AO$75,MATCH($R2,'Futures &amp; Perps Shifted'!$AE$30:$AO$30,0),FALSE),0),0)))</f>
        <v>0.01</v>
      </c>
      <c r="X2" s="26">
        <f t="shared" ref="X2:X61" si="7">IF($C2="","",$U2-$G2)</f>
        <v>4006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M4</v>
      </c>
      <c r="AA2" s="30"/>
      <c r="AB2" s="37" t="str">
        <f t="shared" ref="AB2:AB33" si="10">IF($C62="","",(O62*H62-G62)/G62)</f>
        <v/>
      </c>
      <c r="AC2" s="43" t="str">
        <f t="shared" ref="AC2:AC20" si="11">IF($C62="","",IF($A62="",0,IF($L62=1,($G62/$H62)/$F62,-1)))</f>
        <v/>
      </c>
      <c r="AD2" s="37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17815.649854650899</v>
      </c>
      <c r="AQ2">
        <f t="shared" ref="AQ2:AR21" si="15">IF($C2="","",IF($A2="",0,IF($L2=1,(($H2+AQ$1)-$H2)*$N2*$F2/$AO2,$F2*$N2*(1/($H2)-1/($H2+AQ$1))*$AP2)))</f>
        <v>215.3425346192854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39.210020415581312</v>
      </c>
      <c r="AT2">
        <f t="shared" si="16"/>
        <v>391.74766650999794</v>
      </c>
      <c r="AV2" s="31">
        <f>AW2*G2</f>
        <v>356490.37652411114</v>
      </c>
      <c r="AW2" s="37">
        <f t="shared" ref="AW2:AW61" si="17">IF($C2="","",IF($A2="",0,IF($L2=1,(($H2*(1+AW$1))-$H2)*$N2*$F2/$AO2,$F2*$N2*(1/($H2)-1/($H2*(1+AW$1)))*$AP2)/$G2/AW$1))</f>
        <v>0.8898911046532979</v>
      </c>
      <c r="AZ2">
        <f>IF($C2="","",IF($A2="",0,IF($L2=1,($H2*IF(OR($J2="FUTURE",$J2="CME FUTURE"),1+BA$1,1)-$H2)*$N2*$F2/$AO2,$F2*$N2*(1/($H2)-1/(IF(OR($J2="FUTURE",$J2="CME FUTURE"),1+BA$1,1)*$H2))*$AP2)))</f>
        <v>391.74766650999794</v>
      </c>
    </row>
    <row r="3" spans="1:53" x14ac:dyDescent="0.25">
      <c r="A3">
        <v>1</v>
      </c>
      <c r="B3" s="78">
        <v>44909.916666666664</v>
      </c>
      <c r="C3" t="s">
        <v>11</v>
      </c>
      <c r="D3" t="s">
        <v>12</v>
      </c>
      <c r="E3" t="s">
        <v>17</v>
      </c>
      <c r="F3">
        <v>-67749</v>
      </c>
      <c r="G3" s="1">
        <v>-6774900</v>
      </c>
      <c r="H3">
        <v>18086.77321508</v>
      </c>
      <c r="I3">
        <v>-8.0250139699999998</v>
      </c>
      <c r="J3" t="s">
        <v>18</v>
      </c>
      <c r="K3" s="28">
        <v>73050.333333333328</v>
      </c>
      <c r="L3">
        <v>0</v>
      </c>
      <c r="M3" t="s">
        <v>15</v>
      </c>
      <c r="N3" s="49">
        <f t="shared" si="0"/>
        <v>100</v>
      </c>
      <c r="O3" s="47">
        <f t="shared" si="1"/>
        <v>-374.57759432463996</v>
      </c>
      <c r="P3" s="48">
        <f t="shared" si="2"/>
        <v>-6673343.263885255</v>
      </c>
      <c r="Q3" s="25">
        <f t="shared" ref="Q3:Q66" si="18">IF($C3="","",IF(OR($J3="SWAP",$J3="FUTURE",$J3="CME FUTURE"),$K3-$B3,0))</f>
        <v>28140.416666666664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SHORT</v>
      </c>
      <c r="T3" s="26" t="str">
        <f t="shared" si="4"/>
        <v>PERP SHORT</v>
      </c>
      <c r="U3" s="26">
        <f t="shared" si="5"/>
        <v>-6774900</v>
      </c>
      <c r="V3" s="26">
        <f t="shared" si="6"/>
        <v>18086.77321508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Shifted'!$AE$32:$AO$75,MATCH($R3,'Futures &amp; Perps Shifted'!$AE$30:$AO$30,0),FALSE),0),0)))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7" t="str">
        <f t="shared" si="10"/>
        <v/>
      </c>
      <c r="AC3" s="43" t="str">
        <f t="shared" si="11"/>
        <v/>
      </c>
      <c r="AD3" s="37"/>
      <c r="AF3" s="43"/>
      <c r="AN3" t="str">
        <f t="shared" si="12"/>
        <v>USD</v>
      </c>
      <c r="AO3">
        <f t="shared" si="13"/>
        <v>1</v>
      </c>
      <c r="AP3">
        <f t="shared" si="14"/>
        <v>17815.649854650899</v>
      </c>
      <c r="AQ3">
        <f t="shared" si="15"/>
        <v>-3687.5873861993182</v>
      </c>
      <c r="AR3">
        <f t="shared" si="15"/>
        <v>0</v>
      </c>
      <c r="AS3">
        <f t="shared" si="16"/>
        <v>-667.26759962759559</v>
      </c>
      <c r="AT3">
        <f t="shared" si="16"/>
        <v>-6666.6765872962169</v>
      </c>
      <c r="AV3" s="31">
        <f>AW3*G3</f>
        <v>-6066675.6944411425</v>
      </c>
      <c r="AW3" s="37">
        <f t="shared" si="17"/>
        <v>0.89546350417587606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8">
        <v>44909.916666666664</v>
      </c>
      <c r="C4" t="s">
        <v>11</v>
      </c>
      <c r="D4" t="s">
        <v>12</v>
      </c>
      <c r="E4" t="s">
        <v>753</v>
      </c>
      <c r="F4">
        <v>-449174</v>
      </c>
      <c r="G4" s="1">
        <v>-4491740</v>
      </c>
      <c r="H4">
        <v>1340.62</v>
      </c>
      <c r="I4">
        <v>-53.515324489999998</v>
      </c>
      <c r="J4" t="s">
        <v>18</v>
      </c>
      <c r="K4" s="28">
        <v>73050.333333333328</v>
      </c>
      <c r="L4">
        <v>0</v>
      </c>
      <c r="M4" t="s">
        <v>16</v>
      </c>
      <c r="N4" s="49">
        <f t="shared" si="0"/>
        <v>10</v>
      </c>
      <c r="O4" s="47">
        <f t="shared" si="1"/>
        <v>-3350.4945472990112</v>
      </c>
      <c r="P4" s="48">
        <f t="shared" si="2"/>
        <v>-4386898.5926861111</v>
      </c>
      <c r="Q4" s="25">
        <f t="shared" si="18"/>
        <v>28140.416666666664</v>
      </c>
      <c r="R4" s="26" t="str">
        <f t="shared" si="3"/>
        <v>PERP</v>
      </c>
      <c r="S4" s="26" t="str">
        <f t="shared" si="19"/>
        <v>SHORT</v>
      </c>
      <c r="T4" s="26" t="str">
        <f t="shared" si="4"/>
        <v>PERP SHORT</v>
      </c>
      <c r="U4" s="26">
        <f t="shared" si="5"/>
        <v>-4491740</v>
      </c>
      <c r="V4" s="26">
        <f t="shared" si="6"/>
        <v>1340.62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Shifted'!$AE$32:$AO$75,MATCH($R4,'Futures &amp; Perps Shifted'!$AE$30:$AO$30,0),FALSE),0),0)))</f>
        <v>0</v>
      </c>
      <c r="X4" s="26">
        <f t="shared" si="7"/>
        <v>0</v>
      </c>
      <c r="Y4" s="26" t="str">
        <f t="shared" si="8"/>
        <v>BINE</v>
      </c>
      <c r="Z4" s="26" t="str">
        <f t="shared" si="9"/>
        <v>PERP</v>
      </c>
      <c r="AB4" s="37" t="str">
        <f>IF($D64="","",(O64*I64-H64)/H64)</f>
        <v/>
      </c>
      <c r="AC4" s="43" t="str">
        <f>IF($D64="","",IF($C64="",0,IF($M64=1,($H64/$I64)/$G64,-1)))</f>
        <v/>
      </c>
      <c r="AD4" s="37"/>
      <c r="AF4" t="s">
        <v>63</v>
      </c>
      <c r="AG4" t="s">
        <v>64</v>
      </c>
      <c r="AN4" t="str">
        <f t="shared" si="12"/>
        <v>USD</v>
      </c>
      <c r="AO4">
        <f t="shared" si="13"/>
        <v>1</v>
      </c>
      <c r="AP4">
        <f t="shared" si="14"/>
        <v>1309.32867693296</v>
      </c>
      <c r="AQ4">
        <f t="shared" si="15"/>
        <v>-32480.628101806335</v>
      </c>
      <c r="AR4">
        <f t="shared" si="15"/>
        <v>0</v>
      </c>
      <c r="AS4">
        <f t="shared" si="16"/>
        <v>-438.64599466977228</v>
      </c>
      <c r="AT4">
        <f t="shared" si="16"/>
        <v>-4382.5160766096706</v>
      </c>
      <c r="AV4" s="31">
        <f t="shared" ref="AV4:AV61" si="20">AW4*G4</f>
        <v>-3988089.6297146534</v>
      </c>
      <c r="AW4" s="37">
        <f t="shared" si="17"/>
        <v>0.88787187809504853</v>
      </c>
      <c r="AZ4">
        <f t="shared" ref="AZ4:AZ61" si="21">IF($C4="","",IF($A4="",0,IF($L4=1,($H4*IF(OR($J4="FUTURE",$J4="CME FUTURE"),1+BA$1,1)-$H4)*$N4*$F4/$AO4,$F4*$N4*(1/($H4)-1/(IF(OR($J4="FUTURE",$J4="CME FUTURE"),1+BA$1,1)*$H4))*$AP4)))</f>
        <v>0</v>
      </c>
    </row>
    <row r="5" spans="1:53" x14ac:dyDescent="0.25">
      <c r="A5">
        <v>3</v>
      </c>
      <c r="B5" s="78">
        <v>44909.916666666664</v>
      </c>
      <c r="C5" t="s">
        <v>11</v>
      </c>
      <c r="D5" t="s">
        <v>12</v>
      </c>
      <c r="E5" t="s">
        <v>13</v>
      </c>
      <c r="F5">
        <v>-160374</v>
      </c>
      <c r="G5" s="1">
        <v>-16037400</v>
      </c>
      <c r="H5">
        <v>18146.104786510001</v>
      </c>
      <c r="I5">
        <v>-20.22281353</v>
      </c>
      <c r="J5" t="s">
        <v>14</v>
      </c>
      <c r="K5" s="28">
        <v>44925.333333333336</v>
      </c>
      <c r="L5">
        <v>0</v>
      </c>
      <c r="M5" t="s">
        <v>15</v>
      </c>
      <c r="N5" s="49">
        <f t="shared" si="0"/>
        <v>100</v>
      </c>
      <c r="O5" s="47">
        <f t="shared" si="1"/>
        <v>-883.79297864092393</v>
      </c>
      <c r="P5" s="48">
        <f t="shared" si="2"/>
        <v>-15745346.251465661</v>
      </c>
      <c r="Q5" s="25">
        <f t="shared" si="18"/>
        <v>15.416666666671517</v>
      </c>
      <c r="R5" s="26" t="str">
        <f t="shared" si="3"/>
        <v>Dec 22</v>
      </c>
      <c r="S5" s="26" t="str">
        <f t="shared" si="19"/>
        <v>SHORT</v>
      </c>
      <c r="T5" s="26" t="str">
        <f t="shared" si="4"/>
        <v>Dec 22 SHORT</v>
      </c>
      <c r="U5" s="26">
        <f t="shared" si="5"/>
        <v>-16197774</v>
      </c>
      <c r="V5" s="26">
        <f t="shared" si="6"/>
        <v>18327.565834375102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Shifted'!$AE$32:$AO$75,MATCH($R5,'Futures &amp; Perps Shifted'!$AE$30:$AO$30,0),FALSE),0),0)))</f>
        <v>0.01</v>
      </c>
      <c r="X5" s="26">
        <f t="shared" si="7"/>
        <v>-160374</v>
      </c>
      <c r="Y5" s="26" t="str">
        <f t="shared" si="8"/>
        <v>BINE</v>
      </c>
      <c r="Z5" s="26" t="str">
        <f t="shared" si="9"/>
        <v>W2</v>
      </c>
      <c r="AA5" t="s">
        <v>322</v>
      </c>
      <c r="AB5" s="37" t="str">
        <f>IF($D65="","",(O65*I65-H65)/H65)</f>
        <v/>
      </c>
      <c r="AC5" s="43" t="str">
        <f>IF($D65="","",IF($C65="",0,IF($M65=1,($H65/$I65)/$G65,-1)))</f>
        <v/>
      </c>
      <c r="AD5" s="37"/>
      <c r="AE5" t="s">
        <v>15</v>
      </c>
      <c r="AF5" s="45">
        <f>SUMIFS($O$62:$O$123,$M$62:$M$123,"="&amp;$AE5,$O$62:$O$123,"&gt;0")</f>
        <v>0</v>
      </c>
      <c r="AG5" s="45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17815.649854650899</v>
      </c>
      <c r="AQ5">
        <f t="shared" si="15"/>
        <v>-8672.2049892372324</v>
      </c>
      <c r="AR5">
        <f t="shared" si="15"/>
        <v>0</v>
      </c>
      <c r="AS5">
        <f t="shared" si="16"/>
        <v>-1574.3771874276974</v>
      </c>
      <c r="AT5">
        <f t="shared" si="16"/>
        <v>-15729.616634830787</v>
      </c>
      <c r="AV5" s="31">
        <f t="shared" si="20"/>
        <v>-14313951.137696074</v>
      </c>
      <c r="AW5" s="37">
        <f t="shared" si="17"/>
        <v>0.89253564403806562</v>
      </c>
      <c r="AZ5">
        <f t="shared" si="21"/>
        <v>-15729.616634830787</v>
      </c>
    </row>
    <row r="6" spans="1:53" x14ac:dyDescent="0.25">
      <c r="A6">
        <v>4</v>
      </c>
      <c r="B6" s="78">
        <v>44909.916666666664</v>
      </c>
      <c r="C6" t="s">
        <v>11</v>
      </c>
      <c r="D6" t="s">
        <v>12</v>
      </c>
      <c r="E6" t="s">
        <v>754</v>
      </c>
      <c r="F6">
        <v>-682423</v>
      </c>
      <c r="G6" s="1">
        <v>-6824230</v>
      </c>
      <c r="H6">
        <v>1343.0967177</v>
      </c>
      <c r="I6">
        <v>-122.05636714000001</v>
      </c>
      <c r="J6" t="s">
        <v>14</v>
      </c>
      <c r="K6" s="28">
        <v>44925.333333333336</v>
      </c>
      <c r="L6">
        <v>0</v>
      </c>
      <c r="M6" t="s">
        <v>16</v>
      </c>
      <c r="N6" s="49">
        <f t="shared" si="0"/>
        <v>10</v>
      </c>
      <c r="O6" s="47">
        <f t="shared" si="1"/>
        <v>-5080.9669252160957</v>
      </c>
      <c r="P6" s="48">
        <f t="shared" si="2"/>
        <v>-6652655.70173332</v>
      </c>
      <c r="Q6" s="25">
        <f t="shared" si="18"/>
        <v>15.416666666671517</v>
      </c>
      <c r="R6" s="26" t="str">
        <f t="shared" si="3"/>
        <v>Dec 22</v>
      </c>
      <c r="S6" s="26" t="str">
        <f t="shared" si="19"/>
        <v>SHORT</v>
      </c>
      <c r="T6" s="26" t="str">
        <f t="shared" si="4"/>
        <v>Dec 22 SHORT</v>
      </c>
      <c r="U6" s="26">
        <f t="shared" si="5"/>
        <v>-6892472.2999999998</v>
      </c>
      <c r="V6" s="26">
        <f t="shared" si="6"/>
        <v>1356.527684877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Shifted'!$AE$32:$AO$75,MATCH($R6,'Futures &amp; Perps Shifted'!$AE$30:$AO$30,0),FALSE),0),0)))</f>
        <v>0.01</v>
      </c>
      <c r="X6" s="26">
        <f t="shared" si="7"/>
        <v>-68242.299999999814</v>
      </c>
      <c r="Y6" s="26" t="str">
        <f t="shared" si="8"/>
        <v>BINE</v>
      </c>
      <c r="Z6" s="26" t="str">
        <f t="shared" si="9"/>
        <v>W2</v>
      </c>
      <c r="AA6" s="45">
        <v>1</v>
      </c>
      <c r="AB6" s="37" t="str">
        <f>IF($D66="","",(O66*I66-H66)/H66)</f>
        <v/>
      </c>
      <c r="AC6" s="43" t="str">
        <f>IF($D66="","",IF($C66="",0,IF($M66=1,($H66/$I66)/$G66,-1)))</f>
        <v/>
      </c>
      <c r="AD6" s="43" t="e">
        <f>G66*I66*AC6</f>
        <v>#VALUE!</v>
      </c>
      <c r="AE6" t="s">
        <v>81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1309.32867693296</v>
      </c>
      <c r="AQ6">
        <f t="shared" si="15"/>
        <v>-49166.150613693258</v>
      </c>
      <c r="AR6">
        <f t="shared" si="15"/>
        <v>0</v>
      </c>
      <c r="AS6">
        <f t="shared" si="16"/>
        <v>-665.19905026824551</v>
      </c>
      <c r="AT6">
        <f t="shared" si="16"/>
        <v>-6646.0096920399465</v>
      </c>
      <c r="AV6" s="31">
        <f t="shared" si="20"/>
        <v>-6047868.8197575612</v>
      </c>
      <c r="AW6" s="37">
        <f t="shared" si="17"/>
        <v>0.8862346110488013</v>
      </c>
      <c r="AZ6">
        <f t="shared" si="21"/>
        <v>-6646.0096920399465</v>
      </c>
    </row>
    <row r="7" spans="1:53" x14ac:dyDescent="0.25">
      <c r="A7">
        <v>5</v>
      </c>
      <c r="B7" s="78">
        <v>44909.916666666664</v>
      </c>
      <c r="C7" t="s">
        <v>11</v>
      </c>
      <c r="D7" t="s">
        <v>19</v>
      </c>
      <c r="E7" t="s">
        <v>755</v>
      </c>
      <c r="F7">
        <v>6000</v>
      </c>
      <c r="G7" s="1">
        <v>47406</v>
      </c>
      <c r="H7">
        <v>7.9009999999999998</v>
      </c>
      <c r="I7">
        <v>-19250.307659999999</v>
      </c>
      <c r="J7" t="s">
        <v>18</v>
      </c>
      <c r="K7" s="28">
        <v>73050.333333333328</v>
      </c>
      <c r="L7">
        <v>1</v>
      </c>
      <c r="M7" t="s">
        <v>20</v>
      </c>
      <c r="N7" s="49">
        <f t="shared" si="0"/>
        <v>1</v>
      </c>
      <c r="O7" s="47">
        <f t="shared" si="1"/>
        <v>6000</v>
      </c>
      <c r="P7" s="48">
        <f t="shared" si="2"/>
        <v>47406</v>
      </c>
      <c r="Q7" s="25">
        <f t="shared" si="18"/>
        <v>28140.416666666664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47406</v>
      </c>
      <c r="V7" s="26">
        <f t="shared" si="6"/>
        <v>7.9009999999999998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Shifted'!$AE$32:$AO$75,MATCH($R7,'Futures &amp; Perps Shifted'!$AE$30:$AO$30,0),FALSE),0),0)))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7" t="str">
        <f>IF($D67="","",(O67*I67-H67)/H67)</f>
        <v/>
      </c>
      <c r="AC7" s="43" t="str">
        <f>IF($D67="","",IF($C67="",0,IF($M67=1,($H67/$I67)/$G67,-1)))</f>
        <v/>
      </c>
      <c r="AD7" s="37"/>
      <c r="AE7" t="s">
        <v>274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1.0001054103245299</v>
      </c>
      <c r="AP7" t="e">
        <f t="shared" si="14"/>
        <v>#N/A</v>
      </c>
      <c r="AQ7">
        <f t="shared" si="15"/>
        <v>59993.676047138128</v>
      </c>
      <c r="AR7">
        <f t="shared" si="15"/>
        <v>0</v>
      </c>
      <c r="AS7">
        <f t="shared" si="16"/>
        <v>4.7401003444824799</v>
      </c>
      <c r="AT7">
        <f t="shared" si="16"/>
        <v>47.401003444840782</v>
      </c>
      <c r="AV7" s="31">
        <f t="shared" si="20"/>
        <v>47401.003444843867</v>
      </c>
      <c r="AW7" s="37">
        <f t="shared" si="17"/>
        <v>0.99989460078563619</v>
      </c>
      <c r="AZ7">
        <f t="shared" si="21"/>
        <v>0</v>
      </c>
    </row>
    <row r="8" spans="1:53" x14ac:dyDescent="0.25">
      <c r="A8">
        <v>6</v>
      </c>
      <c r="B8" s="78">
        <v>44909.916666666664</v>
      </c>
      <c r="C8" t="s">
        <v>11</v>
      </c>
      <c r="D8" t="s">
        <v>19</v>
      </c>
      <c r="E8" t="s">
        <v>756</v>
      </c>
      <c r="F8">
        <v>645300.4</v>
      </c>
      <c r="G8" s="1">
        <v>648274.20236335997</v>
      </c>
      <c r="H8">
        <v>1.0046084</v>
      </c>
      <c r="I8">
        <v>8044.1663673000003</v>
      </c>
      <c r="J8" t="s">
        <v>18</v>
      </c>
      <c r="K8" s="28">
        <v>73050.333333333328</v>
      </c>
      <c r="L8">
        <v>1</v>
      </c>
      <c r="M8" t="s">
        <v>24</v>
      </c>
      <c r="N8" s="49">
        <f t="shared" si="0"/>
        <v>1</v>
      </c>
      <c r="O8" s="47">
        <f t="shared" si="1"/>
        <v>645300.4</v>
      </c>
      <c r="P8" s="48">
        <f t="shared" si="2"/>
        <v>631117.55977524538</v>
      </c>
      <c r="Q8" s="25">
        <f t="shared" si="18"/>
        <v>28140.416666666664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648274.20236335997</v>
      </c>
      <c r="V8" s="26">
        <f t="shared" si="6"/>
        <v>1.0046084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Shifted'!$AE$32:$AO$75,MATCH($R8,'Futures &amp; Perps Shifted'!$AE$30:$AO$30,0),FALSE),0),0)))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7" t="str">
        <f t="shared" si="10"/>
        <v/>
      </c>
      <c r="AC8" s="43" t="str">
        <f t="shared" si="11"/>
        <v/>
      </c>
      <c r="AD8" s="37"/>
      <c r="AN8" t="str">
        <f t="shared" si="12"/>
        <v>USDT</v>
      </c>
      <c r="AO8">
        <f t="shared" si="13"/>
        <v>1.0001054103245299</v>
      </c>
      <c r="AP8">
        <f t="shared" si="14"/>
        <v>0.97802133669101299</v>
      </c>
      <c r="AQ8">
        <f t="shared" si="15"/>
        <v>6452323.8584481087</v>
      </c>
      <c r="AR8">
        <f t="shared" si="15"/>
        <v>0</v>
      </c>
      <c r="AS8">
        <f t="shared" si="16"/>
        <v>64.820587477126963</v>
      </c>
      <c r="AT8">
        <f t="shared" si="16"/>
        <v>648.20587477169943</v>
      </c>
      <c r="AV8" s="31">
        <f t="shared" si="20"/>
        <v>648205.87477173808</v>
      </c>
      <c r="AW8" s="37">
        <f t="shared" si="17"/>
        <v>0.99989460078563541</v>
      </c>
      <c r="AZ8">
        <f t="shared" si="21"/>
        <v>0</v>
      </c>
    </row>
    <row r="9" spans="1:53" x14ac:dyDescent="0.25">
      <c r="A9">
        <v>7</v>
      </c>
      <c r="B9" s="78">
        <v>44909.916666666664</v>
      </c>
      <c r="C9" t="s">
        <v>11</v>
      </c>
      <c r="D9" t="s">
        <v>19</v>
      </c>
      <c r="E9" t="s">
        <v>758</v>
      </c>
      <c r="F9">
        <v>-1715.2529999999999</v>
      </c>
      <c r="G9" s="1">
        <v>-188214.71169</v>
      </c>
      <c r="H9">
        <v>109.73</v>
      </c>
      <c r="I9">
        <v>-6138.2706803199999</v>
      </c>
      <c r="J9" t="s">
        <v>18</v>
      </c>
      <c r="K9" s="28">
        <v>73050.333333333328</v>
      </c>
      <c r="L9">
        <v>1</v>
      </c>
      <c r="M9" t="s">
        <v>21</v>
      </c>
      <c r="N9" s="49">
        <f t="shared" si="0"/>
        <v>1</v>
      </c>
      <c r="O9" s="47">
        <f t="shared" si="1"/>
        <v>-1715.2529999999999</v>
      </c>
      <c r="P9" s="48">
        <f t="shared" si="2"/>
        <v>-187148.67500899459</v>
      </c>
      <c r="Q9" s="25">
        <f t="shared" si="18"/>
        <v>28140.416666666664</v>
      </c>
      <c r="R9" s="26" t="str">
        <f t="shared" si="3"/>
        <v>PERP</v>
      </c>
      <c r="S9" s="26" t="str">
        <f t="shared" si="19"/>
        <v>SHORT</v>
      </c>
      <c r="T9" s="26" t="str">
        <f t="shared" si="4"/>
        <v>PERP SHORT</v>
      </c>
      <c r="U9" s="26">
        <f t="shared" si="5"/>
        <v>-188214.71169</v>
      </c>
      <c r="V9" s="26">
        <f t="shared" si="6"/>
        <v>109.73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Shifted'!$AE$32:$AO$75,MATCH($R9,'Futures &amp; Perps Shifted'!$AE$30:$AO$30,0),FALSE),0),0)))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7" t="str">
        <f t="shared" si="10"/>
        <v/>
      </c>
      <c r="AC9" s="43" t="str">
        <f t="shared" si="11"/>
        <v/>
      </c>
      <c r="AD9" s="37"/>
      <c r="AE9" t="s">
        <v>16</v>
      </c>
      <c r="AF9" s="45">
        <f>SUMIFS($O$62:$O$123,$M$62:$M$123,"="&amp;$AE9,$O$62:$O$123,"&gt;0")</f>
        <v>0</v>
      </c>
      <c r="AG9" s="45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1.0001054103245299</v>
      </c>
      <c r="AP9">
        <f t="shared" si="14"/>
        <v>109.10849595307199</v>
      </c>
      <c r="AQ9">
        <f t="shared" si="15"/>
        <v>-17150.722136813634</v>
      </c>
      <c r="AR9">
        <f t="shared" si="15"/>
        <v>0</v>
      </c>
      <c r="AS9">
        <f t="shared" si="16"/>
        <v>-18.819487400713243</v>
      </c>
      <c r="AT9">
        <f t="shared" si="16"/>
        <v>-188.19487400722991</v>
      </c>
      <c r="AV9" s="31">
        <f t="shared" si="20"/>
        <v>-188194.87400725624</v>
      </c>
      <c r="AW9" s="37">
        <f t="shared" si="17"/>
        <v>0.99989460078563663</v>
      </c>
      <c r="AZ9">
        <f t="shared" si="21"/>
        <v>0</v>
      </c>
    </row>
    <row r="10" spans="1:53" x14ac:dyDescent="0.25">
      <c r="A10">
        <v>8</v>
      </c>
      <c r="B10" s="78">
        <v>44909.916666666664</v>
      </c>
      <c r="C10" t="s">
        <v>11</v>
      </c>
      <c r="D10" t="s">
        <v>19</v>
      </c>
      <c r="E10" t="s">
        <v>22</v>
      </c>
      <c r="F10">
        <v>-29.902000000000001</v>
      </c>
      <c r="G10" s="1">
        <v>-540664.04240000003</v>
      </c>
      <c r="H10">
        <v>18081.2</v>
      </c>
      <c r="I10">
        <v>-645.23858853000002</v>
      </c>
      <c r="J10" t="s">
        <v>18</v>
      </c>
      <c r="K10" s="28">
        <v>73050.333333333328</v>
      </c>
      <c r="L10">
        <v>1</v>
      </c>
      <c r="M10" t="s">
        <v>15</v>
      </c>
      <c r="N10" s="49">
        <f t="shared" si="0"/>
        <v>1</v>
      </c>
      <c r="O10" s="47">
        <f t="shared" si="1"/>
        <v>-29.902000000000001</v>
      </c>
      <c r="P10" s="48">
        <f t="shared" si="2"/>
        <v>-532723.56195377116</v>
      </c>
      <c r="Q10" s="25">
        <f t="shared" si="18"/>
        <v>28140.416666666664</v>
      </c>
      <c r="R10" s="26" t="str">
        <f t="shared" si="3"/>
        <v>PERP</v>
      </c>
      <c r="S10" s="26" t="str">
        <f t="shared" si="19"/>
        <v>SHORT</v>
      </c>
      <c r="T10" s="26" t="str">
        <f t="shared" si="4"/>
        <v>PERP SHORT</v>
      </c>
      <c r="U10" s="26">
        <f t="shared" si="5"/>
        <v>-540664.04240000003</v>
      </c>
      <c r="V10" s="26">
        <f t="shared" si="6"/>
        <v>18081.2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Shifted'!$AE$32:$AO$75,MATCH($R10,'Futures &amp; Perps Shifted'!$AE$30:$AO$30,0),FALSE),0),0)))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7" t="str">
        <f t="shared" si="10"/>
        <v/>
      </c>
      <c r="AC10" s="43" t="str">
        <f t="shared" si="11"/>
        <v/>
      </c>
      <c r="AD10" s="37"/>
      <c r="AE10" t="s">
        <v>81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1.0001054103245299</v>
      </c>
      <c r="AP10">
        <f t="shared" si="14"/>
        <v>17815.649854650899</v>
      </c>
      <c r="AQ10">
        <f t="shared" si="15"/>
        <v>-298.98848352692067</v>
      </c>
      <c r="AR10">
        <f t="shared" si="15"/>
        <v>0</v>
      </c>
      <c r="AS10">
        <f t="shared" si="16"/>
        <v>-54.060705683514698</v>
      </c>
      <c r="AT10">
        <f t="shared" si="16"/>
        <v>-540.6070568346031</v>
      </c>
      <c r="AV10" s="31">
        <f t="shared" si="20"/>
        <v>-540607.05683469668</v>
      </c>
      <c r="AW10" s="37">
        <f t="shared" si="17"/>
        <v>0.99989460078563686</v>
      </c>
      <c r="AZ10">
        <f t="shared" si="21"/>
        <v>0</v>
      </c>
    </row>
    <row r="11" spans="1:53" x14ac:dyDescent="0.25">
      <c r="A11">
        <v>9</v>
      </c>
      <c r="B11" s="78">
        <v>44909.916666666664</v>
      </c>
      <c r="C11" t="s">
        <v>11</v>
      </c>
      <c r="D11" t="s">
        <v>19</v>
      </c>
      <c r="E11" t="s">
        <v>759</v>
      </c>
      <c r="F11">
        <v>-8.5299999999999994</v>
      </c>
      <c r="G11" s="1">
        <v>-165.24083404000001</v>
      </c>
      <c r="H11">
        <v>19.371727320000002</v>
      </c>
      <c r="I11">
        <v>11.31243772</v>
      </c>
      <c r="J11" t="s">
        <v>18</v>
      </c>
      <c r="K11" s="28">
        <v>73050.333333333328</v>
      </c>
      <c r="L11">
        <v>1</v>
      </c>
      <c r="M11" t="s">
        <v>30</v>
      </c>
      <c r="N11" s="49">
        <f t="shared" si="0"/>
        <v>1</v>
      </c>
      <c r="O11" s="47">
        <f t="shared" si="1"/>
        <v>-8.5299999999999994</v>
      </c>
      <c r="P11" s="48">
        <f t="shared" si="2"/>
        <v>-160.25897205839783</v>
      </c>
      <c r="Q11" s="25">
        <f t="shared" si="18"/>
        <v>28140.416666666664</v>
      </c>
      <c r="R11" s="26" t="str">
        <f t="shared" si="3"/>
        <v>PERP</v>
      </c>
      <c r="S11" s="26" t="str">
        <f t="shared" si="19"/>
        <v>SHORT</v>
      </c>
      <c r="T11" s="26" t="str">
        <f t="shared" si="4"/>
        <v>PERP SHORT</v>
      </c>
      <c r="U11" s="26">
        <f t="shared" si="5"/>
        <v>-165.24083404000001</v>
      </c>
      <c r="V11" s="26">
        <f t="shared" si="6"/>
        <v>19.371727320000002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Shifted'!$AE$32:$AO$75,MATCH($R11,'Futures &amp; Perps Shifted'!$AE$30:$AO$30,0),FALSE),0),0)))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7" t="str">
        <f t="shared" si="10"/>
        <v/>
      </c>
      <c r="AC11" s="43" t="str">
        <f t="shared" si="11"/>
        <v/>
      </c>
      <c r="AD11" s="37"/>
      <c r="AE11" t="s">
        <v>274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1.0001054103245299</v>
      </c>
      <c r="AP11">
        <f t="shared" si="14"/>
        <v>18.787687228417099</v>
      </c>
      <c r="AQ11">
        <f t="shared" si="15"/>
        <v>-85.291009447014702</v>
      </c>
      <c r="AR11">
        <f t="shared" si="15"/>
        <v>0</v>
      </c>
      <c r="AS11">
        <f t="shared" si="16"/>
        <v>-1.6522341778544527E-2</v>
      </c>
      <c r="AT11">
        <f t="shared" si="16"/>
        <v>-0.16522341778550587</v>
      </c>
      <c r="AV11" s="31">
        <f t="shared" si="20"/>
        <v>-165.22341778551129</v>
      </c>
      <c r="AW11" s="37">
        <f t="shared" si="17"/>
        <v>0.99989460078321502</v>
      </c>
      <c r="AZ11">
        <f t="shared" si="21"/>
        <v>0</v>
      </c>
    </row>
    <row r="12" spans="1:53" x14ac:dyDescent="0.25">
      <c r="A12">
        <v>10</v>
      </c>
      <c r="B12" s="78">
        <v>44909.916666666664</v>
      </c>
      <c r="C12" t="s">
        <v>11</v>
      </c>
      <c r="D12" t="s">
        <v>19</v>
      </c>
      <c r="E12" t="s">
        <v>760</v>
      </c>
      <c r="F12">
        <v>-20870.772000000001</v>
      </c>
      <c r="G12" s="1">
        <v>-27979810.940720402</v>
      </c>
      <c r="H12">
        <v>1340.6217527900001</v>
      </c>
      <c r="I12">
        <v>-330525.65157545998</v>
      </c>
      <c r="J12" t="s">
        <v>18</v>
      </c>
      <c r="K12" s="28">
        <v>73050.333333333328</v>
      </c>
      <c r="L12">
        <v>1</v>
      </c>
      <c r="M12" t="s">
        <v>16</v>
      </c>
      <c r="N12" s="49">
        <f t="shared" si="0"/>
        <v>1</v>
      </c>
      <c r="O12" s="47">
        <f t="shared" si="1"/>
        <v>-20870.772000000001</v>
      </c>
      <c r="P12" s="48">
        <f t="shared" si="2"/>
        <v>-27326700.289329469</v>
      </c>
      <c r="Q12" s="25">
        <f t="shared" si="18"/>
        <v>28140.416666666664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-27979810.940720402</v>
      </c>
      <c r="V12" s="26">
        <f t="shared" si="6"/>
        <v>1340.6217527900001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Shifted'!$AE$32:$AO$75,MATCH($R12,'Futures &amp; Perps Shifted'!$AE$30:$AO$30,0),FALSE),0),0)))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7" t="str">
        <f t="shared" si="10"/>
        <v/>
      </c>
      <c r="AC12" s="43" t="str">
        <f t="shared" si="11"/>
        <v/>
      </c>
      <c r="AD12" s="37"/>
      <c r="AN12" t="str">
        <f t="shared" si="12"/>
        <v>USDT</v>
      </c>
      <c r="AO12">
        <f t="shared" si="13"/>
        <v>1.0001054103245299</v>
      </c>
      <c r="AP12">
        <f t="shared" si="14"/>
        <v>1309.32867693296</v>
      </c>
      <c r="AQ12">
        <f t="shared" si="15"/>
        <v>-208685.72237028019</v>
      </c>
      <c r="AR12">
        <f t="shared" si="15"/>
        <v>0</v>
      </c>
      <c r="AS12">
        <f t="shared" si="16"/>
        <v>-2797.6861890637829</v>
      </c>
      <c r="AT12">
        <f t="shared" si="16"/>
        <v>-27976.861890628337</v>
      </c>
      <c r="AV12" s="31">
        <f t="shared" si="20"/>
        <v>-27976861.890629239</v>
      </c>
      <c r="AW12" s="37">
        <f t="shared" si="17"/>
        <v>0.99989460078563752</v>
      </c>
      <c r="AZ12">
        <f t="shared" si="21"/>
        <v>0</v>
      </c>
    </row>
    <row r="13" spans="1:53" x14ac:dyDescent="0.25">
      <c r="A13">
        <v>11</v>
      </c>
      <c r="B13" s="78">
        <v>44909.916666666664</v>
      </c>
      <c r="C13" t="s">
        <v>11</v>
      </c>
      <c r="D13" t="s">
        <v>19</v>
      </c>
      <c r="E13" t="s">
        <v>761</v>
      </c>
      <c r="F13">
        <v>-3392.3029999999999</v>
      </c>
      <c r="G13" s="1">
        <v>-267344.75753834698</v>
      </c>
      <c r="H13">
        <v>78.809221210000004</v>
      </c>
      <c r="I13">
        <v>-2089.8192057000001</v>
      </c>
      <c r="J13" t="s">
        <v>18</v>
      </c>
      <c r="K13" s="28">
        <v>73050.333333333328</v>
      </c>
      <c r="L13">
        <v>1</v>
      </c>
      <c r="M13" t="s">
        <v>25</v>
      </c>
      <c r="N13" s="49">
        <f t="shared" si="0"/>
        <v>1</v>
      </c>
      <c r="O13" s="47">
        <f t="shared" si="1"/>
        <v>-3392.3029999999999</v>
      </c>
      <c r="P13" s="48">
        <f t="shared" si="2"/>
        <v>-256036.99867437468</v>
      </c>
      <c r="Q13" s="25">
        <f t="shared" si="18"/>
        <v>28140.416666666664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-267344.75753834698</v>
      </c>
      <c r="V13" s="26">
        <f t="shared" si="6"/>
        <v>78.809221210000004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Shifted'!$AE$32:$AO$75,MATCH($R13,'Futures &amp; Perps Shifted'!$AE$30:$AO$30,0),FALSE),0),0)))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7" t="str">
        <f t="shared" si="10"/>
        <v/>
      </c>
      <c r="AC13" s="43" t="str">
        <f t="shared" si="11"/>
        <v/>
      </c>
      <c r="AD13" s="37"/>
      <c r="AE13" t="s">
        <v>24</v>
      </c>
      <c r="AF13" s="45">
        <f>SUMIFS($O$62:$O$123,$M$62:$M$123,"="&amp;$AE13,$O$62:$O$123,"&gt;0")</f>
        <v>0</v>
      </c>
      <c r="AG13" s="45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1.0001054103245299</v>
      </c>
      <c r="AP13">
        <f t="shared" si="14"/>
        <v>75.475863646134997</v>
      </c>
      <c r="AQ13">
        <f t="shared" si="15"/>
        <v>-33919.454539289138</v>
      </c>
      <c r="AR13">
        <f t="shared" si="15"/>
        <v>0</v>
      </c>
      <c r="AS13">
        <f t="shared" si="16"/>
        <v>-26.73165796110619</v>
      </c>
      <c r="AT13">
        <f t="shared" si="16"/>
        <v>-267.3165796109173</v>
      </c>
      <c r="AV13" s="31">
        <f t="shared" si="20"/>
        <v>-267316.57961093797</v>
      </c>
      <c r="AW13" s="37">
        <f t="shared" si="17"/>
        <v>0.99989460078563552</v>
      </c>
      <c r="AZ13">
        <f t="shared" si="21"/>
        <v>0</v>
      </c>
    </row>
    <row r="14" spans="1:53" x14ac:dyDescent="0.25">
      <c r="A14">
        <v>12</v>
      </c>
      <c r="B14" s="78">
        <v>44909.916666666664</v>
      </c>
      <c r="C14" t="s">
        <v>11</v>
      </c>
      <c r="D14" t="s">
        <v>19</v>
      </c>
      <c r="E14" t="s">
        <v>1170</v>
      </c>
      <c r="F14">
        <v>-24000</v>
      </c>
      <c r="G14" s="1">
        <v>-28573.161840000001</v>
      </c>
      <c r="H14">
        <v>1.1905484099999999</v>
      </c>
      <c r="I14">
        <v>-709.86192000000005</v>
      </c>
      <c r="J14" t="s">
        <v>18</v>
      </c>
      <c r="K14" s="28">
        <v>73050.333333333328</v>
      </c>
      <c r="L14">
        <v>1</v>
      </c>
      <c r="M14" t="s">
        <v>153</v>
      </c>
      <c r="N14" s="49">
        <f t="shared" si="0"/>
        <v>1</v>
      </c>
      <c r="O14" s="47">
        <f t="shared" si="1"/>
        <v>-24000</v>
      </c>
      <c r="P14" s="48">
        <f t="shared" si="2"/>
        <v>-28267.740665380799</v>
      </c>
      <c r="Q14" s="25">
        <f t="shared" si="18"/>
        <v>28140.416666666664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 t="e">
        <f t="shared" si="5"/>
        <v>#N/A</v>
      </c>
      <c r="V14" s="26" t="e">
        <f t="shared" si="6"/>
        <v>#N/A</v>
      </c>
      <c r="W14" s="26" t="e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Shifted'!$AE$32:$AO$75,MATCH($R14,'Futures &amp; Perps Shifted'!$AE$30:$AO$30,0),FALSE),0),0)))</f>
        <v>#N/A</v>
      </c>
      <c r="X14" s="26" t="e">
        <f t="shared" si="7"/>
        <v>#N/A</v>
      </c>
      <c r="Y14" s="26" t="str">
        <f t="shared" si="8"/>
        <v>BINE</v>
      </c>
      <c r="Z14" s="26" t="str">
        <f t="shared" si="9"/>
        <v>PERP</v>
      </c>
      <c r="AB14" s="37" t="str">
        <f t="shared" si="10"/>
        <v/>
      </c>
      <c r="AC14" s="43" t="str">
        <f t="shared" si="11"/>
        <v/>
      </c>
      <c r="AD14" s="37"/>
      <c r="AE14" t="s">
        <v>81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1.0001054103245299</v>
      </c>
      <c r="AP14">
        <f t="shared" si="14"/>
        <v>1.1778225277242</v>
      </c>
      <c r="AQ14">
        <f t="shared" si="15"/>
        <v>-239974.70418855251</v>
      </c>
      <c r="AR14">
        <f t="shared" si="15"/>
        <v>0</v>
      </c>
      <c r="AS14">
        <f t="shared" si="16"/>
        <v>-2.8570150251176636</v>
      </c>
      <c r="AT14">
        <f t="shared" si="16"/>
        <v>-28.570150251187293</v>
      </c>
      <c r="AV14" s="31">
        <f t="shared" si="20"/>
        <v>-28570.150251190171</v>
      </c>
      <c r="AW14" s="37">
        <f t="shared" si="17"/>
        <v>0.99989460078563608</v>
      </c>
      <c r="AZ14">
        <f t="shared" si="21"/>
        <v>0</v>
      </c>
    </row>
    <row r="15" spans="1:53" x14ac:dyDescent="0.25">
      <c r="A15">
        <v>13</v>
      </c>
      <c r="B15" s="78">
        <v>44909.916666666664</v>
      </c>
      <c r="C15" t="s">
        <v>11</v>
      </c>
      <c r="D15" t="s">
        <v>19</v>
      </c>
      <c r="E15" t="s">
        <v>762</v>
      </c>
      <c r="F15">
        <v>-836034</v>
      </c>
      <c r="G15" s="1">
        <v>-18559.9548</v>
      </c>
      <c r="H15">
        <v>2.2200000000000001E-2</v>
      </c>
      <c r="I15">
        <v>131.24061732000001</v>
      </c>
      <c r="J15" t="s">
        <v>18</v>
      </c>
      <c r="K15" s="28">
        <v>73050.333333333328</v>
      </c>
      <c r="L15">
        <v>1</v>
      </c>
      <c r="M15" t="s">
        <v>27</v>
      </c>
      <c r="N15" s="49">
        <f t="shared" si="0"/>
        <v>1</v>
      </c>
      <c r="O15" s="47">
        <f t="shared" si="1"/>
        <v>-836034</v>
      </c>
      <c r="P15" s="48">
        <f t="shared" si="2"/>
        <v>-18217.492629457171</v>
      </c>
      <c r="Q15" s="25">
        <f t="shared" si="18"/>
        <v>28140.416666666664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-18559.9548</v>
      </c>
      <c r="V15" s="26">
        <f t="shared" si="6"/>
        <v>2.2200000000000001E-2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Shifted'!$AE$32:$AO$75,MATCH($R15,'Futures &amp; Perps Shifted'!$AE$30:$AO$30,0),FALSE),0),0)))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7" t="str">
        <f t="shared" si="10"/>
        <v/>
      </c>
      <c r="AC15" s="43" t="str">
        <f t="shared" si="11"/>
        <v/>
      </c>
      <c r="AD15" s="37"/>
      <c r="AE15" t="s">
        <v>274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1.0001054103245299</v>
      </c>
      <c r="AP15">
        <f t="shared" si="14"/>
        <v>2.1790372914806299E-2</v>
      </c>
      <c r="AQ15">
        <f t="shared" si="15"/>
        <v>-8359458.8267321791</v>
      </c>
      <c r="AR15">
        <f t="shared" si="15"/>
        <v>0</v>
      </c>
      <c r="AS15">
        <f t="shared" si="16"/>
        <v>-1.8557998595351237</v>
      </c>
      <c r="AT15">
        <f t="shared" si="16"/>
        <v>-18.557998595342536</v>
      </c>
      <c r="AV15" s="31">
        <f t="shared" si="20"/>
        <v>-18557.998595345467</v>
      </c>
      <c r="AW15" s="37">
        <f t="shared" si="17"/>
        <v>0.99989460078563697</v>
      </c>
      <c r="AZ15">
        <f t="shared" si="21"/>
        <v>0</v>
      </c>
    </row>
    <row r="16" spans="1:53" x14ac:dyDescent="0.25">
      <c r="A16">
        <v>14</v>
      </c>
      <c r="B16" s="78">
        <v>44909.916666666664</v>
      </c>
      <c r="C16" t="s">
        <v>11</v>
      </c>
      <c r="D16" t="s">
        <v>19</v>
      </c>
      <c r="E16" t="s">
        <v>763</v>
      </c>
      <c r="F16">
        <v>-200.97900000000001</v>
      </c>
      <c r="G16" s="1">
        <v>-7992.9348300000001</v>
      </c>
      <c r="H16">
        <v>39.770000000000003</v>
      </c>
      <c r="I16">
        <v>1968.1015390099999</v>
      </c>
      <c r="J16" t="s">
        <v>18</v>
      </c>
      <c r="K16" s="28">
        <v>73050.333333333328</v>
      </c>
      <c r="L16">
        <v>1</v>
      </c>
      <c r="M16" t="s">
        <v>32</v>
      </c>
      <c r="N16" s="49">
        <f t="shared" si="0"/>
        <v>1</v>
      </c>
      <c r="O16" s="47">
        <f t="shared" si="1"/>
        <v>-200.97900000000001</v>
      </c>
      <c r="P16" s="48">
        <f t="shared" si="2"/>
        <v>-7909.1746469742375</v>
      </c>
      <c r="Q16" s="25">
        <f t="shared" si="18"/>
        <v>28140.416666666664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-7992.9348300000001</v>
      </c>
      <c r="V16" s="26">
        <f t="shared" si="6"/>
        <v>39.770000000000003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Shifted'!$AE$32:$AO$75,MATCH($R16,'Futures &amp; Perps Shifted'!$AE$30:$AO$30,0),FALSE),0),0)))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7" t="str">
        <f t="shared" si="10"/>
        <v/>
      </c>
      <c r="AC16" s="43" t="str">
        <f t="shared" si="11"/>
        <v/>
      </c>
      <c r="AD16" s="37"/>
      <c r="AN16" t="str">
        <f t="shared" si="12"/>
        <v>USDT</v>
      </c>
      <c r="AO16">
        <f t="shared" si="13"/>
        <v>1.0001054103245299</v>
      </c>
      <c r="AP16">
        <f t="shared" si="14"/>
        <v>39.353239129333097</v>
      </c>
      <c r="AQ16">
        <f t="shared" si="15"/>
        <v>-2009.5781697129626</v>
      </c>
      <c r="AR16">
        <f t="shared" si="15"/>
        <v>0</v>
      </c>
      <c r="AS16">
        <f t="shared" si="16"/>
        <v>-0.79920923809464595</v>
      </c>
      <c r="AT16">
        <f t="shared" si="16"/>
        <v>-7.9920923809478879</v>
      </c>
      <c r="AV16" s="31">
        <f t="shared" si="20"/>
        <v>-7992.0923809484584</v>
      </c>
      <c r="AW16" s="37">
        <f t="shared" si="17"/>
        <v>0.99989460078563641</v>
      </c>
      <c r="AZ16">
        <f t="shared" si="21"/>
        <v>0</v>
      </c>
    </row>
    <row r="17" spans="1:52" x14ac:dyDescent="0.25">
      <c r="A17">
        <v>15</v>
      </c>
      <c r="B17" s="78">
        <v>44909.916666666664</v>
      </c>
      <c r="C17" t="s">
        <v>11</v>
      </c>
      <c r="D17" t="s">
        <v>19</v>
      </c>
      <c r="E17" t="s">
        <v>764</v>
      </c>
      <c r="F17">
        <v>-66041.94</v>
      </c>
      <c r="G17" s="1">
        <v>-454962.92466000002</v>
      </c>
      <c r="H17">
        <v>6.8890000000000002</v>
      </c>
      <c r="I17">
        <v>-5442.1807823400004</v>
      </c>
      <c r="J17" t="s">
        <v>18</v>
      </c>
      <c r="K17" s="28">
        <v>73050.333333333328</v>
      </c>
      <c r="L17">
        <v>1</v>
      </c>
      <c r="M17" t="s">
        <v>28</v>
      </c>
      <c r="N17" s="49">
        <f t="shared" si="0"/>
        <v>1</v>
      </c>
      <c r="O17" s="47">
        <f t="shared" si="1"/>
        <v>-66041.94</v>
      </c>
      <c r="P17" s="48">
        <f t="shared" si="2"/>
        <v>-444384.85884981666</v>
      </c>
      <c r="Q17" s="25">
        <f t="shared" si="18"/>
        <v>28140.416666666664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-454962.92466000002</v>
      </c>
      <c r="V17" s="26">
        <f t="shared" si="6"/>
        <v>6.8890000000000002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Shifted'!$AE$32:$AO$75,MATCH($R17,'Futures &amp; Perps Shifted'!$AE$30:$AO$30,0),FALSE),0),0)))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7" t="str">
        <f t="shared" si="10"/>
        <v/>
      </c>
      <c r="AC17" s="43" t="str">
        <f t="shared" si="11"/>
        <v/>
      </c>
      <c r="AD17" s="37"/>
      <c r="AN17" t="str">
        <f t="shared" si="12"/>
        <v>USDT</v>
      </c>
      <c r="AO17">
        <f t="shared" si="13"/>
        <v>1.0001054103245299</v>
      </c>
      <c r="AP17">
        <f t="shared" si="14"/>
        <v>6.72882805759214</v>
      </c>
      <c r="AQ17">
        <f t="shared" si="15"/>
        <v>-660349.7923140889</v>
      </c>
      <c r="AR17">
        <f t="shared" si="15"/>
        <v>0</v>
      </c>
      <c r="AS17">
        <f t="shared" si="16"/>
        <v>-45.491497192524413</v>
      </c>
      <c r="AT17">
        <f t="shared" si="16"/>
        <v>-454.91497192512679</v>
      </c>
      <c r="AV17" s="31">
        <f t="shared" si="20"/>
        <v>-454914.97192517604</v>
      </c>
      <c r="AW17" s="37">
        <f t="shared" si="17"/>
        <v>0.99989460078563586</v>
      </c>
      <c r="AZ17">
        <f t="shared" si="21"/>
        <v>0</v>
      </c>
    </row>
    <row r="18" spans="1:52" x14ac:dyDescent="0.25">
      <c r="A18">
        <v>16</v>
      </c>
      <c r="B18" s="78">
        <v>44909.916666666664</v>
      </c>
      <c r="C18" t="s">
        <v>11</v>
      </c>
      <c r="D18" t="s">
        <v>19</v>
      </c>
      <c r="E18" t="s">
        <v>287</v>
      </c>
      <c r="F18">
        <v>-168.59700000000001</v>
      </c>
      <c r="G18" s="1">
        <v>-3054885.8626449802</v>
      </c>
      <c r="H18">
        <v>18119.455640640001</v>
      </c>
      <c r="I18">
        <v>-47227.332067930001</v>
      </c>
      <c r="J18" t="s">
        <v>14</v>
      </c>
      <c r="K18" s="28">
        <v>44925.333333333336</v>
      </c>
      <c r="L18">
        <v>1</v>
      </c>
      <c r="M18" t="s">
        <v>15</v>
      </c>
      <c r="N18" s="49">
        <f t="shared" si="0"/>
        <v>1</v>
      </c>
      <c r="O18" s="47">
        <f t="shared" si="1"/>
        <v>-168.59700000000001</v>
      </c>
      <c r="P18" s="48">
        <f t="shared" si="2"/>
        <v>-3003665.1185445776</v>
      </c>
      <c r="Q18" s="25">
        <f t="shared" si="18"/>
        <v>15.416666666671517</v>
      </c>
      <c r="R18" s="26" t="str">
        <f t="shared" si="3"/>
        <v>Dec 22</v>
      </c>
      <c r="S18" s="26" t="str">
        <f t="shared" si="19"/>
        <v>SHORT</v>
      </c>
      <c r="T18" s="26" t="str">
        <f t="shared" si="4"/>
        <v>Dec 22 SHORT</v>
      </c>
      <c r="U18" s="26">
        <f t="shared" si="5"/>
        <v>-3085434.7212714301</v>
      </c>
      <c r="V18" s="26">
        <f t="shared" si="6"/>
        <v>18300.650197046401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Shifted'!$AE$32:$AO$75,MATCH($R18,'Futures &amp; Perps Shifted'!$AE$30:$AO$30,0),FALSE),0),0)))</f>
        <v>0.01</v>
      </c>
      <c r="X18" s="26">
        <f t="shared" si="7"/>
        <v>-30548.858626449946</v>
      </c>
      <c r="Y18" s="26" t="str">
        <f t="shared" si="8"/>
        <v>BINE</v>
      </c>
      <c r="Z18" s="26" t="str">
        <f t="shared" si="9"/>
        <v>W2</v>
      </c>
      <c r="AB18" s="37" t="str">
        <f t="shared" si="10"/>
        <v/>
      </c>
      <c r="AC18" s="43" t="str">
        <f t="shared" si="11"/>
        <v/>
      </c>
      <c r="AD18" s="37"/>
      <c r="AN18" t="str">
        <f t="shared" si="12"/>
        <v>USDT</v>
      </c>
      <c r="AO18">
        <f t="shared" si="13"/>
        <v>1.0001054103245299</v>
      </c>
      <c r="AP18">
        <f t="shared" si="14"/>
        <v>17815.649854650899</v>
      </c>
      <c r="AQ18">
        <f t="shared" si="15"/>
        <v>-1685.7923000865578</v>
      </c>
      <c r="AR18">
        <f t="shared" si="15"/>
        <v>0</v>
      </c>
      <c r="AS18">
        <f t="shared" si="16"/>
        <v>-305.45638800727693</v>
      </c>
      <c r="AT18">
        <f t="shared" si="16"/>
        <v>-3054.5638800746092</v>
      </c>
      <c r="AV18" s="31">
        <f t="shared" si="20"/>
        <v>-3054563.8800750873</v>
      </c>
      <c r="AW18" s="37">
        <f t="shared" si="17"/>
        <v>0.99989460078563652</v>
      </c>
      <c r="AZ18">
        <f t="shared" si="21"/>
        <v>-3054.5638800746092</v>
      </c>
    </row>
    <row r="19" spans="1:52" x14ac:dyDescent="0.25">
      <c r="A19">
        <v>17</v>
      </c>
      <c r="B19" s="78">
        <v>44909.916666666664</v>
      </c>
      <c r="C19" t="s">
        <v>11</v>
      </c>
      <c r="D19" t="s">
        <v>19</v>
      </c>
      <c r="E19" t="s">
        <v>757</v>
      </c>
      <c r="F19">
        <v>-386.97800000000001</v>
      </c>
      <c r="G19" s="1">
        <v>-519033.077796834</v>
      </c>
      <c r="H19">
        <v>1341.2469902600001</v>
      </c>
      <c r="I19">
        <v>-3713.8092368699999</v>
      </c>
      <c r="J19" t="s">
        <v>14</v>
      </c>
      <c r="K19" s="28">
        <v>44925.333333333336</v>
      </c>
      <c r="L19">
        <v>1</v>
      </c>
      <c r="M19" t="s">
        <v>16</v>
      </c>
      <c r="N19" s="49">
        <f t="shared" si="0"/>
        <v>1</v>
      </c>
      <c r="O19" s="47">
        <f t="shared" si="1"/>
        <v>-386.97800000000001</v>
      </c>
      <c r="P19" s="48">
        <f t="shared" si="2"/>
        <v>-506681.39274216298</v>
      </c>
      <c r="Q19" s="25">
        <f t="shared" si="18"/>
        <v>15.416666666671517</v>
      </c>
      <c r="R19" s="26" t="str">
        <f t="shared" si="3"/>
        <v>Dec 22</v>
      </c>
      <c r="S19" s="26" t="str">
        <f t="shared" si="19"/>
        <v>SHORT</v>
      </c>
      <c r="T19" s="26" t="str">
        <f t="shared" si="4"/>
        <v>Dec 22 SHORT</v>
      </c>
      <c r="U19" s="26">
        <f t="shared" si="5"/>
        <v>-524223.40857480234</v>
      </c>
      <c r="V19" s="26">
        <f t="shared" si="6"/>
        <v>1354.6594601626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Shifted'!$AE$32:$AO$75,MATCH($R19,'Futures &amp; Perps Shifted'!$AE$30:$AO$30,0),FALSE),0),0)))</f>
        <v>0.01</v>
      </c>
      <c r="X19" s="26">
        <f t="shared" si="7"/>
        <v>-5190.3307779683382</v>
      </c>
      <c r="Y19" s="26" t="str">
        <f t="shared" si="8"/>
        <v>BINE</v>
      </c>
      <c r="Z19" s="26" t="str">
        <f t="shared" si="9"/>
        <v>W2</v>
      </c>
      <c r="AB19" s="37" t="str">
        <f t="shared" si="10"/>
        <v/>
      </c>
      <c r="AC19" s="43" t="str">
        <f t="shared" si="11"/>
        <v/>
      </c>
      <c r="AD19" s="37"/>
      <c r="AN19" t="str">
        <f t="shared" si="12"/>
        <v>USDT</v>
      </c>
      <c r="AO19">
        <f t="shared" si="13"/>
        <v>1.0001054103245299</v>
      </c>
      <c r="AP19">
        <f t="shared" si="14"/>
        <v>1309.32867693296</v>
      </c>
      <c r="AQ19">
        <f t="shared" si="15"/>
        <v>-3869.3721282282368</v>
      </c>
      <c r="AR19">
        <f t="shared" si="15"/>
        <v>0</v>
      </c>
      <c r="AS19">
        <f t="shared" si="16"/>
        <v>-51.897837211805275</v>
      </c>
      <c r="AT19">
        <f t="shared" si="16"/>
        <v>-518.97837211814067</v>
      </c>
      <c r="AV19" s="31">
        <f t="shared" si="20"/>
        <v>-518978.37211820582</v>
      </c>
      <c r="AW19" s="37">
        <f t="shared" si="17"/>
        <v>0.99989460078563708</v>
      </c>
      <c r="AZ19">
        <f t="shared" si="21"/>
        <v>-518.97837211814067</v>
      </c>
    </row>
    <row r="20" spans="1:52" x14ac:dyDescent="0.25">
      <c r="A20">
        <v>18</v>
      </c>
      <c r="B20" s="78">
        <v>44909.916666666664</v>
      </c>
      <c r="C20" t="s">
        <v>11</v>
      </c>
      <c r="D20" t="s">
        <v>306</v>
      </c>
      <c r="E20" t="s">
        <v>22</v>
      </c>
      <c r="F20">
        <v>43.777000000000001</v>
      </c>
      <c r="G20" s="1">
        <v>791975.26269441703</v>
      </c>
      <c r="H20">
        <v>18091.126908980001</v>
      </c>
      <c r="I20">
        <v>7972.3690980499996</v>
      </c>
      <c r="J20" t="s">
        <v>18</v>
      </c>
      <c r="K20" s="28">
        <v>73050.333333333328</v>
      </c>
      <c r="L20">
        <v>1</v>
      </c>
      <c r="M20" t="s">
        <v>15</v>
      </c>
      <c r="N20" s="49">
        <f t="shared" si="0"/>
        <v>1</v>
      </c>
      <c r="O20" s="47">
        <f t="shared" si="1"/>
        <v>43.777000000000001</v>
      </c>
      <c r="P20" s="48">
        <f t="shared" si="2"/>
        <v>779915.70368705248</v>
      </c>
      <c r="Q20" s="25">
        <f t="shared" si="18"/>
        <v>28140.416666666664</v>
      </c>
      <c r="R20" s="26" t="str">
        <f t="shared" si="3"/>
        <v>PERP</v>
      </c>
      <c r="S20" s="26" t="str">
        <f t="shared" si="19"/>
        <v>LONG</v>
      </c>
      <c r="T20" s="26" t="str">
        <f t="shared" si="4"/>
        <v>PERP LONG</v>
      </c>
      <c r="U20" s="26">
        <f t="shared" si="5"/>
        <v>791975.26269441703</v>
      </c>
      <c r="V20" s="26">
        <f t="shared" si="6"/>
        <v>18091.126908980001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Shifted'!$AE$32:$AO$75,MATCH($R20,'Futures &amp; Perps Shifted'!$AE$30:$AO$30,0),FALSE),0),0)))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7" t="str">
        <f t="shared" si="10"/>
        <v/>
      </c>
      <c r="AC20" s="43" t="str">
        <f t="shared" si="11"/>
        <v/>
      </c>
      <c r="AD20" s="37"/>
      <c r="AF20" s="43"/>
      <c r="AN20" t="str">
        <f t="shared" si="12"/>
        <v>USDT</v>
      </c>
      <c r="AO20">
        <f t="shared" si="13"/>
        <v>1.0001054103245299</v>
      </c>
      <c r="AP20">
        <f t="shared" si="14"/>
        <v>17815.649854650899</v>
      </c>
      <c r="AQ20">
        <f t="shared" si="15"/>
        <v>437.7238593859276</v>
      </c>
      <c r="AR20">
        <f t="shared" si="15"/>
        <v>0</v>
      </c>
      <c r="AS20">
        <f t="shared" si="16"/>
        <v>79.18917891241405</v>
      </c>
      <c r="AT20">
        <f t="shared" si="16"/>
        <v>791.89178912382204</v>
      </c>
      <c r="AV20" s="31">
        <f t="shared" si="20"/>
        <v>791891.78912393341</v>
      </c>
      <c r="AW20" s="37">
        <f t="shared" si="17"/>
        <v>0.99989460078563608</v>
      </c>
      <c r="AZ20">
        <f t="shared" si="21"/>
        <v>0</v>
      </c>
    </row>
    <row r="21" spans="1:52" x14ac:dyDescent="0.25">
      <c r="A21">
        <v>19</v>
      </c>
      <c r="B21" s="78">
        <v>44909.916666666664</v>
      </c>
      <c r="C21" t="s">
        <v>33</v>
      </c>
      <c r="D21" t="s">
        <v>34</v>
      </c>
      <c r="E21" t="s">
        <v>35</v>
      </c>
      <c r="F21">
        <v>-1.4123000000000001</v>
      </c>
      <c r="G21" s="1">
        <v>-25522.980780859001</v>
      </c>
      <c r="H21">
        <v>18071.92578125</v>
      </c>
      <c r="I21">
        <v>2007.843967</v>
      </c>
      <c r="J21" t="s">
        <v>18</v>
      </c>
      <c r="K21" s="28">
        <v>73050.333333333328</v>
      </c>
      <c r="L21">
        <v>1</v>
      </c>
      <c r="M21" t="s">
        <v>15</v>
      </c>
      <c r="N21" s="49">
        <f t="shared" si="0"/>
        <v>1</v>
      </c>
      <c r="O21" s="47">
        <f t="shared" si="1"/>
        <v>-1.4123000000000001</v>
      </c>
      <c r="P21" s="48">
        <f t="shared" si="2"/>
        <v>-25161.042289723468</v>
      </c>
      <c r="Q21" s="25">
        <f t="shared" si="18"/>
        <v>28140.416666666664</v>
      </c>
      <c r="R21" s="26" t="str">
        <f t="shared" si="3"/>
        <v>PERP</v>
      </c>
      <c r="S21" s="26" t="str">
        <f t="shared" si="19"/>
        <v>SHORT</v>
      </c>
      <c r="T21" s="26" t="str">
        <f t="shared" si="4"/>
        <v>PERP SHORT</v>
      </c>
      <c r="U21" s="26">
        <f t="shared" si="5"/>
        <v>-25522.980780859001</v>
      </c>
      <c r="V21" s="26">
        <f t="shared" si="6"/>
        <v>18071.92578125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Shifted'!$AE$32:$AO$75,MATCH($R21,'Futures &amp; Perps Shifted'!$AE$30:$AO$30,0),FALSE),0),0)))</f>
        <v>0</v>
      </c>
      <c r="X21" s="26">
        <f t="shared" si="7"/>
        <v>0</v>
      </c>
      <c r="Y21" s="26" t="str">
        <f t="shared" si="8"/>
        <v>DYDX</v>
      </c>
      <c r="Z21" s="26" t="str">
        <f t="shared" si="9"/>
        <v>PERP</v>
      </c>
      <c r="AB21" s="37" t="str">
        <f t="shared" si="10"/>
        <v/>
      </c>
      <c r="AC21" s="43" t="str">
        <f>IF($C81="","",IF($A81="",0,IF($L81=1,($G81/$H81)/#REF!,-1)))</f>
        <v/>
      </c>
      <c r="AD21" s="37"/>
      <c r="AF21" s="43"/>
      <c r="AN21" t="str">
        <f t="shared" si="12"/>
        <v>USDC</v>
      </c>
      <c r="AO21">
        <f t="shared" si="13"/>
        <v>0.99997952530443501</v>
      </c>
      <c r="AP21">
        <f t="shared" si="14"/>
        <v>17815.649854650899</v>
      </c>
      <c r="AQ21">
        <f t="shared" si="15"/>
        <v>-14.123289170046133</v>
      </c>
      <c r="AR21">
        <f t="shared" si="15"/>
        <v>0</v>
      </c>
      <c r="AS21">
        <f t="shared" si="16"/>
        <v>-2.5523503366834377</v>
      </c>
      <c r="AT21">
        <f t="shared" si="16"/>
        <v>-25.523503366818964</v>
      </c>
      <c r="AV21" s="31">
        <f t="shared" si="20"/>
        <v>-25523.503366820602</v>
      </c>
      <c r="AW21" s="37">
        <f t="shared" si="17"/>
        <v>1.000020475114803</v>
      </c>
      <c r="AZ21">
        <f t="shared" si="21"/>
        <v>0</v>
      </c>
    </row>
    <row r="22" spans="1:52" x14ac:dyDescent="0.25">
      <c r="A22">
        <v>20</v>
      </c>
      <c r="B22" s="78">
        <v>44909.916666666664</v>
      </c>
      <c r="C22" t="s">
        <v>33</v>
      </c>
      <c r="D22" t="s">
        <v>34</v>
      </c>
      <c r="E22" t="s">
        <v>765</v>
      </c>
      <c r="F22">
        <v>-426.6</v>
      </c>
      <c r="G22" s="1">
        <v>-4213.2295194629996</v>
      </c>
      <c r="H22">
        <v>9.8762998579999994</v>
      </c>
      <c r="I22">
        <v>5143.0681100000002</v>
      </c>
      <c r="J22" t="s">
        <v>18</v>
      </c>
      <c r="K22" s="28">
        <v>73050.333333333328</v>
      </c>
      <c r="L22">
        <v>1</v>
      </c>
      <c r="M22" t="s">
        <v>36</v>
      </c>
      <c r="N22" s="49">
        <f t="shared" si="0"/>
        <v>1</v>
      </c>
      <c r="O22" s="47">
        <f t="shared" si="1"/>
        <v>-426.6</v>
      </c>
      <c r="P22" s="48">
        <f t="shared" si="2"/>
        <v>-4099.2586031132605</v>
      </c>
      <c r="Q22" s="25">
        <f t="shared" si="18"/>
        <v>28140.416666666664</v>
      </c>
      <c r="R22" s="26" t="str">
        <f t="shared" si="3"/>
        <v>PERP</v>
      </c>
      <c r="S22" s="26" t="str">
        <f t="shared" si="19"/>
        <v>SHORT</v>
      </c>
      <c r="T22" s="26" t="str">
        <f t="shared" si="4"/>
        <v>PERP SHORT</v>
      </c>
      <c r="U22" s="26">
        <f t="shared" si="5"/>
        <v>-4213.2295194629996</v>
      </c>
      <c r="V22" s="26">
        <f t="shared" si="6"/>
        <v>9.8762998579999994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Shifted'!$AE$32:$AO$75,MATCH($R22,'Futures &amp; Perps Shifted'!$AE$30:$AO$30,0),FALSE),0),0)))</f>
        <v>0</v>
      </c>
      <c r="X22" s="26">
        <f t="shared" si="7"/>
        <v>0</v>
      </c>
      <c r="Y22" s="26" t="str">
        <f t="shared" si="8"/>
        <v>DYDX</v>
      </c>
      <c r="Z22" s="26" t="str">
        <f t="shared" si="9"/>
        <v>PERP</v>
      </c>
      <c r="AB22" s="37" t="str">
        <f t="shared" si="10"/>
        <v/>
      </c>
      <c r="AC22" s="43" t="str">
        <f>IF($C82="","",IF($A82="",0,IF($L82=1,($G82/$H82)/$F81,-1)))</f>
        <v/>
      </c>
      <c r="AD22" s="37"/>
      <c r="AN22" t="str">
        <f t="shared" si="12"/>
        <v>USDC</v>
      </c>
      <c r="AO22">
        <f t="shared" si="13"/>
        <v>0.99997952530443501</v>
      </c>
      <c r="AP22">
        <f t="shared" si="14"/>
        <v>9.6091387789809204</v>
      </c>
      <c r="AQ22">
        <f t="shared" ref="AQ22:AR41" si="22">IF($C22="","",IF($A22="",0,IF($L22=1,(($H22+AQ$1)-$H22)*$N22*$F22/$AO22,$F22*$N22*(1/($H22)-1/($H22+AQ$1))*$AP22)))</f>
        <v>-4266.0873468396803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-0.42133157857838566</v>
      </c>
      <c r="AT22">
        <f t="shared" si="23"/>
        <v>-4.2133157857800674</v>
      </c>
      <c r="AV22" s="31">
        <f t="shared" si="20"/>
        <v>-4213.3157857808319</v>
      </c>
      <c r="AW22" s="37">
        <f t="shared" si="17"/>
        <v>1.0000204751052451</v>
      </c>
      <c r="AZ22">
        <f t="shared" si="21"/>
        <v>0</v>
      </c>
    </row>
    <row r="23" spans="1:52" x14ac:dyDescent="0.25">
      <c r="A23">
        <v>21</v>
      </c>
      <c r="B23" s="78">
        <v>44909.916666666664</v>
      </c>
      <c r="C23" t="s">
        <v>40</v>
      </c>
      <c r="D23" t="s">
        <v>41</v>
      </c>
      <c r="E23" t="s">
        <v>276</v>
      </c>
      <c r="F23">
        <v>2127</v>
      </c>
      <c r="G23" s="1">
        <v>212700</v>
      </c>
      <c r="H23">
        <v>18025.689999999999</v>
      </c>
      <c r="I23">
        <v>0.19737890699999999</v>
      </c>
      <c r="J23" t="s">
        <v>14</v>
      </c>
      <c r="K23" s="28">
        <v>44925.333333333336</v>
      </c>
      <c r="L23">
        <v>0</v>
      </c>
      <c r="M23" t="s">
        <v>15</v>
      </c>
      <c r="N23" s="49">
        <f t="shared" si="0"/>
        <v>100</v>
      </c>
      <c r="O23" s="47">
        <f t="shared" si="1"/>
        <v>11.799825693218956</v>
      </c>
      <c r="P23" s="48">
        <f t="shared" si="2"/>
        <v>210221.56289630223</v>
      </c>
      <c r="Q23" s="25">
        <f t="shared" si="18"/>
        <v>15.416666666671517</v>
      </c>
      <c r="R23" s="26" t="str">
        <f t="shared" si="3"/>
        <v>Dec 22</v>
      </c>
      <c r="S23" s="26" t="str">
        <f t="shared" si="19"/>
        <v>LONG</v>
      </c>
      <c r="T23" s="26" t="str">
        <f t="shared" si="4"/>
        <v>Dec 22 LONG</v>
      </c>
      <c r="U23" s="26">
        <f t="shared" si="5"/>
        <v>214827</v>
      </c>
      <c r="V23" s="26">
        <f t="shared" si="6"/>
        <v>18205.946899999999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Shifted'!$AE$32:$AO$75,MATCH($R23,'Futures &amp; Perps Shifted'!$AE$30:$AO$30,0),FALSE),0),0)))</f>
        <v>0.01</v>
      </c>
      <c r="X23" s="26">
        <f t="shared" si="7"/>
        <v>2127</v>
      </c>
      <c r="Y23" s="26" t="str">
        <f t="shared" si="8"/>
        <v>FUBI</v>
      </c>
      <c r="Z23" s="26" t="str">
        <f t="shared" si="9"/>
        <v>W2</v>
      </c>
      <c r="AB23" s="37" t="str">
        <f t="shared" si="10"/>
        <v/>
      </c>
      <c r="AC23" s="43" t="str">
        <f t="shared" ref="AC23:AC52" si="24">IF($C83="","",IF($A83="",0,IF($L83=1,($G83/$H83)/$F83,-1)))</f>
        <v/>
      </c>
      <c r="AD23" s="37"/>
      <c r="AN23" t="str">
        <f t="shared" si="12"/>
        <v>USD</v>
      </c>
      <c r="AO23">
        <f t="shared" si="13"/>
        <v>1</v>
      </c>
      <c r="AP23">
        <f t="shared" si="14"/>
        <v>17815.649854650899</v>
      </c>
      <c r="AQ23">
        <f t="shared" si="22"/>
        <v>116.55864726900052</v>
      </c>
      <c r="AR23">
        <f t="shared" si="22"/>
        <v>0</v>
      </c>
      <c r="AS23">
        <f t="shared" si="23"/>
        <v>21.020054284187523</v>
      </c>
      <c r="AT23">
        <f t="shared" si="23"/>
        <v>210.01155134493561</v>
      </c>
      <c r="AV23" s="31">
        <f t="shared" si="20"/>
        <v>191110.51172391142</v>
      </c>
      <c r="AW23" s="37">
        <f t="shared" si="17"/>
        <v>0.89849793946361745</v>
      </c>
      <c r="AZ23">
        <f t="shared" si="21"/>
        <v>210.01155134493561</v>
      </c>
    </row>
    <row r="24" spans="1:52" x14ac:dyDescent="0.25">
      <c r="A24">
        <v>22</v>
      </c>
      <c r="B24" s="78">
        <v>44909.916666666664</v>
      </c>
      <c r="C24" t="s">
        <v>40</v>
      </c>
      <c r="D24" t="s">
        <v>41</v>
      </c>
      <c r="E24" t="s">
        <v>766</v>
      </c>
      <c r="F24">
        <v>64770</v>
      </c>
      <c r="G24" s="1">
        <v>647700</v>
      </c>
      <c r="H24">
        <v>1334.066</v>
      </c>
      <c r="I24">
        <v>7.3256461310000001</v>
      </c>
      <c r="J24" t="s">
        <v>14</v>
      </c>
      <c r="K24" s="28">
        <v>44925.333333333336</v>
      </c>
      <c r="L24">
        <v>0</v>
      </c>
      <c r="M24" t="s">
        <v>16</v>
      </c>
      <c r="N24" s="49">
        <f t="shared" si="0"/>
        <v>10</v>
      </c>
      <c r="O24" s="47">
        <f t="shared" si="1"/>
        <v>485.50821323682635</v>
      </c>
      <c r="P24" s="48">
        <f t="shared" si="2"/>
        <v>635689.82647745928</v>
      </c>
      <c r="Q24" s="25">
        <f t="shared" si="18"/>
        <v>15.416666666671517</v>
      </c>
      <c r="R24" s="26" t="str">
        <f t="shared" si="3"/>
        <v>Dec 22</v>
      </c>
      <c r="S24" s="26" t="str">
        <f t="shared" si="19"/>
        <v>LONG</v>
      </c>
      <c r="T24" s="26" t="str">
        <f t="shared" si="4"/>
        <v>Dec 22 LONG</v>
      </c>
      <c r="U24" s="26">
        <f t="shared" si="5"/>
        <v>654177</v>
      </c>
      <c r="V24" s="26">
        <f t="shared" si="6"/>
        <v>1347.4066600000001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Shifted'!$AE$32:$AO$75,MATCH($R24,'Futures &amp; Perps Shifted'!$AE$30:$AO$30,0),FALSE),0),0)))</f>
        <v>0.01</v>
      </c>
      <c r="X24" s="26">
        <f t="shared" si="7"/>
        <v>6477</v>
      </c>
      <c r="Y24" s="26" t="str">
        <f t="shared" si="8"/>
        <v>FUBI</v>
      </c>
      <c r="Z24" s="26" t="str">
        <f t="shared" si="9"/>
        <v>W2</v>
      </c>
      <c r="AB24" s="37" t="str">
        <f t="shared" si="10"/>
        <v/>
      </c>
      <c r="AC24" s="43" t="str">
        <f t="shared" si="24"/>
        <v/>
      </c>
      <c r="AD24" s="37"/>
      <c r="AE24">
        <v>-8468</v>
      </c>
      <c r="AF24">
        <v>19560</v>
      </c>
      <c r="AN24" t="str">
        <f t="shared" si="12"/>
        <v>USD</v>
      </c>
      <c r="AO24">
        <f t="shared" si="13"/>
        <v>1</v>
      </c>
      <c r="AP24">
        <f t="shared" si="14"/>
        <v>1309.32867693296</v>
      </c>
      <c r="AQ24">
        <f t="shared" si="22"/>
        <v>4729.602761155058</v>
      </c>
      <c r="AR24">
        <f t="shared" si="22"/>
        <v>0</v>
      </c>
      <c r="AS24">
        <f t="shared" si="23"/>
        <v>63.562626385107812</v>
      </c>
      <c r="AT24">
        <f t="shared" si="23"/>
        <v>635.05477170575887</v>
      </c>
      <c r="AV24" s="31">
        <f t="shared" si="20"/>
        <v>577899.84225223598</v>
      </c>
      <c r="AW24" s="37">
        <f t="shared" si="17"/>
        <v>0.89223381542725944</v>
      </c>
      <c r="AZ24">
        <f t="shared" si="21"/>
        <v>635.05477170575887</v>
      </c>
    </row>
    <row r="25" spans="1:52" x14ac:dyDescent="0.25">
      <c r="A25">
        <v>23</v>
      </c>
      <c r="B25" s="78">
        <v>44909.916666666664</v>
      </c>
      <c r="C25" t="s">
        <v>40</v>
      </c>
      <c r="D25" t="s">
        <v>42</v>
      </c>
      <c r="E25" t="s">
        <v>719</v>
      </c>
      <c r="F25">
        <v>14732</v>
      </c>
      <c r="G25" s="1">
        <v>1473200</v>
      </c>
      <c r="H25">
        <v>18083</v>
      </c>
      <c r="I25">
        <v>1.1685359739999901</v>
      </c>
      <c r="J25" t="s">
        <v>18</v>
      </c>
      <c r="K25" s="28">
        <v>73050.333333333328</v>
      </c>
      <c r="L25">
        <v>0</v>
      </c>
      <c r="M25" t="s">
        <v>15</v>
      </c>
      <c r="N25" s="49">
        <f t="shared" si="0"/>
        <v>100</v>
      </c>
      <c r="O25" s="47">
        <f t="shared" si="1"/>
        <v>81.46878283470663</v>
      </c>
      <c r="P25" s="48">
        <f t="shared" si="2"/>
        <v>1451419.3090677268</v>
      </c>
      <c r="Q25" s="25">
        <f t="shared" si="18"/>
        <v>28140.416666666664</v>
      </c>
      <c r="R25" s="26" t="str">
        <f t="shared" si="3"/>
        <v>PERP</v>
      </c>
      <c r="S25" s="26" t="str">
        <f t="shared" si="19"/>
        <v>LONG</v>
      </c>
      <c r="T25" s="26" t="str">
        <f t="shared" si="4"/>
        <v>PERP LONG</v>
      </c>
      <c r="U25" s="26">
        <f t="shared" si="5"/>
        <v>1473200</v>
      </c>
      <c r="V25" s="26">
        <f t="shared" si="6"/>
        <v>18083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Shifted'!$AE$32:$AO$75,MATCH($R25,'Futures &amp; Perps Shifted'!$AE$30:$AO$30,0),FALSE),0),0)))</f>
        <v>0</v>
      </c>
      <c r="X25" s="26">
        <f t="shared" si="7"/>
        <v>0</v>
      </c>
      <c r="Y25" s="26" t="str">
        <f t="shared" si="8"/>
        <v>HUBI</v>
      </c>
      <c r="Z25" s="26" t="str">
        <f t="shared" si="9"/>
        <v>PERP</v>
      </c>
      <c r="AB25" s="37" t="str">
        <f t="shared" si="10"/>
        <v/>
      </c>
      <c r="AC25" s="43" t="str">
        <f t="shared" si="24"/>
        <v/>
      </c>
      <c r="AD25" s="37"/>
      <c r="AN25" t="str">
        <f t="shared" si="12"/>
        <v>USD</v>
      </c>
      <c r="AO25">
        <f t="shared" si="13"/>
        <v>1</v>
      </c>
      <c r="AP25">
        <f t="shared" si="14"/>
        <v>17815.649854650899</v>
      </c>
      <c r="AQ25">
        <f t="shared" si="22"/>
        <v>802.1993638798516</v>
      </c>
      <c r="AR25">
        <f t="shared" si="22"/>
        <v>0</v>
      </c>
      <c r="AS25">
        <f t="shared" si="23"/>
        <v>145.12741816491973</v>
      </c>
      <c r="AT25">
        <f t="shared" si="23"/>
        <v>1449.9693397278113</v>
      </c>
      <c r="AV25" s="31">
        <f t="shared" si="20"/>
        <v>1319472.0991524807</v>
      </c>
      <c r="AW25" s="37">
        <f t="shared" si="17"/>
        <v>0.89565035239782842</v>
      </c>
      <c r="AZ25">
        <f t="shared" si="21"/>
        <v>0</v>
      </c>
    </row>
    <row r="26" spans="1:52" x14ac:dyDescent="0.25">
      <c r="A26">
        <v>24</v>
      </c>
      <c r="B26" s="78">
        <v>44909.916666666664</v>
      </c>
      <c r="C26" t="s">
        <v>40</v>
      </c>
      <c r="D26" t="s">
        <v>42</v>
      </c>
      <c r="E26" t="s">
        <v>767</v>
      </c>
      <c r="F26">
        <v>-44600</v>
      </c>
      <c r="G26" s="1">
        <v>-446000</v>
      </c>
      <c r="H26">
        <v>1339.71</v>
      </c>
      <c r="I26">
        <v>-3.5751686789999999</v>
      </c>
      <c r="J26" t="s">
        <v>18</v>
      </c>
      <c r="K26" s="28">
        <v>73050.333333333328</v>
      </c>
      <c r="L26">
        <v>0</v>
      </c>
      <c r="M26" t="s">
        <v>16</v>
      </c>
      <c r="N26" s="49">
        <f t="shared" si="0"/>
        <v>10</v>
      </c>
      <c r="O26" s="47">
        <f t="shared" si="1"/>
        <v>-332.90786812071269</v>
      </c>
      <c r="P26" s="48">
        <f t="shared" si="2"/>
        <v>-435885.81850706507</v>
      </c>
      <c r="Q26" s="25">
        <f t="shared" si="18"/>
        <v>28140.416666666664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-446000</v>
      </c>
      <c r="V26" s="26">
        <f t="shared" si="6"/>
        <v>1339.71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Shifted'!$AE$32:$AO$75,MATCH($R26,'Futures &amp; Perps Shifted'!$AE$30:$AO$30,0),FALSE),0),0)))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7" t="str">
        <f t="shared" si="10"/>
        <v/>
      </c>
      <c r="AC26" s="43" t="str">
        <f t="shared" si="24"/>
        <v/>
      </c>
      <c r="AD26" s="37"/>
      <c r="AN26" t="str">
        <f t="shared" si="12"/>
        <v>USD</v>
      </c>
      <c r="AO26">
        <f t="shared" si="13"/>
        <v>1</v>
      </c>
      <c r="AP26">
        <f t="shared" si="14"/>
        <v>1309.32867693296</v>
      </c>
      <c r="AQ26">
        <f t="shared" si="22"/>
        <v>-3229.4775804214273</v>
      </c>
      <c r="AR26">
        <f t="shared" si="22"/>
        <v>0</v>
      </c>
      <c r="AS26">
        <f t="shared" si="23"/>
        <v>-43.584223428351002</v>
      </c>
      <c r="AT26">
        <f t="shared" si="23"/>
        <v>-435.45036813880614</v>
      </c>
      <c r="AV26" s="31">
        <f t="shared" si="20"/>
        <v>-396259.83500642306</v>
      </c>
      <c r="AW26" s="37">
        <f t="shared" si="17"/>
        <v>0.88847496638211454</v>
      </c>
      <c r="AZ26">
        <f t="shared" si="21"/>
        <v>0</v>
      </c>
    </row>
    <row r="27" spans="1:52" x14ac:dyDescent="0.25">
      <c r="A27">
        <v>25</v>
      </c>
      <c r="B27" s="78">
        <v>44909.916666666664</v>
      </c>
      <c r="C27" t="s">
        <v>40</v>
      </c>
      <c r="D27" t="s">
        <v>43</v>
      </c>
      <c r="E27" t="s">
        <v>722</v>
      </c>
      <c r="F27">
        <v>17.276</v>
      </c>
      <c r="G27" s="1">
        <v>312201.50640000001</v>
      </c>
      <c r="H27">
        <v>18071.400000000001</v>
      </c>
      <c r="I27">
        <v>3347.4644647959999</v>
      </c>
      <c r="J27" t="s">
        <v>18</v>
      </c>
      <c r="K27" s="28">
        <v>73050.333333333328</v>
      </c>
      <c r="L27">
        <v>1</v>
      </c>
      <c r="M27" t="s">
        <v>15</v>
      </c>
      <c r="N27" s="49">
        <f t="shared" si="0"/>
        <v>1</v>
      </c>
      <c r="O27" s="47">
        <f t="shared" si="1"/>
        <v>17.276</v>
      </c>
      <c r="P27" s="48">
        <f t="shared" si="2"/>
        <v>307783.16688894894</v>
      </c>
      <c r="Q27" s="25">
        <f t="shared" si="18"/>
        <v>28140.416666666664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312201.50640000001</v>
      </c>
      <c r="V27" s="26">
        <f t="shared" si="6"/>
        <v>18071.400000000001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Shifted'!$AE$32:$AO$75,MATCH($R27,'Futures &amp; Perps Shifted'!$AE$30:$AO$30,0),FALSE),0),0)))</f>
        <v>0</v>
      </c>
      <c r="X27" s="26">
        <f t="shared" si="7"/>
        <v>0</v>
      </c>
      <c r="Y27" s="26" t="str">
        <f t="shared" si="8"/>
        <v>HUBI</v>
      </c>
      <c r="Z27" s="26" t="str">
        <f t="shared" si="9"/>
        <v>PERP</v>
      </c>
      <c r="AB27" s="37" t="str">
        <f t="shared" si="10"/>
        <v/>
      </c>
      <c r="AC27" s="43" t="str">
        <f t="shared" si="24"/>
        <v/>
      </c>
      <c r="AD27" s="37"/>
      <c r="AN27" t="str">
        <f t="shared" si="12"/>
        <v>USDT</v>
      </c>
      <c r="AO27">
        <f t="shared" si="13"/>
        <v>1.0001054103245299</v>
      </c>
      <c r="AP27">
        <f t="shared" si="14"/>
        <v>17815.649854650899</v>
      </c>
      <c r="AQ27">
        <f t="shared" si="22"/>
        <v>172.74179123172638</v>
      </c>
      <c r="AR27">
        <f t="shared" si="22"/>
        <v>0</v>
      </c>
      <c r="AS27">
        <f t="shared" si="23"/>
        <v>31.216860060664015</v>
      </c>
      <c r="AT27">
        <f t="shared" si="23"/>
        <v>312.16860060645161</v>
      </c>
      <c r="AV27" s="31">
        <f t="shared" si="20"/>
        <v>312168.6006065025</v>
      </c>
      <c r="AW27" s="37">
        <f t="shared" si="17"/>
        <v>0.99989460078563697</v>
      </c>
      <c r="AZ27">
        <f t="shared" si="21"/>
        <v>0</v>
      </c>
    </row>
    <row r="28" spans="1:52" x14ac:dyDescent="0.25">
      <c r="A28">
        <v>26</v>
      </c>
      <c r="B28" s="78">
        <v>44909.916666666664</v>
      </c>
      <c r="C28" t="s">
        <v>40</v>
      </c>
      <c r="D28" t="s">
        <v>43</v>
      </c>
      <c r="E28" t="s">
        <v>768</v>
      </c>
      <c r="F28">
        <v>-96.99</v>
      </c>
      <c r="G28" s="1">
        <v>-129992.7873</v>
      </c>
      <c r="H28">
        <v>1340.27</v>
      </c>
      <c r="I28">
        <v>-1262.468912888</v>
      </c>
      <c r="J28" t="s">
        <v>18</v>
      </c>
      <c r="K28" s="28">
        <v>73050.333333333328</v>
      </c>
      <c r="L28">
        <v>1</v>
      </c>
      <c r="M28" t="s">
        <v>16</v>
      </c>
      <c r="N28" s="49">
        <f t="shared" si="0"/>
        <v>1</v>
      </c>
      <c r="O28" s="47">
        <f t="shared" si="1"/>
        <v>-96.99</v>
      </c>
      <c r="P28" s="48">
        <f t="shared" si="2"/>
        <v>-126991.78837572779</v>
      </c>
      <c r="Q28" s="25">
        <f t="shared" si="18"/>
        <v>28140.416666666664</v>
      </c>
      <c r="R28" s="26" t="str">
        <f t="shared" si="3"/>
        <v>PERP</v>
      </c>
      <c r="S28" s="26" t="str">
        <f t="shared" si="19"/>
        <v>SHORT</v>
      </c>
      <c r="T28" s="26" t="str">
        <f t="shared" si="4"/>
        <v>PERP SHORT</v>
      </c>
      <c r="U28" s="26">
        <f t="shared" si="5"/>
        <v>-129992.7873</v>
      </c>
      <c r="V28" s="26">
        <f t="shared" si="6"/>
        <v>1340.27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Shifted'!$AE$32:$AO$75,MATCH($R28,'Futures &amp; Perps Shifted'!$AE$30:$AO$30,0),FALSE),0),0)))</f>
        <v>0</v>
      </c>
      <c r="X28" s="26">
        <f t="shared" si="7"/>
        <v>0</v>
      </c>
      <c r="Y28" s="26" t="str">
        <f t="shared" si="8"/>
        <v>HUBI</v>
      </c>
      <c r="Z28" s="26" t="str">
        <f t="shared" si="9"/>
        <v>PERP</v>
      </c>
      <c r="AB28" s="37" t="str">
        <f t="shared" si="10"/>
        <v/>
      </c>
      <c r="AC28" s="43" t="str">
        <f t="shared" si="24"/>
        <v/>
      </c>
      <c r="AD28" s="37"/>
      <c r="AN28" t="str">
        <f t="shared" si="12"/>
        <v>USDT</v>
      </c>
      <c r="AO28">
        <f t="shared" si="13"/>
        <v>1.0001054103245299</v>
      </c>
      <c r="AP28">
        <f t="shared" si="14"/>
        <v>1309.32867693296</v>
      </c>
      <c r="AQ28">
        <f t="shared" si="22"/>
        <v>-969.79777330198783</v>
      </c>
      <c r="AR28">
        <f t="shared" si="22"/>
        <v>0</v>
      </c>
      <c r="AS28">
        <f t="shared" si="23"/>
        <v>-12.997908616240377</v>
      </c>
      <c r="AT28">
        <f t="shared" si="23"/>
        <v>-129.97908616233764</v>
      </c>
      <c r="AV28" s="31">
        <f t="shared" si="20"/>
        <v>-129979.08616234556</v>
      </c>
      <c r="AW28" s="37">
        <f t="shared" si="17"/>
        <v>0.99989460078563575</v>
      </c>
      <c r="AZ28">
        <f t="shared" si="21"/>
        <v>0</v>
      </c>
    </row>
    <row r="29" spans="1:52" x14ac:dyDescent="0.25">
      <c r="A29">
        <v>27</v>
      </c>
      <c r="B29" s="78">
        <v>44909.916666666664</v>
      </c>
      <c r="C29" t="s">
        <v>46</v>
      </c>
      <c r="D29" t="s">
        <v>47</v>
      </c>
      <c r="E29" t="s">
        <v>769</v>
      </c>
      <c r="F29">
        <v>3548</v>
      </c>
      <c r="G29" s="1">
        <v>38985.424580927996</v>
      </c>
      <c r="H29">
        <v>109.88</v>
      </c>
      <c r="I29">
        <v>623.70118567199995</v>
      </c>
      <c r="J29" t="s">
        <v>18</v>
      </c>
      <c r="K29" s="28">
        <v>73050.333333333328</v>
      </c>
      <c r="L29">
        <v>1</v>
      </c>
      <c r="M29" t="s">
        <v>21</v>
      </c>
      <c r="N29" s="49">
        <f t="shared" si="0"/>
        <v>0.1</v>
      </c>
      <c r="O29" s="47">
        <f t="shared" si="1"/>
        <v>354.8</v>
      </c>
      <c r="P29" s="48">
        <f t="shared" si="2"/>
        <v>38711.694364149946</v>
      </c>
      <c r="Q29" s="25">
        <f t="shared" si="18"/>
        <v>28140.416666666664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38985.424580927996</v>
      </c>
      <c r="V29" s="26">
        <f t="shared" si="6"/>
        <v>109.88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Shifted'!$AE$32:$AO$75,MATCH($R29,'Futures &amp; Perps Shifted'!$AE$30:$AO$30,0),FALSE),0),0)))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7" t="str">
        <f t="shared" si="10"/>
        <v/>
      </c>
      <c r="AC29" s="43" t="str">
        <f t="shared" si="24"/>
        <v/>
      </c>
      <c r="AD29" s="43"/>
      <c r="AF29" s="43"/>
      <c r="AN29" t="str">
        <f t="shared" si="12"/>
        <v>USDT</v>
      </c>
      <c r="AO29">
        <f t="shared" si="13"/>
        <v>1.0001054103245299</v>
      </c>
      <c r="AP29">
        <f t="shared" si="14"/>
        <v>109.10849595307199</v>
      </c>
      <c r="AQ29">
        <f t="shared" si="22"/>
        <v>3547.6260435874347</v>
      </c>
      <c r="AR29">
        <f t="shared" si="22"/>
        <v>0</v>
      </c>
      <c r="AS29">
        <f t="shared" si="23"/>
        <v>3.8981314966930061</v>
      </c>
      <c r="AT29">
        <f t="shared" si="23"/>
        <v>38.981314966935102</v>
      </c>
      <c r="AV29" s="31">
        <f t="shared" si="20"/>
        <v>38981.314966938779</v>
      </c>
      <c r="AW29" s="37">
        <f t="shared" si="17"/>
        <v>0.99989458588604863</v>
      </c>
      <c r="AZ29">
        <f t="shared" si="21"/>
        <v>0</v>
      </c>
    </row>
    <row r="30" spans="1:52" x14ac:dyDescent="0.25">
      <c r="A30">
        <v>28</v>
      </c>
      <c r="B30" s="78">
        <v>44909.916666666664</v>
      </c>
      <c r="C30" t="s">
        <v>46</v>
      </c>
      <c r="D30" t="s">
        <v>47</v>
      </c>
      <c r="E30" t="s">
        <v>49</v>
      </c>
      <c r="F30">
        <v>32648</v>
      </c>
      <c r="G30" s="1">
        <v>5902007.3640798498</v>
      </c>
      <c r="H30">
        <v>18077.7</v>
      </c>
      <c r="I30">
        <v>39150.525126114</v>
      </c>
      <c r="J30" t="s">
        <v>18</v>
      </c>
      <c r="K30" s="28">
        <v>73050.333333333328</v>
      </c>
      <c r="L30">
        <v>1</v>
      </c>
      <c r="M30" t="s">
        <v>15</v>
      </c>
      <c r="N30" s="49">
        <f t="shared" si="0"/>
        <v>0.01</v>
      </c>
      <c r="O30" s="47">
        <f t="shared" si="1"/>
        <v>326.48</v>
      </c>
      <c r="P30" s="48">
        <f t="shared" si="2"/>
        <v>5816453.3645464256</v>
      </c>
      <c r="Q30" s="25">
        <f t="shared" si="18"/>
        <v>28140.416666666664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5902007.3640798498</v>
      </c>
      <c r="V30" s="26">
        <f t="shared" si="6"/>
        <v>18077.7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Shifted'!$AE$32:$AO$75,MATCH($R30,'Futures &amp; Perps Shifted'!$AE$30:$AO$30,0),FALSE),0),0)))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7" t="str">
        <f t="shared" si="10"/>
        <v/>
      </c>
      <c r="AC30" s="43" t="str">
        <f t="shared" si="24"/>
        <v/>
      </c>
      <c r="AD30" s="37"/>
      <c r="AN30" t="str">
        <f t="shared" si="12"/>
        <v>USDT</v>
      </c>
      <c r="AO30">
        <f t="shared" si="13"/>
        <v>1.0001054103245299</v>
      </c>
      <c r="AP30">
        <f t="shared" si="14"/>
        <v>17815.649854650899</v>
      </c>
      <c r="AQ30">
        <f t="shared" si="22"/>
        <v>3264.4558926449427</v>
      </c>
      <c r="AR30">
        <f t="shared" si="22"/>
        <v>0</v>
      </c>
      <c r="AS30">
        <f t="shared" si="23"/>
        <v>590.13854290449092</v>
      </c>
      <c r="AT30">
        <f t="shared" si="23"/>
        <v>5901.3854290460959</v>
      </c>
      <c r="AV30" s="31">
        <f t="shared" si="20"/>
        <v>5901385.4290467491</v>
      </c>
      <c r="AW30" s="37">
        <f t="shared" si="17"/>
        <v>0.99989462313502253</v>
      </c>
      <c r="AZ30">
        <f t="shared" si="21"/>
        <v>0</v>
      </c>
    </row>
    <row r="31" spans="1:52" x14ac:dyDescent="0.25">
      <c r="A31">
        <v>29</v>
      </c>
      <c r="B31" s="78">
        <v>44909.916666666664</v>
      </c>
      <c r="C31" t="s">
        <v>46</v>
      </c>
      <c r="D31" t="s">
        <v>47</v>
      </c>
      <c r="E31" t="s">
        <v>770</v>
      </c>
      <c r="F31">
        <v>232</v>
      </c>
      <c r="G31" s="1">
        <v>2328.8159999999998</v>
      </c>
      <c r="H31">
        <v>1.0038</v>
      </c>
      <c r="I31">
        <v>103.482391596</v>
      </c>
      <c r="J31" t="s">
        <v>18</v>
      </c>
      <c r="K31" s="28">
        <v>73050.333333333328</v>
      </c>
      <c r="L31">
        <v>1</v>
      </c>
      <c r="M31" t="s">
        <v>24</v>
      </c>
      <c r="N31" s="49">
        <f t="shared" si="0"/>
        <v>10</v>
      </c>
      <c r="O31" s="47">
        <f t="shared" si="1"/>
        <v>2320</v>
      </c>
      <c r="P31" s="48">
        <f t="shared" si="2"/>
        <v>2269.0095011231501</v>
      </c>
      <c r="Q31" s="25">
        <f t="shared" si="18"/>
        <v>28140.416666666664</v>
      </c>
      <c r="R31" s="26" t="str">
        <f t="shared" si="3"/>
        <v>PERP</v>
      </c>
      <c r="S31" s="26" t="str">
        <f t="shared" si="19"/>
        <v>LONG</v>
      </c>
      <c r="T31" s="26" t="str">
        <f t="shared" si="4"/>
        <v>PERP LONG</v>
      </c>
      <c r="U31" s="26">
        <f t="shared" si="5"/>
        <v>2328.8159999999998</v>
      </c>
      <c r="V31" s="26">
        <f t="shared" si="6"/>
        <v>1.0038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Shifted'!$AE$32:$AO$75,MATCH($R31,'Futures &amp; Perps Shifted'!$AE$30:$AO$30,0),FALSE),0),0)))</f>
        <v>0</v>
      </c>
      <c r="X31" s="26">
        <f t="shared" si="7"/>
        <v>0</v>
      </c>
      <c r="Y31" s="26" t="str">
        <f t="shared" si="8"/>
        <v>OKEX</v>
      </c>
      <c r="Z31" s="26" t="str">
        <f t="shared" si="9"/>
        <v>PERP</v>
      </c>
      <c r="AB31" s="37" t="str">
        <f t="shared" si="10"/>
        <v/>
      </c>
      <c r="AC31" s="43" t="str">
        <f t="shared" si="24"/>
        <v/>
      </c>
      <c r="AD31" s="37"/>
      <c r="AN31" t="str">
        <f t="shared" si="12"/>
        <v>USDT</v>
      </c>
      <c r="AO31">
        <f t="shared" si="13"/>
        <v>1.0001054103245299</v>
      </c>
      <c r="AP31">
        <f t="shared" si="14"/>
        <v>0.97802133669101299</v>
      </c>
      <c r="AQ31">
        <f t="shared" si="22"/>
        <v>23197.554738226743</v>
      </c>
      <c r="AR31">
        <f t="shared" si="22"/>
        <v>0</v>
      </c>
      <c r="AS31">
        <f t="shared" si="23"/>
        <v>0.23285705446208804</v>
      </c>
      <c r="AT31">
        <f t="shared" si="23"/>
        <v>2.328570544622941</v>
      </c>
      <c r="AV31" s="31">
        <f t="shared" si="20"/>
        <v>2328.5705446232037</v>
      </c>
      <c r="AW31" s="37">
        <f t="shared" si="17"/>
        <v>0.99989460078563686</v>
      </c>
      <c r="AZ31">
        <f t="shared" si="21"/>
        <v>0</v>
      </c>
    </row>
    <row r="32" spans="1:52" x14ac:dyDescent="0.25">
      <c r="A32">
        <v>30</v>
      </c>
      <c r="B32" s="78">
        <v>44909.916666666664</v>
      </c>
      <c r="C32" t="s">
        <v>46</v>
      </c>
      <c r="D32" t="s">
        <v>47</v>
      </c>
      <c r="E32" t="s">
        <v>771</v>
      </c>
      <c r="F32">
        <v>13927</v>
      </c>
      <c r="G32" s="1">
        <v>1865925.56080445</v>
      </c>
      <c r="H32">
        <v>1339.79</v>
      </c>
      <c r="I32">
        <v>139870.794260817</v>
      </c>
      <c r="J32" t="s">
        <v>14</v>
      </c>
      <c r="K32" s="28">
        <v>44925.333333333336</v>
      </c>
      <c r="L32">
        <v>1</v>
      </c>
      <c r="M32" t="s">
        <v>16</v>
      </c>
      <c r="N32" s="49">
        <f t="shared" si="0"/>
        <v>0.1</v>
      </c>
      <c r="O32" s="47">
        <f t="shared" si="1"/>
        <v>1392.7</v>
      </c>
      <c r="P32" s="48">
        <f t="shared" si="2"/>
        <v>1823502.0483645333</v>
      </c>
      <c r="Q32" s="25">
        <f t="shared" si="18"/>
        <v>15.416666666671517</v>
      </c>
      <c r="R32" s="26" t="str">
        <f t="shared" si="3"/>
        <v>Dec 22</v>
      </c>
      <c r="S32" s="26" t="str">
        <f t="shared" si="19"/>
        <v>LONG</v>
      </c>
      <c r="T32" s="26" t="str">
        <f t="shared" si="4"/>
        <v>Dec 22 LONG</v>
      </c>
      <c r="U32" s="26">
        <f t="shared" si="5"/>
        <v>1884584.8164124945</v>
      </c>
      <c r="V32" s="26">
        <f t="shared" si="6"/>
        <v>1353.1878999999999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Shifted'!$AE$32:$AO$75,MATCH($R32,'Futures &amp; Perps Shifted'!$AE$30:$AO$30,0),FALSE),0),0)))</f>
        <v>0.01</v>
      </c>
      <c r="X32" s="26">
        <f t="shared" si="7"/>
        <v>18659.255608044565</v>
      </c>
      <c r="Y32" s="26" t="str">
        <f t="shared" si="8"/>
        <v>OKEX</v>
      </c>
      <c r="Z32" s="26" t="str">
        <f t="shared" si="9"/>
        <v>W2</v>
      </c>
      <c r="AB32" s="37" t="str">
        <f t="shared" si="10"/>
        <v/>
      </c>
      <c r="AC32" s="43" t="str">
        <f t="shared" si="24"/>
        <v/>
      </c>
      <c r="AD32" s="37"/>
      <c r="AE32" t="s">
        <v>15</v>
      </c>
      <c r="AF32">
        <f t="shared" ref="AF32:AF50" si="25">SUMIF($M$2:$M$123,"="&amp;$AE32,$H$2:$H$123)/COUNTIF($M$2:$M$123,"="&amp;$AE32)</f>
        <v>18081.552995679478</v>
      </c>
      <c r="AH32">
        <v>-12.04</v>
      </c>
      <c r="AJ32">
        <f>AH32*AF32</f>
        <v>-217701.89806798089</v>
      </c>
      <c r="AN32" t="str">
        <f t="shared" si="12"/>
        <v>USDT</v>
      </c>
      <c r="AO32">
        <f t="shared" si="13"/>
        <v>1.0001054103245299</v>
      </c>
      <c r="AP32">
        <f t="shared" si="14"/>
        <v>1309.32867693296</v>
      </c>
      <c r="AQ32">
        <f t="shared" si="22"/>
        <v>13925.532105141545</v>
      </c>
      <c r="AR32">
        <f t="shared" si="22"/>
        <v>0</v>
      </c>
      <c r="AS32">
        <f t="shared" si="23"/>
        <v>186.5728865914117</v>
      </c>
      <c r="AT32">
        <f t="shared" si="23"/>
        <v>1865.7288659144333</v>
      </c>
      <c r="AV32" s="31">
        <f t="shared" si="20"/>
        <v>1865728.8659147597</v>
      </c>
      <c r="AW32" s="37">
        <f t="shared" si="17"/>
        <v>0.99989458588604929</v>
      </c>
      <c r="AZ32">
        <f t="shared" si="21"/>
        <v>1865.7288659144333</v>
      </c>
    </row>
    <row r="33" spans="1:52" x14ac:dyDescent="0.25">
      <c r="A33">
        <v>31</v>
      </c>
      <c r="B33" s="78">
        <v>44909.916666666664</v>
      </c>
      <c r="C33" t="s">
        <v>46</v>
      </c>
      <c r="D33" t="s">
        <v>47</v>
      </c>
      <c r="E33" t="s">
        <v>772</v>
      </c>
      <c r="F33">
        <v>4630</v>
      </c>
      <c r="G33" s="1">
        <v>619873.66923683695</v>
      </c>
      <c r="H33">
        <v>1338.82</v>
      </c>
      <c r="I33">
        <v>14540.464708244999</v>
      </c>
      <c r="J33" t="s">
        <v>14</v>
      </c>
      <c r="K33" s="28">
        <v>45016.333333333336</v>
      </c>
      <c r="L33">
        <v>1</v>
      </c>
      <c r="M33" t="s">
        <v>16</v>
      </c>
      <c r="N33" s="49">
        <f t="shared" si="0"/>
        <v>0.1</v>
      </c>
      <c r="O33" s="47">
        <f t="shared" si="1"/>
        <v>463</v>
      </c>
      <c r="P33" s="48">
        <f t="shared" si="2"/>
        <v>606219.1774199605</v>
      </c>
      <c r="Q33" s="25">
        <f t="shared" si="18"/>
        <v>106.41666666667152</v>
      </c>
      <c r="R33" s="26" t="str">
        <f t="shared" si="3"/>
        <v>Mar 23</v>
      </c>
      <c r="S33" s="26" t="str">
        <f t="shared" si="19"/>
        <v>LONG</v>
      </c>
      <c r="T33" s="26" t="str">
        <f t="shared" si="4"/>
        <v>Mar 23 LONG</v>
      </c>
      <c r="U33" s="26">
        <f t="shared" si="5"/>
        <v>626072.40592920536</v>
      </c>
      <c r="V33" s="26">
        <f t="shared" si="6"/>
        <v>1352.2082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Shifted'!$AE$32:$AO$75,MATCH($R33,'Futures &amp; Perps Shifted'!$AE$30:$AO$30,0),FALSE),0),0)))</f>
        <v>0.01</v>
      </c>
      <c r="X33" s="26">
        <f t="shared" si="7"/>
        <v>6198.7366923684021</v>
      </c>
      <c r="Y33" s="26" t="str">
        <f t="shared" si="8"/>
        <v>OKEX</v>
      </c>
      <c r="Z33" s="26" t="str">
        <f t="shared" si="9"/>
        <v>M4</v>
      </c>
      <c r="AB33" s="37" t="str">
        <f t="shared" si="10"/>
        <v/>
      </c>
      <c r="AC33" s="43" t="str">
        <f t="shared" si="24"/>
        <v/>
      </c>
      <c r="AD33" s="37"/>
      <c r="AE33" t="s">
        <v>36</v>
      </c>
      <c r="AF33">
        <f t="shared" si="25"/>
        <v>9.8762998579999994</v>
      </c>
      <c r="AJ33">
        <f t="shared" ref="AJ33:AJ54" si="26">AH33*AF33</f>
        <v>0</v>
      </c>
      <c r="AN33" t="str">
        <f t="shared" si="12"/>
        <v>USDT</v>
      </c>
      <c r="AO33">
        <f t="shared" si="13"/>
        <v>1.0001054103245299</v>
      </c>
      <c r="AP33">
        <f t="shared" si="14"/>
        <v>1309.32867693296</v>
      </c>
      <c r="AQ33">
        <f t="shared" si="22"/>
        <v>4629.5120016374922</v>
      </c>
      <c r="AR33">
        <f t="shared" si="22"/>
        <v>0</v>
      </c>
      <c r="AS33">
        <f t="shared" si="23"/>
        <v>61.980832580362467</v>
      </c>
      <c r="AT33">
        <f t="shared" si="23"/>
        <v>619.80832580320362</v>
      </c>
      <c r="AV33" s="31">
        <f t="shared" si="20"/>
        <v>619808.32580323098</v>
      </c>
      <c r="AW33" s="37">
        <f t="shared" si="17"/>
        <v>0.99989458588604607</v>
      </c>
      <c r="AZ33">
        <f t="shared" si="21"/>
        <v>619.80832580320362</v>
      </c>
    </row>
    <row r="34" spans="1:52" x14ac:dyDescent="0.25">
      <c r="A34">
        <v>32</v>
      </c>
      <c r="B34" s="78">
        <v>44909.916666666664</v>
      </c>
      <c r="C34" t="s">
        <v>46</v>
      </c>
      <c r="D34" t="s">
        <v>47</v>
      </c>
      <c r="E34" t="s">
        <v>52</v>
      </c>
      <c r="F34">
        <v>-9554</v>
      </c>
      <c r="G34" s="1">
        <v>-955400</v>
      </c>
      <c r="H34">
        <v>18088.7</v>
      </c>
      <c r="I34">
        <v>-0.79304966300000002</v>
      </c>
      <c r="J34" t="s">
        <v>18</v>
      </c>
      <c r="K34" s="28">
        <v>73050.333333333328</v>
      </c>
      <c r="L34">
        <v>0</v>
      </c>
      <c r="M34" t="s">
        <v>15</v>
      </c>
      <c r="N34" s="49">
        <f t="shared" si="0"/>
        <v>100</v>
      </c>
      <c r="O34" s="47">
        <f t="shared" ref="O34:O68" si="27">IF($C34="","",IF($A34="",0,IF($L34=1,$F34*$N34,$AA$6*$F34*$N34/$H34)))</f>
        <v>-52.817504851094881</v>
      </c>
      <c r="P34" s="48">
        <f t="shared" ref="P34:P58" si="28">IF($C34="","",IF($A34="",0,IF(NOT(ISERROR(VLOOKUP($M34,SpotUSDRateTable,2,FALSE))),VLOOKUP($M34,SpotUSDRateTable,2,FALSE),$H34)*O34))</f>
        <v>-940978.17262343166</v>
      </c>
      <c r="Q34" s="25">
        <f t="shared" si="18"/>
        <v>28140.416666666664</v>
      </c>
      <c r="R34" s="26" t="str">
        <f t="shared" si="3"/>
        <v>PERP</v>
      </c>
      <c r="S34" s="26" t="str">
        <f t="shared" si="19"/>
        <v>SHORT</v>
      </c>
      <c r="T34" s="26" t="str">
        <f t="shared" si="4"/>
        <v>PERP SHORT</v>
      </c>
      <c r="U34" s="26">
        <f t="shared" si="5"/>
        <v>-955400</v>
      </c>
      <c r="V34" s="26">
        <f t="shared" si="6"/>
        <v>18088.7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Shifted'!$AE$32:$AO$75,MATCH($R34,'Futures &amp; Perps Shifted'!$AE$30:$AO$30,0),FALSE),0),0)))</f>
        <v>0</v>
      </c>
      <c r="X34" s="26">
        <f t="shared" si="7"/>
        <v>0</v>
      </c>
      <c r="Y34" s="26" t="str">
        <f t="shared" si="8"/>
        <v>OKEX</v>
      </c>
      <c r="Z34" s="26" t="str">
        <f t="shared" si="9"/>
        <v>PERP</v>
      </c>
      <c r="AA34" s="9"/>
      <c r="AB34" s="37" t="str">
        <f t="shared" ref="AB34:AB52" si="29">IF($C94="","",(O94*H94-G94)/G94)</f>
        <v/>
      </c>
      <c r="AC34" s="43" t="str">
        <f t="shared" si="24"/>
        <v/>
      </c>
      <c r="AD34" s="37"/>
      <c r="AE34" t="s">
        <v>20</v>
      </c>
      <c r="AF34">
        <f t="shared" si="25"/>
        <v>7.9005000000000001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17815.649854650899</v>
      </c>
      <c r="AQ34">
        <f t="shared" si="22"/>
        <v>-519.91478538423678</v>
      </c>
      <c r="AR34">
        <f t="shared" si="22"/>
        <v>0</v>
      </c>
      <c r="AS34">
        <f t="shared" si="23"/>
        <v>-94.088408421496169</v>
      </c>
      <c r="AT34">
        <f t="shared" si="23"/>
        <v>-940.03813448874348</v>
      </c>
      <c r="AV34" s="31">
        <f t="shared" si="20"/>
        <v>-855434.70238493895</v>
      </c>
      <c r="AW34" s="37">
        <f t="shared" si="17"/>
        <v>0.89536812056200432</v>
      </c>
      <c r="AZ34">
        <f t="shared" si="21"/>
        <v>0</v>
      </c>
    </row>
    <row r="35" spans="1:52" x14ac:dyDescent="0.25">
      <c r="A35">
        <v>33</v>
      </c>
      <c r="B35" s="78">
        <v>44909.916666666664</v>
      </c>
      <c r="C35" t="s">
        <v>46</v>
      </c>
      <c r="D35" t="s">
        <v>47</v>
      </c>
      <c r="E35" t="s">
        <v>773</v>
      </c>
      <c r="F35">
        <v>-96224</v>
      </c>
      <c r="G35" s="1">
        <v>-962240</v>
      </c>
      <c r="H35">
        <v>1340.19</v>
      </c>
      <c r="I35">
        <v>-6.3702212730000003</v>
      </c>
      <c r="J35" t="s">
        <v>18</v>
      </c>
      <c r="K35" s="28">
        <v>73050.333333333328</v>
      </c>
      <c r="L35">
        <v>0</v>
      </c>
      <c r="M35" t="s">
        <v>16</v>
      </c>
      <c r="N35" s="49">
        <f t="shared" si="0"/>
        <v>10</v>
      </c>
      <c r="O35" s="47">
        <f t="shared" si="27"/>
        <v>-717.98774800587978</v>
      </c>
      <c r="P35" s="48">
        <f t="shared" si="28"/>
        <v>-940081.94815061404</v>
      </c>
      <c r="Q35" s="25">
        <f t="shared" si="18"/>
        <v>28140.416666666664</v>
      </c>
      <c r="R35" s="26" t="str">
        <f t="shared" si="3"/>
        <v>PERP</v>
      </c>
      <c r="S35" s="26" t="str">
        <f t="shared" si="19"/>
        <v>SHORT</v>
      </c>
      <c r="T35" s="26" t="str">
        <f t="shared" si="4"/>
        <v>PERP SHORT</v>
      </c>
      <c r="U35" s="26">
        <f t="shared" si="5"/>
        <v>-962240</v>
      </c>
      <c r="V35" s="26">
        <f t="shared" si="6"/>
        <v>1340.19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Shifted'!$AE$32:$AO$75,MATCH($R35,'Futures &amp; Perps Shifted'!$AE$30:$AO$30,0),FALSE),0),0)))</f>
        <v>0</v>
      </c>
      <c r="X35" s="26">
        <f t="shared" si="7"/>
        <v>0</v>
      </c>
      <c r="Y35" s="26" t="str">
        <f t="shared" si="8"/>
        <v>OKEX</v>
      </c>
      <c r="Z35" s="26" t="str">
        <f t="shared" si="9"/>
        <v>PERP</v>
      </c>
      <c r="AB35" s="37" t="str">
        <f t="shared" si="29"/>
        <v/>
      </c>
      <c r="AC35" s="43" t="str">
        <f t="shared" si="24"/>
        <v/>
      </c>
      <c r="AD35" s="37"/>
      <c r="AE35" t="s">
        <v>21</v>
      </c>
      <c r="AF35">
        <f t="shared" si="25"/>
        <v>109.80500000000001</v>
      </c>
      <c r="AH35">
        <v>37.380000000000003</v>
      </c>
      <c r="AJ35">
        <f t="shared" si="26"/>
        <v>4104.5109000000002</v>
      </c>
      <c r="AN35" t="str">
        <f t="shared" si="12"/>
        <v>USD</v>
      </c>
      <c r="AO35">
        <f t="shared" si="30"/>
        <v>1</v>
      </c>
      <c r="AP35">
        <f t="shared" si="31"/>
        <v>1309.32867693296</v>
      </c>
      <c r="AQ35">
        <f t="shared" si="22"/>
        <v>-6962.5900662174572</v>
      </c>
      <c r="AR35">
        <f t="shared" si="22"/>
        <v>0</v>
      </c>
      <c r="AS35">
        <f t="shared" si="23"/>
        <v>-93.998794935638116</v>
      </c>
      <c r="AT35">
        <f t="shared" si="23"/>
        <v>-939.14280534521902</v>
      </c>
      <c r="AV35" s="31">
        <f t="shared" si="20"/>
        <v>-854619.95286419569</v>
      </c>
      <c r="AW35" s="37">
        <f t="shared" si="17"/>
        <v>0.88815675181264098</v>
      </c>
      <c r="AZ35">
        <f t="shared" si="21"/>
        <v>0</v>
      </c>
    </row>
    <row r="36" spans="1:52" x14ac:dyDescent="0.25">
      <c r="A36">
        <v>34</v>
      </c>
      <c r="B36" s="78">
        <v>44909.916666666664</v>
      </c>
      <c r="C36" t="s">
        <v>46</v>
      </c>
      <c r="D36" t="s">
        <v>47</v>
      </c>
      <c r="E36" t="s">
        <v>774</v>
      </c>
      <c r="F36">
        <v>-19875</v>
      </c>
      <c r="G36" s="1">
        <v>-2663568.0396902501</v>
      </c>
      <c r="H36">
        <v>1340.16</v>
      </c>
      <c r="I36">
        <v>-31171.112554192001</v>
      </c>
      <c r="J36" t="s">
        <v>18</v>
      </c>
      <c r="K36" s="28">
        <v>73050.333333333328</v>
      </c>
      <c r="L36">
        <v>1</v>
      </c>
      <c r="M36" t="s">
        <v>16</v>
      </c>
      <c r="N36" s="49">
        <f t="shared" si="0"/>
        <v>0.1</v>
      </c>
      <c r="O36" s="47">
        <f t="shared" si="27"/>
        <v>-1987.5</v>
      </c>
      <c r="P36" s="48">
        <f t="shared" si="28"/>
        <v>-2602290.7454042579</v>
      </c>
      <c r="Q36" s="25">
        <f t="shared" si="18"/>
        <v>28140.416666666664</v>
      </c>
      <c r="R36" s="26" t="str">
        <f t="shared" si="3"/>
        <v>PERP</v>
      </c>
      <c r="S36" s="26" t="str">
        <f t="shared" si="19"/>
        <v>SHORT</v>
      </c>
      <c r="T36" s="26" t="str">
        <f t="shared" si="4"/>
        <v>PERP SHORT</v>
      </c>
      <c r="U36" s="26">
        <f t="shared" si="5"/>
        <v>-2663568.0396902501</v>
      </c>
      <c r="V36" s="26">
        <f t="shared" si="6"/>
        <v>1340.16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Shifted'!$AE$32:$AO$75,MATCH($R36,'Futures &amp; Perps Shifted'!$AE$30:$AO$30,0),FALSE),0),0)))</f>
        <v>0</v>
      </c>
      <c r="X36" s="26">
        <f t="shared" si="7"/>
        <v>0</v>
      </c>
      <c r="Y36" s="26" t="str">
        <f t="shared" si="8"/>
        <v>OKEX</v>
      </c>
      <c r="Z36" s="26" t="str">
        <f t="shared" si="9"/>
        <v>PERP</v>
      </c>
      <c r="AA36" s="9"/>
      <c r="AB36" s="37" t="str">
        <f t="shared" si="29"/>
        <v/>
      </c>
      <c r="AC36" s="43" t="str">
        <f t="shared" si="24"/>
        <v/>
      </c>
      <c r="AD36" s="37"/>
      <c r="AE36" t="s">
        <v>15</v>
      </c>
      <c r="AF36">
        <f t="shared" si="25"/>
        <v>18081.552995679478</v>
      </c>
      <c r="AH36">
        <v>-12.04</v>
      </c>
      <c r="AJ36">
        <f t="shared" si="26"/>
        <v>-217701.89806798089</v>
      </c>
      <c r="AN36" t="str">
        <f t="shared" si="12"/>
        <v>USDT</v>
      </c>
      <c r="AO36">
        <f t="shared" si="30"/>
        <v>1.0001054103245299</v>
      </c>
      <c r="AP36">
        <f t="shared" si="31"/>
        <v>1309.32867693296</v>
      </c>
      <c r="AQ36">
        <f t="shared" si="22"/>
        <v>-19872.905190614503</v>
      </c>
      <c r="AR36">
        <f t="shared" si="22"/>
        <v>0</v>
      </c>
      <c r="AS36">
        <f t="shared" si="23"/>
        <v>-266.32872620248799</v>
      </c>
      <c r="AT36">
        <f t="shared" si="23"/>
        <v>-2663.28726202488</v>
      </c>
      <c r="AV36" s="31">
        <f t="shared" si="20"/>
        <v>-2663287.2620253949</v>
      </c>
      <c r="AW36" s="37">
        <f t="shared" si="17"/>
        <v>0.99989458588604785</v>
      </c>
      <c r="AZ36">
        <f t="shared" si="21"/>
        <v>0</v>
      </c>
    </row>
    <row r="37" spans="1:52" x14ac:dyDescent="0.25">
      <c r="A37">
        <v>35</v>
      </c>
      <c r="B37" s="78">
        <v>44909.916666666664</v>
      </c>
      <c r="C37" t="s">
        <v>46</v>
      </c>
      <c r="D37" t="s">
        <v>47</v>
      </c>
      <c r="E37" t="s">
        <v>775</v>
      </c>
      <c r="F37">
        <v>-438</v>
      </c>
      <c r="G37" s="1">
        <v>-34514.400000000001</v>
      </c>
      <c r="H37">
        <v>78.8</v>
      </c>
      <c r="I37">
        <v>-462.46031231400002</v>
      </c>
      <c r="J37" t="s">
        <v>18</v>
      </c>
      <c r="K37" s="28">
        <v>73050.333333333328</v>
      </c>
      <c r="L37">
        <v>1</v>
      </c>
      <c r="M37" t="s">
        <v>25</v>
      </c>
      <c r="N37" s="49">
        <f t="shared" si="0"/>
        <v>1</v>
      </c>
      <c r="O37" s="47">
        <f t="shared" si="27"/>
        <v>-438</v>
      </c>
      <c r="P37" s="48">
        <f t="shared" si="28"/>
        <v>-33058.42827700713</v>
      </c>
      <c r="Q37" s="25">
        <f t="shared" si="18"/>
        <v>28140.416666666664</v>
      </c>
      <c r="R37" s="26" t="str">
        <f t="shared" si="3"/>
        <v>PERP</v>
      </c>
      <c r="S37" s="26" t="str">
        <f t="shared" si="19"/>
        <v>SHORT</v>
      </c>
      <c r="T37" s="26" t="str">
        <f t="shared" si="4"/>
        <v>PERP SHORT</v>
      </c>
      <c r="U37" s="26">
        <f t="shared" si="5"/>
        <v>-34514.400000000001</v>
      </c>
      <c r="V37" s="26">
        <f t="shared" si="6"/>
        <v>78.8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Shifted'!$AE$32:$AO$75,MATCH($R37,'Futures &amp; Perps Shifted'!$AE$30:$AO$30,0),FALSE),0),0)))</f>
        <v>0</v>
      </c>
      <c r="X37" s="26">
        <f t="shared" si="7"/>
        <v>0</v>
      </c>
      <c r="Y37" s="26" t="str">
        <f t="shared" si="8"/>
        <v>OKEX</v>
      </c>
      <c r="Z37" s="26" t="str">
        <f t="shared" si="9"/>
        <v>PERP</v>
      </c>
      <c r="AB37" s="37" t="str">
        <f t="shared" si="29"/>
        <v/>
      </c>
      <c r="AC37" s="43" t="str">
        <f t="shared" si="24"/>
        <v/>
      </c>
      <c r="AD37" s="37"/>
      <c r="AE37" t="s">
        <v>32</v>
      </c>
      <c r="AF37">
        <f t="shared" si="25"/>
        <v>39.770000000000003</v>
      </c>
      <c r="AJ37">
        <f t="shared" si="26"/>
        <v>0</v>
      </c>
      <c r="AN37" t="str">
        <f t="shared" si="12"/>
        <v>USDT</v>
      </c>
      <c r="AO37">
        <f t="shared" si="30"/>
        <v>1.0001054103245299</v>
      </c>
      <c r="AP37">
        <f t="shared" si="31"/>
        <v>75.475863646134997</v>
      </c>
      <c r="AQ37">
        <f t="shared" si="22"/>
        <v>-4379.5383514410833</v>
      </c>
      <c r="AR37">
        <f t="shared" si="22"/>
        <v>0</v>
      </c>
      <c r="AS37">
        <f t="shared" si="23"/>
        <v>-3.4510762209356214</v>
      </c>
      <c r="AT37">
        <f t="shared" si="23"/>
        <v>-34.510762209349991</v>
      </c>
      <c r="AV37" s="31">
        <f t="shared" si="20"/>
        <v>-34510.76220935578</v>
      </c>
      <c r="AW37" s="37">
        <f t="shared" si="17"/>
        <v>0.99989460078563663</v>
      </c>
      <c r="AZ37">
        <f t="shared" si="21"/>
        <v>0</v>
      </c>
    </row>
    <row r="38" spans="1:52" x14ac:dyDescent="0.25">
      <c r="A38">
        <v>36</v>
      </c>
      <c r="B38" s="78">
        <v>44909.916666666664</v>
      </c>
      <c r="C38" t="s">
        <v>46</v>
      </c>
      <c r="D38" t="s">
        <v>47</v>
      </c>
      <c r="E38" t="s">
        <v>51</v>
      </c>
      <c r="F38">
        <v>-11635</v>
      </c>
      <c r="G38" s="1">
        <v>-1163500</v>
      </c>
      <c r="H38">
        <v>18115.8</v>
      </c>
      <c r="I38">
        <v>-0.60986192699999997</v>
      </c>
      <c r="J38" t="s">
        <v>14</v>
      </c>
      <c r="K38" s="28">
        <v>44925.333333333336</v>
      </c>
      <c r="L38">
        <v>0</v>
      </c>
      <c r="M38" t="s">
        <v>15</v>
      </c>
      <c r="N38" s="49">
        <f t="shared" si="0"/>
        <v>100</v>
      </c>
      <c r="O38" s="47">
        <f t="shared" si="27"/>
        <v>-64.22570352951567</v>
      </c>
      <c r="P38" s="48">
        <f t="shared" si="28"/>
        <v>-1144222.6457504677</v>
      </c>
      <c r="Q38" s="25">
        <f t="shared" si="18"/>
        <v>15.416666666671517</v>
      </c>
      <c r="R38" s="26" t="str">
        <f t="shared" si="3"/>
        <v>Dec 22</v>
      </c>
      <c r="S38" s="26" t="str">
        <f t="shared" si="19"/>
        <v>SHORT</v>
      </c>
      <c r="T38" s="26" t="str">
        <f t="shared" si="4"/>
        <v>Dec 22 SHORT</v>
      </c>
      <c r="U38" s="26">
        <f t="shared" si="5"/>
        <v>-1175135</v>
      </c>
      <c r="V38" s="26">
        <f t="shared" si="6"/>
        <v>18296.957999999999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Shifted'!$AE$32:$AO$75,MATCH($R38,'Futures &amp; Perps Shifted'!$AE$30:$AO$30,0),FALSE),0),0)))</f>
        <v>0.01</v>
      </c>
      <c r="X38" s="26">
        <f t="shared" si="7"/>
        <v>-11635</v>
      </c>
      <c r="Y38" s="26" t="str">
        <f t="shared" si="8"/>
        <v>OKEX</v>
      </c>
      <c r="Z38" s="26" t="str">
        <f t="shared" si="9"/>
        <v>W2</v>
      </c>
      <c r="AB38" s="37" t="str">
        <f t="shared" si="29"/>
        <v/>
      </c>
      <c r="AC38" s="43" t="str">
        <f t="shared" si="24"/>
        <v/>
      </c>
      <c r="AD38" s="37"/>
      <c r="AE38" t="s">
        <v>23</v>
      </c>
      <c r="AF38" t="e">
        <f t="shared" si="25"/>
        <v>#DIV/0!</v>
      </c>
      <c r="AJ38" t="e">
        <f t="shared" si="26"/>
        <v>#DIV/0!</v>
      </c>
      <c r="AN38" t="str">
        <f t="shared" si="12"/>
        <v>USD</v>
      </c>
      <c r="AO38">
        <f t="shared" si="30"/>
        <v>1</v>
      </c>
      <c r="AP38">
        <f t="shared" si="31"/>
        <v>17815.649854650899</v>
      </c>
      <c r="AQ38">
        <f t="shared" si="22"/>
        <v>-631.26738999124325</v>
      </c>
      <c r="AR38">
        <f t="shared" si="22"/>
        <v>0</v>
      </c>
      <c r="AS38">
        <f t="shared" si="23"/>
        <v>-114.41082349278736</v>
      </c>
      <c r="AT38">
        <f t="shared" si="23"/>
        <v>-1143.0795661842178</v>
      </c>
      <c r="AV38" s="31">
        <f t="shared" si="20"/>
        <v>-1040202.4052276987</v>
      </c>
      <c r="AW38" s="37">
        <f t="shared" si="17"/>
        <v>0.89402871098212178</v>
      </c>
      <c r="AZ38">
        <f t="shared" si="21"/>
        <v>-1143.0795661842178</v>
      </c>
    </row>
    <row r="39" spans="1:52" x14ac:dyDescent="0.25">
      <c r="A39">
        <v>37</v>
      </c>
      <c r="B39" s="78">
        <v>44909.916666666664</v>
      </c>
      <c r="C39" t="s">
        <v>46</v>
      </c>
      <c r="D39" t="s">
        <v>47</v>
      </c>
      <c r="E39" t="s">
        <v>776</v>
      </c>
      <c r="F39">
        <v>-201184</v>
      </c>
      <c r="G39" s="1">
        <v>-2011840</v>
      </c>
      <c r="H39">
        <v>1341.52</v>
      </c>
      <c r="I39">
        <v>-61.937708741000002</v>
      </c>
      <c r="J39" t="s">
        <v>14</v>
      </c>
      <c r="K39" s="28">
        <v>44925.333333333336</v>
      </c>
      <c r="L39">
        <v>0</v>
      </c>
      <c r="M39" t="s">
        <v>16</v>
      </c>
      <c r="N39" s="49">
        <f t="shared" si="0"/>
        <v>10</v>
      </c>
      <c r="O39" s="47">
        <f t="shared" si="27"/>
        <v>-1499.6720138350529</v>
      </c>
      <c r="P39" s="48">
        <f t="shared" si="28"/>
        <v>-1963563.5737080374</v>
      </c>
      <c r="Q39" s="25">
        <f t="shared" si="18"/>
        <v>15.416666666671517</v>
      </c>
      <c r="R39" s="26" t="str">
        <f t="shared" si="3"/>
        <v>Dec 22</v>
      </c>
      <c r="S39" s="26" t="str">
        <f t="shared" si="19"/>
        <v>SHORT</v>
      </c>
      <c r="T39" s="26" t="str">
        <f t="shared" si="4"/>
        <v>Dec 22 SHORT</v>
      </c>
      <c r="U39" s="26">
        <f t="shared" si="5"/>
        <v>-2031958.4</v>
      </c>
      <c r="V39" s="26">
        <f t="shared" si="6"/>
        <v>1354.9351999999999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Shifted'!$AE$32:$AO$75,MATCH($R39,'Futures &amp; Perps Shifted'!$AE$30:$AO$30,0),FALSE),0),0)))</f>
        <v>0.01</v>
      </c>
      <c r="X39" s="26">
        <f t="shared" si="7"/>
        <v>-20118.399999999907</v>
      </c>
      <c r="Y39" s="26" t="str">
        <f t="shared" si="8"/>
        <v>OKEX</v>
      </c>
      <c r="Z39" s="26" t="str">
        <f t="shared" si="9"/>
        <v>W2</v>
      </c>
      <c r="AB39" s="37" t="str">
        <f t="shared" si="29"/>
        <v/>
      </c>
      <c r="AC39" s="43" t="str">
        <f t="shared" si="24"/>
        <v/>
      </c>
      <c r="AD39" s="37"/>
      <c r="AE39" t="s">
        <v>29</v>
      </c>
      <c r="AF39" t="e">
        <f t="shared" si="25"/>
        <v>#DIV/0!</v>
      </c>
      <c r="AJ39" t="e">
        <f t="shared" si="26"/>
        <v>#DIV/0!</v>
      </c>
      <c r="AN39" t="str">
        <f t="shared" si="12"/>
        <v>USD</v>
      </c>
      <c r="AO39">
        <f t="shared" si="30"/>
        <v>1</v>
      </c>
      <c r="AP39">
        <f t="shared" si="31"/>
        <v>1309.32867693296</v>
      </c>
      <c r="AQ39">
        <f t="shared" si="22"/>
        <v>-14528.557281490748</v>
      </c>
      <c r="AR39">
        <f t="shared" si="22"/>
        <v>0</v>
      </c>
      <c r="AS39">
        <f t="shared" si="23"/>
        <v>-196.33672369848588</v>
      </c>
      <c r="AT39">
        <f t="shared" si="23"/>
        <v>-1961.6019717361187</v>
      </c>
      <c r="AV39" s="31">
        <f t="shared" si="20"/>
        <v>-1785057.7942800338</v>
      </c>
      <c r="AW39" s="37">
        <f t="shared" si="17"/>
        <v>0.88727622190633137</v>
      </c>
      <c r="AZ39">
        <f t="shared" si="21"/>
        <v>-1961.6019717361187</v>
      </c>
    </row>
    <row r="40" spans="1:52" x14ac:dyDescent="0.25">
      <c r="A40">
        <v>38</v>
      </c>
      <c r="B40" s="78">
        <v>44909.916666666664</v>
      </c>
      <c r="C40" t="s">
        <v>46</v>
      </c>
      <c r="D40" t="s">
        <v>47</v>
      </c>
      <c r="E40" t="s">
        <v>777</v>
      </c>
      <c r="F40">
        <v>-33090</v>
      </c>
      <c r="G40" s="1">
        <v>-227890.83</v>
      </c>
      <c r="H40">
        <v>6.8869999999999996</v>
      </c>
      <c r="I40">
        <v>-2522.956967355</v>
      </c>
      <c r="J40" t="s">
        <v>18</v>
      </c>
      <c r="K40" s="28">
        <v>73050.333333333328</v>
      </c>
      <c r="L40">
        <v>1</v>
      </c>
      <c r="M40" t="s">
        <v>28</v>
      </c>
      <c r="N40" s="49">
        <f t="shared" si="0"/>
        <v>1</v>
      </c>
      <c r="O40" s="47">
        <f t="shared" si="27"/>
        <v>-33090</v>
      </c>
      <c r="P40" s="48">
        <f t="shared" si="28"/>
        <v>-222656.92042572392</v>
      </c>
      <c r="Q40" s="25">
        <f t="shared" si="18"/>
        <v>28140.416666666664</v>
      </c>
      <c r="R40" s="26" t="str">
        <f t="shared" si="3"/>
        <v>PERP</v>
      </c>
      <c r="S40" s="26" t="str">
        <f t="shared" si="19"/>
        <v>SHORT</v>
      </c>
      <c r="T40" s="26" t="str">
        <f t="shared" si="4"/>
        <v>PERP SHORT</v>
      </c>
      <c r="U40" s="26">
        <f t="shared" si="5"/>
        <v>-227890.83</v>
      </c>
      <c r="V40" s="26">
        <f t="shared" si="6"/>
        <v>6.8869999999999996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Shifted'!$AE$32:$AO$75,MATCH($R40,'Futures &amp; Perps Shifted'!$AE$30:$AO$30,0),FALSE),0),0)))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7" t="str">
        <f t="shared" si="29"/>
        <v/>
      </c>
      <c r="AC40" s="43" t="str">
        <f t="shared" si="24"/>
        <v/>
      </c>
      <c r="AD40" s="37"/>
      <c r="AE40" t="s">
        <v>24</v>
      </c>
      <c r="AF40">
        <f t="shared" si="25"/>
        <v>1.0042042</v>
      </c>
      <c r="AH40">
        <v>1338.29</v>
      </c>
      <c r="AJ40">
        <f t="shared" si="26"/>
        <v>1343.916438818</v>
      </c>
      <c r="AN40" t="str">
        <f t="shared" si="12"/>
        <v>USDT</v>
      </c>
      <c r="AO40">
        <f t="shared" si="30"/>
        <v>1.0001054103245299</v>
      </c>
      <c r="AP40">
        <f t="shared" si="31"/>
        <v>6.72882805759214</v>
      </c>
      <c r="AQ40">
        <f t="shared" si="22"/>
        <v>-330865.12339996675</v>
      </c>
      <c r="AR40">
        <f t="shared" si="22"/>
        <v>0</v>
      </c>
      <c r="AS40">
        <f t="shared" si="23"/>
        <v>-22.786681048540572</v>
      </c>
      <c r="AT40">
        <f t="shared" si="23"/>
        <v>-227.8668104855233</v>
      </c>
      <c r="AV40" s="31">
        <f t="shared" si="20"/>
        <v>-227866.81048555733</v>
      </c>
      <c r="AW40" s="37">
        <f t="shared" si="17"/>
        <v>0.99989460078563652</v>
      </c>
      <c r="AZ40">
        <f t="shared" si="21"/>
        <v>0</v>
      </c>
    </row>
    <row r="41" spans="1:52" x14ac:dyDescent="0.25">
      <c r="A41">
        <v>39</v>
      </c>
      <c r="B41" s="78">
        <v>44909.916666666664</v>
      </c>
      <c r="C41" t="s">
        <v>46</v>
      </c>
      <c r="D41" t="s">
        <v>47</v>
      </c>
      <c r="E41" t="s">
        <v>778</v>
      </c>
      <c r="F41">
        <v>-89029</v>
      </c>
      <c r="G41" s="1">
        <v>-815505.64</v>
      </c>
      <c r="H41" s="29">
        <v>9.1600000000000004E-6</v>
      </c>
      <c r="I41">
        <v>117404.765870498</v>
      </c>
      <c r="J41" t="s">
        <v>18</v>
      </c>
      <c r="K41" s="28">
        <v>73050.333333333328</v>
      </c>
      <c r="L41">
        <v>1</v>
      </c>
      <c r="M41" t="s">
        <v>38</v>
      </c>
      <c r="N41" s="49">
        <f t="shared" si="0"/>
        <v>1000000</v>
      </c>
      <c r="O41" s="47">
        <f t="shared" si="27"/>
        <v>-89029000000</v>
      </c>
      <c r="P41" s="48">
        <f t="shared" si="28"/>
        <v>-798835.50910863047</v>
      </c>
      <c r="Q41" s="25">
        <f t="shared" si="18"/>
        <v>28140.416666666664</v>
      </c>
      <c r="R41" s="26" t="str">
        <f t="shared" si="3"/>
        <v>PERP</v>
      </c>
      <c r="S41" s="26" t="str">
        <f t="shared" si="19"/>
        <v>SHORT</v>
      </c>
      <c r="T41" s="26" t="str">
        <f t="shared" si="4"/>
        <v>PERP SHORT</v>
      </c>
      <c r="U41" s="26">
        <f t="shared" si="5"/>
        <v>-815505.64</v>
      </c>
      <c r="V41" s="26">
        <f t="shared" si="6"/>
        <v>9.1600000000000004E-6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Shifted'!$AE$32:$AO$75,MATCH($R41,'Futures &amp; Perps Shifted'!$AE$30:$AO$30,0),FALSE),0),0)))</f>
        <v>0</v>
      </c>
      <c r="X41" s="26">
        <f t="shared" si="7"/>
        <v>0</v>
      </c>
      <c r="Y41" s="26" t="str">
        <f t="shared" si="8"/>
        <v>OKEX</v>
      </c>
      <c r="Z41" s="26" t="str">
        <f t="shared" si="9"/>
        <v>PERP</v>
      </c>
      <c r="AA41" s="9"/>
      <c r="AB41" s="37" t="str">
        <f t="shared" si="29"/>
        <v/>
      </c>
      <c r="AC41" s="43" t="str">
        <f t="shared" si="24"/>
        <v/>
      </c>
      <c r="AD41" s="37"/>
      <c r="AE41" t="s">
        <v>30</v>
      </c>
      <c r="AF41">
        <f t="shared" si="25"/>
        <v>19.371727320000002</v>
      </c>
      <c r="AH41">
        <v>-22.74</v>
      </c>
      <c r="AJ41">
        <f t="shared" si="26"/>
        <v>-440.51307925679998</v>
      </c>
      <c r="AN41" t="str">
        <f t="shared" si="12"/>
        <v>USDT</v>
      </c>
      <c r="AO41">
        <f t="shared" si="30"/>
        <v>1.0001054103245299</v>
      </c>
      <c r="AP41">
        <f t="shared" si="31"/>
        <v>8.9727561705582505E-6</v>
      </c>
      <c r="AQ41">
        <f t="shared" si="22"/>
        <v>-890196164133.44336</v>
      </c>
      <c r="AR41">
        <f t="shared" si="22"/>
        <v>0</v>
      </c>
      <c r="AS41">
        <f t="shared" si="23"/>
        <v>-81.541968634687606</v>
      </c>
      <c r="AT41">
        <f t="shared" si="23"/>
        <v>-815.41968634612203</v>
      </c>
      <c r="AV41" s="31">
        <f t="shared" si="20"/>
        <v>-815419.68634623499</v>
      </c>
      <c r="AW41" s="37">
        <f t="shared" si="17"/>
        <v>0.99989460078563641</v>
      </c>
      <c r="AZ41">
        <f t="shared" si="21"/>
        <v>0</v>
      </c>
    </row>
    <row r="42" spans="1:52" x14ac:dyDescent="0.25">
      <c r="A42">
        <v>40</v>
      </c>
      <c r="B42" s="78">
        <v>44909.916666666664</v>
      </c>
      <c r="C42" t="s">
        <v>46</v>
      </c>
      <c r="D42" t="s">
        <v>47</v>
      </c>
      <c r="E42" t="s">
        <v>48</v>
      </c>
      <c r="F42">
        <v>-16540</v>
      </c>
      <c r="G42" s="1">
        <v>-2994517.3130673198</v>
      </c>
      <c r="H42">
        <v>18104.7</v>
      </c>
      <c r="I42">
        <v>-75115.642557642001</v>
      </c>
      <c r="J42" t="s">
        <v>14</v>
      </c>
      <c r="K42" s="28">
        <v>44925.333333333336</v>
      </c>
      <c r="L42">
        <v>1</v>
      </c>
      <c r="M42" t="s">
        <v>15</v>
      </c>
      <c r="N42" s="49">
        <f t="shared" si="0"/>
        <v>0.01</v>
      </c>
      <c r="O42" s="47">
        <f t="shared" si="27"/>
        <v>-165.4</v>
      </c>
      <c r="P42" s="48">
        <f t="shared" si="28"/>
        <v>-2946708.4859592589</v>
      </c>
      <c r="Q42" s="25">
        <f t="shared" si="18"/>
        <v>15.416666666671517</v>
      </c>
      <c r="R42" s="26" t="str">
        <f t="shared" si="3"/>
        <v>Dec 22</v>
      </c>
      <c r="S42" s="26" t="str">
        <f t="shared" si="19"/>
        <v>SHORT</v>
      </c>
      <c r="T42" s="26" t="str">
        <f t="shared" si="4"/>
        <v>Dec 22 SHORT</v>
      </c>
      <c r="U42" s="26">
        <f t="shared" si="5"/>
        <v>-3024462.4861979932</v>
      </c>
      <c r="V42" s="26">
        <f t="shared" si="6"/>
        <v>18285.746999999999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Shifted'!$AE$32:$AO$75,MATCH($R42,'Futures &amp; Perps Shifted'!$AE$30:$AO$30,0),FALSE),0),0)))</f>
        <v>0.01</v>
      </c>
      <c r="X42" s="26">
        <f t="shared" si="7"/>
        <v>-29945.173130673356</v>
      </c>
      <c r="Y42" s="26" t="str">
        <f t="shared" si="8"/>
        <v>OKEX</v>
      </c>
      <c r="Z42" s="26" t="str">
        <f t="shared" si="9"/>
        <v>W2</v>
      </c>
      <c r="AB42" s="37" t="str">
        <f t="shared" si="29"/>
        <v/>
      </c>
      <c r="AC42" s="43" t="str">
        <f t="shared" si="24"/>
        <v/>
      </c>
      <c r="AD42" s="37"/>
      <c r="AE42" t="s">
        <v>16</v>
      </c>
      <c r="AF42">
        <f t="shared" si="25"/>
        <v>1338.2247918088235</v>
      </c>
      <c r="AH42">
        <f>241.04</f>
        <v>241.04</v>
      </c>
      <c r="AJ42">
        <f t="shared" si="26"/>
        <v>322565.70381759881</v>
      </c>
      <c r="AN42" t="str">
        <f t="shared" si="12"/>
        <v>USDT</v>
      </c>
      <c r="AO42">
        <f t="shared" si="30"/>
        <v>1.0001054103245299</v>
      </c>
      <c r="AP42">
        <f t="shared" si="31"/>
        <v>17815.649854650899</v>
      </c>
      <c r="AQ42">
        <f t="shared" ref="AQ42:AR62" si="32">IF($C42="","",IF($A42="",0,IF($L42=1,(($H42+AQ$1)-$H42)*$N42*$F42/$AO42,$F42*$N42*(1/($H42)-1/($H42+AQ$1))*$AP42)))</f>
        <v>-1653.8256696994411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-299.42017602213264</v>
      </c>
      <c r="AT42">
        <f t="shared" si="33"/>
        <v>-2994.2017602201236</v>
      </c>
      <c r="AV42" s="31">
        <f t="shared" si="20"/>
        <v>-2994201.7602207488</v>
      </c>
      <c r="AW42" s="37">
        <f t="shared" si="17"/>
        <v>0.99989462313502275</v>
      </c>
      <c r="AZ42">
        <f t="shared" si="21"/>
        <v>-2994.2017602201236</v>
      </c>
    </row>
    <row r="43" spans="1:52" x14ac:dyDescent="0.25">
      <c r="A43">
        <v>41</v>
      </c>
      <c r="B43" s="78">
        <v>44909.916666666664</v>
      </c>
      <c r="C43" t="s">
        <v>46</v>
      </c>
      <c r="D43" t="s">
        <v>50</v>
      </c>
      <c r="E43" t="s">
        <v>52</v>
      </c>
      <c r="F43">
        <v>624</v>
      </c>
      <c r="G43" s="1">
        <v>62400</v>
      </c>
      <c r="H43">
        <v>18090</v>
      </c>
      <c r="I43">
        <v>0.31251752799999999</v>
      </c>
      <c r="J43" t="s">
        <v>18</v>
      </c>
      <c r="K43" s="28">
        <v>73050.333333333328</v>
      </c>
      <c r="L43">
        <v>0</v>
      </c>
      <c r="M43" t="s">
        <v>15</v>
      </c>
      <c r="N43" s="49">
        <f t="shared" si="0"/>
        <v>100</v>
      </c>
      <c r="O43" s="47">
        <f t="shared" si="27"/>
        <v>3.4494195688225537</v>
      </c>
      <c r="P43" s="48">
        <f t="shared" si="28"/>
        <v>61453.6512399235</v>
      </c>
      <c r="Q43" s="25">
        <f t="shared" si="18"/>
        <v>28140.416666666664</v>
      </c>
      <c r="R43" s="26" t="str">
        <f t="shared" si="3"/>
        <v>PERP</v>
      </c>
      <c r="S43" s="26" t="str">
        <f t="shared" si="19"/>
        <v>LONG</v>
      </c>
      <c r="T43" s="26" t="str">
        <f t="shared" si="4"/>
        <v>PERP LONG</v>
      </c>
      <c r="U43" s="26">
        <f t="shared" si="5"/>
        <v>62400</v>
      </c>
      <c r="V43" s="26">
        <f t="shared" si="6"/>
        <v>18090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Shifted'!$AE$32:$AO$75,MATCH($R43,'Futures &amp; Perps Shifted'!$AE$30:$AO$30,0),FALSE),0),0)))</f>
        <v>0</v>
      </c>
      <c r="X43" s="26">
        <f t="shared" si="7"/>
        <v>0</v>
      </c>
      <c r="Y43" s="26" t="str">
        <f t="shared" si="8"/>
        <v>OKEX</v>
      </c>
      <c r="Z43" s="26" t="str">
        <f t="shared" si="9"/>
        <v>PERP</v>
      </c>
      <c r="AA43" s="9"/>
      <c r="AB43" s="37" t="str">
        <f t="shared" si="29"/>
        <v/>
      </c>
      <c r="AC43" s="43" t="str">
        <f t="shared" si="24"/>
        <v/>
      </c>
      <c r="AD43" s="37"/>
      <c r="AE43" t="s">
        <v>31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17815.649854650899</v>
      </c>
      <c r="AQ43">
        <f t="shared" si="32"/>
        <v>33.952293502722021</v>
      </c>
      <c r="AR43">
        <f t="shared" si="32"/>
        <v>0</v>
      </c>
      <c r="AS43">
        <f t="shared" si="33"/>
        <v>6.1447506489332246</v>
      </c>
      <c r="AT43">
        <f t="shared" si="33"/>
        <v>61.392258980932624</v>
      </c>
      <c r="AV43" s="31">
        <f t="shared" si="20"/>
        <v>55866.955672657736</v>
      </c>
      <c r="AW43" s="37">
        <f t="shared" si="17"/>
        <v>0.8953037768054124</v>
      </c>
      <c r="AZ43">
        <f t="shared" si="21"/>
        <v>0</v>
      </c>
    </row>
    <row r="44" spans="1:52" x14ac:dyDescent="0.25">
      <c r="A44">
        <v>42</v>
      </c>
      <c r="B44" s="78">
        <v>44909.916666666664</v>
      </c>
      <c r="C44" t="s">
        <v>46</v>
      </c>
      <c r="D44" t="s">
        <v>50</v>
      </c>
      <c r="E44" t="s">
        <v>773</v>
      </c>
      <c r="F44">
        <v>-1915</v>
      </c>
      <c r="G44" s="1">
        <v>-19150</v>
      </c>
      <c r="H44">
        <v>1340.19</v>
      </c>
      <c r="I44">
        <v>-0.57658249800000005</v>
      </c>
      <c r="J44" t="s">
        <v>18</v>
      </c>
      <c r="K44" s="28">
        <v>73050.333333333328</v>
      </c>
      <c r="L44">
        <v>0</v>
      </c>
      <c r="M44" t="s">
        <v>16</v>
      </c>
      <c r="N44" s="49">
        <f t="shared" si="0"/>
        <v>10</v>
      </c>
      <c r="O44" s="47">
        <f t="shared" si="27"/>
        <v>-14.289018721226094</v>
      </c>
      <c r="P44" s="48">
        <f t="shared" si="28"/>
        <v>-18709.021976933258</v>
      </c>
      <c r="Q44" s="25">
        <f t="shared" si="18"/>
        <v>28140.416666666664</v>
      </c>
      <c r="R44" s="26" t="str">
        <f t="shared" si="3"/>
        <v>PERP</v>
      </c>
      <c r="S44" s="26" t="str">
        <f t="shared" si="19"/>
        <v>SHORT</v>
      </c>
      <c r="T44" s="26" t="str">
        <f t="shared" si="4"/>
        <v>PERP SHORT</v>
      </c>
      <c r="U44" s="26">
        <f t="shared" si="5"/>
        <v>-19150</v>
      </c>
      <c r="V44" s="26">
        <f t="shared" si="6"/>
        <v>1340.19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Shifted'!$AE$32:$AO$75,MATCH($R44,'Futures &amp; Perps Shifted'!$AE$30:$AO$30,0),FALSE),0),0)))</f>
        <v>0</v>
      </c>
      <c r="X44" s="26">
        <f t="shared" si="7"/>
        <v>0</v>
      </c>
      <c r="Y44" s="26" t="str">
        <f t="shared" si="8"/>
        <v>OKEX</v>
      </c>
      <c r="Z44" s="26" t="str">
        <f t="shared" si="9"/>
        <v>PERP</v>
      </c>
      <c r="AB44" s="37" t="str">
        <f t="shared" si="29"/>
        <v/>
      </c>
      <c r="AC44" s="43" t="str">
        <f t="shared" si="24"/>
        <v/>
      </c>
      <c r="AD44" s="37"/>
      <c r="AE44" t="s">
        <v>44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1309.32867693296</v>
      </c>
      <c r="AQ44">
        <f t="shared" si="32"/>
        <v>-138.56584611745959</v>
      </c>
      <c r="AR44">
        <f t="shared" si="32"/>
        <v>0</v>
      </c>
      <c r="AS44">
        <f t="shared" si="33"/>
        <v>-1.8707151261821062</v>
      </c>
      <c r="AT44">
        <f t="shared" si="33"/>
        <v>-18.690331645286978</v>
      </c>
      <c r="AV44" s="31">
        <f t="shared" si="20"/>
        <v>-17008.201797212074</v>
      </c>
      <c r="AW44" s="37">
        <f t="shared" si="17"/>
        <v>0.88815675181264098</v>
      </c>
      <c r="AZ44">
        <f t="shared" si="21"/>
        <v>0</v>
      </c>
    </row>
    <row r="45" spans="1:52" x14ac:dyDescent="0.25">
      <c r="A45">
        <v>43</v>
      </c>
      <c r="B45" s="78">
        <v>44909.916666666664</v>
      </c>
      <c r="C45" t="s">
        <v>46</v>
      </c>
      <c r="D45" t="s">
        <v>50</v>
      </c>
      <c r="E45" t="s">
        <v>776</v>
      </c>
      <c r="F45">
        <v>-67</v>
      </c>
      <c r="G45" s="1">
        <v>-670</v>
      </c>
      <c r="H45">
        <v>1341.51</v>
      </c>
      <c r="I45">
        <v>-6.0022476999999998E-2</v>
      </c>
      <c r="J45" t="s">
        <v>14</v>
      </c>
      <c r="K45" s="28">
        <v>44925.333333333336</v>
      </c>
      <c r="L45">
        <v>0</v>
      </c>
      <c r="M45" t="s">
        <v>16</v>
      </c>
      <c r="N45" s="49">
        <f t="shared" si="0"/>
        <v>10</v>
      </c>
      <c r="O45" s="47">
        <f t="shared" si="27"/>
        <v>-0.49943720136264358</v>
      </c>
      <c r="P45" s="48">
        <f t="shared" si="28"/>
        <v>-653.92745007125041</v>
      </c>
      <c r="Q45" s="25">
        <f t="shared" si="18"/>
        <v>15.416666666671517</v>
      </c>
      <c r="R45" s="26" t="str">
        <f t="shared" si="3"/>
        <v>Dec 22</v>
      </c>
      <c r="S45" s="26" t="str">
        <f t="shared" si="19"/>
        <v>SHORT</v>
      </c>
      <c r="T45" s="26" t="str">
        <f t="shared" si="4"/>
        <v>Dec 22 SHORT</v>
      </c>
      <c r="U45" s="26">
        <f t="shared" si="5"/>
        <v>-676.7</v>
      </c>
      <c r="V45" s="26">
        <f t="shared" si="6"/>
        <v>1354.9250999999999</v>
      </c>
      <c r="W45" s="26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Shifted'!$AE$32:$AO$75,MATCH($R45,'Futures &amp; Perps Shifted'!$AE$30:$AO$30,0),FALSE),0),0)))</f>
        <v>0.01</v>
      </c>
      <c r="X45" s="26">
        <f t="shared" si="7"/>
        <v>-6.7000000000000455</v>
      </c>
      <c r="Y45" s="26" t="str">
        <f t="shared" si="8"/>
        <v>OKEX</v>
      </c>
      <c r="Z45" s="26" t="str">
        <f t="shared" si="9"/>
        <v>W2</v>
      </c>
      <c r="AB45" s="37" t="str">
        <f t="shared" si="29"/>
        <v/>
      </c>
      <c r="AC45" s="43" t="str">
        <f t="shared" si="24"/>
        <v/>
      </c>
      <c r="AD45" s="37"/>
      <c r="AE45" t="s">
        <v>28</v>
      </c>
      <c r="AF45">
        <f t="shared" si="25"/>
        <v>6.8879999999999999</v>
      </c>
      <c r="AH45">
        <v>-0.15</v>
      </c>
      <c r="AJ45">
        <f t="shared" si="26"/>
        <v>-1.0331999999999999</v>
      </c>
      <c r="AN45" t="str">
        <f t="shared" si="12"/>
        <v>USD</v>
      </c>
      <c r="AO45">
        <f t="shared" si="30"/>
        <v>1</v>
      </c>
      <c r="AP45">
        <f t="shared" si="31"/>
        <v>1309.32867693296</v>
      </c>
      <c r="AQ45">
        <f t="shared" si="32"/>
        <v>-4.8384950912035452</v>
      </c>
      <c r="AR45">
        <f t="shared" si="32"/>
        <v>0</v>
      </c>
      <c r="AS45">
        <f t="shared" si="33"/>
        <v>-6.5386206386495782E-2</v>
      </c>
      <c r="AT45">
        <f t="shared" si="33"/>
        <v>-0.65327417589529324</v>
      </c>
      <c r="AV45" s="31">
        <f t="shared" si="20"/>
        <v>-594.4795000647739</v>
      </c>
      <c r="AW45" s="37">
        <f t="shared" si="17"/>
        <v>0.88728283591757295</v>
      </c>
      <c r="AZ45">
        <f t="shared" si="21"/>
        <v>-0.65327417589529324</v>
      </c>
    </row>
    <row r="46" spans="1:52" x14ac:dyDescent="0.25">
      <c r="A46">
        <v>44</v>
      </c>
      <c r="B46" s="78">
        <v>44909.916666666664</v>
      </c>
      <c r="C46" t="s">
        <v>46</v>
      </c>
      <c r="D46" t="s">
        <v>53</v>
      </c>
      <c r="E46" t="s">
        <v>51</v>
      </c>
      <c r="F46">
        <v>2</v>
      </c>
      <c r="G46" s="1">
        <v>200</v>
      </c>
      <c r="H46">
        <v>18116.2</v>
      </c>
      <c r="I46">
        <v>9.5463999999999998E-4</v>
      </c>
      <c r="J46" t="s">
        <v>14</v>
      </c>
      <c r="K46" s="28">
        <v>44925.333333333336</v>
      </c>
      <c r="L46">
        <v>0</v>
      </c>
      <c r="M46" t="s">
        <v>15</v>
      </c>
      <c r="N46" s="49">
        <f t="shared" si="0"/>
        <v>100</v>
      </c>
      <c r="O46" s="47">
        <f t="shared" si="27"/>
        <v>1.1039842792638633E-2</v>
      </c>
      <c r="P46" s="48">
        <f t="shared" si="28"/>
        <v>196.68197364404125</v>
      </c>
      <c r="Q46" s="25">
        <f t="shared" si="18"/>
        <v>15.416666666671517</v>
      </c>
      <c r="R46" s="26" t="str">
        <f t="shared" si="3"/>
        <v>Dec 22</v>
      </c>
      <c r="S46" s="26" t="str">
        <f t="shared" si="19"/>
        <v>LONG</v>
      </c>
      <c r="T46" s="26" t="str">
        <f t="shared" si="4"/>
        <v>Dec 22 LONG</v>
      </c>
      <c r="U46" s="26">
        <f t="shared" si="5"/>
        <v>202</v>
      </c>
      <c r="V46" s="26">
        <f t="shared" si="6"/>
        <v>18297.362000000001</v>
      </c>
      <c r="W46" s="26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Shifted'!$AE$32:$AO$75,MATCH($R46,'Futures &amp; Perps Shifted'!$AE$30:$AO$30,0),FALSE),0),0)))</f>
        <v>0.01</v>
      </c>
      <c r="X46" s="26">
        <f t="shared" si="7"/>
        <v>2</v>
      </c>
      <c r="Y46" s="26" t="str">
        <f t="shared" si="8"/>
        <v>OKEX</v>
      </c>
      <c r="Z46" s="26" t="str">
        <f t="shared" si="9"/>
        <v>W2</v>
      </c>
      <c r="AB46" s="37" t="str">
        <f t="shared" si="29"/>
        <v/>
      </c>
      <c r="AC46" s="43" t="str">
        <f t="shared" si="24"/>
        <v/>
      </c>
      <c r="AD46" s="37"/>
      <c r="AE46" t="s">
        <v>25</v>
      </c>
      <c r="AF46">
        <f t="shared" si="25"/>
        <v>78.804610604999993</v>
      </c>
      <c r="AH46">
        <v>120.95</v>
      </c>
      <c r="AJ46">
        <f t="shared" si="26"/>
        <v>9531.4176526747488</v>
      </c>
      <c r="AN46" t="str">
        <f t="shared" si="12"/>
        <v>USD</v>
      </c>
      <c r="AO46">
        <f t="shared" si="30"/>
        <v>1</v>
      </c>
      <c r="AP46">
        <f t="shared" si="31"/>
        <v>17815.649854650899</v>
      </c>
      <c r="AQ46">
        <f t="shared" si="32"/>
        <v>0.10850700844305201</v>
      </c>
      <c r="AR46">
        <f t="shared" si="32"/>
        <v>0</v>
      </c>
      <c r="AS46">
        <f t="shared" si="33"/>
        <v>1.9666230741342668E-2</v>
      </c>
      <c r="AT46">
        <f t="shared" si="33"/>
        <v>0.19648548815584582</v>
      </c>
      <c r="AV46" s="31">
        <f t="shared" si="20"/>
        <v>178.80179422185589</v>
      </c>
      <c r="AW46" s="37">
        <f t="shared" si="17"/>
        <v>0.89400897110927946</v>
      </c>
      <c r="AZ46">
        <f t="shared" si="21"/>
        <v>0.19648548815584582</v>
      </c>
    </row>
    <row r="47" spans="1:52" x14ac:dyDescent="0.25">
      <c r="A47">
        <v>45</v>
      </c>
      <c r="B47" s="78">
        <v>44909.916666666664</v>
      </c>
      <c r="C47" t="s">
        <v>46</v>
      </c>
      <c r="D47" t="s">
        <v>53</v>
      </c>
      <c r="E47" t="s">
        <v>48</v>
      </c>
      <c r="F47">
        <v>1</v>
      </c>
      <c r="G47" s="1">
        <v>181.06199595300001</v>
      </c>
      <c r="H47">
        <v>18106.2</v>
      </c>
      <c r="I47">
        <v>16.792542715</v>
      </c>
      <c r="J47" t="s">
        <v>14</v>
      </c>
      <c r="K47" s="28">
        <v>44925.333333333336</v>
      </c>
      <c r="L47">
        <v>1</v>
      </c>
      <c r="M47" t="s">
        <v>15</v>
      </c>
      <c r="N47" s="49">
        <f t="shared" si="0"/>
        <v>0.01</v>
      </c>
      <c r="O47" s="47">
        <f t="shared" si="27"/>
        <v>0.01</v>
      </c>
      <c r="P47" s="48">
        <f t="shared" si="28"/>
        <v>178.156498546509</v>
      </c>
      <c r="Q47" s="25">
        <f t="shared" si="18"/>
        <v>15.416666666671517</v>
      </c>
      <c r="R47" s="26" t="str">
        <f t="shared" si="3"/>
        <v>Dec 22</v>
      </c>
      <c r="S47" s="26" t="str">
        <f t="shared" si="19"/>
        <v>LONG</v>
      </c>
      <c r="T47" s="26" t="str">
        <f t="shared" si="4"/>
        <v>Dec 22 LONG</v>
      </c>
      <c r="U47" s="26">
        <f t="shared" si="5"/>
        <v>182.87261591253002</v>
      </c>
      <c r="V47" s="26">
        <f t="shared" si="6"/>
        <v>18287.262000000002</v>
      </c>
      <c r="W47" s="26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Shifted'!$AE$32:$AO$75,MATCH($R47,'Futures &amp; Perps Shifted'!$AE$30:$AO$30,0),FALSE),0),0)))</f>
        <v>0.01</v>
      </c>
      <c r="X47" s="26">
        <f t="shared" si="7"/>
        <v>1.8106199595300154</v>
      </c>
      <c r="Y47" s="26" t="str">
        <f t="shared" si="8"/>
        <v>OKEX</v>
      </c>
      <c r="Z47" s="26" t="str">
        <f t="shared" si="9"/>
        <v>W2</v>
      </c>
      <c r="AB47" s="37" t="str">
        <f t="shared" si="29"/>
        <v/>
      </c>
      <c r="AC47" s="43" t="str">
        <f t="shared" si="24"/>
        <v/>
      </c>
      <c r="AD47" s="37"/>
      <c r="AE47" t="s">
        <v>38</v>
      </c>
      <c r="AF47">
        <f t="shared" si="25"/>
        <v>9.1600000000000004E-6</v>
      </c>
      <c r="AJ47">
        <f t="shared" si="26"/>
        <v>0</v>
      </c>
      <c r="AN47" t="str">
        <f t="shared" si="12"/>
        <v>USDT</v>
      </c>
      <c r="AO47">
        <f t="shared" si="30"/>
        <v>1.0001054103245299</v>
      </c>
      <c r="AP47">
        <f t="shared" si="31"/>
        <v>17815.649854650899</v>
      </c>
      <c r="AQ47">
        <f t="shared" si="32"/>
        <v>9.9989460078563547E-2</v>
      </c>
      <c r="AR47">
        <f t="shared" si="32"/>
        <v>0</v>
      </c>
      <c r="AS47">
        <f t="shared" si="33"/>
        <v>1.8104291620746862E-2</v>
      </c>
      <c r="AT47">
        <f t="shared" si="33"/>
        <v>0.18104291620743226</v>
      </c>
      <c r="AV47" s="31">
        <f t="shared" si="20"/>
        <v>181.04291620744897</v>
      </c>
      <c r="AW47" s="37">
        <f t="shared" si="17"/>
        <v>0.9998946231347412</v>
      </c>
      <c r="AZ47">
        <f t="shared" si="21"/>
        <v>0.18104291620743226</v>
      </c>
    </row>
    <row r="48" spans="1:52" x14ac:dyDescent="0.25">
      <c r="A48">
        <v>46</v>
      </c>
      <c r="B48" s="78">
        <v>44909.916666666664</v>
      </c>
      <c r="C48" t="s">
        <v>46</v>
      </c>
      <c r="D48" t="s">
        <v>53</v>
      </c>
      <c r="E48" t="s">
        <v>771</v>
      </c>
      <c r="F48">
        <v>9324</v>
      </c>
      <c r="G48" s="1">
        <v>1249238.8626151001</v>
      </c>
      <c r="H48">
        <v>1339.81</v>
      </c>
      <c r="I48">
        <v>101340.866707761</v>
      </c>
      <c r="J48" t="s">
        <v>14</v>
      </c>
      <c r="K48" s="28">
        <v>44925.333333333336</v>
      </c>
      <c r="L48">
        <v>1</v>
      </c>
      <c r="M48" t="s">
        <v>16</v>
      </c>
      <c r="N48" s="49">
        <f t="shared" si="0"/>
        <v>0.1</v>
      </c>
      <c r="O48" s="47">
        <f t="shared" si="27"/>
        <v>932.40000000000009</v>
      </c>
      <c r="P48" s="48">
        <f t="shared" si="28"/>
        <v>1220818.058372292</v>
      </c>
      <c r="Q48" s="25">
        <f t="shared" si="18"/>
        <v>15.416666666671517</v>
      </c>
      <c r="R48" s="26" t="str">
        <f t="shared" si="3"/>
        <v>Dec 22</v>
      </c>
      <c r="S48" s="26" t="str">
        <f t="shared" si="19"/>
        <v>LONG</v>
      </c>
      <c r="T48" s="26" t="str">
        <f t="shared" si="4"/>
        <v>Dec 22 LONG</v>
      </c>
      <c r="U48" s="26">
        <f t="shared" si="5"/>
        <v>1261731.2512412511</v>
      </c>
      <c r="V48" s="26">
        <f t="shared" si="6"/>
        <v>1353.2081000000001</v>
      </c>
      <c r="W48" s="26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Shifted'!$AE$32:$AO$75,MATCH($R48,'Futures &amp; Perps Shifted'!$AE$30:$AO$30,0),FALSE),0),0)))</f>
        <v>0.01</v>
      </c>
      <c r="X48" s="26">
        <f t="shared" si="7"/>
        <v>12492.38862615102</v>
      </c>
      <c r="Y48" s="26" t="str">
        <f t="shared" si="8"/>
        <v>OKEX</v>
      </c>
      <c r="Z48" s="26" t="str">
        <f t="shared" si="9"/>
        <v>W2</v>
      </c>
      <c r="AB48" s="37" t="str">
        <f t="shared" si="29"/>
        <v/>
      </c>
      <c r="AC48" s="43" t="str">
        <f t="shared" si="24"/>
        <v/>
      </c>
      <c r="AD48" s="37"/>
      <c r="AE48" t="s">
        <v>26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>USDT</v>
      </c>
      <c r="AO48">
        <f t="shared" si="30"/>
        <v>1.0001054103245299</v>
      </c>
      <c r="AP48">
        <f t="shared" si="31"/>
        <v>1309.32867693296</v>
      </c>
      <c r="AQ48">
        <f t="shared" si="32"/>
        <v>9323.0172577252652</v>
      </c>
      <c r="AR48">
        <f t="shared" si="32"/>
        <v>0</v>
      </c>
      <c r="AS48">
        <f t="shared" si="33"/>
        <v>124.91071752068117</v>
      </c>
      <c r="AT48">
        <f t="shared" si="33"/>
        <v>1249.1071752072357</v>
      </c>
      <c r="AV48" s="31">
        <f t="shared" si="20"/>
        <v>1249107.1752072908</v>
      </c>
      <c r="AW48" s="37">
        <f t="shared" si="17"/>
        <v>0.99989458588605418</v>
      </c>
      <c r="AZ48">
        <f t="shared" si="21"/>
        <v>1249.1071752072357</v>
      </c>
    </row>
    <row r="49" spans="1:52" x14ac:dyDescent="0.25">
      <c r="A49">
        <v>47</v>
      </c>
      <c r="B49" s="78">
        <v>44909.916666666664</v>
      </c>
      <c r="C49" t="s">
        <v>46</v>
      </c>
      <c r="D49" t="s">
        <v>53</v>
      </c>
      <c r="E49" t="s">
        <v>49</v>
      </c>
      <c r="F49">
        <v>-1</v>
      </c>
      <c r="G49" s="1">
        <v>-180.78499595900001</v>
      </c>
      <c r="H49">
        <v>18078.5</v>
      </c>
      <c r="I49">
        <v>-7.2885998699999996</v>
      </c>
      <c r="J49" t="s">
        <v>18</v>
      </c>
      <c r="K49" s="28">
        <v>73050.333333333328</v>
      </c>
      <c r="L49">
        <v>1</v>
      </c>
      <c r="M49" t="s">
        <v>15</v>
      </c>
      <c r="N49" s="49">
        <f t="shared" si="0"/>
        <v>0.01</v>
      </c>
      <c r="O49" s="47">
        <f t="shared" si="27"/>
        <v>-0.01</v>
      </c>
      <c r="P49" s="48">
        <f t="shared" si="28"/>
        <v>-178.156498546509</v>
      </c>
      <c r="Q49" s="25">
        <f t="shared" si="18"/>
        <v>28140.416666666664</v>
      </c>
      <c r="R49" s="26" t="str">
        <f t="shared" si="3"/>
        <v>PERP</v>
      </c>
      <c r="S49" s="26" t="str">
        <f t="shared" si="19"/>
        <v>SHORT</v>
      </c>
      <c r="T49" s="26" t="str">
        <f t="shared" si="4"/>
        <v>PERP SHORT</v>
      </c>
      <c r="U49" s="26">
        <f t="shared" si="5"/>
        <v>-180.78499595900001</v>
      </c>
      <c r="V49" s="26">
        <f t="shared" si="6"/>
        <v>18078.5</v>
      </c>
      <c r="W49" s="26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Shifted'!$AE$32:$AO$75,MATCH($R49,'Futures &amp; Perps Shifted'!$AE$30:$AO$30,0),FALSE),0),0)))</f>
        <v>0</v>
      </c>
      <c r="X49" s="26">
        <f t="shared" si="7"/>
        <v>0</v>
      </c>
      <c r="Y49" s="26" t="str">
        <f t="shared" si="8"/>
        <v>OKEX</v>
      </c>
      <c r="Z49" s="26" t="str">
        <f t="shared" si="9"/>
        <v>PERP</v>
      </c>
      <c r="AB49" s="37" t="str">
        <f t="shared" si="29"/>
        <v/>
      </c>
      <c r="AC49" s="43" t="str">
        <f t="shared" si="24"/>
        <v/>
      </c>
      <c r="AD49" s="37"/>
      <c r="AE49" t="s">
        <v>39</v>
      </c>
      <c r="AF49" t="e">
        <f t="shared" si="25"/>
        <v>#DIV/0!</v>
      </c>
      <c r="AJ49" t="e">
        <f t="shared" si="26"/>
        <v>#DIV/0!</v>
      </c>
      <c r="AN49" t="str">
        <f t="shared" si="12"/>
        <v>USDT</v>
      </c>
      <c r="AO49">
        <f t="shared" si="30"/>
        <v>1.0001054103245299</v>
      </c>
      <c r="AP49">
        <f t="shared" si="31"/>
        <v>17815.649854650899</v>
      </c>
      <c r="AQ49">
        <f t="shared" si="32"/>
        <v>-9.9989460078563547E-2</v>
      </c>
      <c r="AR49">
        <f t="shared" si="32"/>
        <v>0</v>
      </c>
      <c r="AS49">
        <f t="shared" si="33"/>
        <v>-1.8076594540313646E-2</v>
      </c>
      <c r="AT49">
        <f t="shared" si="33"/>
        <v>-0.18076594540302734</v>
      </c>
      <c r="AV49" s="31">
        <f t="shared" si="20"/>
        <v>-180.76594540303134</v>
      </c>
      <c r="AW49" s="37">
        <f t="shared" si="17"/>
        <v>0.99989462313579935</v>
      </c>
      <c r="AZ49">
        <f t="shared" si="21"/>
        <v>0</v>
      </c>
    </row>
    <row r="50" spans="1:52" x14ac:dyDescent="0.25">
      <c r="A50">
        <v>48</v>
      </c>
      <c r="B50" s="78">
        <v>44909.916666666664</v>
      </c>
      <c r="C50" t="s">
        <v>46</v>
      </c>
      <c r="D50" t="s">
        <v>53</v>
      </c>
      <c r="E50" t="s">
        <v>774</v>
      </c>
      <c r="F50">
        <v>-9324</v>
      </c>
      <c r="G50" s="1">
        <v>-1249602.4986205201</v>
      </c>
      <c r="H50">
        <v>1340.2</v>
      </c>
      <c r="I50">
        <v>-109629.666586523</v>
      </c>
      <c r="J50" t="s">
        <v>18</v>
      </c>
      <c r="K50" s="28">
        <v>73050.333333333328</v>
      </c>
      <c r="L50">
        <v>1</v>
      </c>
      <c r="M50" t="s">
        <v>16</v>
      </c>
      <c r="N50" s="49">
        <f t="shared" si="0"/>
        <v>0.1</v>
      </c>
      <c r="O50" s="47">
        <f t="shared" si="27"/>
        <v>-932.40000000000009</v>
      </c>
      <c r="P50" s="48">
        <f t="shared" si="28"/>
        <v>-1220818.058372292</v>
      </c>
      <c r="Q50" s="25">
        <f t="shared" si="18"/>
        <v>28140.416666666664</v>
      </c>
      <c r="R50" s="26" t="str">
        <f t="shared" si="3"/>
        <v>PERP</v>
      </c>
      <c r="S50" s="26" t="str">
        <f t="shared" si="19"/>
        <v>SHORT</v>
      </c>
      <c r="T50" s="26" t="str">
        <f t="shared" si="4"/>
        <v>PERP SHORT</v>
      </c>
      <c r="U50" s="26">
        <f t="shared" si="5"/>
        <v>-1249602.4986205201</v>
      </c>
      <c r="V50" s="26">
        <f t="shared" si="6"/>
        <v>1340.2</v>
      </c>
      <c r="W50" s="26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Shifted'!$AE$32:$AO$75,MATCH($R50,'Futures &amp; Perps Shifted'!$AE$30:$AO$30,0),FALSE),0),0)))</f>
        <v>0</v>
      </c>
      <c r="X50" s="26">
        <f t="shared" si="7"/>
        <v>0</v>
      </c>
      <c r="Y50" s="26" t="str">
        <f t="shared" si="8"/>
        <v>OKEX</v>
      </c>
      <c r="Z50" s="26" t="str">
        <f t="shared" si="9"/>
        <v>PERP</v>
      </c>
      <c r="AB50" s="37" t="str">
        <f t="shared" si="29"/>
        <v/>
      </c>
      <c r="AC50" s="43" t="str">
        <f t="shared" si="24"/>
        <v/>
      </c>
      <c r="AD50" s="37"/>
      <c r="AE50" t="s">
        <v>27</v>
      </c>
      <c r="AF50">
        <f t="shared" si="25"/>
        <v>2.2200000000000001E-2</v>
      </c>
      <c r="AJ50">
        <f t="shared" si="26"/>
        <v>0</v>
      </c>
      <c r="AN50" t="str">
        <f t="shared" si="12"/>
        <v>USDT</v>
      </c>
      <c r="AO50">
        <f t="shared" si="30"/>
        <v>1.0001054103245299</v>
      </c>
      <c r="AP50">
        <f t="shared" si="31"/>
        <v>1309.32867693296</v>
      </c>
      <c r="AQ50">
        <f t="shared" si="32"/>
        <v>-9323.0172577252652</v>
      </c>
      <c r="AR50">
        <f t="shared" si="32"/>
        <v>0</v>
      </c>
      <c r="AS50">
        <f t="shared" si="33"/>
        <v>-124.9470772880005</v>
      </c>
      <c r="AT50">
        <f t="shared" si="33"/>
        <v>-1249.4707728802168</v>
      </c>
      <c r="AV50" s="31">
        <f t="shared" si="20"/>
        <v>-1249470.7728803421</v>
      </c>
      <c r="AW50" s="37">
        <f t="shared" si="17"/>
        <v>0.99989458588605307</v>
      </c>
      <c r="AZ50">
        <f t="shared" si="21"/>
        <v>0</v>
      </c>
    </row>
    <row r="51" spans="1:52" x14ac:dyDescent="0.25">
      <c r="A51">
        <v>49</v>
      </c>
      <c r="B51" s="78">
        <v>44909.916666666664</v>
      </c>
      <c r="C51" t="s">
        <v>46</v>
      </c>
      <c r="D51" t="s">
        <v>54</v>
      </c>
      <c r="E51" t="s">
        <v>779</v>
      </c>
      <c r="F51">
        <v>17440</v>
      </c>
      <c r="G51" s="1">
        <v>13777.600205302</v>
      </c>
      <c r="H51">
        <v>7.9</v>
      </c>
      <c r="I51">
        <v>-17756.410061801002</v>
      </c>
      <c r="J51" t="s">
        <v>18</v>
      </c>
      <c r="K51" s="28">
        <v>73050.333333333328</v>
      </c>
      <c r="L51">
        <v>1</v>
      </c>
      <c r="M51" t="s">
        <v>20</v>
      </c>
      <c r="N51" s="49">
        <f t="shared" si="0"/>
        <v>0.1</v>
      </c>
      <c r="O51" s="47">
        <f t="shared" si="27"/>
        <v>1744</v>
      </c>
      <c r="P51" s="48">
        <f t="shared" si="28"/>
        <v>13777.6</v>
      </c>
      <c r="Q51" s="25">
        <f t="shared" si="18"/>
        <v>28140.416666666664</v>
      </c>
      <c r="R51" s="26" t="str">
        <f t="shared" si="3"/>
        <v>PERP</v>
      </c>
      <c r="S51" s="26" t="str">
        <f t="shared" si="19"/>
        <v>LONG</v>
      </c>
      <c r="T51" s="26" t="str">
        <f t="shared" si="4"/>
        <v>PERP LONG</v>
      </c>
      <c r="U51" s="26">
        <f t="shared" si="5"/>
        <v>13777.600205302</v>
      </c>
      <c r="V51" s="26">
        <f t="shared" si="6"/>
        <v>7.9</v>
      </c>
      <c r="W51" s="26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Shifted'!$AE$32:$AO$75,MATCH($R51,'Futures &amp; Perps Shifted'!$AE$30:$AO$30,0),FALSE),0),0)))</f>
        <v>0</v>
      </c>
      <c r="X51" s="26">
        <f t="shared" si="7"/>
        <v>0</v>
      </c>
      <c r="Y51" s="26" t="str">
        <f t="shared" si="8"/>
        <v>OKEX</v>
      </c>
      <c r="Z51" s="26" t="str">
        <f t="shared" si="9"/>
        <v>PERP</v>
      </c>
      <c r="AB51" s="37" t="str">
        <f t="shared" si="29"/>
        <v/>
      </c>
      <c r="AC51" s="43" t="str">
        <f t="shared" si="24"/>
        <v/>
      </c>
      <c r="AD51" s="37"/>
      <c r="AJ51">
        <f t="shared" si="26"/>
        <v>0</v>
      </c>
      <c r="AN51" t="str">
        <f t="shared" si="12"/>
        <v>USDT</v>
      </c>
      <c r="AO51">
        <f t="shared" si="30"/>
        <v>1.0001054103245299</v>
      </c>
      <c r="AP51" t="e">
        <f t="shared" si="31"/>
        <v>#N/A</v>
      </c>
      <c r="AQ51">
        <f t="shared" si="32"/>
        <v>17438.161837701478</v>
      </c>
      <c r="AR51">
        <f t="shared" si="32"/>
        <v>0</v>
      </c>
      <c r="AS51">
        <f t="shared" si="33"/>
        <v>1.3776147851789236</v>
      </c>
      <c r="AT51">
        <f t="shared" si="33"/>
        <v>13.776147851783042</v>
      </c>
      <c r="AV51" s="31">
        <f t="shared" si="20"/>
        <v>13776.14785178419</v>
      </c>
      <c r="AW51" s="37">
        <f t="shared" si="17"/>
        <v>0.99989458588606372</v>
      </c>
      <c r="AZ51">
        <f t="shared" si="21"/>
        <v>0</v>
      </c>
    </row>
    <row r="52" spans="1:52" x14ac:dyDescent="0.25">
      <c r="A52">
        <v>50</v>
      </c>
      <c r="B52" s="78">
        <v>44909.916666666664</v>
      </c>
      <c r="C52" t="s">
        <v>268</v>
      </c>
      <c r="D52" t="s">
        <v>303</v>
      </c>
      <c r="E52" t="s">
        <v>780</v>
      </c>
      <c r="F52">
        <v>380</v>
      </c>
      <c r="G52" s="1">
        <v>24852000</v>
      </c>
      <c r="H52">
        <v>1308</v>
      </c>
      <c r="I52">
        <v>0</v>
      </c>
      <c r="J52" t="s">
        <v>286</v>
      </c>
      <c r="K52" s="28">
        <v>44925</v>
      </c>
      <c r="L52">
        <v>1</v>
      </c>
      <c r="M52" t="s">
        <v>16</v>
      </c>
      <c r="N52" s="49">
        <f t="shared" si="0"/>
        <v>50</v>
      </c>
      <c r="O52" s="47">
        <f t="shared" si="27"/>
        <v>19000</v>
      </c>
      <c r="P52" s="48">
        <f t="shared" si="28"/>
        <v>24877244.861726239</v>
      </c>
      <c r="Q52" s="25">
        <f t="shared" si="18"/>
        <v>15.083333333335759</v>
      </c>
      <c r="R52" s="26" t="str">
        <f t="shared" si="3"/>
        <v>CME Dec 22</v>
      </c>
      <c r="S52" s="26" t="str">
        <f t="shared" si="19"/>
        <v>LONG</v>
      </c>
      <c r="T52" s="26" t="str">
        <f t="shared" si="4"/>
        <v>CME Dec 22 LONG</v>
      </c>
      <c r="U52" s="26">
        <f t="shared" si="5"/>
        <v>25100520</v>
      </c>
      <c r="V52" s="26">
        <f t="shared" si="6"/>
        <v>1321.08</v>
      </c>
      <c r="W52" s="26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Shifted'!$AE$32:$AO$75,MATCH($R52,'Futures &amp; Perps Shifted'!$AE$30:$AO$30,0),FALSE),0),0)))</f>
        <v>0.01</v>
      </c>
      <c r="X52" s="26">
        <f t="shared" si="7"/>
        <v>248520</v>
      </c>
      <c r="Y52" s="26" t="str">
        <f t="shared" si="8"/>
        <v>UNMBF222</v>
      </c>
      <c r="Z52" s="26" t="str">
        <f t="shared" si="9"/>
        <v>W2</v>
      </c>
      <c r="AB52" s="37" t="str">
        <f t="shared" si="29"/>
        <v/>
      </c>
      <c r="AC52" s="43" t="str">
        <f t="shared" si="24"/>
        <v/>
      </c>
      <c r="AD52" s="37"/>
      <c r="AE52" t="s">
        <v>87</v>
      </c>
      <c r="AF52">
        <v>0.43</v>
      </c>
      <c r="AH52">
        <v>726.86</v>
      </c>
      <c r="AJ52">
        <f t="shared" si="26"/>
        <v>312.5498</v>
      </c>
      <c r="AN52" t="str">
        <f t="shared" si="12"/>
        <v>USD</v>
      </c>
      <c r="AO52">
        <f t="shared" si="30"/>
        <v>1</v>
      </c>
      <c r="AP52">
        <f t="shared" si="31"/>
        <v>1309.32867693296</v>
      </c>
      <c r="AQ52">
        <f t="shared" si="32"/>
        <v>190000</v>
      </c>
      <c r="AR52">
        <f t="shared" si="32"/>
        <v>0</v>
      </c>
      <c r="AS52">
        <f t="shared" si="33"/>
        <v>2485.1999999982581</v>
      </c>
      <c r="AT52">
        <f t="shared" si="33"/>
        <v>24851.99999999554</v>
      </c>
      <c r="AV52" s="31">
        <f t="shared" si="20"/>
        <v>24852000.000000034</v>
      </c>
      <c r="AW52" s="37">
        <f t="shared" si="17"/>
        <v>1.0000000000000013</v>
      </c>
      <c r="AZ52">
        <f t="shared" si="21"/>
        <v>24851.99999999554</v>
      </c>
    </row>
    <row r="53" spans="1:52" x14ac:dyDescent="0.25">
      <c r="A53">
        <v>51</v>
      </c>
      <c r="B53" s="78">
        <v>44909.916666666664</v>
      </c>
      <c r="C53" t="s">
        <v>268</v>
      </c>
      <c r="D53" t="s">
        <v>303</v>
      </c>
      <c r="E53" t="s">
        <v>317</v>
      </c>
      <c r="F53">
        <v>114</v>
      </c>
      <c r="G53" s="1">
        <v>10143150</v>
      </c>
      <c r="H53">
        <v>17795</v>
      </c>
      <c r="I53">
        <v>0</v>
      </c>
      <c r="J53" t="s">
        <v>286</v>
      </c>
      <c r="K53" s="28">
        <v>44925</v>
      </c>
      <c r="L53">
        <v>1</v>
      </c>
      <c r="M53" t="s">
        <v>15</v>
      </c>
      <c r="N53" s="49">
        <f t="shared" si="0"/>
        <v>5</v>
      </c>
      <c r="O53" s="47">
        <f t="shared" si="27"/>
        <v>570</v>
      </c>
      <c r="P53" s="48">
        <f t="shared" si="28"/>
        <v>10154920.417151013</v>
      </c>
      <c r="Q53" s="25">
        <f t="shared" si="18"/>
        <v>15.083333333335759</v>
      </c>
      <c r="R53" s="26" t="str">
        <f t="shared" si="3"/>
        <v>CME Dec 22</v>
      </c>
      <c r="S53" s="26" t="str">
        <f t="shared" si="19"/>
        <v>LONG</v>
      </c>
      <c r="T53" s="26" t="str">
        <f t="shared" si="4"/>
        <v>CME Dec 22 LONG</v>
      </c>
      <c r="U53" s="26">
        <f t="shared" si="5"/>
        <v>10244581.5</v>
      </c>
      <c r="V53" s="26">
        <f t="shared" si="6"/>
        <v>17972.95</v>
      </c>
      <c r="W53" s="26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Shifted'!$AE$32:$AO$75,MATCH($R53,'Futures &amp; Perps Shifted'!$AE$30:$AO$30,0),FALSE),0),0)))</f>
        <v>0.01</v>
      </c>
      <c r="X53" s="26">
        <f t="shared" si="7"/>
        <v>101431.5</v>
      </c>
      <c r="Y53" s="26" t="str">
        <f t="shared" si="8"/>
        <v>UNMBF222</v>
      </c>
      <c r="Z53" s="26" t="str">
        <f t="shared" si="9"/>
        <v>W2</v>
      </c>
      <c r="AB53" s="37"/>
      <c r="AC53" s="43"/>
      <c r="AD53" s="37"/>
      <c r="AE53" t="s">
        <v>24</v>
      </c>
      <c r="AF53">
        <v>1.18</v>
      </c>
      <c r="AH53">
        <v>1338.29</v>
      </c>
      <c r="AJ53">
        <f t="shared" si="26"/>
        <v>1579.1822</v>
      </c>
      <c r="AN53" t="str">
        <f t="shared" si="12"/>
        <v>USD</v>
      </c>
      <c r="AO53">
        <f t="shared" si="30"/>
        <v>1</v>
      </c>
      <c r="AP53">
        <f t="shared" si="31"/>
        <v>17815.649854650899</v>
      </c>
      <c r="AQ53">
        <f t="shared" si="32"/>
        <v>5700</v>
      </c>
      <c r="AR53">
        <f t="shared" si="32"/>
        <v>0</v>
      </c>
      <c r="AS53">
        <f t="shared" si="33"/>
        <v>1014.3150000003152</v>
      </c>
      <c r="AT53">
        <f t="shared" si="33"/>
        <v>10143.149999999005</v>
      </c>
      <c r="AV53" s="31">
        <f t="shared" si="20"/>
        <v>10143150</v>
      </c>
      <c r="AW53" s="37">
        <f t="shared" si="17"/>
        <v>1</v>
      </c>
      <c r="AZ53">
        <f t="shared" si="21"/>
        <v>10143.149999999005</v>
      </c>
    </row>
    <row r="54" spans="1:52" x14ac:dyDescent="0.25">
      <c r="B54" s="78"/>
      <c r="G54" s="1"/>
      <c r="K54" s="28"/>
      <c r="N54" s="49" t="str">
        <f t="shared" si="0"/>
        <v/>
      </c>
      <c r="O54" s="47" t="str">
        <f t="shared" si="27"/>
        <v/>
      </c>
      <c r="P54" s="48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Shifted'!$AE$32:$AO$75,MATCH($R54,'Futures &amp; Perps Shifted'!$AE$30:$AO$30,0),FALSE),0),0)))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7"/>
      <c r="AC54" s="43"/>
      <c r="AD54" s="37"/>
      <c r="AE54" t="s">
        <v>102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7" t="str">
        <f t="shared" si="17"/>
        <v/>
      </c>
      <c r="AZ54" t="str">
        <f t="shared" si="21"/>
        <v/>
      </c>
    </row>
    <row r="55" spans="1:52" x14ac:dyDescent="0.25">
      <c r="B55" s="78"/>
      <c r="F55" s="43"/>
      <c r="G55" s="1"/>
      <c r="K55" s="28"/>
      <c r="N55" s="49" t="str">
        <f t="shared" si="0"/>
        <v/>
      </c>
      <c r="O55" s="47" t="str">
        <f t="shared" si="27"/>
        <v/>
      </c>
      <c r="P55" s="48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Shifted'!$AE$32:$AO$75,MATCH($R55,'Futures &amp; Perps Shifted'!$AE$30:$AO$30,0),FALSE),0),0)))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7"/>
      <c r="AC55" s="43"/>
      <c r="AD55" s="37"/>
      <c r="AF55" s="43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7" t="str">
        <f t="shared" si="17"/>
        <v/>
      </c>
      <c r="AZ55" t="str">
        <f t="shared" si="21"/>
        <v/>
      </c>
    </row>
    <row r="56" spans="1:52" x14ac:dyDescent="0.25">
      <c r="B56" s="78"/>
      <c r="F56" s="43"/>
      <c r="G56" s="1"/>
      <c r="K56" s="28"/>
      <c r="N56" s="49" t="str">
        <f t="shared" si="0"/>
        <v/>
      </c>
      <c r="O56" s="47" t="str">
        <f t="shared" si="27"/>
        <v/>
      </c>
      <c r="P56" s="48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Shifted'!$AE$32:$AO$75,MATCH($R56,'Futures &amp; Perps Shifted'!$AE$30:$AO$30,0),FALSE),0),0)))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7"/>
      <c r="AC56" s="43"/>
      <c r="AD56" s="37"/>
      <c r="AF56" s="43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7" t="str">
        <f t="shared" si="17"/>
        <v/>
      </c>
      <c r="AZ56" t="str">
        <f t="shared" si="21"/>
        <v/>
      </c>
    </row>
    <row r="57" spans="1:52" x14ac:dyDescent="0.25">
      <c r="B57" s="78"/>
      <c r="F57" s="43"/>
      <c r="G57" s="1"/>
      <c r="K57" s="28"/>
      <c r="N57" s="49" t="str">
        <f t="shared" si="0"/>
        <v/>
      </c>
      <c r="O57" s="47" t="str">
        <f t="shared" si="27"/>
        <v/>
      </c>
      <c r="P57" s="48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Shifted'!$AE$32:$AO$75,MATCH($R57,'Futures &amp; Perps Shifted'!$AE$30:$AO$30,0),FALSE),0),0)))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7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7" t="str">
        <f t="shared" si="17"/>
        <v/>
      </c>
      <c r="AZ57" t="str">
        <f t="shared" si="21"/>
        <v/>
      </c>
    </row>
    <row r="58" spans="1:52" x14ac:dyDescent="0.25">
      <c r="B58" s="78"/>
      <c r="F58" s="43"/>
      <c r="G58" s="1"/>
      <c r="K58" s="28"/>
      <c r="N58" s="49" t="str">
        <f t="shared" si="0"/>
        <v/>
      </c>
      <c r="O58" s="47" t="str">
        <f t="shared" si="27"/>
        <v/>
      </c>
      <c r="P58" s="48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Shifted'!$AE$32:$AO$75,MATCH($R58,'Futures &amp; Perps Shifted'!$AE$30:$AO$30,0),FALSE),0),0)))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9"/>
      <c r="AB58" s="59"/>
      <c r="AC58" s="9"/>
      <c r="AD58" s="37"/>
      <c r="AF58" s="43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7" t="str">
        <f t="shared" si="17"/>
        <v/>
      </c>
      <c r="AZ58" t="str">
        <f t="shared" si="21"/>
        <v/>
      </c>
    </row>
    <row r="59" spans="1:52" x14ac:dyDescent="0.25">
      <c r="F59" s="43"/>
      <c r="G59" s="1"/>
      <c r="K59" s="28"/>
      <c r="N59" s="49" t="str">
        <f t="shared" si="0"/>
        <v/>
      </c>
      <c r="O59" s="47" t="str">
        <f t="shared" si="27"/>
        <v/>
      </c>
      <c r="P59" s="48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Shifted'!$AE$32:$AO$75,MATCH($R59,'Futures &amp; Perps Shifted'!$AE$30:$AO$30,0),FALSE),0),0)))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9"/>
      <c r="AB59" s="59"/>
      <c r="AC59" s="9"/>
      <c r="AD59" s="37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7" t="str">
        <f t="shared" si="17"/>
        <v/>
      </c>
      <c r="AZ59" t="str">
        <f t="shared" si="21"/>
        <v/>
      </c>
    </row>
    <row r="60" spans="1:52" x14ac:dyDescent="0.25">
      <c r="F60" s="43"/>
      <c r="G60" s="1"/>
      <c r="K60" s="28"/>
      <c r="N60" s="49" t="str">
        <f t="shared" si="0"/>
        <v/>
      </c>
      <c r="O60" s="47" t="str">
        <f t="shared" si="27"/>
        <v/>
      </c>
      <c r="P60" s="48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Shifted'!$AE$32:$AO$75,MATCH($R60,'Futures &amp; Perps Shifted'!$AE$30:$AO$30,0),FALSE),0),0)))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9"/>
      <c r="AB60" s="59"/>
      <c r="AC60" s="9"/>
      <c r="AD60" s="37"/>
      <c r="AF60" s="43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7" t="str">
        <f t="shared" si="17"/>
        <v/>
      </c>
      <c r="AZ60" t="str">
        <f t="shared" si="21"/>
        <v/>
      </c>
    </row>
    <row r="61" spans="1:52" x14ac:dyDescent="0.25">
      <c r="F61" s="43"/>
      <c r="G61" s="1"/>
      <c r="K61" s="28"/>
      <c r="N61" s="49" t="str">
        <f t="shared" si="0"/>
        <v/>
      </c>
      <c r="O61" s="47" t="str">
        <f t="shared" si="27"/>
        <v/>
      </c>
      <c r="P61" s="48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Shifted'!$AE$32:$AO$75,MATCH($R61,'Futures &amp; Perps Shifted'!$AE$30:$AO$30,0),FALSE),0),0)))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9"/>
      <c r="AB61" s="59"/>
      <c r="AC61" s="9"/>
      <c r="AD61" s="37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7" t="str">
        <f t="shared" si="17"/>
        <v/>
      </c>
      <c r="AZ61" t="str">
        <f t="shared" si="21"/>
        <v/>
      </c>
    </row>
    <row r="62" spans="1:52" x14ac:dyDescent="0.25">
      <c r="F62" s="43"/>
      <c r="G62" s="1"/>
      <c r="K62" s="28"/>
      <c r="N62" s="49" t="str">
        <f t="shared" si="0"/>
        <v/>
      </c>
      <c r="O62" s="47" t="str">
        <f t="shared" si="27"/>
        <v/>
      </c>
      <c r="P62" s="48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Shifted'!$AE$32:$AO$75,MATCH($R62,'Futures &amp; Perps Shifted'!$AE$30:$AO$30,0),FALSE),0),0)))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9"/>
      <c r="AB62" s="59"/>
      <c r="AC62" s="9"/>
      <c r="AD62" s="37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7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1:52" x14ac:dyDescent="0.25">
      <c r="F63" s="43"/>
      <c r="G63" s="1"/>
      <c r="K63" s="28"/>
      <c r="N63" s="49" t="str">
        <f t="shared" si="0"/>
        <v/>
      </c>
      <c r="O63" s="47" t="str">
        <f t="shared" si="27"/>
        <v/>
      </c>
      <c r="P63" s="48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Shifted'!$AE$32:$AO$75,MATCH($R63,'Futures &amp; Perps Shifted'!$AE$30:$AO$30,0),FALSE),0),0)))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9"/>
      <c r="AB63" s="59"/>
      <c r="AC63" s="9"/>
      <c r="AD63" s="37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7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1:52" x14ac:dyDescent="0.25">
      <c r="F64" s="43"/>
      <c r="G64" s="1"/>
      <c r="K64" s="28"/>
      <c r="N64" s="49" t="str">
        <f t="shared" si="0"/>
        <v/>
      </c>
      <c r="O64" s="47" t="str">
        <f t="shared" si="27"/>
        <v/>
      </c>
      <c r="P64" s="48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Shifted'!$AE$32:$AO$75,MATCH($R64,'Futures &amp; Perps Shifted'!$AE$30:$AO$30,0),FALSE),0),0)))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9"/>
      <c r="AB64" s="59"/>
      <c r="AC64" s="9"/>
      <c r="AD64" s="37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7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3"/>
      <c r="G65" s="1"/>
      <c r="K65" s="28"/>
      <c r="N65" s="49" t="str">
        <f t="shared" si="0"/>
        <v/>
      </c>
      <c r="O65" s="47" t="str">
        <f t="shared" si="27"/>
        <v/>
      </c>
      <c r="P65" s="48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Shifted'!$AE$32:$AO$75,MATCH($R65,'Futures &amp; Perps Shifted'!$AE$30:$AO$30,0),FALSE),0),0)))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9"/>
      <c r="AB65" s="59"/>
      <c r="AC65" s="9"/>
      <c r="AD65" s="37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7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3"/>
      <c r="G66" s="1"/>
      <c r="K66" s="28"/>
      <c r="N66" s="49" t="str">
        <f>IF($C66="","",IF($A66="",0,IF($L66=1,ROUND($G66/$H66/$F66,3),POWER(10,ROUND(LOG($G66/$F66),1)))))</f>
        <v/>
      </c>
      <c r="O66" s="47" t="str">
        <f t="shared" si="27"/>
        <v/>
      </c>
      <c r="P66" s="48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Shifted'!$AE$32:$AO$75,MATCH($R66,'Futures &amp; Perps Shifted'!$AE$30:$AO$30,0),FALSE),0),0)))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9"/>
      <c r="AB66" s="59"/>
      <c r="AC66" s="9"/>
      <c r="AD66" s="37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7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3"/>
      <c r="G67" s="1"/>
      <c r="K67" s="28"/>
      <c r="N67" s="49" t="str">
        <f>IF($C67="","",IF($A67="",0,IF($L67=1,ROUND($G67/$H67/$F67,3),POWER(10,ROUND(LOG($G67/$F67),1)))))</f>
        <v/>
      </c>
      <c r="O67" s="47" t="str">
        <f t="shared" si="27"/>
        <v/>
      </c>
      <c r="P67" s="48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Shifted'!$AE$32:$AO$75,MATCH($R67,'Futures &amp; Perps Shifted'!$AE$30:$AO$30,0),FALSE),0),0)))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9"/>
      <c r="AB67" s="59"/>
      <c r="AC67" s="9"/>
      <c r="AD67" s="37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7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3"/>
      <c r="G68" s="1"/>
      <c r="K68" s="28"/>
      <c r="N68" s="49" t="str">
        <f>IF($C68="","",IF($A68="",0,IF($L68=1,ROUND($G68/$H68/$F68,3),POWER(10,ROUND(LOG($G68/$F68),1)))))</f>
        <v/>
      </c>
      <c r="O68" s="47" t="str">
        <f t="shared" si="27"/>
        <v/>
      </c>
      <c r="P68" s="48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Shifted'!$AE$32:$AO$75,MATCH($R68,'Futures &amp; Perps Shifted'!$AE$30:$AO$30,0),FALSE),0),0)))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9"/>
      <c r="AB68" s="59"/>
      <c r="AC68" s="9"/>
      <c r="AD68" s="37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7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3"/>
      <c r="G69" s="1"/>
      <c r="K69" s="28"/>
      <c r="N69" s="49"/>
      <c r="O69" s="47"/>
      <c r="P69" s="48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Shifted'!$AE$32:$AO$75,MATCH($R69,'Futures &amp; Perps Shifted'!$AE$30:$AO$30,0),FALSE),0),0)))</f>
        <v/>
      </c>
      <c r="X69" s="26"/>
      <c r="Y69" s="26"/>
      <c r="Z69" s="26"/>
      <c r="AA69" s="59"/>
      <c r="AB69" s="59"/>
      <c r="AC69" s="9"/>
      <c r="AD69" s="37"/>
      <c r="AV69" s="31"/>
      <c r="AW69" s="37"/>
    </row>
    <row r="70" spans="6:52" x14ac:dyDescent="0.25">
      <c r="F70" s="43"/>
      <c r="G70" s="1"/>
      <c r="K70" s="28"/>
      <c r="N70" s="49"/>
      <c r="O70" s="47"/>
      <c r="P70" s="48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Shifted'!$AE$32:$AO$75,MATCH($R70,'Futures &amp; Perps Shifted'!$AE$30:$AO$30,0),FALSE),0),0)))</f>
        <v/>
      </c>
      <c r="X70" s="26"/>
      <c r="Y70" s="26"/>
      <c r="Z70" s="26"/>
      <c r="AA70" s="59"/>
      <c r="AB70" s="59"/>
      <c r="AC70" s="9"/>
      <c r="AD70" s="37"/>
      <c r="AV70" s="31"/>
      <c r="AW70" s="37"/>
    </row>
    <row r="71" spans="6:52" x14ac:dyDescent="0.25">
      <c r="F71" s="43"/>
      <c r="G71" s="1"/>
      <c r="K71" s="28"/>
      <c r="N71" s="49"/>
      <c r="O71" s="47"/>
      <c r="P71" s="48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Shifted'!$AE$32:$AO$75,MATCH($R71,'Futures &amp; Perps Shifted'!$AE$30:$AO$30,0),FALSE),0),0)))</f>
        <v/>
      </c>
      <c r="X71" s="26"/>
      <c r="Y71" s="26"/>
      <c r="Z71" s="26"/>
      <c r="AA71" s="59"/>
      <c r="AB71" s="59"/>
      <c r="AC71" s="9"/>
      <c r="AD71" s="37"/>
      <c r="AV71" s="31"/>
      <c r="AW71" s="37"/>
    </row>
    <row r="72" spans="6:52" x14ac:dyDescent="0.25">
      <c r="F72" s="43"/>
      <c r="G72" s="1"/>
      <c r="K72" s="28"/>
      <c r="N72" s="49"/>
      <c r="O72" s="47"/>
      <c r="P72" s="48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Shifted'!$AE$32:$AO$75,MATCH($R72,'Futures &amp; Perps Shifted'!$AE$30:$AO$30,0),FALSE),0),0)))</f>
        <v/>
      </c>
      <c r="X72" s="26"/>
      <c r="Y72" s="26"/>
      <c r="Z72" s="26"/>
      <c r="AA72" s="59"/>
      <c r="AB72" s="59"/>
      <c r="AC72" s="9"/>
      <c r="AD72" s="37"/>
      <c r="AV72" s="31"/>
      <c r="AW72" s="37"/>
    </row>
    <row r="73" spans="6:52" x14ac:dyDescent="0.25">
      <c r="F73" s="43"/>
      <c r="G73" s="1"/>
      <c r="K73" s="28"/>
      <c r="N73" s="49"/>
      <c r="O73" s="47"/>
      <c r="P73" s="48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Shifted'!$AE$32:$AO$75,MATCH($R73,'Futures &amp; Perps Shifted'!$AE$30:$AO$30,0),FALSE),0),0)))</f>
        <v/>
      </c>
      <c r="X73" s="26"/>
      <c r="Y73" s="26"/>
      <c r="Z73" s="26"/>
      <c r="AA73" s="59"/>
      <c r="AB73" s="59"/>
      <c r="AC73" s="9"/>
      <c r="AD73" s="37"/>
      <c r="AV73" s="31"/>
      <c r="AW73" s="37"/>
    </row>
    <row r="74" spans="6:52" x14ac:dyDescent="0.25">
      <c r="F74" s="43"/>
      <c r="G74" s="1"/>
      <c r="K74" s="28"/>
      <c r="N74" s="49" t="str">
        <f>IF($C74="","",IF($A74="",0,IF($L74=1,ROUND($G74/$H74/$F74,3),POWER(10,ROUND(LOG($G74/$F74),1)))))</f>
        <v/>
      </c>
      <c r="O74" s="47" t="str">
        <f>IF($C74="","",IF($A74="",0,IF($L74=1,$F74*$N74,$AA$6*$F74*$N74/$H74)))</f>
        <v/>
      </c>
      <c r="P74" s="48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Shifted'!$AE$32:$AO$75,MATCH($R74,'Futures &amp; Perps Shifted'!$AE$30:$AO$30,0),FALSE),0),0)))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3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7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3"/>
      <c r="G75" s="1"/>
      <c r="K75" s="28"/>
      <c r="N75" s="49" t="str">
        <f>IF($C75="","",IF($A75="",0,IF($L75=1,ROUND($G75/$H75/$F75,3),POWER(10,ROUND(LOG($G75/$F75),1)))))</f>
        <v/>
      </c>
      <c r="O75" s="47" t="str">
        <f>IF($C75="","",IF($A75="",0,IF($L75=1,$F75*$N75,$AA$6*$F75*$N75/$H75)))</f>
        <v/>
      </c>
      <c r="P75" s="48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Shifted'!$AE$32:$AO$75,MATCH($R75,'Futures &amp; Perps Shifted'!$AE$30:$AO$30,0),FALSE),0),0)))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7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3"/>
      <c r="G76" s="1"/>
      <c r="K76" s="28"/>
      <c r="N76" s="49" t="str">
        <f>IF($C76="","",IF($A76="",0,IF($L76=1,ROUND($G76/$H76/$F76,3),POWER(10,ROUND(LOG($G76/$F76),1)))))</f>
        <v/>
      </c>
      <c r="O76" s="47" t="str">
        <f>IF($C76="","",IF($A76="",0,IF($L76=1,$F76*$N76,$AA$6*$F76*$N76/$H76)))</f>
        <v/>
      </c>
      <c r="P76" s="48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Shifted'!$AE$32:$AO$75,MATCH($R76,'Futures &amp; Perps Shifted'!$AE$30:$AO$30,0),FALSE),0),0)))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7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3"/>
      <c r="G77" s="1"/>
      <c r="K77" s="28"/>
      <c r="N77" s="49" t="str">
        <f>IF($C77="","",IF($A77="",0,IF($L77=1,ROUND($G77/$H77/$F77,3),POWER(10,ROUND(LOG($G77/$F77),1)))))</f>
        <v/>
      </c>
      <c r="O77" s="47" t="str">
        <f>IF($C77="","",IF($A77="",0,IF($L77=1,$F77*$N77,$AA$6*$F77*$N77/$H77)))</f>
        <v/>
      </c>
      <c r="P77" s="48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Shifted'!$AE$32:$AO$75,MATCH($R77,'Futures &amp; Perps Shifted'!$AE$30:$AO$30,0),FALSE),0),0)))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7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Shifted'!$AE$32:$AO$75,MATCH($R78,'Futures &amp; Perps Shifted'!$AE$30:$AO$30,0),FALSE),0),0)))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Shifted'!$AE$32:$AO$75,MATCH($R79,'Futures &amp; Perps Shifted'!$AE$30:$AO$30,0),FALSE),0),0)))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Shifted'!$AE$32:$AO$75,MATCH($R80,'Futures &amp; Perps Shifted'!$AE$30:$AO$30,0),FALSE),0),0)))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Shifted'!$AE$32:$AO$75,MATCH($R81,'Futures &amp; Perps Shifted'!$AE$30:$AO$30,0),FALSE),0),0)))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Shifted'!$AE$32:$AO$75,MATCH($R82,'Futures &amp; Perps Shifted'!$AE$30:$AO$30,0),FALSE),0),0)))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Shifted'!$AE$32:$AO$75,MATCH($R83,'Futures &amp; Perps Shifted'!$AE$30:$AO$30,0),FALSE),0),0)))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Shifted'!$AE$32:$AO$75,MATCH($R84,'Futures &amp; Perps Shifted'!$AE$30:$AO$30,0),FALSE),0),0)))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Shifted'!$AE$32:$AO$75,MATCH($R85,'Futures &amp; Perps Shifted'!$AE$30:$AO$30,0),FALSE),0),0)))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Shifted'!$AE$32:$AO$75,MATCH($R86,'Futures &amp; Perps Shifted'!$AE$30:$AO$30,0),FALSE),0),0)))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Shifted'!$AE$32:$AO$75,MATCH($R87,'Futures &amp; Perps Shifted'!$AE$30:$AO$30,0),FALSE),0),0)))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Shifted'!$AE$32:$AO$75,MATCH($R88,'Futures &amp; Perps Shifted'!$AE$30:$AO$30,0),FALSE),0),0)))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Shifted'!$AE$32:$AO$75,MATCH($R89,'Futures &amp; Perps Shifted'!$AE$30:$AO$30,0),FALSE),0),0)))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Shifted'!$AE$32:$AO$75,MATCH($R90,'Futures &amp; Perps Shifted'!$AE$30:$AO$30,0),FALSE),0),0)))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Shifted'!$AE$32:$AO$75,MATCH($R91,'Futures &amp; Perps Shifted'!$AE$30:$AO$30,0),FALSE),0),0)))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Shifted'!$AE$32:$AO$75,MATCH($R92,'Futures &amp; Perps Shifted'!$AE$30:$AO$30,0),FALSE),0),0)))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Shifted'!$AE$32:$AO$75,MATCH($R93,'Futures &amp; Perps Shifted'!$AE$30:$AO$30,0),FALSE),0),0)))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Shifted'!$AE$32:$AO$75,MATCH($R94,'Futures &amp; Perps Shifted'!$AE$30:$AO$30,0),FALSE),0),0)))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Shifted'!$AE$32:$AO$75,MATCH($R95,'Futures &amp; Perps Shifted'!$AE$30:$AO$30,0),FALSE),0),0)))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Shifted'!$AE$32:$AO$75,MATCH($R96,'Futures &amp; Perps Shifted'!$AE$30:$AO$30,0),FALSE),0),0)))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Shifted'!$AE$32:$AO$75,MATCH($R97,'Futures &amp; Perps Shifted'!$AE$30:$AO$30,0),FALSE),0),0)))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Shifted'!$AE$32:$AO$75,MATCH($R98,'Futures &amp; Perps Shifted'!$AE$30:$AO$30,0),FALSE),0),0)))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Shifted'!$AE$32:$AO$75,MATCH($R99,'Futures &amp; Perps Shifted'!$AE$30:$AO$30,0),FALSE),0),0)))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Shifted'!$AE$32:$AO$75,MATCH($R100,'Futures &amp; Perps Shifted'!$AE$30:$AO$30,0),FALSE),0),0)))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Shifted'!$AE$32:$AO$75,MATCH($R101,'Futures &amp; Perps Shifted'!$AE$30:$AO$30,0),FALSE),0),0)))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Shifted'!$AE$32:$AO$75,MATCH($R102,'Futures &amp; Perps Shifted'!$AE$30:$AO$30,0),FALSE),0),0)))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Shifted'!$AE$32:$AO$75,MATCH($R103,'Futures &amp; Perps Shifted'!$AE$30:$AO$30,0),FALSE),0),0)))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Shifted'!$AE$32:$AO$75,MATCH($R104,'Futures &amp; Perps Shifted'!$AE$30:$AO$30,0),FALSE),0),0)))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Shifted'!$AE$32:$AO$75,MATCH($R105,'Futures &amp; Perps Shifted'!$AE$30:$AO$30,0),FALSE),0),0)))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Shifted'!$AE$32:$AO$75,MATCH($R106,'Futures &amp; Perps Shifted'!$AE$30:$AO$30,0),FALSE),0),0)))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Shifted'!$AE$32:$AO$75,MATCH($R107,'Futures &amp; Perps Shifted'!$AE$30:$AO$30,0),FALSE),0),0)))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Shifted'!$AE$32:$AO$75,MATCH($R108,'Futures &amp; Perps Shifted'!$AE$30:$AO$30,0),FALSE),0),0)))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Shifted'!$AE$32:$AO$75,MATCH($R109,'Futures &amp; Perps Shifted'!$AE$30:$AO$30,0),FALSE),0),0)))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Shifted'!$AE$32:$AO$75,MATCH($R110,'Futures &amp; Perps Shifted'!$AE$30:$AO$30,0),FALSE),0),0)))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Shifted'!$AE$32:$AO$75,MATCH($R111,'Futures &amp; Perps Shifted'!$AE$30:$AO$30,0),FALSE),0),0)))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Shifted'!$AE$32:$AO$75,MATCH($R112,'Futures &amp; Perps Shifted'!$AE$30:$AO$30,0),FALSE),0),0)))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Shifted'!$AE$32:$AO$75,MATCH($R113,'Futures &amp; Perps Shifted'!$AE$30:$AO$30,0),FALSE),0),0)))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Shifted'!$AE$32:$AO$75,MATCH($R114,'Futures &amp; Perps Shifted'!$AE$30:$AO$30,0),FALSE),0),0)))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Shifted'!$AE$32:$AO$75,MATCH($R115,'Futures &amp; Perps Shifted'!$AE$30:$AO$30,0),FALSE),0),0)))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Shifted'!$AE$32:$AO$75,MATCH($R116,'Futures &amp; Perps Shifted'!$AE$30:$AO$30,0),FALSE),0),0)))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Shifted'!$AE$32:$AO$75,MATCH($R117,'Futures &amp; Perps Shifted'!$AE$30:$AO$30,0),FALSE),0),0)))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Shifted'!$AE$32:$AO$75,MATCH($R118,'Futures &amp; Perps Shifted'!$AE$30:$AO$30,0),FALSE),0),0)))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Shifted'!$AE$32:$AO$75,MATCH($R119,'Futures &amp; Perps Shifted'!$AE$30:$AO$30,0),FALSE),0),0)))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Shifted'!$AE$32:$AO$75,MATCH($R120,'Futures &amp; Perps Shifted'!$AE$30:$AO$30,0),FALSE),0),0)))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Shifted'!$AE$32:$AO$75,MATCH($R121,'Futures &amp; Perps Shifted'!$AE$30:$AO$30,0),FALSE),0),0)))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Shifted'!$AE$32:$AO$75,MATCH($R122,'Futures &amp; Perps Shifted'!$AE$30:$AO$30,0),FALSE),0),0)))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Shifted'!$AE$32:$AO$75,MATCH($R123,'Futures &amp; Perps Shifted'!$AE$30:$AO$30,0),FALSE),0),0)))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Shifted'!$AE$32:$AO$75,MATCH($R124,'Futures &amp; Perps Shifted'!$AE$30:$AO$30,0),FALSE),0),0)))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Shifted'!$AE$32:$AO$75,MATCH($R125,'Futures &amp; Perps Shifted'!$AE$30:$AO$30,0),FALSE),0),0)))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Shifted'!$AE$32:$AO$75,MATCH($R126,'Futures &amp; Perps Shifted'!$AE$30:$AO$30,0),FALSE),0),0)))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Shifted'!$AE$32:$AO$75,MATCH($R127,'Futures &amp; Perps Shifted'!$AE$30:$AO$30,0),FALSE),0),0)))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Shifted'!$AE$32:$AO$75,MATCH($R128,'Futures &amp; Perps Shifted'!$AE$30:$AO$30,0),FALSE),0),0)))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Shifted'!$AE$32:$AO$75,MATCH($R129,'Futures &amp; Perps Shifted'!$AE$30:$AO$30,0),FALSE),0),0)))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Shifted'!$AE$32:$AO$75,MATCH($R130,'Futures &amp; Perps Shifted'!$AE$30:$AO$30,0),FALSE),0),0)))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Shifted'!$AE$32:$AO$75,MATCH($R131,'Futures &amp; Perps Shifted'!$AE$30:$AO$30,0),FALSE),0),0)))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Shifted'!$AE$32:$AO$75,MATCH($R132,'Futures &amp; Perps Shifted'!$AE$30:$AO$30,0),FALSE),0),0)))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Shifted'!$AE$32:$AO$75,MATCH($R133,'Futures &amp; Perps Shifted'!$AE$30:$AO$30,0),FALSE),0),0)))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Shifted'!$AE$32:$AO$75,MATCH($R134,'Futures &amp; Perps Shifted'!$AE$30:$AO$30,0),FALSE),0),0)))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Shifted'!$AE$32:$AO$75,MATCH($R135,'Futures &amp; Perps Shifted'!$AE$30:$AO$30,0),FALSE),0),0)))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Shifted'!$AE$32:$AO$75,MATCH($R136,'Futures &amp; Perps Shifted'!$AE$30:$AO$30,0),FALSE),0),0)))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Shifted'!$AE$32:$AO$75,MATCH($R137,'Futures &amp; Perps Shifted'!$AE$30:$AO$30,0),FALSE),0),0)))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Shifted'!$AE$32:$AO$75,MATCH($R138,'Futures &amp; Perps Shifted'!$AE$30:$AO$30,0),FALSE),0),0)))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Shifted'!$AE$32:$AO$75,MATCH($R139,'Futures &amp; Perps Shifted'!$AE$30:$AO$30,0),FALSE),0),0)))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Shifted'!$AE$32:$AO$75,MATCH($R140,'Futures &amp; Perps Shifted'!$AE$30:$AO$30,0),FALSE),0),0)))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Shifted'!$AE$32:$AO$75,MATCH($R141,'Futures &amp; Perps Shifted'!$AE$30:$AO$30,0),FALSE),0),0)))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Shifted'!$AE$32:$AO$75,MATCH($R142,'Futures &amp; Perps Shifted'!$AE$30:$AO$30,0),FALSE),0),0)))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Shifted'!$AE$32:$AO$75,MATCH($R143,'Futures &amp; Perps Shifted'!$AE$30:$AO$30,0),FALSE),0),0)))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Shifted'!$AE$32:$AO$75,MATCH($R144,'Futures &amp; Perps Shifted'!$AE$30:$AO$30,0),FALSE),0),0)))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Shifted'!$AE$32:$AO$75,MATCH($R145,'Futures &amp; Perps Shifted'!$AE$30:$AO$30,0),FALSE),0),0)))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Shifted'!$AE$32:$AO$75,MATCH($R146,'Futures &amp; Perps Shifted'!$AE$30:$AO$30,0),FALSE),0),0)))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Shifted'!$AE$32:$AO$75,MATCH($R147,'Futures &amp; Perps Shifted'!$AE$30:$AO$30,0),FALSE),0),0)))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Shifted'!$AE$32:$AO$75,MATCH($R148,'Futures &amp; Perps Shifted'!$AE$30:$AO$30,0),FALSE),0),0)))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Shifted'!$AE$32:$AO$75,MATCH($R149,'Futures &amp; Perps Shifted'!$AE$30:$AO$30,0),FALSE),0),0)))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Shifted'!$AE$32:$AO$75,MATCH($R150,'Futures &amp; Perps Shifted'!$AE$30:$AO$30,0),FALSE),0),0)))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Shifted'!$AE$32:$AO$75,MATCH($R151,'Futures &amp; Perps Shifted'!$AE$30:$AO$30,0),FALSE),0),0)))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Shifted'!$AE$32:$AO$75,MATCH($R152,'Futures &amp; Perps Shifted'!$AE$30:$AO$30,0),FALSE),0),0)))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Shifted'!$AE$32:$AO$75,MATCH($R153,'Futures &amp; Perps Shifted'!$AE$30:$AO$30,0),FALSE),0),0)))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Shifted'!$AE$32:$AO$75,MATCH($R154,'Futures &amp; Perps Shifted'!$AE$30:$AO$30,0),FALSE),0),0)))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Shifted'!$AE$32:$AO$75,MATCH($R155,'Futures &amp; Perps Shifted'!$AE$30:$AO$30,0),FALSE),0),0)))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Shifted'!$AE$32:$AO$75,MATCH($R156,'Futures &amp; Perps Shifted'!$AE$30:$AO$30,0),FALSE),0),0)))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Shifted'!$AE$32:$AO$75,MATCH($R157,'Futures &amp; Perps Shifted'!$AE$30:$AO$30,0),FALSE),0),0)))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Shifted'!$AE$32:$AO$75,MATCH($R158,'Futures &amp; Perps Shifted'!$AE$30:$AO$30,0),FALSE),0),0)))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Shifted'!$AE$32:$AO$75,MATCH($R159,'Futures &amp; Perps Shifted'!$AE$30:$AO$30,0),FALSE),0),0)))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Shifted'!$AE$32:$AO$75,MATCH($R160,'Futures &amp; Perps Shifted'!$AE$30:$AO$30,0),FALSE),0),0)))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Shifted'!$AE$32:$AO$75,MATCH($R161,'Futures &amp; Perps Shifted'!$AE$30:$AO$30,0),FALSE),0),0)))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Shifted'!$AE$32:$AO$75,MATCH($R162,'Futures &amp; Perps Shifted'!$AE$30:$AO$30,0),FALSE),0),0)))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Shifted'!$AE$32:$AO$75,MATCH($R163,'Futures &amp; Perps Shifted'!$AE$30:$AO$30,0),FALSE),0),0)))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Shifted'!$AE$32:$AO$75,MATCH($R164,'Futures &amp; Perps Shifted'!$AE$30:$AO$30,0),FALSE),0),0)))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Shifted'!$AE$32:$AO$75,MATCH($R165,'Futures &amp; Perps Shifted'!$AE$30:$AO$30,0),FALSE),0),0)))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Shifted'!$AE$32:$AO$75,MATCH($R166,'Futures &amp; Perps Shifted'!$AE$30:$AO$30,0),FALSE),0),0)))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Shifted'!$AE$32:$AO$75,MATCH($R167,'Futures &amp; Perps Shifted'!$AE$30:$AO$30,0),FALSE),0),0)))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Shifted'!$AE$32:$AO$75,MATCH($R168,'Futures &amp; Perps Shifted'!$AE$30:$AO$30,0),FALSE),0),0)))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Shifted'!$AE$32:$AO$75,MATCH($R169,'Futures &amp; Perps Shifted'!$AE$30:$AO$30,0),FALSE),0),0)))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Shifted'!$AE$32:$AO$75,MATCH($R170,'Futures &amp; Perps Shifted'!$AE$30:$AO$30,0),FALSE),0),0)))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Shifted'!$AE$32:$AO$75,MATCH($R171,'Futures &amp; Perps Shifted'!$AE$30:$AO$30,0),FALSE),0),0)))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Shifted'!$AE$32:$AO$75,MATCH($R172,'Futures &amp; Perps Shifted'!$AE$30:$AO$30,0),FALSE),0),0)))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Shifted'!$AE$32:$AO$75,MATCH($R173,'Futures &amp; Perps Shifted'!$AE$30:$AO$30,0),FALSE),0),0)))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Shifted'!$AE$32:$AO$75,MATCH($R174,'Futures &amp; Perps Shifted'!$AE$30:$AO$30,0),FALSE),0),0)))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Shifted'!$AE$32:$AO$75,MATCH($R175,'Futures &amp; Perps Shifted'!$AE$30:$AO$30,0),FALSE),0),0)))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Shifted'!$AE$32:$AO$75,MATCH($R176,'Futures &amp; Perps Shifted'!$AE$30:$AO$30,0),FALSE),0),0)))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Shifted'!$AE$32:$AO$75,MATCH($R177,'Futures &amp; Perps Shifted'!$AE$30:$AO$30,0),FALSE),0),0)))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Shifted'!$AE$32:$AO$75,MATCH($R178,'Futures &amp; Perps Shifted'!$AE$30:$AO$30,0),FALSE),0),0)))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Shifted'!$AE$32:$AO$75,MATCH($R179,'Futures &amp; Perps Shifted'!$AE$30:$AO$30,0),FALSE),0),0)))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Shifted'!$AE$32:$AO$75,MATCH($R180,'Futures &amp; Perps Shifted'!$AE$30:$AO$30,0),FALSE),0),0)))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Shifted'!$AE$32:$AO$75,MATCH($R181,'Futures &amp; Perps Shifted'!$AE$30:$AO$30,0),FALSE),0),0)))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Shifted'!$AE$32:$AO$75,MATCH($R182,'Futures &amp; Perps Shifted'!$AE$30:$AO$30,0),FALSE),0),0)))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Shifted'!$AE$32:$AO$75,MATCH($R183,'Futures &amp; Perps Shifted'!$AE$30:$AO$30,0),FALSE),0),0)))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Shifted'!$AE$32:$AO$75,MATCH($R184,'Futures &amp; Perps Shifted'!$AE$30:$AO$30,0),FALSE),0),0)))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Shifted'!$AE$32:$AO$75,MATCH($R185,'Futures &amp; Perps Shifted'!$AE$30:$AO$30,0),FALSE),0),0)))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Shifted'!$AE$32:$AO$75,MATCH($R186,'Futures &amp; Perps Shifted'!$AE$30:$AO$30,0),FALSE),0),0)))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Shifted'!$AE$32:$AO$75,MATCH($R187,'Futures &amp; Perps Shifted'!$AE$30:$AO$30,0),FALSE),0),0)))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Shifted'!$AE$32:$AO$75,MATCH($R188,'Futures &amp; Perps Shifted'!$AE$30:$AO$30,0),FALSE),0),0)))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Shifted'!$AE$32:$AO$75,MATCH($R189,'Futures &amp; Perps Shifted'!$AE$30:$AO$30,0),FALSE),0),0)))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Shifted'!$AE$32:$AO$75,MATCH($R190,'Futures &amp; Perps Shifted'!$AE$30:$AO$30,0),FALSE),0),0)))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Shifted'!$AE$32:$AO$75,MATCH($R191,'Futures &amp; Perps Shifted'!$AE$30:$AO$30,0),FALSE),0),0)))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Shifted'!$AE$32:$AO$75,MATCH($R192,'Futures &amp; Perps Shifted'!$AE$30:$AO$30,0),FALSE),0),0)))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Shifted'!$AE$32:$AO$75,MATCH($R193,'Futures &amp; Perps Shifted'!$AE$30:$AO$30,0),FALSE),0),0)))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Shifted'!$AE$32:$AO$75,MATCH($R194,'Futures &amp; Perps Shifted'!$AE$30:$AO$30,0),FALSE),0),0)))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Shifted'!$AE$32:$AO$75,MATCH($R195,'Futures &amp; Perps Shifted'!$AE$30:$AO$30,0),FALSE),0),0)))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Shifted'!$AE$32:$AO$75,MATCH($R196,'Futures &amp; Perps Shifted'!$AE$30:$AO$30,0),FALSE),0),0)))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Shifted'!$AE$32:$AO$75,MATCH($R197,'Futures &amp; Perps Shifted'!$AE$30:$AO$30,0),FALSE),0),0)))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Shifted'!$AE$32:$AO$75,MATCH($R198,'Futures &amp; Perps Shifted'!$AE$30:$AO$30,0),FALSE),0),0)))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Shifted'!$AE$32:$AO$75,MATCH($R199,'Futures &amp; Perps Shifted'!$AE$30:$AO$30,0),FALSE),0),0)))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Shifted'!$AE$32:$AO$75,MATCH($R200,'Futures &amp; Perps Shifted'!$AE$30:$AO$30,0),FALSE),0),0)))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Shifted'!$AE$32:$AO$75,MATCH($R201,'Futures &amp; Perps Shifted'!$AE$30:$AO$30,0),FALSE),0),0)))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Shifted'!$AE$32:$AO$75,MATCH($R202,'Futures &amp; Perps Shifted'!$AE$30:$AO$30,0),FALSE),0),0)))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Shifted'!$AE$32:$AO$75,MATCH($R203,'Futures &amp; Perps Shifted'!$AE$30:$AO$30,0),FALSE),0),0)))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Shifted'!$AE$32:$AO$75,MATCH($R204,'Futures &amp; Perps Shifted'!$AE$30:$AO$30,0),FALSE),0),0)))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Shifted'!$AE$32:$AO$75,MATCH($R205,'Futures &amp; Perps Shifted'!$AE$30:$AO$30,0),FALSE),0),0)))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Shifted'!$AE$32:$AO$75,MATCH($R206,'Futures &amp; Perps Shifted'!$AE$30:$AO$30,0),FALSE),0),0)))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Shifted'!$AE$32:$AO$75,MATCH($R207,'Futures &amp; Perps Shifted'!$AE$30:$AO$30,0),FALSE),0),0)))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Shifted'!$AE$32:$AO$75,MATCH($R208,'Futures &amp; Perps Shifted'!$AE$30:$AO$30,0),FALSE),0),0)))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Shifted'!$AE$32:$AO$75,MATCH($R209,'Futures &amp; Perps Shifted'!$AE$30:$AO$30,0),FALSE),0),0)))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Shifted'!$AE$32:$AO$75,MATCH($R210,'Futures &amp; Perps Shifted'!$AE$30:$AO$30,0),FALSE),0),0)))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Shifted'!$AE$32:$AO$75,MATCH($R211,'Futures &amp; Perps Shifted'!$AE$30:$AO$30,0),FALSE),0),0)))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Shifted'!$AE$32:$AO$75,MATCH($R212,'Futures &amp; Perps Shifted'!$AE$30:$AO$30,0),FALSE),0),0)))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Shifted'!$AE$32:$AO$75,MATCH($R213,'Futures &amp; Perps Shifted'!$AE$30:$AO$30,0),FALSE),0),0)))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Shifted'!$AE$32:$AO$75,MATCH($R214,'Futures &amp; Perps Shifted'!$AE$30:$AO$30,0),FALSE),0),0)))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Shifted'!$AE$32:$AO$75,MATCH($R215,'Futures &amp; Perps Shifted'!$AE$30:$AO$30,0),FALSE),0),0)))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Shifted'!$AE$32:$AO$75,MATCH($R216,'Futures &amp; Perps Shifted'!$AE$30:$AO$30,0),FALSE),0),0)))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Shifted'!$AE$32:$AO$75,MATCH($R217,'Futures &amp; Perps Shifted'!$AE$30:$AO$30,0),FALSE),0),0)))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Shifted'!$AE$32:$AO$75,MATCH($R218,'Futures &amp; Perps Shifted'!$AE$30:$AO$30,0),FALSE),0),0)))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Shifted'!$AE$32:$AO$75,MATCH($R219,'Futures &amp; Perps Shifted'!$AE$30:$AO$30,0),FALSE),0),0)))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Shifted'!$AE$32:$AO$75,MATCH($R220,'Futures &amp; Perps Shifted'!$AE$30:$AO$30,0),FALSE),0),0)))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Shifted'!$AE$32:$AO$75,MATCH($R221,'Futures &amp; Perps Shifted'!$AE$30:$AO$30,0),FALSE),0),0)))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Shifted'!$AE$32:$AO$75,MATCH($R222,'Futures &amp; Perps Shifted'!$AE$30:$AO$30,0),FALSE),0),0)))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Shifted'!$AE$32:$AO$75,MATCH($R223,'Futures &amp; Perps Shifted'!$AE$30:$AO$30,0),FALSE),0),0)))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Shifted'!$AE$32:$AO$75,MATCH($R224,'Futures &amp; Perps Shifted'!$AE$30:$AO$30,0),FALSE),0),0)))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Shifted'!$AE$32:$AO$75,MATCH($R225,'Futures &amp; Perps Shifted'!$AE$30:$AO$30,0),FALSE),0),0)))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Shifted'!$AE$32:$AO$75,MATCH($R226,'Futures &amp; Perps Shifted'!$AE$30:$AO$30,0),FALSE),0),0)))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Shifted'!$AE$32:$AO$75,MATCH($R227,'Futures &amp; Perps Shifted'!$AE$30:$AO$30,0),FALSE),0),0)))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Shifted'!$AE$32:$AO$75,MATCH($R228,'Futures &amp; Perps Shifted'!$AE$30:$AO$30,0),FALSE),0),0)))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Shifted'!$AE$32:$AO$75,MATCH($R229,'Futures &amp; Perps Shifted'!$AE$30:$AO$30,0),FALSE),0),0)))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Shifted'!$AE$32:$AO$75,MATCH($R230,'Futures &amp; Perps Shifted'!$AE$30:$AO$30,0),FALSE),0),0)))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Shifted'!$AE$32:$AO$75,MATCH($R231,'Futures &amp; Perps Shifted'!$AE$30:$AO$30,0),FALSE),0),0)))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Shifted'!$AE$32:$AO$75,MATCH($R232,'Futures &amp; Perps Shifted'!$AE$30:$AO$30,0),FALSE),0),0)))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Shifted'!$AE$32:$AO$75,MATCH($R233,'Futures &amp; Perps Shifted'!$AE$30:$AO$30,0),FALSE),0),0)))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Shifted'!$AE$32:$AO$75,MATCH($R234,'Futures &amp; Perps Shifted'!$AE$30:$AO$30,0),FALSE),0),0)))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Shifted'!$AE$32:$AO$75,MATCH($R235,'Futures &amp; Perps Shifted'!$AE$30:$AO$30,0),FALSE),0),0)))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Shifted'!$AE$32:$AO$75,MATCH($R236,'Futures &amp; Perps Shifted'!$AE$30:$AO$30,0),FALSE),0),0)))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Shifted'!$AE$32:$AO$75,MATCH($R237,'Futures &amp; Perps Shifted'!$AE$30:$AO$30,0),FALSE),0),0)))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Shifted'!$AE$32:$AO$75,MATCH($R238,'Futures &amp; Perps Shifted'!$AE$30:$AO$30,0),FALSE),0),0)))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Shifted'!$AE$32:$AO$75,MATCH($R239,'Futures &amp; Perps Shifted'!$AE$30:$AO$30,0),FALSE),0),0)))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Shifted'!$AE$32:$AO$75,MATCH($R240,'Futures &amp; Perps Shifted'!$AE$30:$AO$30,0),FALSE),0),0)))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Shifted'!$AE$32:$AO$75,MATCH($R241,'Futures &amp; Perps Shifted'!$AE$30:$AO$30,0),FALSE),0),0)))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Shifted'!$AE$32:$AO$75,MATCH($R242,'Futures &amp; Perps Shifted'!$AE$30:$AO$30,0),FALSE),0),0)))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Shifted'!$AE$32:$AO$75,MATCH($R243,'Futures &amp; Perps Shifted'!$AE$30:$AO$30,0),FALSE),0),0)))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Shifted'!$AE$32:$AO$75,MATCH($R244,'Futures &amp; Perps Shifted'!$AE$30:$AO$30,0),FALSE),0),0)))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Shifted'!$AE$32:$AO$75,MATCH($R245,'Futures &amp; Perps Shifted'!$AE$30:$AO$30,0),FALSE),0),0)))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Shifted'!$AE$32:$AO$75,MATCH($R246,'Futures &amp; Perps Shifted'!$AE$30:$AO$30,0),FALSE),0),0)))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Shifted'!$AE$32:$AO$75,MATCH($R247,'Futures &amp; Perps Shifted'!$AE$30:$AO$30,0),FALSE),0),0)))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Shifted'!$AE$32:$AO$75,MATCH($R248,'Futures &amp; Perps Shifted'!$AE$30:$AO$30,0),FALSE),0),0)))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Shifted'!$AE$32:$AO$75,MATCH($R249,'Futures &amp; Perps Shifted'!$AE$30:$AO$30,0),FALSE),0),0)))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Shifted'!$AE$32:$AO$75,MATCH($R250,'Futures &amp; Perps Shifted'!$AE$30:$AO$30,0),FALSE),0),0)))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Shifted'!$AE$32:$AO$75,MATCH($R251,'Futures &amp; Perps Shifted'!$AE$30:$AO$30,0),FALSE),0),0)))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Shifted'!$AE$32:$AO$75,MATCH($R252,'Futures &amp; Perps Shifted'!$AE$30:$AO$30,0),FALSE),0),0)))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Shifted'!$AE$32:$AO$75,MATCH($R253,'Futures &amp; Perps Shifted'!$AE$30:$AO$30,0),FALSE),0),0)))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Shifted'!$AE$32:$AO$75,MATCH($R254,'Futures &amp; Perps Shifted'!$AE$30:$AO$30,0),FALSE),0),0)))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Shifted'!$AE$32:$AO$75,MATCH($R255,'Futures &amp; Perps Shifted'!$AE$30:$AO$30,0),FALSE),0),0)))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Shifted'!$AE$32:$AO$75,MATCH($R256,'Futures &amp; Perps Shifted'!$AE$30:$AO$30,0),FALSE),0),0)))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Shifted'!$AE$32:$AO$75,MATCH($R257,'Futures &amp; Perps Shifted'!$AE$30:$AO$30,0),FALSE),0),0)))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Shifted'!$AE$32:$AO$75,MATCH($R258,'Futures &amp; Perps Shifted'!$AE$30:$AO$30,0),FALSE),0),0)))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Shifted'!$AE$32:$AO$75,MATCH($R259,'Futures &amp; Perps Shifted'!$AE$30:$AO$30,0),FALSE),0),0)))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Shifted'!$AE$32:$AO$75,MATCH($R260,'Futures &amp; Perps Shifted'!$AE$30:$AO$30,0),FALSE),0),0)))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Shifted'!$AE$32:$AO$75,MATCH($R261,'Futures &amp; Perps Shifted'!$AE$30:$AO$30,0),FALSE),0),0)))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Shifted'!$AE$32:$AO$75,MATCH($R262,'Futures &amp; Perps Shifted'!$AE$30:$AO$30,0),FALSE),0),0)))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Shifted'!$AE$32:$AO$75,MATCH($R263,'Futures &amp; Perps Shifted'!$AE$30:$AO$30,0),FALSE),0),0)))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Shifted'!$AE$32:$AO$75,MATCH($R264,'Futures &amp; Perps Shifted'!$AE$30:$AO$30,0),FALSE),0),0)))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Shifted'!$AE$32:$AO$75,MATCH($R265,'Futures &amp; Perps Shifted'!$AE$30:$AO$30,0),FALSE),0),0)))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Shifted'!$AE$32:$AO$75,MATCH($R266,'Futures &amp; Perps Shifted'!$AE$30:$AO$30,0),FALSE),0),0)))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Shifted'!$AE$32:$AO$75,MATCH($R267,'Futures &amp; Perps Shifted'!$AE$30:$AO$30,0),FALSE),0),0)))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Shifted'!$AE$32:$AO$75,MATCH($R268,'Futures &amp; Perps Shifted'!$AE$30:$AO$30,0),FALSE),0),0)))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Shifted'!$AE$32:$AO$75,MATCH($R269,'Futures &amp; Perps Shifted'!$AE$30:$AO$30,0),FALSE),0),0)))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Shifted'!$AE$32:$AO$75,MATCH($R270,'Futures &amp; Perps Shifted'!$AE$30:$AO$30,0),FALSE),0),0)))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Shifted'!$AE$32:$AO$75,MATCH($R271,'Futures &amp; Perps Shifted'!$AE$30:$AO$30,0),FALSE),0),0)))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Shifted'!$AE$32:$AO$75,MATCH($R272,'Futures &amp; Perps Shifted'!$AE$30:$AO$30,0),FALSE),0),0)))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Shifted'!$AE$32:$AO$75,MATCH($R273,'Futures &amp; Perps Shifted'!$AE$30:$AO$30,0),FALSE),0),0)))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Shifted'!$AE$32:$AO$75,MATCH($R274,'Futures &amp; Perps Shifted'!$AE$30:$AO$30,0),FALSE),0),0)))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Shifted'!$AE$32:$AO$75,MATCH($R275,'Futures &amp; Perps Shifted'!$AE$30:$AO$30,0),FALSE),0),0)))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Shifted'!$AE$32:$AO$75,MATCH($R276,'Futures &amp; Perps Shifted'!$AE$30:$AO$30,0),FALSE),0),0)))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Shifted'!$AE$32:$AO$75,MATCH($R277,'Futures &amp; Perps Shifted'!$AE$30:$AO$30,0),FALSE),0),0)))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Shifted'!$AE$32:$AO$75,MATCH($R278,'Futures &amp; Perps Shifted'!$AE$30:$AO$30,0),FALSE),0),0)))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Shifted'!$AE$32:$AO$75,MATCH($R279,'Futures &amp; Perps Shifted'!$AE$30:$AO$30,0),FALSE),0),0)))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Shifted'!$AE$32:$AO$75,MATCH($R280,'Futures &amp; Perps Shifted'!$AE$30:$AO$30,0),FALSE),0),0)))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Shifted'!$AE$32:$AO$75,MATCH($R281,'Futures &amp; Perps Shifted'!$AE$30:$AO$30,0),FALSE),0),0)))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Shifted'!$AE$32:$AO$75,MATCH($R282,'Futures &amp; Perps Shifted'!$AE$30:$AO$30,0),FALSE),0),0)))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Shifted'!$AE$32:$AO$75,MATCH($R283,'Futures &amp; Perps Shifted'!$AE$30:$AO$30,0),FALSE),0),0)))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Shifted'!$AE$32:$AO$75,MATCH($R284,'Futures &amp; Perps Shifted'!$AE$30:$AO$30,0),FALSE),0),0)))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Shifted'!$AE$32:$AO$75,MATCH($R285,'Futures &amp; Perps Shifted'!$AE$30:$AO$30,0),FALSE),0),0)))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Shifted'!$AE$32:$AO$75,MATCH($R286,'Futures &amp; Perps Shifted'!$AE$30:$AO$30,0),FALSE),0),0)))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Shifted'!$AE$32:$AO$75,MATCH($R287,'Futures &amp; Perps Shifted'!$AE$30:$AO$30,0),FALSE),0),0)))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Shifted'!$AE$32:$AO$75,MATCH($R288,'Futures &amp; Perps Shifted'!$AE$30:$AO$30,0),FALSE),0),0)))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Shifted'!$AE$32:$AO$75,MATCH($R289,'Futures &amp; Perps Shifted'!$AE$30:$AO$30,0),FALSE),0),0)))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Shifted'!$AE$32:$AO$75,MATCH($R290,'Futures &amp; Perps Shifted'!$AE$30:$AO$30,0),FALSE),0),0)))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Shifted'!$AE$32:$AO$75,MATCH($R291,'Futures &amp; Perps Shifted'!$AE$30:$AO$30,0),FALSE),0),0)))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Shifted'!$AE$32:$AO$75,MATCH($R292,'Futures &amp; Perps Shifted'!$AE$30:$AO$30,0),FALSE),0),0)))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Shifted'!$AE$32:$AO$75,MATCH($R293,'Futures &amp; Perps Shifted'!$AE$30:$AO$30,0),FALSE),0),0)))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Shifted'!$AE$32:$AO$75,MATCH($R294,'Futures &amp; Perps Shifted'!$AE$30:$AO$30,0),FALSE),0),0)))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Shifted'!$AE$32:$AO$75,MATCH($R295,'Futures &amp; Perps Shifted'!$AE$30:$AO$30,0),FALSE),0),0)))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Shifted'!$AE$32:$AO$75,MATCH($R296,'Futures &amp; Perps Shifted'!$AE$30:$AO$30,0),FALSE),0),0)))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Shifted'!$AE$32:$AO$75,MATCH($R297,'Futures &amp; Perps Shifted'!$AE$30:$AO$30,0),FALSE),0),0)))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Shifted'!$AE$32:$AO$75,MATCH($R298,'Futures &amp; Perps Shifted'!$AE$30:$AO$30,0),FALSE),0),0)))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Shifted'!$AE$32:$AO$75,MATCH($R299,'Futures &amp; Perps Shifted'!$AE$30:$AO$30,0),FALSE),0),0)))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Shifted'!$AE$32:$AO$75,MATCH($R300,'Futures &amp; Perps Shifted'!$AE$30:$AO$30,0),FALSE),0),0)))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Shifted'!$AE$32:$AO$75,MATCH($R301,'Futures &amp; Perps Shifted'!$AE$30:$AO$30,0),FALSE),0),0)))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Shifted'!$AE$32:$AO$75,MATCH($R302,'Futures &amp; Perps Shifted'!$AE$30:$AO$30,0),FALSE),0),0)))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Shifted'!$AE$32:$AO$75,MATCH($R303,'Futures &amp; Perps Shifted'!$AE$30:$AO$30,0),FALSE),0),0)))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Shifted'!$AE$32:$AO$75,MATCH($R304,'Futures &amp; Perps Shifted'!$AE$30:$AO$30,0),FALSE),0),0)))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Shifted'!$AE$32:$AO$75,MATCH($R305,'Futures &amp; Perps Shifted'!$AE$30:$AO$30,0),FALSE),0),0)))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Shifted'!$AE$32:$AO$75,MATCH($R306,'Futures &amp; Perps Shifted'!$AE$30:$AO$30,0),FALSE),0),0)))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Shifted'!$AE$32:$AO$75,MATCH($R307,'Futures &amp; Perps Shifted'!$AE$30:$AO$30,0),FALSE),0),0)))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Shifted'!$AE$32:$AO$75,MATCH($R308,'Futures &amp; Perps Shifted'!$AE$30:$AO$30,0),FALSE),0),0)))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Shifted'!$AE$32:$AO$75,MATCH($R309,'Futures &amp; Perps Shifted'!$AE$30:$AO$30,0),FALSE),0),0)))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Shifted'!$AE$32:$AO$75,MATCH($R310,'Futures &amp; Perps Shifted'!$AE$30:$AO$30,0),FALSE),0),0)))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Shifted'!$AE$32:$AO$75,MATCH($R311,'Futures &amp; Perps Shifted'!$AE$30:$AO$30,0),FALSE),0),0)))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Shifted'!$AE$32:$AO$75,MATCH($R312,'Futures &amp; Perps Shifted'!$AE$30:$AO$30,0),FALSE),0),0)))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Shifted'!$AE$32:$AO$75,MATCH($R313,'Futures &amp; Perps Shifted'!$AE$30:$AO$30,0),FALSE),0),0)))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Shifted'!$AE$32:$AO$75,MATCH($R314,'Futures &amp; Perps Shifted'!$AE$30:$AO$30,0),FALSE),0),0)))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Shifted'!$AE$32:$AO$75,MATCH($R315,'Futures &amp; Perps Shifted'!$AE$30:$AO$30,0),FALSE),0),0)))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Shifted'!$AE$32:$AO$75,MATCH($R316,'Futures &amp; Perps Shifted'!$AE$30:$AO$30,0),FALSE),0),0)))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Shifted'!$AE$32:$AO$75,MATCH($R317,'Futures &amp; Perps Shifted'!$AE$30:$AO$30,0),FALSE),0),0)))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Shifted'!$AE$32:$AO$75,MATCH($R318,'Futures &amp; Perps Shifted'!$AE$30:$AO$30,0),FALSE),0),0)))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Shifted'!$AE$32:$AO$75,MATCH($R319,'Futures &amp; Perps Shifted'!$AE$30:$AO$30,0),FALSE),0),0)))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Shifted'!$AE$32:$AO$75,MATCH($R320,'Futures &amp; Perps Shifted'!$AE$30:$AO$30,0),FALSE),0),0)))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Shifted'!$AE$32:$AO$75,MATCH($R321,'Futures &amp; Perps Shifted'!$AE$30:$AO$30,0),FALSE),0),0)))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Shifted'!$AE$32:$AO$75,MATCH($R322,'Futures &amp; Perps Shifted'!$AE$30:$AO$30,0),FALSE),0),0)))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Shifted'!$AE$32:$AO$75,MATCH($R323,'Futures &amp; Perps Shifted'!$AE$30:$AO$30,0),FALSE),0),0)))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Shifted'!$AE$32:$AO$75,MATCH($R324,'Futures &amp; Perps Shifted'!$AE$30:$AO$30,0),FALSE),0),0)))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Shifted'!$AE$32:$AO$75,MATCH($R325,'Futures &amp; Perps Shifted'!$AE$30:$AO$30,0),FALSE),0),0)))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Shifted'!$AE$32:$AO$75,MATCH($R326,'Futures &amp; Perps Shifted'!$AE$30:$AO$30,0),FALSE),0),0)))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Shifted'!$AE$32:$AO$75,MATCH($R327,'Futures &amp; Perps Shifted'!$AE$30:$AO$30,0),FALSE),0),0)))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Shifted'!$AE$32:$AO$75,MATCH($R328,'Futures &amp; Perps Shifted'!$AE$30:$AO$30,0),FALSE),0),0)))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Shifted'!$AE$32:$AO$75,MATCH($R329,'Futures &amp; Perps Shifted'!$AE$30:$AO$30,0),FALSE),0),0)))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Shifted'!$AE$32:$AO$75,MATCH($R330,'Futures &amp; Perps Shifted'!$AE$30:$AO$30,0),FALSE),0),0)))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Shifted'!$AE$32:$AO$75,MATCH($R331,'Futures &amp; Perps Shifted'!$AE$30:$AO$30,0),FALSE),0),0)))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Shifted'!$AE$32:$AO$75,MATCH($R332,'Futures &amp; Perps Shifted'!$AE$30:$AO$30,0),FALSE),0),0)))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Shifted'!$AE$32:$AO$75,MATCH($R333,'Futures &amp; Perps Shifted'!$AE$30:$AO$30,0),FALSE),0),0)))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Shifted'!$AE$32:$AO$75,MATCH($R334,'Futures &amp; Perps Shifted'!$AE$30:$AO$30,0),FALSE),0),0)))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Shifted'!$AE$32:$AO$75,MATCH($R335,'Futures &amp; Perps Shifted'!$AE$30:$AO$30,0),FALSE),0),0)))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Shifted'!$AE$32:$AO$75,MATCH($R336,'Futures &amp; Perps Shifted'!$AE$30:$AO$30,0),FALSE),0),0)))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Shifted'!$AE$32:$AO$75,MATCH($R337,'Futures &amp; Perps Shifted'!$AE$30:$AO$30,0),FALSE),0),0)))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Shifted'!$AE$32:$AO$75,MATCH($R338,'Futures &amp; Perps Shifted'!$AE$30:$AO$30,0),FALSE),0),0)))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Shifted'!$AE$32:$AO$75,MATCH($R339,'Futures &amp; Perps Shifted'!$AE$30:$AO$30,0),FALSE),0),0)))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Shifted'!$AE$32:$AO$75,MATCH($R340,'Futures &amp; Perps Shifted'!$AE$30:$AO$30,0),FALSE),0),0)))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Shifted'!$AE$32:$AO$75,MATCH($R341,'Futures &amp; Perps Shifted'!$AE$30:$AO$30,0),FALSE),0),0)))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Shifted'!$AE$32:$AO$75,MATCH($R342,'Futures &amp; Perps Shifted'!$AE$30:$AO$30,0),FALSE),0),0)))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Shifted'!$AE$32:$AO$75,MATCH($R343,'Futures &amp; Perps Shifted'!$AE$30:$AO$30,0),FALSE),0),0)))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Shifted'!$AE$32:$AO$75,MATCH($R344,'Futures &amp; Perps Shifted'!$AE$30:$AO$30,0),FALSE),0),0)))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Shifted'!$AE$32:$AO$75,MATCH($R345,'Futures &amp; Perps Shifted'!$AE$30:$AO$30,0),FALSE),0),0)))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Shifted'!$AE$32:$AO$75,MATCH($R346,'Futures &amp; Perps Shifted'!$AE$30:$AO$30,0),FALSE),0),0)))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Shifted'!$AE$32:$AO$75,MATCH($R347,'Futures &amp; Perps Shifted'!$AE$30:$AO$30,0),FALSE),0),0)))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Shifted'!$AE$32:$AO$75,MATCH($R348,'Futures &amp; Perps Shifted'!$AE$30:$AO$30,0),FALSE),0),0)))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Shifted'!$AE$32:$AO$75,MATCH($R349,'Futures &amp; Perps Shifted'!$AE$30:$AO$30,0),FALSE),0),0)))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Shifted'!$AE$32:$AO$75,MATCH($R350,'Futures &amp; Perps Shifted'!$AE$30:$AO$30,0),FALSE),0),0)))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Shifted'!$AE$32:$AO$75,MATCH($R351,'Futures &amp; Perps Shifted'!$AE$30:$AO$30,0),FALSE),0),0)))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Shifted'!$AE$32:$AO$75,MATCH($R352,'Futures &amp; Perps Shifted'!$AE$30:$AO$30,0),FALSE),0),0)))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Shifted'!$AE$32:$AO$75,MATCH($R353,'Futures &amp; Perps Shifted'!$AE$30:$AO$30,0),FALSE),0),0)))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Shifted'!$AE$32:$AO$75,MATCH($R354,'Futures &amp; Perps Shifted'!$AE$30:$AO$30,0),FALSE),0),0)))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Shifted'!$AE$32:$AO$75,MATCH($R355,'Futures &amp; Perps Shifted'!$AE$30:$AO$30,0),FALSE),0),0)))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Shifted'!$AE$32:$AO$75,MATCH($R356,'Futures &amp; Perps Shifted'!$AE$30:$AO$30,0),FALSE),0),0)))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Shifted'!$AE$32:$AO$75,MATCH($R357,'Futures &amp; Perps Shifted'!$AE$30:$AO$30,0),FALSE),0),0)))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Shifted'!$AE$32:$AO$75,MATCH($R358,'Futures &amp; Perps Shifted'!$AE$30:$AO$30,0),FALSE),0),0)))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Shifted'!$AE$32:$AO$75,MATCH($R359,'Futures &amp; Perps Shifted'!$AE$30:$AO$30,0),FALSE),0),0)))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Shifted'!$AE$32:$AO$75,MATCH($R360,'Futures &amp; Perps Shifted'!$AE$30:$AO$30,0),FALSE),0),0)))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Shifted'!$AE$32:$AO$75,MATCH($R361,'Futures &amp; Perps Shifted'!$AE$30:$AO$30,0),FALSE),0),0)))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Shifted'!$AE$32:$AO$75,MATCH($R362,'Futures &amp; Perps Shifted'!$AE$30:$AO$30,0),FALSE),0),0)))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Shifted'!$AE$32:$AO$75,MATCH($R363,'Futures &amp; Perps Shifted'!$AE$30:$AO$30,0),FALSE),0),0)))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Shifted'!$AE$32:$AO$75,MATCH($R364,'Futures &amp; Perps Shifted'!$AE$30:$AO$30,0),FALSE),0),0)))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Shifted'!$AE$32:$AO$75,MATCH($R365,'Futures &amp; Perps Shifted'!$AE$30:$AO$30,0),FALSE),0),0)))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Shifted'!$AE$32:$AO$75,MATCH($R366,'Futures &amp; Perps Shifted'!$AE$30:$AO$30,0),FALSE),0),0)))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Shifted'!$AE$32:$AO$75,MATCH($R367,'Futures &amp; Perps Shifted'!$AE$30:$AO$30,0),FALSE),0),0)))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Shifted'!$AE$32:$AO$75,MATCH($R368,'Futures &amp; Perps Shifted'!$AE$30:$AO$30,0),FALSE),0),0)))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Shifted'!$AE$32:$AO$75,MATCH($R369,'Futures &amp; Perps Shifted'!$AE$30:$AO$30,0),FALSE),0),0)))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Shifted'!$AE$32:$AO$75,MATCH($R370,'Futures &amp; Perps Shifted'!$AE$30:$AO$30,0),FALSE),0),0)))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Shifted'!$AE$32:$AO$75,MATCH($R371,'Futures &amp; Perps Shifted'!$AE$30:$AO$30,0),FALSE),0),0)))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Shifted'!$AE$32:$AO$75,MATCH($R372,'Futures &amp; Perps Shifted'!$AE$30:$AO$30,0),FALSE),0),0)))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Shifted'!$AE$32:$AO$75,MATCH($R373,'Futures &amp; Perps Shifted'!$AE$30:$AO$30,0),FALSE),0),0)))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Shifted'!$AE$32:$AO$75,MATCH($R374,'Futures &amp; Perps Shifted'!$AE$30:$AO$30,0),FALSE),0),0)))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Shifted'!$AE$32:$AO$75,MATCH($R375,'Futures &amp; Perps Shifted'!$AE$30:$AO$30,0),FALSE),0),0)))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Shifted'!$AE$32:$AO$75,MATCH($R376,'Futures &amp; Perps Shifted'!$AE$30:$AO$30,0),FALSE),0),0)))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Shifted'!$AE$32:$AO$75,MATCH($R377,'Futures &amp; Perps Shifted'!$AE$30:$AO$30,0),FALSE),0),0)))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Shifted'!$AE$32:$AO$75,MATCH($R378,'Futures &amp; Perps Shifted'!$AE$30:$AO$30,0),FALSE),0),0)))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Shifted'!$AE$32:$AO$75,MATCH($R379,'Futures &amp; Perps Shifted'!$AE$30:$AO$30,0),FALSE),0),0)))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Shifted'!$AE$32:$AO$75,MATCH($R380,'Futures &amp; Perps Shifted'!$AE$30:$AO$30,0),FALSE),0),0)))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Shifted'!$AE$32:$AO$75,MATCH($R381,'Futures &amp; Perps Shifted'!$AE$30:$AO$30,0),FALSE),0),0)))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Shifted'!$AE$32:$AO$75,MATCH($R382,'Futures &amp; Perps Shifted'!$AE$30:$AO$30,0),FALSE),0),0)))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Shifted'!$AE$32:$AO$75,MATCH($R383,'Futures &amp; Perps Shifted'!$AE$30:$AO$30,0),FALSE),0),0)))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Shifted'!$AE$32:$AO$75,MATCH($R384,'Futures &amp; Perps Shifted'!$AE$30:$AO$30,0),FALSE),0),0)))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Shifted'!$AE$32:$AO$75,MATCH($R385,'Futures &amp; Perps Shifted'!$AE$30:$AO$30,0),FALSE),0),0)))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Shifted'!$AE$32:$AO$75,MATCH($R386,'Futures &amp; Perps Shifted'!$AE$30:$AO$30,0),FALSE),0),0)))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Shifted'!$AE$32:$AO$75,MATCH($R387,'Futures &amp; Perps Shifted'!$AE$30:$AO$30,0),FALSE),0),0)))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Shifted'!$AE$32:$AO$75,MATCH($R388,'Futures &amp; Perps Shifted'!$AE$30:$AO$30,0),FALSE),0),0)))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Shifted'!$AE$32:$AO$75,MATCH($R389,'Futures &amp; Perps Shifted'!$AE$30:$AO$30,0),FALSE),0),0)))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Shifted'!$AE$32:$AO$75,MATCH($R390,'Futures &amp; Perps Shifted'!$AE$30:$AO$30,0),FALSE),0),0)))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Shifted'!$AE$32:$AO$75,MATCH($R391,'Futures &amp; Perps Shifted'!$AE$30:$AO$30,0),FALSE),0),0)))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Shifted'!$AE$32:$AO$75,MATCH($R392,'Futures &amp; Perps Shifted'!$AE$30:$AO$30,0),FALSE),0),0)))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Shifted'!$AE$32:$AO$75,MATCH($R393,'Futures &amp; Perps Shifted'!$AE$30:$AO$30,0),FALSE),0),0)))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Shifted'!$AE$32:$AO$75,MATCH($R394,'Futures &amp; Perps Shifted'!$AE$30:$AO$30,0),FALSE),0),0)))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Shifted'!$AE$32:$AO$75,MATCH($R395,'Futures &amp; Perps Shifted'!$AE$30:$AO$30,0),FALSE),0),0)))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Shifted'!$AE$32:$AO$75,MATCH($R396,'Futures &amp; Perps Shifted'!$AE$30:$AO$30,0),FALSE),0),0)))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Shifted'!$AE$32:$AO$75,MATCH($R397,'Futures &amp; Perps Shifted'!$AE$30:$AO$30,0),FALSE),0),0)))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Shifted'!$AE$32:$AO$75,MATCH($R398,'Futures &amp; Perps Shifted'!$AE$30:$AO$30,0),FALSE),0),0)))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Shifted'!$AE$32:$AO$75,MATCH($R399,'Futures &amp; Perps Shifted'!$AE$30:$AO$30,0),FALSE),0),0)))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Shifted'!$AE$32:$AO$75,MATCH($R400,'Futures &amp; Perps Shifted'!$AE$30:$AO$30,0),FALSE),0),0)))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Shifted'!$AE$32:$AO$75,MATCH($R401,'Futures &amp; Perps Shifted'!$AE$30:$AO$30,0),FALSE),0),0)))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Shifted'!$AE$32:$AO$75,MATCH($R402,'Futures &amp; Perps Shifted'!$AE$30:$AO$30,0),FALSE),0),0)))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Shifted'!$AE$32:$AO$75,MATCH($R403,'Futures &amp; Perps Shifted'!$AE$30:$AO$30,0),FALSE),0),0)))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Shifted'!$AE$32:$AO$75,MATCH($R404,'Futures &amp; Perps Shifted'!$AE$30:$AO$30,0),FALSE),0),0)))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Shifted'!$AE$32:$AO$75,MATCH($R405,'Futures &amp; Perps Shifted'!$AE$30:$AO$30,0),FALSE),0),0)))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Shifted'!$AE$32:$AO$75,MATCH($R406,'Futures &amp; Perps Shifted'!$AE$30:$AO$30,0),FALSE),0),0)))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Shifted'!$AE$32:$AO$75,MATCH($R407,'Futures &amp; Perps Shifted'!$AE$30:$AO$30,0),FALSE),0),0)))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Shifted'!$AE$32:$AO$75,MATCH($R408,'Futures &amp; Perps Shifted'!$AE$30:$AO$30,0),FALSE),0),0)))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Shifted'!$AE$32:$AO$75,MATCH($R409,'Futures &amp; Perps Shifted'!$AE$30:$AO$30,0),FALSE),0),0)))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Shifted'!$AE$32:$AO$75,MATCH($R410,'Futures &amp; Perps Shifted'!$AE$30:$AO$30,0),FALSE),0),0)))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Shifted'!$AE$32:$AO$75,MATCH($R411,'Futures &amp; Perps Shifted'!$AE$30:$AO$30,0),FALSE),0),0)))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Shifted'!$AE$32:$AO$75,MATCH($R412,'Futures &amp; Perps Shifted'!$AE$30:$AO$30,0),FALSE),0),0)))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Shifted'!$AE$32:$AO$75,MATCH($R413,'Futures &amp; Perps Shifted'!$AE$30:$AO$30,0),FALSE),0),0)))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Shifted'!$AE$32:$AO$75,MATCH($R414,'Futures &amp; Perps Shifted'!$AE$30:$AO$30,0),FALSE),0),0)))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Shifted'!$AE$32:$AO$75,MATCH($R415,'Futures &amp; Perps Shifted'!$AE$30:$AO$30,0),FALSE),0),0)))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Shifted'!$AE$32:$AO$75,MATCH($R416,'Futures &amp; Perps Shifted'!$AE$30:$AO$30,0),FALSE),0),0)))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Shifted'!$AE$32:$AO$75,MATCH($R417,'Futures &amp; Perps Shifted'!$AE$30:$AO$30,0),FALSE),0),0)))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Shifted'!$AE$32:$AO$75,MATCH($R418,'Futures &amp; Perps Shifted'!$AE$30:$AO$30,0),FALSE),0),0)))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Shifted'!$AE$32:$AO$75,MATCH($R419,'Futures &amp; Perps Shifted'!$AE$30:$AO$30,0),FALSE),0),0)))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Shifted'!$AE$32:$AO$75,MATCH($R420,'Futures &amp; Perps Shifted'!$AE$30:$AO$30,0),FALSE),0),0)))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Shifted'!$AE$32:$AO$75,MATCH($R421,'Futures &amp; Perps Shifted'!$AE$30:$AO$30,0),FALSE),0),0)))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Shifted'!$AE$32:$AO$75,MATCH($R422,'Futures &amp; Perps Shifted'!$AE$30:$AO$30,0),FALSE),0),0)))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Shifted'!$AE$32:$AO$75,MATCH($R423,'Futures &amp; Perps Shifted'!$AE$30:$AO$30,0),FALSE),0),0)))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Shifted'!$AE$32:$AO$75,MATCH($R424,'Futures &amp; Perps Shifted'!$AE$30:$AO$30,0),FALSE),0),0)))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Shifted'!$AE$32:$AO$75,MATCH($R425,'Futures &amp; Perps Shifted'!$AE$30:$AO$30,0),FALSE),0),0)))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Shifted'!$AE$32:$AO$75,MATCH($R426,'Futures &amp; Perps Shifted'!$AE$30:$AO$30,0),FALSE),0),0)))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Shifted'!$AE$32:$AO$75,MATCH($R427,'Futures &amp; Perps Shifted'!$AE$30:$AO$30,0),FALSE),0),0)))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Shifted'!$AE$32:$AO$75,MATCH($R428,'Futures &amp; Perps Shifted'!$AE$30:$AO$30,0),FALSE),0),0)))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Shifted'!$AE$32:$AO$75,MATCH($R429,'Futures &amp; Perps Shifted'!$AE$30:$AO$30,0),FALSE),0),0)))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Shifted'!$AE$32:$AO$75,MATCH($R430,'Futures &amp; Perps Shifted'!$AE$30:$AO$30,0),FALSE),0),0)))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Shifted'!$AE$32:$AO$75,MATCH($R431,'Futures &amp; Perps Shifted'!$AE$30:$AO$30,0),FALSE),0),0)))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Shifted'!$AE$32:$AO$75,MATCH($R432,'Futures &amp; Perps Shifted'!$AE$30:$AO$30,0),FALSE),0),0)))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Shifted'!$AE$32:$AO$75,MATCH($R433,'Futures &amp; Perps Shifted'!$AE$30:$AO$30,0),FALSE),0),0)))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Shifted'!$AE$32:$AO$75,MATCH($R434,'Futures &amp; Perps Shifted'!$AE$30:$AO$30,0),FALSE),0),0)))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Shifted'!$AE$32:$AO$75,MATCH($R435,'Futures &amp; Perps Shifted'!$AE$30:$AO$30,0),FALSE),0),0)))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Shifted'!$AE$32:$AO$75,MATCH($R436,'Futures &amp; Perps Shifted'!$AE$30:$AO$30,0),FALSE),0),0)))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Shifted'!$AE$32:$AO$75,MATCH($R437,'Futures &amp; Perps Shifted'!$AE$30:$AO$30,0),FALSE),0),0)))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Shifted'!$AE$32:$AO$75,MATCH($R438,'Futures &amp; Perps Shifted'!$AE$30:$AO$30,0),FALSE),0),0)))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Shifted'!$AE$32:$AO$75,MATCH($R439,'Futures &amp; Perps Shifted'!$AE$30:$AO$30,0),FALSE),0),0)))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Shifted'!$AE$32:$AO$75,MATCH($R440,'Futures &amp; Perps Shifted'!$AE$30:$AO$30,0),FALSE),0),0)))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Shifted'!$AE$32:$AO$75,MATCH($R441,'Futures &amp; Perps Shifted'!$AE$30:$AO$30,0),FALSE),0),0)))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Shifted'!$AE$32:$AO$75,MATCH($R442,'Futures &amp; Perps Shifted'!$AE$30:$AO$30,0),FALSE),0),0)))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Shifted'!$AE$32:$AO$75,MATCH($R443,'Futures &amp; Perps Shifted'!$AE$30:$AO$30,0),FALSE),0),0)))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Shifted'!$AE$32:$AO$75,MATCH($R444,'Futures &amp; Perps Shifted'!$AE$30:$AO$30,0),FALSE),0),0)))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Shifted'!$AE$32:$AO$75,MATCH($R445,'Futures &amp; Perps Shifted'!$AE$30:$AO$30,0),FALSE),0),0)))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Shifted'!$AE$32:$AO$75,MATCH($R446,'Futures &amp; Perps Shifted'!$AE$30:$AO$30,0),FALSE),0),0)))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Shifted'!$AE$32:$AO$75,MATCH($R447,'Futures &amp; Perps Shifted'!$AE$30:$AO$30,0),FALSE),0),0)))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Shifted'!$AE$32:$AO$75,MATCH($R448,'Futures &amp; Perps Shifted'!$AE$30:$AO$30,0),FALSE),0),0)))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Shifted'!$AE$32:$AO$75,MATCH($R449,'Futures &amp; Perps Shifted'!$AE$30:$AO$30,0),FALSE),0),0)))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Shifted'!$AE$32:$AO$75,MATCH($R450,'Futures &amp; Perps Shifted'!$AE$30:$AO$30,0),FALSE),0),0)))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Shifted'!$AE$32:$AO$75,MATCH($R451,'Futures &amp; Perps Shifted'!$AE$30:$AO$30,0),FALSE),0),0)))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Shifted'!$AE$32:$AO$75,MATCH($R452,'Futures &amp; Perps Shifted'!$AE$30:$AO$30,0),FALSE),0),0)))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Shifted'!$AE$32:$AO$75,MATCH($R453,'Futures &amp; Perps Shifted'!$AE$30:$AO$30,0),FALSE),0),0)))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Shifted'!$AE$32:$AO$75,MATCH($R454,'Futures &amp; Perps Shifted'!$AE$30:$AO$30,0),FALSE),0),0)))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Shifted'!$AE$32:$AO$75,MATCH($R455,'Futures &amp; Perps Shifted'!$AE$30:$AO$30,0),FALSE),0),0)))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Shifted'!$AE$32:$AO$75,MATCH($R456,'Futures &amp; Perps Shifted'!$AE$30:$AO$30,0),FALSE),0),0)))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Shifted'!$AE$32:$AO$75,MATCH($R457,'Futures &amp; Perps Shifted'!$AE$30:$AO$30,0),FALSE),0),0)))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Shifted'!$AE$32:$AO$75,MATCH($R458,'Futures &amp; Perps Shifted'!$AE$30:$AO$30,0),FALSE),0),0)))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Shifted'!$AE$32:$AO$75,MATCH($R459,'Futures &amp; Perps Shifted'!$AE$30:$AO$30,0),FALSE),0),0)))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Shifted'!$AE$32:$AO$75,MATCH($R460,'Futures &amp; Perps Shifted'!$AE$30:$AO$30,0),FALSE),0),0)))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Shifted'!$AE$32:$AO$75,MATCH($R461,'Futures &amp; Perps Shifted'!$AE$30:$AO$30,0),FALSE),0),0)))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Shifted'!$AE$32:$AO$75,MATCH($R462,'Futures &amp; Perps Shifted'!$AE$30:$AO$30,0),FALSE),0),0)))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Shifted'!$AE$32:$AO$75,MATCH($R463,'Futures &amp; Perps Shifted'!$AE$30:$AO$30,0),FALSE),0),0)))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Shifted'!$AE$32:$AO$75,MATCH($R464,'Futures &amp; Perps Shifted'!$AE$30:$AO$30,0),FALSE),0),0)))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Shifted'!$AE$32:$AO$75,MATCH($R465,'Futures &amp; Perps Shifted'!$AE$30:$AO$30,0),FALSE),0),0)))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Shifted'!$AE$32:$AO$75,MATCH($R466,'Futures &amp; Perps Shifted'!$AE$30:$AO$30,0),FALSE),0),0)))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Shifted'!$AE$32:$AO$75,MATCH($R467,'Futures &amp; Perps Shifted'!$AE$30:$AO$30,0),FALSE),0),0)))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Shifted'!$AE$32:$AO$75,MATCH($R468,'Futures &amp; Perps Shifted'!$AE$30:$AO$30,0),FALSE),0),0)))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Shifted'!$AE$32:$AO$75,MATCH($R469,'Futures &amp; Perps Shifted'!$AE$30:$AO$30,0),FALSE),0),0)))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Shifted'!$AE$32:$AO$75,MATCH($R470,'Futures &amp; Perps Shifted'!$AE$30:$AO$30,0),FALSE),0),0)))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Shifted'!$AE$32:$AO$75,MATCH($R471,'Futures &amp; Perps Shifted'!$AE$30:$AO$30,0),FALSE),0),0)))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Shifted'!$AE$32:$AO$75,MATCH($R472,'Futures &amp; Perps Shifted'!$AE$30:$AO$30,0),FALSE),0),0)))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Shifted'!$AE$32:$AO$75,MATCH($R473,'Futures &amp; Perps Shifted'!$AE$30:$AO$30,0),FALSE),0),0)))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Shifted'!$AE$32:$AO$75,MATCH($R474,'Futures &amp; Perps Shifted'!$AE$30:$AO$30,0),FALSE),0),0)))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Shifted'!$AE$32:$AO$75,MATCH($R475,'Futures &amp; Perps Shifted'!$AE$30:$AO$30,0),FALSE),0),0)))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Shifted'!$AE$32:$AO$75,MATCH($R476,'Futures &amp; Perps Shifted'!$AE$30:$AO$30,0),FALSE),0),0)))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Shifted'!$AE$32:$AO$75,MATCH($R477,'Futures &amp; Perps Shifted'!$AE$30:$AO$30,0),FALSE),0),0)))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Shifted'!$AE$32:$AO$75,MATCH($R478,'Futures &amp; Perps Shifted'!$AE$30:$AO$30,0),FALSE),0),0)))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Shifted'!$AE$32:$AO$75,MATCH($R479,'Futures &amp; Perps Shifted'!$AE$30:$AO$30,0),FALSE),0),0)))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Shifted'!$AE$32:$AO$75,MATCH($R480,'Futures &amp; Perps Shifted'!$AE$30:$AO$30,0),FALSE),0),0)))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Shifted'!$AE$32:$AO$75,MATCH($R481,'Futures &amp; Perps Shifted'!$AE$30:$AO$30,0),FALSE),0),0)))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Shifted'!$AE$32:$AO$75,MATCH($R482,'Futures &amp; Perps Shifted'!$AE$30:$AO$30,0),FALSE),0),0)))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Shifted'!$AE$32:$AO$75,MATCH($R483,'Futures &amp; Perps Shifted'!$AE$30:$AO$30,0),FALSE),0),0)))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Shifted'!$AE$32:$AO$75,MATCH($R484,'Futures &amp; Perps Shifted'!$AE$30:$AO$30,0),FALSE),0),0)))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Shifted'!$AE$32:$AO$75,MATCH($R485,'Futures &amp; Perps Shifted'!$AE$30:$AO$30,0),FALSE),0),0)))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Shifted'!$AE$32:$AO$75,MATCH($R486,'Futures &amp; Perps Shifted'!$AE$30:$AO$30,0),FALSE),0),0)))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Shifted'!$AE$32:$AO$75,MATCH($R487,'Futures &amp; Perps Shifted'!$AE$30:$AO$30,0),FALSE),0),0)))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Shifted'!$AE$32:$AO$75,MATCH($R488,'Futures &amp; Perps Shifted'!$AE$30:$AO$30,0),FALSE),0),0)))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Shifted'!$AE$32:$AO$75,MATCH($R489,'Futures &amp; Perps Shifted'!$AE$30:$AO$30,0),FALSE),0),0)))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Shifted'!$AE$32:$AO$75,MATCH($R490,'Futures &amp; Perps Shifted'!$AE$30:$AO$30,0),FALSE),0),0)))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Shifted'!$AE$32:$AO$75,MATCH($R491,'Futures &amp; Perps Shifted'!$AE$30:$AO$30,0),FALSE),0),0)))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Shifted'!$AE$32:$AO$75,MATCH($R492,'Futures &amp; Perps Shifted'!$AE$30:$AO$30,0),FALSE),0),0)))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Shifted'!$AE$32:$AO$75,MATCH($R493,'Futures &amp; Perps Shifted'!$AE$30:$AO$30,0),FALSE),0),0)))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Shifted'!$AE$32:$AO$75,MATCH($R494,'Futures &amp; Perps Shifted'!$AE$30:$AO$30,0),FALSE),0),0)))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Shifted'!$AE$32:$AO$75,MATCH($R495,'Futures &amp; Perps Shifted'!$AE$30:$AO$30,0),FALSE),0),0)))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Shifted'!$AE$32:$AO$75,MATCH($R496,'Futures &amp; Perps Shifted'!$AE$30:$AO$30,0),FALSE),0),0)))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Shifted'!$AE$32:$AO$75,MATCH($R497,'Futures &amp; Perps Shifted'!$AE$30:$AO$30,0),FALSE),0),0)))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Shifted'!$AE$32:$AO$75,MATCH($R498,'Futures &amp; Perps Shifted'!$AE$30:$AO$30,0),FALSE),0),0)))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Shifted'!$AE$32:$AO$75,MATCH($R499,'Futures &amp; Perps Shifted'!$AE$30:$AO$30,0),FALSE),0),0)))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Shifted'!$AE$32:$AO$75,MATCH($R500,'Futures &amp; Perps Shifted'!$AE$30:$AO$30,0),FALSE),0),0)))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Shifted'!$AE$32:$AO$75,MATCH($R501,'Futures &amp; Perps Shifted'!$AE$30:$AO$30,0),FALSE),0),0)))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Shifted'!$AE$32:$AO$75,MATCH($R502,'Futures &amp; Perps Shifted'!$AE$30:$AO$30,0),FALSE),0),0)))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Shifted'!$AE$32:$AO$75,MATCH($R503,'Futures &amp; Perps Shifted'!$AE$30:$AO$30,0),FALSE),0),0)))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Shifted'!$AE$32:$AO$75,MATCH($R504,'Futures &amp; Perps Shifted'!$AE$30:$AO$30,0),FALSE),0),0)))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Shifted'!$AE$32:$AO$75,MATCH($R505,'Futures &amp; Perps Shifted'!$AE$30:$AO$30,0),FALSE),0),0)))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Shifted'!$AE$32:$AO$75,MATCH($R506,'Futures &amp; Perps Shifted'!$AE$30:$AO$30,0),FALSE),0),0)))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Shifted'!$AE$32:$AO$75,MATCH($R507,'Futures &amp; Perps Shifted'!$AE$30:$AO$30,0),FALSE),0),0)))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Shifted'!$AE$32:$AO$75,MATCH($R508,'Futures &amp; Perps Shifted'!$AE$30:$AO$30,0),FALSE),0),0)))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Shifted'!$AE$32:$AO$75,MATCH($R509,'Futures &amp; Perps Shifted'!$AE$30:$AO$30,0),FALSE),0),0)))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Shifted'!$AE$32:$AO$75,MATCH($R510,'Futures &amp; Perps Shifted'!$AE$30:$AO$30,0),FALSE),0),0)))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Shifted'!$AE$32:$AO$75,MATCH($R511,'Futures &amp; Perps Shifted'!$AE$30:$AO$30,0),FALSE),0),0)))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Shifted'!$AE$32:$AO$75,MATCH($R512,'Futures &amp; Perps Shifted'!$AE$30:$AO$30,0),FALSE),0),0)))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Shifted'!$AE$32:$AO$75,MATCH($R513,'Futures &amp; Perps Shifted'!$AE$30:$AO$30,0),FALSE),0),0)))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Shifted'!$AE$32:$AO$75,MATCH($R514,'Futures &amp; Perps Shifted'!$AE$30:$AO$30,0),FALSE),0),0)))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Shifted'!$AE$32:$AO$75,MATCH($R515,'Futures &amp; Perps Shifted'!$AE$30:$AO$30,0),FALSE),0),0)))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Shifted'!$AE$32:$AO$75,MATCH($R516,'Futures &amp; Perps Shifted'!$AE$30:$AO$30,0),FALSE),0),0)))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Shifted'!$AE$32:$AO$75,MATCH($R517,'Futures &amp; Perps Shifted'!$AE$30:$AO$30,0),FALSE),0),0)))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Shifted'!$AE$32:$AO$75,MATCH($R518,'Futures &amp; Perps Shifted'!$AE$30:$AO$30,0),FALSE),0),0)))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Shifted'!$AE$32:$AO$75,MATCH($R519,'Futures &amp; Perps Shifted'!$AE$30:$AO$30,0),FALSE),0),0)))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Shifted'!$AE$32:$AO$75,MATCH($R520,'Futures &amp; Perps Shifted'!$AE$30:$AO$30,0),FALSE),0),0)))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Shifted'!$AE$32:$AO$75,MATCH($R521,'Futures &amp; Perps Shifted'!$AE$30:$AO$30,0),FALSE),0),0)))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Shifted'!$AE$32:$AO$75,MATCH($R522,'Futures &amp; Perps Shifted'!$AE$30:$AO$30,0),FALSE),0),0)))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Shifted'!$AE$32:$AO$75,MATCH($R523,'Futures &amp; Perps Shifted'!$AE$30:$AO$30,0),FALSE),0),0)))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Shifted'!$AE$32:$AO$75,MATCH($R524,'Futures &amp; Perps Shifted'!$AE$30:$AO$30,0),FALSE),0),0)))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Shifted'!$AE$32:$AO$75,MATCH($R525,'Futures &amp; Perps Shifted'!$AE$30:$AO$30,0),FALSE),0),0)))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Shifted'!$AE$32:$AO$75,MATCH($R526,'Futures &amp; Perps Shifted'!$AE$30:$AO$30,0),FALSE),0),0)))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Shifted'!$AE$32:$AO$75,MATCH($R527,'Futures &amp; Perps Shifted'!$AE$30:$AO$30,0),FALSE),0),0)))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Shifted'!$AE$32:$AO$75,MATCH($R528,'Futures &amp; Perps Shifted'!$AE$30:$AO$30,0),FALSE),0),0)))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Shifted'!$AE$32:$AO$75,MATCH($R529,'Futures &amp; Perps Shifted'!$AE$30:$AO$30,0),FALSE),0),0)))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Shifted'!$AE$32:$AO$75,MATCH($R530,'Futures &amp; Perps Shifted'!$AE$30:$AO$30,0),FALSE),0),0)))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Shifted'!$AE$32:$AO$75,MATCH($R531,'Futures &amp; Perps Shifted'!$AE$30:$AO$30,0),FALSE),0),0)))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Shifted'!$AE$32:$AO$75,MATCH($R532,'Futures &amp; Perps Shifted'!$AE$30:$AO$30,0),FALSE),0),0)))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Shifted'!$AE$32:$AO$75,MATCH($R533,'Futures &amp; Perps Shifted'!$AE$30:$AO$30,0),FALSE),0),0)))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Shifted'!$AE$32:$AO$75,MATCH($R534,'Futures &amp; Perps Shifted'!$AE$30:$AO$30,0),FALSE),0),0)))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Shifted'!$AE$32:$AO$75,MATCH($R535,'Futures &amp; Perps Shifted'!$AE$30:$AO$30,0),FALSE),0),0)))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Shifted'!$AE$32:$AO$75,MATCH($R536,'Futures &amp; Perps Shifted'!$AE$30:$AO$30,0),FALSE),0),0)))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Shifted'!$AE$32:$AO$75,MATCH($R537,'Futures &amp; Perps Shifted'!$AE$30:$AO$30,0),FALSE),0),0)))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Shifted'!$AE$32:$AO$75,MATCH($R538,'Futures &amp; Perps Shifted'!$AE$30:$AO$30,0),FALSE),0),0)))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Shifted'!$AE$32:$AO$75,MATCH($R539,'Futures &amp; Perps Shifted'!$AE$30:$AO$30,0),FALSE),0),0)))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Shifted'!$AE$32:$AO$75,MATCH($R540,'Futures &amp; Perps Shifted'!$AE$30:$AO$30,0),FALSE),0),0)))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Shifted'!$AE$32:$AO$75,MATCH($R541,'Futures &amp; Perps Shifted'!$AE$30:$AO$30,0),FALSE),0),0)))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Shifted'!$AE$32:$AO$75,MATCH($R542,'Futures &amp; Perps Shifted'!$AE$30:$AO$30,0),FALSE),0),0)))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Shifted'!$AE$32:$AO$75,MATCH($R543,'Futures &amp; Perps Shifted'!$AE$30:$AO$30,0),FALSE),0),0)))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Shifted'!$AE$32:$AO$75,MATCH($R544,'Futures &amp; Perps Shifted'!$AE$30:$AO$30,0),FALSE),0),0)))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Shifted'!$AE$32:$AO$75,MATCH($R545,'Futures &amp; Perps Shifted'!$AE$30:$AO$30,0),FALSE),0),0)))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Shifted'!$AE$32:$AO$75,MATCH($R546,'Futures &amp; Perps Shifted'!$AE$30:$AO$30,0),FALSE),0),0)))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Shifted'!$AE$32:$AO$75,MATCH($R547,'Futures &amp; Perps Shifted'!$AE$30:$AO$30,0),FALSE),0),0)))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Shifted'!$AE$32:$AO$75,MATCH($R548,'Futures &amp; Perps Shifted'!$AE$30:$AO$30,0),FALSE),0),0)))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Shifted'!$AE$32:$AO$75,MATCH($R549,'Futures &amp; Perps Shifted'!$AE$30:$AO$30,0),FALSE),0),0)))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Shifted'!$AE$32:$AO$75,MATCH($R550,'Futures &amp; Perps Shifted'!$AE$30:$AO$30,0),FALSE),0),0)))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Shifted'!$AE$32:$AO$75,MATCH($R551,'Futures &amp; Perps Shifted'!$AE$30:$AO$30,0),FALSE),0),0)))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Shifted'!$AE$32:$AO$75,MATCH($R552,'Futures &amp; Perps Shifted'!$AE$30:$AO$30,0),FALSE),0),0)))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Shifted'!$AE$32:$AO$75,MATCH($R553,'Futures &amp; Perps Shifted'!$AE$30:$AO$30,0),FALSE),0),0)))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Shifted'!$AE$32:$AO$75,MATCH($R554,'Futures &amp; Perps Shifted'!$AE$30:$AO$30,0),FALSE),0),0)))</f>
        <v/>
      </c>
    </row>
  </sheetData>
  <autoFilter ref="A1:Z123" xr:uid="{A4F1DDC5-7D07-4F43-8FDC-F8BB31AED075}"/>
  <phoneticPr fontId="19" type="noConversion"/>
  <conditionalFormatting sqref="F74:F1048576">
    <cfRule type="cellIs" dxfId="14" priority="12" operator="lessThan">
      <formula>0</formula>
    </cfRule>
  </conditionalFormatting>
  <conditionalFormatting sqref="AQ2:AT1048576">
    <cfRule type="cellIs" dxfId="13" priority="8" operator="lessThan">
      <formula>0</formula>
    </cfRule>
  </conditionalFormatting>
  <conditionalFormatting sqref="F66:F73 F56:F63 F2:F54">
    <cfRule type="cellIs" dxfId="12" priority="7" operator="lessThan">
      <formula>0</formula>
    </cfRule>
  </conditionalFormatting>
  <conditionalFormatting sqref="F64:F65">
    <cfRule type="cellIs" dxfId="11" priority="2" operator="lessThan">
      <formula>0</formula>
    </cfRule>
  </conditionalFormatting>
  <conditionalFormatting sqref="F55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JK748"/>
  <sheetViews>
    <sheetView topLeftCell="D1" zoomScale="87" zoomScaleNormal="87" workbookViewId="0">
      <selection activeCell="W3" sqref="W3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70.42578125" bestFit="1" customWidth="1"/>
    <col min="4" max="4" width="13.7109375" bestFit="1" customWidth="1"/>
    <col min="5" max="5" width="19.5703125" style="53" bestFit="1" customWidth="1"/>
    <col min="6" max="7" width="19" style="53" bestFit="1" customWidth="1"/>
    <col min="8" max="8" width="12.7109375" customWidth="1"/>
    <col min="9" max="9" width="22" bestFit="1" customWidth="1"/>
    <col min="11" max="11" width="1.7109375" customWidth="1"/>
    <col min="12" max="12" width="19.7109375" customWidth="1"/>
    <col min="13" max="13" width="52.42578125" bestFit="1" customWidth="1"/>
    <col min="14" max="14" width="20.28515625" customWidth="1"/>
    <col min="15" max="15" width="19.28515625" bestFit="1" customWidth="1"/>
    <col min="16" max="16" width="24.5703125" bestFit="1" customWidth="1"/>
    <col min="17" max="17" width="13" bestFit="1" customWidth="1"/>
    <col min="18" max="18" width="21.140625" style="43" bestFit="1" customWidth="1"/>
    <col min="19" max="19" width="31.7109375" bestFit="1" customWidth="1"/>
    <col min="20" max="20" width="3.28515625" bestFit="1" customWidth="1"/>
    <col min="23" max="23" width="13" bestFit="1" customWidth="1"/>
    <col min="24" max="24" width="21" customWidth="1"/>
    <col min="25" max="25" width="21.7109375" style="53" bestFit="1" customWidth="1"/>
    <col min="26" max="26" width="20.28515625" bestFit="1" customWidth="1"/>
    <col min="28" max="28" width="49.85546875" bestFit="1" customWidth="1"/>
    <col min="29" max="29" width="16.140625" style="1" bestFit="1" customWidth="1"/>
    <col min="30" max="30" width="18.7109375" style="1" bestFit="1" customWidth="1"/>
    <col min="31" max="31" width="5.5703125" bestFit="1" customWidth="1"/>
    <col min="32" max="33" width="14.28515625" bestFit="1" customWidth="1"/>
    <col min="34" max="34" width="14.85546875" bestFit="1" customWidth="1"/>
    <col min="35" max="35" width="10.7109375" bestFit="1" customWidth="1"/>
    <col min="49" max="49" width="28.42578125" bestFit="1" customWidth="1"/>
  </cols>
  <sheetData>
    <row r="1" spans="1:271" s="10" customFormat="1" x14ac:dyDescent="0.25">
      <c r="A1" s="10" t="s">
        <v>85</v>
      </c>
      <c r="B1" s="10" t="s">
        <v>74</v>
      </c>
      <c r="C1" s="10" t="s">
        <v>77</v>
      </c>
      <c r="D1" s="10" t="s">
        <v>76</v>
      </c>
      <c r="E1" s="55" t="s">
        <v>75</v>
      </c>
      <c r="F1" s="55" t="s">
        <v>424</v>
      </c>
      <c r="G1" s="55" t="s">
        <v>434</v>
      </c>
      <c r="L1" s="10" t="s">
        <v>443</v>
      </c>
      <c r="N1" s="10" t="s">
        <v>331</v>
      </c>
      <c r="O1" s="10" t="s">
        <v>219</v>
      </c>
      <c r="P1" s="10" t="s">
        <v>74</v>
      </c>
      <c r="Q1" s="10" t="s">
        <v>76</v>
      </c>
      <c r="R1" s="56" t="s">
        <v>332</v>
      </c>
      <c r="S1" s="10" t="s">
        <v>415</v>
      </c>
      <c r="T1" s="10" t="s">
        <v>416</v>
      </c>
      <c r="W1" s="10" t="s">
        <v>85</v>
      </c>
      <c r="X1" s="10" t="s">
        <v>77</v>
      </c>
      <c r="Y1" s="55" t="s">
        <v>434</v>
      </c>
      <c r="Z1" s="10" t="s">
        <v>433</v>
      </c>
      <c r="AB1" s="10" t="s">
        <v>60</v>
      </c>
      <c r="AC1" s="57" t="s">
        <v>435</v>
      </c>
      <c r="AD1" s="57" t="s">
        <v>436</v>
      </c>
      <c r="AS1" s="64" t="s">
        <v>502</v>
      </c>
      <c r="AW1" s="10" t="s">
        <v>542</v>
      </c>
      <c r="AX1" s="10" t="s">
        <v>15</v>
      </c>
      <c r="AY1" s="10" t="s">
        <v>25</v>
      </c>
      <c r="AZ1" s="10" t="s">
        <v>193</v>
      </c>
      <c r="BA1" s="10" t="s">
        <v>135</v>
      </c>
      <c r="BB1" s="10" t="s">
        <v>543</v>
      </c>
      <c r="BC1" s="10" t="s">
        <v>166</v>
      </c>
      <c r="BD1" s="10" t="s">
        <v>102</v>
      </c>
      <c r="BE1" s="10" t="s">
        <v>544</v>
      </c>
      <c r="BF1" s="10" t="s">
        <v>545</v>
      </c>
      <c r="BG1" s="10" t="s">
        <v>546</v>
      </c>
      <c r="BH1" s="10" t="s">
        <v>16</v>
      </c>
      <c r="BI1" s="10" t="s">
        <v>547</v>
      </c>
      <c r="BJ1" s="10" t="s">
        <v>548</v>
      </c>
      <c r="BK1" s="10" t="s">
        <v>549</v>
      </c>
      <c r="BL1" s="10" t="s">
        <v>550</v>
      </c>
      <c r="BM1" s="10" t="s">
        <v>30</v>
      </c>
      <c r="BN1" s="10" t="s">
        <v>551</v>
      </c>
      <c r="BO1" s="10" t="s">
        <v>168</v>
      </c>
      <c r="BP1" s="10" t="s">
        <v>552</v>
      </c>
      <c r="BQ1" s="10" t="s">
        <v>553</v>
      </c>
      <c r="BR1" s="10" t="s">
        <v>554</v>
      </c>
      <c r="BS1" s="10" t="s">
        <v>555</v>
      </c>
      <c r="BT1" s="10" t="s">
        <v>556</v>
      </c>
      <c r="BU1" s="10" t="s">
        <v>167</v>
      </c>
      <c r="BV1" s="10" t="s">
        <v>24</v>
      </c>
      <c r="BW1" s="10" t="s">
        <v>90</v>
      </c>
      <c r="BX1" s="10" t="s">
        <v>153</v>
      </c>
      <c r="BY1" s="10" t="s">
        <v>149</v>
      </c>
      <c r="BZ1" s="10" t="s">
        <v>21</v>
      </c>
      <c r="CA1" s="10" t="s">
        <v>155</v>
      </c>
      <c r="CB1" s="10" t="s">
        <v>557</v>
      </c>
      <c r="CC1" s="10" t="s">
        <v>195</v>
      </c>
      <c r="CD1" s="10" t="s">
        <v>558</v>
      </c>
      <c r="CE1" s="10" t="s">
        <v>559</v>
      </c>
      <c r="CF1" s="10" t="s">
        <v>560</v>
      </c>
      <c r="CG1" s="10" t="s">
        <v>561</v>
      </c>
      <c r="CH1" s="10" t="s">
        <v>28</v>
      </c>
      <c r="CI1" s="10" t="s">
        <v>127</v>
      </c>
      <c r="CJ1" s="10" t="s">
        <v>26</v>
      </c>
      <c r="CK1" s="10" t="s">
        <v>159</v>
      </c>
      <c r="CL1" s="10" t="s">
        <v>562</v>
      </c>
      <c r="CM1" s="10" t="s">
        <v>563</v>
      </c>
      <c r="CN1" s="10" t="s">
        <v>564</v>
      </c>
      <c r="CO1" s="10" t="s">
        <v>29</v>
      </c>
      <c r="CP1" s="10" t="s">
        <v>565</v>
      </c>
      <c r="CQ1" s="10" t="s">
        <v>87</v>
      </c>
      <c r="CR1" s="10" t="s">
        <v>566</v>
      </c>
      <c r="CS1" s="10" t="s">
        <v>567</v>
      </c>
      <c r="CT1" s="10" t="s">
        <v>568</v>
      </c>
      <c r="CU1" s="10" t="s">
        <v>142</v>
      </c>
      <c r="CV1" s="10" t="s">
        <v>569</v>
      </c>
      <c r="CW1" s="10" t="s">
        <v>27</v>
      </c>
      <c r="CX1" s="10" t="s">
        <v>570</v>
      </c>
      <c r="CY1" s="10" t="s">
        <v>571</v>
      </c>
      <c r="CZ1" s="10" t="s">
        <v>572</v>
      </c>
      <c r="DA1" s="10" t="s">
        <v>573</v>
      </c>
      <c r="DB1" s="10" t="s">
        <v>574</v>
      </c>
      <c r="DC1" s="10" t="s">
        <v>575</v>
      </c>
      <c r="DD1" s="10" t="s">
        <v>576</v>
      </c>
      <c r="DE1" s="10" t="s">
        <v>577</v>
      </c>
      <c r="DF1" s="10" t="s">
        <v>578</v>
      </c>
      <c r="DG1" s="10" t="s">
        <v>579</v>
      </c>
      <c r="DH1" s="10" t="s">
        <v>199</v>
      </c>
      <c r="DI1" s="10" t="s">
        <v>580</v>
      </c>
      <c r="DJ1" s="10" t="s">
        <v>116</v>
      </c>
      <c r="DK1" s="10" t="s">
        <v>581</v>
      </c>
      <c r="DL1" s="10" t="s">
        <v>582</v>
      </c>
      <c r="DM1" s="10" t="s">
        <v>583</v>
      </c>
      <c r="DN1" s="10" t="s">
        <v>140</v>
      </c>
      <c r="DO1" s="10" t="s">
        <v>584</v>
      </c>
      <c r="DP1" s="10" t="s">
        <v>585</v>
      </c>
      <c r="DQ1" s="10" t="s">
        <v>134</v>
      </c>
      <c r="DR1" s="10" t="s">
        <v>586</v>
      </c>
      <c r="DS1" s="10" t="s">
        <v>587</v>
      </c>
      <c r="DT1" s="10" t="s">
        <v>36</v>
      </c>
      <c r="DU1" s="10" t="s">
        <v>196</v>
      </c>
      <c r="DV1" s="10" t="s">
        <v>588</v>
      </c>
      <c r="DW1" s="10" t="s">
        <v>589</v>
      </c>
      <c r="DX1" s="10" t="s">
        <v>590</v>
      </c>
      <c r="DY1" s="10" t="s">
        <v>591</v>
      </c>
      <c r="DZ1" s="10" t="s">
        <v>194</v>
      </c>
      <c r="EA1" s="10" t="s">
        <v>125</v>
      </c>
      <c r="EB1" s="10" t="s">
        <v>145</v>
      </c>
      <c r="EC1" s="10" t="s">
        <v>592</v>
      </c>
      <c r="ED1" s="10" t="s">
        <v>593</v>
      </c>
      <c r="EE1" s="10" t="s">
        <v>594</v>
      </c>
      <c r="EF1" s="10" t="s">
        <v>595</v>
      </c>
      <c r="EG1" s="10" t="s">
        <v>112</v>
      </c>
      <c r="EH1" s="10" t="s">
        <v>596</v>
      </c>
      <c r="EI1" s="10" t="s">
        <v>138</v>
      </c>
      <c r="EJ1" s="10" t="s">
        <v>597</v>
      </c>
      <c r="EK1" s="10" t="s">
        <v>598</v>
      </c>
      <c r="EL1" s="10" t="s">
        <v>132</v>
      </c>
      <c r="EM1" s="10" t="s">
        <v>92</v>
      </c>
      <c r="EN1" s="10" t="s">
        <v>599</v>
      </c>
      <c r="EO1" s="10" t="s">
        <v>600</v>
      </c>
      <c r="EP1" s="10" t="s">
        <v>601</v>
      </c>
      <c r="EQ1" s="10" t="s">
        <v>602</v>
      </c>
      <c r="ER1" s="10" t="s">
        <v>603</v>
      </c>
      <c r="ES1" s="10" t="s">
        <v>604</v>
      </c>
      <c r="ET1" s="10" t="s">
        <v>605</v>
      </c>
      <c r="EU1" s="10" t="s">
        <v>606</v>
      </c>
      <c r="EV1" s="10" t="s">
        <v>157</v>
      </c>
      <c r="EW1" s="10" t="s">
        <v>607</v>
      </c>
      <c r="EX1" s="10" t="s">
        <v>608</v>
      </c>
      <c r="EY1" s="10" t="s">
        <v>609</v>
      </c>
      <c r="EZ1" s="10" t="s">
        <v>610</v>
      </c>
      <c r="FA1" s="10" t="s">
        <v>611</v>
      </c>
      <c r="FB1" s="10" t="s">
        <v>44</v>
      </c>
      <c r="FC1" s="10" t="s">
        <v>32</v>
      </c>
      <c r="FD1" s="10" t="s">
        <v>314</v>
      </c>
      <c r="FE1" s="10" t="s">
        <v>174</v>
      </c>
      <c r="FF1" s="10" t="s">
        <v>612</v>
      </c>
      <c r="FG1" s="10" t="s">
        <v>113</v>
      </c>
      <c r="FH1" s="10" t="s">
        <v>144</v>
      </c>
      <c r="FI1" s="10" t="s">
        <v>137</v>
      </c>
      <c r="FJ1" s="10" t="s">
        <v>191</v>
      </c>
      <c r="FK1" s="10" t="s">
        <v>23</v>
      </c>
      <c r="FL1" s="10" t="s">
        <v>613</v>
      </c>
      <c r="FM1" s="10" t="s">
        <v>614</v>
      </c>
      <c r="FN1" s="10" t="s">
        <v>615</v>
      </c>
      <c r="FO1" s="10" t="s">
        <v>616</v>
      </c>
      <c r="FP1" s="10" t="s">
        <v>617</v>
      </c>
      <c r="FQ1" s="10" t="s">
        <v>618</v>
      </c>
      <c r="FR1" s="10" t="s">
        <v>619</v>
      </c>
      <c r="FS1" s="10" t="s">
        <v>162</v>
      </c>
      <c r="FT1" s="10" t="s">
        <v>620</v>
      </c>
      <c r="FU1" s="10" t="s">
        <v>190</v>
      </c>
      <c r="FV1" s="10" t="s">
        <v>621</v>
      </c>
      <c r="FW1" s="10" t="s">
        <v>622</v>
      </c>
      <c r="FX1" s="10" t="s">
        <v>119</v>
      </c>
      <c r="FY1" s="10" t="s">
        <v>623</v>
      </c>
      <c r="FZ1" s="10" t="s">
        <v>31</v>
      </c>
      <c r="GA1" s="10" t="s">
        <v>624</v>
      </c>
      <c r="GB1" s="10" t="s">
        <v>625</v>
      </c>
      <c r="GC1" s="10" t="s">
        <v>626</v>
      </c>
      <c r="GD1" s="10" t="s">
        <v>20</v>
      </c>
      <c r="GE1" s="10" t="s">
        <v>188</v>
      </c>
      <c r="GF1" s="10" t="s">
        <v>627</v>
      </c>
      <c r="GG1" s="10" t="s">
        <v>628</v>
      </c>
      <c r="GH1" s="10" t="s">
        <v>298</v>
      </c>
      <c r="GI1" s="10" t="s">
        <v>629</v>
      </c>
      <c r="GJ1" s="10" t="s">
        <v>120</v>
      </c>
      <c r="GK1" s="10" t="s">
        <v>630</v>
      </c>
      <c r="GL1" s="10" t="s">
        <v>631</v>
      </c>
      <c r="GM1" s="10" t="s">
        <v>632</v>
      </c>
      <c r="GN1" s="10" t="s">
        <v>633</v>
      </c>
      <c r="GO1" s="10" t="s">
        <v>634</v>
      </c>
      <c r="GP1" s="10" t="s">
        <v>635</v>
      </c>
      <c r="GQ1" s="10" t="s">
        <v>636</v>
      </c>
      <c r="GR1" s="10" t="s">
        <v>637</v>
      </c>
      <c r="GS1" s="10" t="s">
        <v>638</v>
      </c>
      <c r="GT1" s="10" t="s">
        <v>639</v>
      </c>
      <c r="GU1" s="10" t="s">
        <v>640</v>
      </c>
      <c r="GV1" s="10" t="s">
        <v>641</v>
      </c>
      <c r="GW1" s="10" t="s">
        <v>642</v>
      </c>
      <c r="GX1" s="10" t="s">
        <v>643</v>
      </c>
      <c r="GY1" s="10" t="s">
        <v>644</v>
      </c>
      <c r="GZ1" s="10" t="s">
        <v>645</v>
      </c>
      <c r="HA1" s="10" t="s">
        <v>646</v>
      </c>
      <c r="HB1" s="10" t="s">
        <v>647</v>
      </c>
      <c r="HC1" s="10" t="s">
        <v>58</v>
      </c>
      <c r="HD1" s="10" t="s">
        <v>648</v>
      </c>
      <c r="HE1" s="10" t="s">
        <v>649</v>
      </c>
      <c r="HF1" s="10" t="s">
        <v>38</v>
      </c>
      <c r="HG1" s="10" t="s">
        <v>650</v>
      </c>
      <c r="HH1" s="10" t="s">
        <v>651</v>
      </c>
      <c r="HI1" s="10" t="s">
        <v>151</v>
      </c>
      <c r="HJ1" s="10" t="s">
        <v>192</v>
      </c>
      <c r="HK1" s="10" t="s">
        <v>652</v>
      </c>
      <c r="HL1" s="10" t="s">
        <v>165</v>
      </c>
      <c r="HM1" s="10" t="s">
        <v>653</v>
      </c>
      <c r="HN1" s="10" t="s">
        <v>654</v>
      </c>
      <c r="HO1" s="10" t="s">
        <v>655</v>
      </c>
      <c r="HP1" s="10" t="s">
        <v>656</v>
      </c>
      <c r="HQ1" s="10" t="s">
        <v>657</v>
      </c>
      <c r="HR1" s="10" t="s">
        <v>33</v>
      </c>
      <c r="HS1" s="10" t="s">
        <v>658</v>
      </c>
      <c r="HT1" s="10" t="s">
        <v>659</v>
      </c>
      <c r="HU1" s="10" t="s">
        <v>660</v>
      </c>
      <c r="HV1" s="10" t="s">
        <v>661</v>
      </c>
      <c r="HW1" s="10" t="s">
        <v>662</v>
      </c>
      <c r="HX1" s="10" t="s">
        <v>663</v>
      </c>
      <c r="HY1" s="10" t="s">
        <v>664</v>
      </c>
      <c r="HZ1" s="10" t="s">
        <v>665</v>
      </c>
      <c r="IA1" s="10" t="s">
        <v>666</v>
      </c>
      <c r="IB1" s="10" t="s">
        <v>667</v>
      </c>
      <c r="IC1" s="10" t="s">
        <v>668</v>
      </c>
      <c r="ID1" s="10" t="s">
        <v>669</v>
      </c>
      <c r="IE1" s="10" t="s">
        <v>670</v>
      </c>
      <c r="IF1" s="10" t="s">
        <v>671</v>
      </c>
      <c r="IG1" s="10" t="s">
        <v>672</v>
      </c>
      <c r="IH1" s="10" t="s">
        <v>673</v>
      </c>
      <c r="II1" s="10" t="s">
        <v>674</v>
      </c>
      <c r="IJ1" s="10" t="s">
        <v>675</v>
      </c>
      <c r="IK1" s="10" t="s">
        <v>676</v>
      </c>
      <c r="IL1" s="10" t="s">
        <v>677</v>
      </c>
      <c r="IM1" s="10" t="s">
        <v>678</v>
      </c>
      <c r="IN1" s="10" t="s">
        <v>679</v>
      </c>
      <c r="IO1" s="10" t="s">
        <v>680</v>
      </c>
      <c r="IP1" s="10" t="s">
        <v>681</v>
      </c>
      <c r="IQ1" s="10" t="s">
        <v>682</v>
      </c>
      <c r="IR1" s="10" t="s">
        <v>683</v>
      </c>
      <c r="IS1" s="10" t="s">
        <v>684</v>
      </c>
      <c r="IT1" s="10" t="s">
        <v>685</v>
      </c>
      <c r="IU1" s="10" t="s">
        <v>686</v>
      </c>
      <c r="IV1" s="10" t="s">
        <v>687</v>
      </c>
      <c r="IW1" s="10" t="s">
        <v>688</v>
      </c>
      <c r="IX1" s="10" t="s">
        <v>689</v>
      </c>
      <c r="IY1" s="10" t="s">
        <v>690</v>
      </c>
      <c r="IZ1" s="10" t="s">
        <v>691</v>
      </c>
      <c r="JA1" s="10" t="s">
        <v>692</v>
      </c>
      <c r="JB1" s="10" t="s">
        <v>130</v>
      </c>
      <c r="JC1" s="10" t="s">
        <v>693</v>
      </c>
      <c r="JD1" s="10" t="s">
        <v>694</v>
      </c>
      <c r="JE1" s="10" t="s">
        <v>695</v>
      </c>
      <c r="JF1" s="10" t="s">
        <v>696</v>
      </c>
      <c r="JG1" s="10" t="s">
        <v>697</v>
      </c>
      <c r="JH1" s="10" t="s">
        <v>698</v>
      </c>
      <c r="JI1" s="10" t="s">
        <v>126</v>
      </c>
      <c r="JJ1" s="10" t="s">
        <v>699</v>
      </c>
      <c r="JK1" s="10" t="s">
        <v>700</v>
      </c>
    </row>
    <row r="2" spans="1:271" x14ac:dyDescent="0.25">
      <c r="A2" t="str">
        <f>IF(Summary_Exchange_Balances_00UTC!$B2="","",Summary_Exchange_Balances_00UTC!$N2)</f>
        <v>BINE</v>
      </c>
      <c r="B2" t="str">
        <f>IF(Summary_Exchange_Balances_00UTC!$B2="","",Summary_Exchange_Balances_00UTC!$B2)</f>
        <v>BINE-2-S1-E</v>
      </c>
      <c r="C2" t="str">
        <f>IF(Summary_Exchange_Balances_00UTC!$B2="","",Summary_Exchange_Balances_00UTC!$E2)</f>
        <v>AAVE</v>
      </c>
      <c r="D2" t="str">
        <f>IF(OR(Summary_Exchange_Balances_00UTC!$B2="",Summary_Exchange_Balances_00UTC!$D2=""),"",Summary_Exchange_Balances_00UTC!$D2)</f>
        <v/>
      </c>
      <c r="E2" s="53">
        <f>IF(Summary_Exchange_Balances_00UTC!$B2="","",Summary_Exchange_Balances_00UTC!$C2)</f>
        <v>585.43739457000004</v>
      </c>
      <c r="F2" s="53">
        <f>IF(Summary_Exchange_Balances_00UTC!$B2="","",VLOOKUP(UPPER($A2&amp;$C2),$L:$T,7,FALSE))</f>
        <v>192.07893852000001</v>
      </c>
      <c r="G2" s="53">
        <f>IF(Summary_Exchange_Balances_00UTC!$B2="","",VLOOKUP(IF(ISERROR(SEARCH(" ", $B2)),UPPER($B2&amp;$C2&amp;$D2),UPPER(LEFT($B2, SEARCH(" ",$B2)-1)&amp;$C2&amp;$D2)),$M:$T,6,FALSE))</f>
        <v>192.07893852000001</v>
      </c>
      <c r="H2">
        <f>IF(Summary_Exchange_Balances_00UTC!$B2="","",IF(ISERROR($G2),$E2,$G2))</f>
        <v>192.07893852000001</v>
      </c>
      <c r="I2" s="36">
        <f t="shared" ref="I2:I65" si="0">(G2-E2)/E2</f>
        <v>-0.67190524503293692</v>
      </c>
      <c r="L2" t="str">
        <f t="shared" ref="L2:L65" si="1">UPPER($O2&amp;$N2)</f>
        <v>BINEAAVE</v>
      </c>
      <c r="M2" t="str">
        <f t="shared" ref="M2:M65" si="2">UPPER($P2&amp;$N2&amp;Q2)</f>
        <v>BINE-2-S1-EAAVE</v>
      </c>
      <c r="N2" t="s">
        <v>119</v>
      </c>
      <c r="O2" t="s">
        <v>89</v>
      </c>
      <c r="P2" t="s">
        <v>86</v>
      </c>
      <c r="R2" s="43">
        <v>192.07893852000001</v>
      </c>
      <c r="S2" t="s">
        <v>505</v>
      </c>
      <c r="T2">
        <v>1</v>
      </c>
      <c r="W2" t="s">
        <v>89</v>
      </c>
      <c r="X2" t="s">
        <v>119</v>
      </c>
      <c r="Y2" s="53">
        <v>200.07893852000001</v>
      </c>
      <c r="Z2">
        <v>0</v>
      </c>
      <c r="AB2" s="3" t="s">
        <v>308</v>
      </c>
      <c r="AC2" s="32">
        <v>7000</v>
      </c>
      <c r="AD2" s="32">
        <v>0</v>
      </c>
      <c r="AG2" t="s">
        <v>328</v>
      </c>
      <c r="AH2" t="s">
        <v>447</v>
      </c>
      <c r="AL2" t="s">
        <v>74</v>
      </c>
      <c r="AN2" t="s">
        <v>448</v>
      </c>
      <c r="AS2" t="str">
        <f>IF(Summary_Exchange_Balances_00UTC!$B2="","","'"&amp;C2&amp;"',")</f>
        <v>'AAVE',</v>
      </c>
      <c r="AT2">
        <f>IF(Summary_Exchange_Balances_00UTC!$B2="","",IF(ISERROR(HLOOKUP($C2,$AW$1:$LL$2,2,FALSE)),Summary_Exchange_Balances_00UTC!$Q2,IF(OR(HLOOKUP($C2,$AW$1:$LL$2,2,FALSE)="",HLOOKUP($C2,$AW$1:$LL$2,2,FALSE)="null"),Summary_Exchange_Balances_00UTC!$Q2,HLOOKUP($C2,$AW$1:$LL$2,2,FALSE))))</f>
        <v>59.23</v>
      </c>
      <c r="AW2" s="65" t="s">
        <v>701</v>
      </c>
      <c r="AX2">
        <v>16719.740000000002</v>
      </c>
      <c r="AY2">
        <v>62.35</v>
      </c>
      <c r="AZ2">
        <v>8.5419999999999996E-2</v>
      </c>
      <c r="BA2">
        <v>33.817394</v>
      </c>
      <c r="BB2">
        <v>133.23973000000001</v>
      </c>
      <c r="BC2">
        <v>9.0786800000000001E-2</v>
      </c>
      <c r="BD2">
        <v>0.38471588000000001</v>
      </c>
      <c r="BE2">
        <v>0.112810805</v>
      </c>
      <c r="BF2">
        <v>6.8747712999999997E-3</v>
      </c>
      <c r="BG2">
        <v>3.1775831999999997E-2</v>
      </c>
      <c r="BH2">
        <v>1208.73</v>
      </c>
      <c r="BI2">
        <v>2.3082443999999998E-3</v>
      </c>
      <c r="BJ2">
        <v>19.686209999999999</v>
      </c>
      <c r="BK2">
        <v>0.73343480000000005</v>
      </c>
      <c r="BL2">
        <v>0.16186278000000001</v>
      </c>
      <c r="BM2">
        <v>19.614688999999998</v>
      </c>
      <c r="BN2">
        <v>6.8447254999999999E-2</v>
      </c>
      <c r="BO2">
        <v>39.82</v>
      </c>
      <c r="BP2">
        <v>2.3243019999999999</v>
      </c>
      <c r="BQ2">
        <v>0.88775530000000002</v>
      </c>
      <c r="BR2">
        <v>90.257409999999993</v>
      </c>
      <c r="BS2">
        <v>0.36172488000000003</v>
      </c>
      <c r="BT2">
        <v>2.121344E-2</v>
      </c>
      <c r="BU2">
        <v>0.98099999999999998</v>
      </c>
      <c r="BV2">
        <v>0.90154135000000002</v>
      </c>
      <c r="BW2">
        <v>268.61020000000002</v>
      </c>
      <c r="BX2">
        <v>1.1276999999999999</v>
      </c>
      <c r="BY2">
        <v>6.6048439999999999</v>
      </c>
      <c r="BZ2">
        <v>103.98</v>
      </c>
      <c r="CA2">
        <v>2.0373893000000001</v>
      </c>
      <c r="CB2">
        <v>0.178674</v>
      </c>
      <c r="CC2">
        <v>0.41775250000000003</v>
      </c>
      <c r="CD2">
        <v>0.24740192</v>
      </c>
      <c r="CE2">
        <v>9.1027120000000003E-2</v>
      </c>
      <c r="CF2">
        <v>0.15317889000000001</v>
      </c>
      <c r="CG2">
        <v>0.61337160000000002</v>
      </c>
      <c r="CH2">
        <v>6.2919999999999998</v>
      </c>
      <c r="CI2">
        <v>0.22422048</v>
      </c>
      <c r="CJ2">
        <v>5.0092902000000002E-2</v>
      </c>
      <c r="CK2">
        <v>0.30287269999999999</v>
      </c>
      <c r="CL2">
        <v>9.7900000000000001E-2</v>
      </c>
      <c r="CM2">
        <v>14.669053999999999</v>
      </c>
      <c r="CN2">
        <v>0.13549559</v>
      </c>
      <c r="CO2">
        <v>0.30611965000000002</v>
      </c>
      <c r="CP2" t="s">
        <v>702</v>
      </c>
      <c r="CQ2">
        <v>0.32653653999999999</v>
      </c>
      <c r="CR2">
        <v>0.11840757</v>
      </c>
      <c r="CS2">
        <v>657.48676</v>
      </c>
      <c r="CT2">
        <v>0.88433622999999995</v>
      </c>
      <c r="CU2">
        <v>8.1537980000000003E-3</v>
      </c>
      <c r="CV2">
        <v>0.16752835999999999</v>
      </c>
      <c r="CW2">
        <v>2.1343125000000001E-2</v>
      </c>
      <c r="CX2">
        <v>5.3100000000000001E-2</v>
      </c>
      <c r="CY2">
        <v>0.22426493</v>
      </c>
      <c r="CZ2">
        <v>0.17106817999999999</v>
      </c>
      <c r="DA2" t="s">
        <v>702</v>
      </c>
      <c r="DB2">
        <v>4.4255740000000002E-2</v>
      </c>
      <c r="DC2">
        <v>0.70848244000000005</v>
      </c>
      <c r="DD2">
        <v>10.054152</v>
      </c>
      <c r="DE2">
        <v>2.4710216E-2</v>
      </c>
      <c r="DF2">
        <v>0.18279999999999999</v>
      </c>
      <c r="DG2" t="s">
        <v>702</v>
      </c>
      <c r="DH2">
        <v>1.9404659000000001E-2</v>
      </c>
      <c r="DI2">
        <v>2.1343339999999999E-2</v>
      </c>
      <c r="DJ2">
        <v>39.841106000000003</v>
      </c>
      <c r="DK2">
        <v>3.6352990000000002E-2</v>
      </c>
      <c r="DL2">
        <v>7.6999999999999999E-2</v>
      </c>
      <c r="DM2">
        <v>7.3142170000000002</v>
      </c>
      <c r="DN2">
        <v>4.6684026999999997</v>
      </c>
      <c r="DO2">
        <v>2.1133079999999999E-2</v>
      </c>
      <c r="DP2">
        <v>4.2668402000000001E-2</v>
      </c>
      <c r="DQ2">
        <v>7.0300000000000001E-2</v>
      </c>
      <c r="DR2">
        <v>2.2590365000000001E-2</v>
      </c>
      <c r="DS2">
        <v>3.6372879</v>
      </c>
      <c r="DT2">
        <v>9.9934670000000008</v>
      </c>
      <c r="DU2">
        <v>0.88490000000000002</v>
      </c>
      <c r="DV2" t="s">
        <v>702</v>
      </c>
      <c r="DW2">
        <v>0.16749086999999999</v>
      </c>
      <c r="DX2">
        <v>0.49245545000000002</v>
      </c>
      <c r="DY2">
        <v>18.815677999999998</v>
      </c>
      <c r="DZ2">
        <v>0.17945811</v>
      </c>
      <c r="EA2">
        <v>0.26910000000000001</v>
      </c>
      <c r="EB2" t="s">
        <v>702</v>
      </c>
      <c r="EC2">
        <v>4.1769486999999996E-3</v>
      </c>
      <c r="ED2">
        <v>0.13059804999999999</v>
      </c>
      <c r="EE2">
        <v>2.7537951000000001E-2</v>
      </c>
      <c r="EF2">
        <v>0.20333102</v>
      </c>
      <c r="EG2">
        <v>1.5288371999999999</v>
      </c>
      <c r="EH2">
        <v>0.23740992</v>
      </c>
      <c r="EI2">
        <v>4.9363444999999999E-2</v>
      </c>
      <c r="EJ2">
        <v>0.96025044000000004</v>
      </c>
      <c r="EK2">
        <v>2.5081176E-3</v>
      </c>
      <c r="EL2" t="s">
        <v>702</v>
      </c>
      <c r="EM2">
        <v>8.09E-2</v>
      </c>
      <c r="EN2">
        <v>0.10302371</v>
      </c>
      <c r="EO2">
        <v>0.37870818000000001</v>
      </c>
      <c r="EP2">
        <v>1.8946999999999999E-4</v>
      </c>
      <c r="EQ2">
        <v>7.2142239999999996E-2</v>
      </c>
      <c r="ER2">
        <v>0.16866665</v>
      </c>
      <c r="ES2">
        <v>0.24300786999999999</v>
      </c>
      <c r="ET2">
        <v>1.7436738000000001</v>
      </c>
      <c r="EU2">
        <v>4.4000000000000003E-3</v>
      </c>
      <c r="EV2">
        <v>13.78</v>
      </c>
      <c r="EW2" t="s">
        <v>702</v>
      </c>
      <c r="EX2">
        <v>0.32254177000000001</v>
      </c>
      <c r="EY2">
        <v>0.10441640000000001</v>
      </c>
      <c r="EZ2">
        <v>0.11141413999999999</v>
      </c>
      <c r="FA2">
        <v>0.86594079999999996</v>
      </c>
      <c r="FB2">
        <v>24.360496999999999</v>
      </c>
      <c r="FC2">
        <v>39.366320000000002</v>
      </c>
      <c r="FD2">
        <v>5.5705429999999998</v>
      </c>
      <c r="FE2">
        <v>6065.0834999999997</v>
      </c>
      <c r="FF2">
        <v>10.044058</v>
      </c>
      <c r="FG2">
        <v>0.27346330000000002</v>
      </c>
      <c r="FH2">
        <v>2.0494003E-2</v>
      </c>
      <c r="FI2" t="s">
        <v>702</v>
      </c>
      <c r="FJ2">
        <v>0.55510000000000004</v>
      </c>
      <c r="FK2">
        <v>5.6989999999999998</v>
      </c>
      <c r="FL2">
        <v>0.44366254999999999</v>
      </c>
      <c r="FM2">
        <v>0.58224547000000004</v>
      </c>
      <c r="FN2">
        <v>1.248</v>
      </c>
      <c r="FO2">
        <v>43.558177999999998</v>
      </c>
      <c r="FP2">
        <v>1.6567400000000001</v>
      </c>
      <c r="FQ2">
        <v>4.2989582999999998</v>
      </c>
      <c r="FR2">
        <v>16858.998</v>
      </c>
      <c r="FS2">
        <v>5.7869999999999999</v>
      </c>
      <c r="FT2">
        <v>3.7200000000000002E-3</v>
      </c>
      <c r="FU2">
        <v>13.03</v>
      </c>
      <c r="FV2">
        <v>0.90832734000000004</v>
      </c>
      <c r="FW2">
        <v>9.8949999999999993E-3</v>
      </c>
      <c r="FX2">
        <v>59.23</v>
      </c>
      <c r="FY2">
        <v>1.8385464</v>
      </c>
      <c r="FZ2">
        <v>4.3366579999999999</v>
      </c>
      <c r="GA2">
        <v>1.7269243999999999</v>
      </c>
      <c r="GB2">
        <v>0.14868096</v>
      </c>
      <c r="GC2">
        <v>9.7799999999999998E-2</v>
      </c>
      <c r="GD2">
        <v>7.1846794999999997</v>
      </c>
      <c r="GE2">
        <v>0.12440039999999999</v>
      </c>
      <c r="GF2" t="s">
        <v>702</v>
      </c>
      <c r="GG2">
        <v>2.4879851999999999E-3</v>
      </c>
      <c r="GH2">
        <v>4.7021920000000002E-2</v>
      </c>
      <c r="GI2">
        <v>2.6325127E-2</v>
      </c>
      <c r="GJ2" t="s">
        <v>702</v>
      </c>
      <c r="GK2">
        <v>0.20331650000000001</v>
      </c>
      <c r="GL2" t="s">
        <v>702</v>
      </c>
      <c r="GM2">
        <v>2.6598825999999999E-2</v>
      </c>
      <c r="GN2">
        <v>1.4426249</v>
      </c>
      <c r="GO2" t="s">
        <v>702</v>
      </c>
      <c r="GP2">
        <v>6.08E-2</v>
      </c>
      <c r="GQ2">
        <v>3.1244983E-3</v>
      </c>
      <c r="GR2" t="s">
        <v>702</v>
      </c>
      <c r="GS2">
        <v>1.204</v>
      </c>
      <c r="GT2">
        <v>3.7839204999999998</v>
      </c>
      <c r="GU2" t="s">
        <v>702</v>
      </c>
      <c r="GV2">
        <v>1.5667926000000001</v>
      </c>
      <c r="GW2">
        <v>1.0072137E-2</v>
      </c>
      <c r="GX2">
        <v>3.1625945000000003E-2</v>
      </c>
      <c r="GY2">
        <v>0.47864074000000001</v>
      </c>
      <c r="GZ2">
        <v>0.20464845000000001</v>
      </c>
      <c r="HA2">
        <v>0.56446379999999996</v>
      </c>
      <c r="HB2">
        <v>2.9776459000000002</v>
      </c>
      <c r="HC2" t="s">
        <v>702</v>
      </c>
      <c r="HD2">
        <v>0.77270000000000005</v>
      </c>
      <c r="HE2">
        <v>2.8237956999999999E-7</v>
      </c>
      <c r="HF2">
        <v>9.1027119999999996E-6</v>
      </c>
      <c r="HG2" t="s">
        <v>702</v>
      </c>
      <c r="HH2">
        <v>3.78</v>
      </c>
      <c r="HI2">
        <v>4.7741776000000002E-7</v>
      </c>
      <c r="HJ2">
        <v>3.9590679999999998</v>
      </c>
      <c r="HK2" t="s">
        <v>702</v>
      </c>
      <c r="HL2">
        <v>2.8637358E-5</v>
      </c>
      <c r="HM2" t="s">
        <v>702</v>
      </c>
      <c r="HN2">
        <v>0.26299470000000003</v>
      </c>
      <c r="HO2">
        <v>0.18825681999999999</v>
      </c>
      <c r="HP2">
        <v>2.7640000000000001E-2</v>
      </c>
      <c r="HQ2">
        <v>8.0832879999999996</v>
      </c>
      <c r="HR2">
        <v>2.1602920000000001</v>
      </c>
      <c r="HS2">
        <v>1.2490749999999999</v>
      </c>
      <c r="HT2">
        <v>6.6340870000000001E-4</v>
      </c>
      <c r="HU2" t="s">
        <v>702</v>
      </c>
      <c r="HV2">
        <v>0.40667847000000001</v>
      </c>
      <c r="HW2">
        <v>12.930553</v>
      </c>
      <c r="HX2" t="s">
        <v>702</v>
      </c>
      <c r="HY2">
        <v>2.3900975000000001E-2</v>
      </c>
      <c r="HZ2">
        <v>9.9083649999999995E-2</v>
      </c>
      <c r="IA2">
        <v>9.7899999999999991</v>
      </c>
      <c r="IB2" t="s">
        <v>702</v>
      </c>
      <c r="IC2">
        <v>2.9049999999999998</v>
      </c>
      <c r="ID2">
        <v>0.1402805</v>
      </c>
      <c r="IE2" t="s">
        <v>702</v>
      </c>
      <c r="IF2">
        <v>0.35673379999999999</v>
      </c>
      <c r="IG2">
        <v>31.046075999999999</v>
      </c>
      <c r="IH2">
        <v>3.6406000000000001E-2</v>
      </c>
      <c r="II2">
        <v>0.10861521</v>
      </c>
      <c r="IJ2">
        <v>0.29777946999999999</v>
      </c>
      <c r="IK2">
        <v>0.90027919999999995</v>
      </c>
      <c r="IL2">
        <v>0.29916048000000001</v>
      </c>
      <c r="IM2">
        <v>1.4275901</v>
      </c>
      <c r="IN2">
        <v>2.7289150000000002E-2</v>
      </c>
      <c r="IO2">
        <v>0.39639059999999998</v>
      </c>
      <c r="IP2">
        <v>0.82436469999999995</v>
      </c>
      <c r="IQ2">
        <v>0.57983845000000001</v>
      </c>
      <c r="IR2">
        <v>2.2253076E-2</v>
      </c>
      <c r="IS2">
        <v>0.36472624999999997</v>
      </c>
      <c r="IT2">
        <v>0.51858479999999996</v>
      </c>
      <c r="IU2">
        <v>8.5634009999999997E-2</v>
      </c>
      <c r="IV2">
        <v>7.6843864999999997E-2</v>
      </c>
      <c r="IW2">
        <v>0.41668307999999998</v>
      </c>
      <c r="IX2">
        <v>19.128450000000001</v>
      </c>
      <c r="IY2">
        <v>0.18115497</v>
      </c>
      <c r="IZ2">
        <v>0.64100000000000001</v>
      </c>
      <c r="JA2">
        <v>11.571083</v>
      </c>
      <c r="JB2" t="s">
        <v>702</v>
      </c>
      <c r="JC2" t="s">
        <v>702</v>
      </c>
      <c r="JD2" t="s">
        <v>702</v>
      </c>
      <c r="JE2" t="s">
        <v>702</v>
      </c>
      <c r="JF2" t="s">
        <v>702</v>
      </c>
      <c r="JG2" t="s">
        <v>702</v>
      </c>
      <c r="JH2" t="s">
        <v>702</v>
      </c>
      <c r="JI2" t="s">
        <v>702</v>
      </c>
      <c r="JJ2" t="s">
        <v>702</v>
      </c>
      <c r="JK2" t="s">
        <v>702</v>
      </c>
    </row>
    <row r="3" spans="1:271" x14ac:dyDescent="0.25">
      <c r="A3" t="str">
        <f>IF(Summary_Exchange_Balances_00UTC!$B3="","",Summary_Exchange_Balances_00UTC!$N3)</f>
        <v>BINE</v>
      </c>
      <c r="B3" t="str">
        <f>IF(Summary_Exchange_Balances_00UTC!$B3="","",Summary_Exchange_Balances_00UTC!$B3)</f>
        <v>BINE-2-S1-E</v>
      </c>
      <c r="C3" t="str">
        <f>IF(Summary_Exchange_Balances_00UTC!$B3="","",Summary_Exchange_Balances_00UTC!$E3)</f>
        <v>ADA</v>
      </c>
      <c r="D3" t="str">
        <f>IF(OR(Summary_Exchange_Balances_00UTC!$B3="",Summary_Exchange_Balances_00UTC!$D3=""),"",Summary_Exchange_Balances_00UTC!$D3)</f>
        <v/>
      </c>
      <c r="E3" s="53">
        <f>IF(Summary_Exchange_Balances_00UTC!$B3="","",Summary_Exchange_Balances_00UTC!$C3)</f>
        <v>228897.2703</v>
      </c>
      <c r="F3" s="53">
        <f>IF(Summary_Exchange_Balances_00UTC!$B3="","",VLOOKUP(UPPER($A3&amp;$C3),$L:$T,7,FALSE))</f>
        <v>27311.975235000002</v>
      </c>
      <c r="G3" s="53">
        <f>IF(Summary_Exchange_Balances_00UTC!$B3="","",VLOOKUP(IF(ISERROR(SEARCH(" ", $B3)),UPPER($B3&amp;$C3&amp;$D3),UPPER(LEFT($B3, SEARCH(" ",$B3)-1)&amp;$C3&amp;$D3)),$M:$T,6,FALSE))</f>
        <v>27311.975235000002</v>
      </c>
      <c r="H3">
        <f>IF(Summary_Exchange_Balances_00UTC!$B3="","",IF(ISERROR($G3),$E3,$G3))</f>
        <v>27311.975235000002</v>
      </c>
      <c r="I3" s="36">
        <f t="shared" si="0"/>
        <v>-0.88068020558216331</v>
      </c>
      <c r="L3" t="str">
        <f t="shared" si="1"/>
        <v>BINEAAVE</v>
      </c>
      <c r="M3" t="str">
        <f t="shared" si="2"/>
        <v>BINE-2-S1-MAAVEMARGIN LOAN</v>
      </c>
      <c r="N3" t="s">
        <v>119</v>
      </c>
      <c r="O3" t="s">
        <v>89</v>
      </c>
      <c r="P3" t="s">
        <v>94</v>
      </c>
      <c r="Q3" t="s">
        <v>203</v>
      </c>
      <c r="R3" s="43">
        <v>-200</v>
      </c>
      <c r="S3" t="s">
        <v>506</v>
      </c>
      <c r="T3">
        <v>1</v>
      </c>
      <c r="W3" t="s">
        <v>89</v>
      </c>
      <c r="X3" t="s">
        <v>87</v>
      </c>
      <c r="Y3" s="53">
        <v>28311.975235000002</v>
      </c>
      <c r="Z3">
        <v>0</v>
      </c>
      <c r="AB3" s="3" t="s">
        <v>324</v>
      </c>
      <c r="AC3" s="32">
        <v>7000</v>
      </c>
      <c r="AD3" s="32">
        <v>0</v>
      </c>
      <c r="AG3" t="s">
        <v>86</v>
      </c>
      <c r="AH3" t="s">
        <v>449</v>
      </c>
      <c r="AL3" t="s">
        <v>450</v>
      </c>
      <c r="AN3" t="s">
        <v>86</v>
      </c>
      <c r="AS3" t="str">
        <f>IF(Summary_Exchange_Balances_00UTC!$B3="","","'"&amp;C3&amp;"',")</f>
        <v>'ADA',</v>
      </c>
      <c r="AT3">
        <f>IF(Summary_Exchange_Balances_00UTC!$B3="","",IF(ISERROR(HLOOKUP($C3,$AW$1:$LL$2,2,FALSE)),Summary_Exchange_Balances_00UTC!$Q3,IF(OR(HLOOKUP($C3,$AW$1:$LL$2,2,FALSE)="",HLOOKUP($C3,$AW$1:$LL$2,2,FALSE)="null"),Summary_Exchange_Balances_00UTC!$Q3,HLOOKUP($C3,$AW$1:$LL$2,2,FALSE))))</f>
        <v>0.32653653999999999</v>
      </c>
    </row>
    <row r="4" spans="1:271" x14ac:dyDescent="0.25">
      <c r="A4" t="str">
        <f>IF(Summary_Exchange_Balances_00UTC!$B4="","",Summary_Exchange_Balances_00UTC!$N4)</f>
        <v>BINE</v>
      </c>
      <c r="B4" t="str">
        <f>IF(Summary_Exchange_Balances_00UTC!$B4="","",Summary_Exchange_Balances_00UTC!$B4)</f>
        <v>BINE-2-S1-E</v>
      </c>
      <c r="C4" t="str">
        <f>IF(Summary_Exchange_Balances_00UTC!$B4="","",Summary_Exchange_Balances_00UTC!$E4)</f>
        <v>ALGO</v>
      </c>
      <c r="D4" t="str">
        <f>IF(OR(Summary_Exchange_Balances_00UTC!$B4="",Summary_Exchange_Balances_00UTC!$D4=""),"",Summary_Exchange_Balances_00UTC!$D4)</f>
        <v/>
      </c>
      <c r="E4" s="53">
        <f>IF(Summary_Exchange_Balances_00UTC!$B4="","",Summary_Exchange_Balances_00UTC!$C4)</f>
        <v>137194.54519</v>
      </c>
      <c r="F4" s="53">
        <f>IF(Summary_Exchange_Balances_00UTC!$B4="","",VLOOKUP(UPPER($A4&amp;$C4),$L:$T,7,FALSE))</f>
        <v>25.399726000000001</v>
      </c>
      <c r="G4" s="53">
        <f>IF(Summary_Exchange_Balances_00UTC!$B4="","",VLOOKUP(IF(ISERROR(SEARCH(" ", $B4)),UPPER($B4&amp;$C4&amp;$D4),UPPER(LEFT($B4, SEARCH(" ",$B4)-1)&amp;$C4&amp;$D4)),$M:$T,6,FALSE))</f>
        <v>25.399726000000001</v>
      </c>
      <c r="H4">
        <f>IF(Summary_Exchange_Balances_00UTC!$B4="","",IF(ISERROR($G4),$E4,$G4))</f>
        <v>25.399726000000001</v>
      </c>
      <c r="I4" s="36">
        <f t="shared" si="0"/>
        <v>-0.99981486344107318</v>
      </c>
      <c r="L4" t="str">
        <f t="shared" si="1"/>
        <v>BINEADA</v>
      </c>
      <c r="M4" t="str">
        <f t="shared" si="2"/>
        <v>BINE-2-S1-EADA</v>
      </c>
      <c r="N4" t="s">
        <v>87</v>
      </c>
      <c r="O4" t="s">
        <v>89</v>
      </c>
      <c r="P4" t="s">
        <v>86</v>
      </c>
      <c r="R4" s="43">
        <v>27311.975235000002</v>
      </c>
      <c r="S4" t="s">
        <v>505</v>
      </c>
      <c r="T4">
        <v>1</v>
      </c>
      <c r="W4" t="s">
        <v>89</v>
      </c>
      <c r="X4" t="s">
        <v>125</v>
      </c>
      <c r="Y4" s="53">
        <v>25.399726000000001</v>
      </c>
      <c r="Z4">
        <v>0</v>
      </c>
      <c r="AB4" s="3" t="s">
        <v>124</v>
      </c>
      <c r="AC4" s="32">
        <v>377.09760540000002</v>
      </c>
      <c r="AD4" s="32">
        <v>377.09760540000002</v>
      </c>
      <c r="AG4" t="s">
        <v>12</v>
      </c>
      <c r="AH4" t="s">
        <v>451</v>
      </c>
      <c r="AI4" t="s">
        <v>75</v>
      </c>
      <c r="AJ4" t="s">
        <v>93</v>
      </c>
      <c r="AL4" t="s">
        <v>452</v>
      </c>
      <c r="AN4" t="s">
        <v>12</v>
      </c>
      <c r="AS4" t="str">
        <f>IF(Summary_Exchange_Balances_00UTC!$B4="","","'"&amp;C4&amp;"',")</f>
        <v>'ALGO',</v>
      </c>
      <c r="AT4">
        <f>IF(Summary_Exchange_Balances_00UTC!$B4="","",IF(ISERROR(HLOOKUP($C4,$AW$1:$LL$2,2,FALSE)),Summary_Exchange_Balances_00UTC!$Q4,IF(OR(HLOOKUP($C4,$AW$1:$LL$2,2,FALSE)="",HLOOKUP($C4,$AW$1:$LL$2,2,FALSE)="null"),Summary_Exchange_Balances_00UTC!$Q4,HLOOKUP($C4,$AW$1:$LL$2,2,FALSE))))</f>
        <v>0.26910000000000001</v>
      </c>
    </row>
    <row r="5" spans="1:271" x14ac:dyDescent="0.25">
      <c r="A5" t="str">
        <f>IF(Summary_Exchange_Balances_00UTC!$B5="","",Summary_Exchange_Balances_00UTC!$N5)</f>
        <v>BINE</v>
      </c>
      <c r="B5" t="str">
        <f>IF(Summary_Exchange_Balances_00UTC!$B5="","",Summary_Exchange_Balances_00UTC!$B5)</f>
        <v>BINE-2-S1-E</v>
      </c>
      <c r="C5" t="str">
        <f>IF(Summary_Exchange_Balances_00UTC!$B5="","",Summary_Exchange_Balances_00UTC!$E5)</f>
        <v>ATOM</v>
      </c>
      <c r="D5" t="str">
        <f>IF(OR(Summary_Exchange_Balances_00UTC!$B5="",Summary_Exchange_Balances_00UTC!$D5=""),"",Summary_Exchange_Balances_00UTC!$D5)</f>
        <v/>
      </c>
      <c r="E5" s="53">
        <f>IF(Summary_Exchange_Balances_00UTC!$B5="","",Summary_Exchange_Balances_00UTC!$C5)</f>
        <v>4.2548999999999998E-3</v>
      </c>
      <c r="F5" s="53">
        <f>IF(Summary_Exchange_Balances_00UTC!$B5="","",VLOOKUP(UPPER($A5&amp;$C5),$L:$T,7,FALSE))</f>
        <v>4.2548999999999998E-3</v>
      </c>
      <c r="G5" s="53">
        <f>IF(Summary_Exchange_Balances_00UTC!$B5="","",VLOOKUP(IF(ISERROR(SEARCH(" ", $B5)),UPPER($B5&amp;$C5&amp;$D5),UPPER(LEFT($B5, SEARCH(" ",$B5)-1)&amp;$C5&amp;$D5)),$M:$T,6,FALSE))</f>
        <v>4.2548999999999998E-3</v>
      </c>
      <c r="H5">
        <f>IF(Summary_Exchange_Balances_00UTC!$B5="","",IF(ISERROR($G5),$E5,$G5))</f>
        <v>4.2548999999999998E-3</v>
      </c>
      <c r="I5" s="36">
        <f t="shared" si="0"/>
        <v>0</v>
      </c>
      <c r="L5" t="str">
        <f t="shared" si="1"/>
        <v>BINEADA</v>
      </c>
      <c r="M5" t="str">
        <f t="shared" si="2"/>
        <v>BINE-2-S1-MADAMARGIN LOAN</v>
      </c>
      <c r="N5" t="s">
        <v>87</v>
      </c>
      <c r="O5" t="s">
        <v>89</v>
      </c>
      <c r="P5" t="s">
        <v>94</v>
      </c>
      <c r="Q5" t="s">
        <v>203</v>
      </c>
      <c r="R5" s="43">
        <v>-20000</v>
      </c>
      <c r="S5" t="s">
        <v>506</v>
      </c>
      <c r="T5">
        <v>1</v>
      </c>
      <c r="W5" t="s">
        <v>89</v>
      </c>
      <c r="X5" t="s">
        <v>36</v>
      </c>
      <c r="Y5" s="53">
        <v>4.2548999999999998E-3</v>
      </c>
      <c r="Z5">
        <v>0</v>
      </c>
      <c r="AB5" s="3" t="s">
        <v>119</v>
      </c>
      <c r="AC5" s="32">
        <v>150.17908498000003</v>
      </c>
      <c r="AD5" s="32">
        <v>150.17908498</v>
      </c>
      <c r="AG5" t="s">
        <v>197</v>
      </c>
      <c r="AH5" t="s">
        <v>453</v>
      </c>
      <c r="AL5" t="s">
        <v>454</v>
      </c>
      <c r="AN5" t="s">
        <v>94</v>
      </c>
      <c r="AS5" t="str">
        <f>IF(Summary_Exchange_Balances_00UTC!$B5="","","'"&amp;C5&amp;"',")</f>
        <v>'ATOM',</v>
      </c>
      <c r="AT5">
        <f>IF(Summary_Exchange_Balances_00UTC!$B5="","",IF(ISERROR(HLOOKUP($C5,$AW$1:$LL$2,2,FALSE)),Summary_Exchange_Balances_00UTC!$Q5,IF(OR(HLOOKUP($C5,$AW$1:$LL$2,2,FALSE)="",HLOOKUP($C5,$AW$1:$LL$2,2,FALSE)="null"),Summary_Exchange_Balances_00UTC!$Q5,HLOOKUP($C5,$AW$1:$LL$2,2,FALSE))))</f>
        <v>9.9934670000000008</v>
      </c>
    </row>
    <row r="6" spans="1:271" x14ac:dyDescent="0.25">
      <c r="A6" t="str">
        <f>IF(Summary_Exchange_Balances_00UTC!$B6="","",Summary_Exchange_Balances_00UTC!$N6)</f>
        <v>BINE</v>
      </c>
      <c r="B6" t="str">
        <f>IF(Summary_Exchange_Balances_00UTC!$B6="","",Summary_Exchange_Balances_00UTC!$B6)</f>
        <v>BINE-2-S1-E</v>
      </c>
      <c r="C6" t="str">
        <f>IF(Summary_Exchange_Balances_00UTC!$B6="","",Summary_Exchange_Balances_00UTC!$E6)</f>
        <v>AVAX</v>
      </c>
      <c r="D6" t="str">
        <f>IF(OR(Summary_Exchange_Balances_00UTC!$B6="",Summary_Exchange_Balances_00UTC!$D6=""),"",Summary_Exchange_Balances_00UTC!$D6)</f>
        <v/>
      </c>
      <c r="E6" s="53">
        <f>IF(Summary_Exchange_Balances_00UTC!$B6="","",Summary_Exchange_Balances_00UTC!$C6)</f>
        <v>1522.8681305699999</v>
      </c>
      <c r="F6" s="53">
        <f>IF(Summary_Exchange_Balances_00UTC!$B6="","",VLOOKUP(UPPER($A6&amp;$C6),$L:$T,7,FALSE))</f>
        <v>561.12659170999996</v>
      </c>
      <c r="G6" s="53">
        <f>IF(Summary_Exchange_Balances_00UTC!$B6="","",VLOOKUP(IF(ISERROR(SEARCH(" ", $B6)),UPPER($B6&amp;$C6&amp;$D6),UPPER(LEFT($B6, SEARCH(" ",$B6)-1)&amp;$C6&amp;$D6)),$M:$T,6,FALSE))</f>
        <v>561.12659170999996</v>
      </c>
      <c r="H6">
        <f>IF(Summary_Exchange_Balances_00UTC!$B6="","",IF(ISERROR($G6),$E6,$G6))</f>
        <v>561.12659170999996</v>
      </c>
      <c r="I6" s="36">
        <f t="shared" si="0"/>
        <v>-0.63153303923959991</v>
      </c>
      <c r="L6" t="str">
        <f t="shared" si="1"/>
        <v>BINEALGO</v>
      </c>
      <c r="M6" t="str">
        <f t="shared" si="2"/>
        <v>BINE-2-S1-EALGO</v>
      </c>
      <c r="N6" t="s">
        <v>125</v>
      </c>
      <c r="O6" t="s">
        <v>89</v>
      </c>
      <c r="P6" t="s">
        <v>86</v>
      </c>
      <c r="R6" s="43">
        <v>25.399726000000001</v>
      </c>
      <c r="S6" t="s">
        <v>505</v>
      </c>
      <c r="T6">
        <v>1</v>
      </c>
      <c r="W6" t="s">
        <v>89</v>
      </c>
      <c r="X6" t="s">
        <v>190</v>
      </c>
      <c r="Y6" s="53">
        <v>361.50767796999997</v>
      </c>
      <c r="Z6">
        <v>0</v>
      </c>
      <c r="AB6" s="3" t="s">
        <v>87</v>
      </c>
      <c r="AC6" s="32">
        <v>8370.9812967100042</v>
      </c>
      <c r="AD6" s="32">
        <v>8370.9812967067028</v>
      </c>
      <c r="AG6" t="s">
        <v>19</v>
      </c>
      <c r="AH6" t="s">
        <v>455</v>
      </c>
      <c r="AI6" t="s">
        <v>75</v>
      </c>
      <c r="AJ6" t="s">
        <v>93</v>
      </c>
      <c r="AL6" t="s">
        <v>456</v>
      </c>
      <c r="AN6" t="s">
        <v>19</v>
      </c>
      <c r="AP6" t="s">
        <v>197</v>
      </c>
      <c r="AS6" t="str">
        <f>IF(Summary_Exchange_Balances_00UTC!$B6="","","'"&amp;C6&amp;"',")</f>
        <v>'AVAX',</v>
      </c>
      <c r="AT6">
        <f>IF(Summary_Exchange_Balances_00UTC!$B6="","",IF(ISERROR(HLOOKUP($C6,$AW$1:$LL$2,2,FALSE)),Summary_Exchange_Balances_00UTC!$Q6,IF(OR(HLOOKUP($C6,$AW$1:$LL$2,2,FALSE)="",HLOOKUP($C6,$AW$1:$LL$2,2,FALSE)="null"),Summary_Exchange_Balances_00UTC!$Q6,HLOOKUP($C6,$AW$1:$LL$2,2,FALSE))))</f>
        <v>13.03</v>
      </c>
    </row>
    <row r="7" spans="1:271" x14ac:dyDescent="0.25">
      <c r="A7" t="str">
        <f>IF(Summary_Exchange_Balances_00UTC!$B7="","",Summary_Exchange_Balances_00UTC!$N7)</f>
        <v>BINE</v>
      </c>
      <c r="B7" t="str">
        <f>IF(Summary_Exchange_Balances_00UTC!$B7="","",Summary_Exchange_Balances_00UTC!$B7)</f>
        <v>BINE-2-S1-E</v>
      </c>
      <c r="C7" t="str">
        <f>IF(Summary_Exchange_Balances_00UTC!$B7="","",Summary_Exchange_Balances_00UTC!$E7)</f>
        <v>BAT</v>
      </c>
      <c r="D7" t="str">
        <f>IF(OR(Summary_Exchange_Balances_00UTC!$B7="",Summary_Exchange_Balances_00UTC!$D7=""),"",Summary_Exchange_Balances_00UTC!$D7)</f>
        <v/>
      </c>
      <c r="E7" s="53">
        <f>IF(Summary_Exchange_Balances_00UTC!$B7="","",Summary_Exchange_Balances_00UTC!$C7)</f>
        <v>91411.592165359994</v>
      </c>
      <c r="F7" s="53">
        <f>IF(Summary_Exchange_Balances_00UTC!$B7="","",VLOOKUP(UPPER($A7&amp;$C7),$L:$T,7,FALSE))</f>
        <v>30018.430035879999</v>
      </c>
      <c r="G7" s="53">
        <f>IF(Summary_Exchange_Balances_00UTC!$B7="","",VLOOKUP(IF(ISERROR(SEARCH(" ", $B7)),UPPER($B7&amp;$C7&amp;$D7),UPPER(LEFT($B7, SEARCH(" ",$B7)-1)&amp;$C7&amp;$D7)),$M:$T,6,FALSE))</f>
        <v>30018.430035879999</v>
      </c>
      <c r="H7">
        <f>IF(Summary_Exchange_Balances_00UTC!$B7="","",IF(ISERROR($G7),$E7,$G7))</f>
        <v>30018.430035879999</v>
      </c>
      <c r="I7" s="36">
        <f t="shared" si="0"/>
        <v>-0.67161243640108759</v>
      </c>
      <c r="L7" t="str">
        <f t="shared" si="1"/>
        <v>BINEATOM</v>
      </c>
      <c r="M7" t="str">
        <f t="shared" si="2"/>
        <v>BINE-2-S1-EATOM</v>
      </c>
      <c r="N7" t="s">
        <v>36</v>
      </c>
      <c r="O7" t="s">
        <v>89</v>
      </c>
      <c r="P7" t="s">
        <v>86</v>
      </c>
      <c r="R7" s="43">
        <v>4.2548999999999998E-3</v>
      </c>
      <c r="S7" t="s">
        <v>505</v>
      </c>
      <c r="T7">
        <v>1</v>
      </c>
      <c r="W7" t="s">
        <v>89</v>
      </c>
      <c r="X7" t="s">
        <v>127</v>
      </c>
      <c r="Y7" s="53">
        <v>25156.055035879999</v>
      </c>
      <c r="Z7">
        <v>0</v>
      </c>
      <c r="AB7" s="3" t="s">
        <v>125</v>
      </c>
      <c r="AC7" s="32">
        <v>3613.3399642600002</v>
      </c>
      <c r="AD7" s="32">
        <v>3613.3399642600002</v>
      </c>
      <c r="AH7" s="58" t="s">
        <v>457</v>
      </c>
      <c r="AN7" t="s">
        <v>306</v>
      </c>
      <c r="AS7" t="str">
        <f>IF(Summary_Exchange_Balances_00UTC!$B7="","","'"&amp;C7&amp;"',")</f>
        <v>'BAT',</v>
      </c>
      <c r="AT7">
        <f>IF(Summary_Exchange_Balances_00UTC!$B7="","",IF(ISERROR(HLOOKUP($C7,$AW$1:$LL$2,2,FALSE)),Summary_Exchange_Balances_00UTC!$Q7,IF(OR(HLOOKUP($C7,$AW$1:$LL$2,2,FALSE)="",HLOOKUP($C7,$AW$1:$LL$2,2,FALSE)="null"),Summary_Exchange_Balances_00UTC!$Q7,HLOOKUP($C7,$AW$1:$LL$2,2,FALSE))))</f>
        <v>0.22422048</v>
      </c>
    </row>
    <row r="8" spans="1:271" x14ac:dyDescent="0.25">
      <c r="A8" t="str">
        <f>IF(Summary_Exchange_Balances_00UTC!$B8="","",Summary_Exchange_Balances_00UTC!$N8)</f>
        <v>BINE</v>
      </c>
      <c r="B8" t="str">
        <f>IF(Summary_Exchange_Balances_00UTC!$B8="","",Summary_Exchange_Balances_00UTC!$B8)</f>
        <v>BINE-2-S1-E</v>
      </c>
      <c r="C8" t="str">
        <f>IF(Summary_Exchange_Balances_00UTC!$B8="","",Summary_Exchange_Balances_00UTC!$E8)</f>
        <v>BCH</v>
      </c>
      <c r="D8" t="str">
        <f>IF(OR(Summary_Exchange_Balances_00UTC!$B8="",Summary_Exchange_Balances_00UTC!$D8=""),"",Summary_Exchange_Balances_00UTC!$D8)</f>
        <v/>
      </c>
      <c r="E8" s="53">
        <f>IF(Summary_Exchange_Balances_00UTC!$B8="","",Summary_Exchange_Balances_00UTC!$C8)</f>
        <v>401.29513104</v>
      </c>
      <c r="F8" s="53">
        <f>IF(Summary_Exchange_Balances_00UTC!$B8="","",VLOOKUP(UPPER($A8&amp;$C8),$L:$T,7,FALSE))</f>
        <v>91.029457179999994</v>
      </c>
      <c r="G8" s="53">
        <f>IF(Summary_Exchange_Balances_00UTC!$B8="","",VLOOKUP(IF(ISERROR(SEARCH(" ", $B8)),UPPER($B8&amp;$C8&amp;$D8),UPPER(LEFT($B8, SEARCH(" ",$B8)-1)&amp;$C8&amp;$D8)),$M:$T,6,FALSE))</f>
        <v>91.029457179999994</v>
      </c>
      <c r="H8">
        <f>IF(Summary_Exchange_Balances_00UTC!$B8="","",IF(ISERROR($G8),$E8,$G8))</f>
        <v>91.029457179999994</v>
      </c>
      <c r="I8" s="36">
        <f t="shared" si="0"/>
        <v>-0.77316082319741264</v>
      </c>
      <c r="L8" t="str">
        <f t="shared" si="1"/>
        <v>BINEAVAX</v>
      </c>
      <c r="M8" t="str">
        <f t="shared" si="2"/>
        <v>BINE-2-S1-EAVAX</v>
      </c>
      <c r="N8" t="s">
        <v>190</v>
      </c>
      <c r="O8" t="s">
        <v>89</v>
      </c>
      <c r="P8" t="s">
        <v>86</v>
      </c>
      <c r="R8" s="43">
        <v>561.12659170999996</v>
      </c>
      <c r="S8" t="s">
        <v>505</v>
      </c>
      <c r="T8">
        <v>1</v>
      </c>
      <c r="W8" t="s">
        <v>89</v>
      </c>
      <c r="X8" t="s">
        <v>21</v>
      </c>
      <c r="Y8" s="53">
        <v>91.029457179999994</v>
      </c>
      <c r="Z8">
        <v>0</v>
      </c>
      <c r="AB8" s="3" t="s">
        <v>126</v>
      </c>
      <c r="AC8" s="32">
        <v>0.53247394999999997</v>
      </c>
      <c r="AD8" s="32">
        <v>0.53247394999999997</v>
      </c>
      <c r="AS8" t="str">
        <f>IF(Summary_Exchange_Balances_00UTC!$B8="","","'"&amp;C8&amp;"',")</f>
        <v>'BCH',</v>
      </c>
      <c r="AT8">
        <f>IF(Summary_Exchange_Balances_00UTC!$B8="","",IF(ISERROR(HLOOKUP($C8,$AW$1:$LL$2,2,FALSE)),Summary_Exchange_Balances_00UTC!$Q8,IF(OR(HLOOKUP($C8,$AW$1:$LL$2,2,FALSE)="",HLOOKUP($C8,$AW$1:$LL$2,2,FALSE)="null"),Summary_Exchange_Balances_00UTC!$Q8,HLOOKUP($C8,$AW$1:$LL$2,2,FALSE))))</f>
        <v>103.98</v>
      </c>
    </row>
    <row r="9" spans="1:271" x14ac:dyDescent="0.25">
      <c r="A9" t="str">
        <f>IF(Summary_Exchange_Balances_00UTC!$B9="","",Summary_Exchange_Balances_00UTC!$N9)</f>
        <v>BINE</v>
      </c>
      <c r="B9" t="str">
        <f>IF(Summary_Exchange_Balances_00UTC!$B9="","",Summary_Exchange_Balances_00UTC!$B9)</f>
        <v>BINE-2-S1-E</v>
      </c>
      <c r="C9" t="str">
        <f>IF(Summary_Exchange_Balances_00UTC!$B9="","",Summary_Exchange_Balances_00UTC!$E9)</f>
        <v>BNB</v>
      </c>
      <c r="D9" t="str">
        <f>IF(OR(Summary_Exchange_Balances_00UTC!$B9="",Summary_Exchange_Balances_00UTC!$D9=""),"",Summary_Exchange_Balances_00UTC!$D9)</f>
        <v/>
      </c>
      <c r="E9" s="53">
        <f>IF(Summary_Exchange_Balances_00UTC!$B9="","",Summary_Exchange_Balances_00UTC!$C9)</f>
        <v>144.75781040999999</v>
      </c>
      <c r="F9" s="53">
        <f>IF(Summary_Exchange_Balances_00UTC!$B9="","",VLOOKUP(UPPER($A9&amp;$C9),$L:$T,7,FALSE))</f>
        <v>2497.9862178100002</v>
      </c>
      <c r="G9" s="53">
        <f>IF(Summary_Exchange_Balances_00UTC!$B9="","",VLOOKUP(IF(ISERROR(SEARCH(" ", $B9)),UPPER($B9&amp;$C9&amp;$D9),UPPER(LEFT($B9, SEARCH(" ",$B9)-1)&amp;$C9&amp;$D9)),$M:$T,6,FALSE))</f>
        <v>84.638991149999995</v>
      </c>
      <c r="H9">
        <f>IF(Summary_Exchange_Balances_00UTC!$B9="","",IF(ISERROR($G9),$E9,$G9))</f>
        <v>84.638991149999995</v>
      </c>
      <c r="I9" s="36">
        <f t="shared" si="0"/>
        <v>-0.4153062214033526</v>
      </c>
      <c r="L9" t="str">
        <f t="shared" si="1"/>
        <v>BINEAVAX</v>
      </c>
      <c r="M9" t="str">
        <f t="shared" si="2"/>
        <v>BINE-2-S1-MAVAXMARGIN LOAN</v>
      </c>
      <c r="N9" t="s">
        <v>190</v>
      </c>
      <c r="O9" s="29" t="s">
        <v>89</v>
      </c>
      <c r="P9" t="s">
        <v>94</v>
      </c>
      <c r="Q9" t="s">
        <v>203</v>
      </c>
      <c r="R9" s="43">
        <v>-500</v>
      </c>
      <c r="S9" t="s">
        <v>506</v>
      </c>
      <c r="T9">
        <v>1</v>
      </c>
      <c r="W9" t="s">
        <v>89</v>
      </c>
      <c r="X9" t="s">
        <v>90</v>
      </c>
      <c r="Y9" s="53">
        <v>86.736910640000005</v>
      </c>
      <c r="Z9">
        <v>0</v>
      </c>
      <c r="AB9" s="3" t="s">
        <v>36</v>
      </c>
      <c r="AC9" s="32">
        <v>435.70252771999998</v>
      </c>
      <c r="AD9" s="32">
        <v>5.2520577200000007</v>
      </c>
      <c r="AG9" t="s">
        <v>458</v>
      </c>
      <c r="AH9" t="s">
        <v>459</v>
      </c>
      <c r="AS9" t="str">
        <f>IF(Summary_Exchange_Balances_00UTC!$B9="","","'"&amp;C9&amp;"',")</f>
        <v>'BNB',</v>
      </c>
      <c r="AT9">
        <f>IF(Summary_Exchange_Balances_00UTC!$B9="","",IF(ISERROR(HLOOKUP($C9,$AW$1:$LL$2,2,FALSE)),Summary_Exchange_Balances_00UTC!$Q9,IF(OR(HLOOKUP($C9,$AW$1:$LL$2,2,FALSE)="",HLOOKUP($C9,$AW$1:$LL$2,2,FALSE)="null"),Summary_Exchange_Balances_00UTC!$Q9,HLOOKUP($C9,$AW$1:$LL$2,2,FALSE))))</f>
        <v>268.61020000000002</v>
      </c>
    </row>
    <row r="10" spans="1:271" x14ac:dyDescent="0.25">
      <c r="A10" t="str">
        <f>IF(Summary_Exchange_Balances_00UTC!$B10="","",Summary_Exchange_Balances_00UTC!$N10)</f>
        <v>BINE</v>
      </c>
      <c r="B10" t="str">
        <f>IF(Summary_Exchange_Balances_00UTC!$B10="","",Summary_Exchange_Balances_00UTC!$B10)</f>
        <v>BINE-2-S1-E</v>
      </c>
      <c r="C10" t="str">
        <f>IF(Summary_Exchange_Balances_00UTC!$B10="","",Summary_Exchange_Balances_00UTC!$E10)</f>
        <v>BTC</v>
      </c>
      <c r="D10" t="str">
        <f>IF(OR(Summary_Exchange_Balances_00UTC!$B10="",Summary_Exchange_Balances_00UTC!$D10=""),"",Summary_Exchange_Balances_00UTC!$D10)</f>
        <v/>
      </c>
      <c r="E10" s="53">
        <f>IF(Summary_Exchange_Balances_00UTC!$B10="","",Summary_Exchange_Balances_00UTC!$C10)</f>
        <v>12.44551824</v>
      </c>
      <c r="F10" s="53">
        <f>IF(Summary_Exchange_Balances_00UTC!$B10="","",VLOOKUP(UPPER($A10&amp;$C10),$L:$T,7,FALSE))</f>
        <v>35.056527279999997</v>
      </c>
      <c r="G10" s="53">
        <f>IF(Summary_Exchange_Balances_00UTC!$B10="","",VLOOKUP(IF(ISERROR(SEARCH(" ", $B10)),UPPER($B10&amp;$C10&amp;$D10),UPPER(LEFT($B10, SEARCH(" ",$B10)-1)&amp;$C10&amp;$D10)),$M:$T,6,FALSE))</f>
        <v>35.056527279999997</v>
      </c>
      <c r="H10">
        <f>IF(Summary_Exchange_Balances_00UTC!$B10="","",IF(ISERROR($G10),$E10,$G10))</f>
        <v>35.056527279999997</v>
      </c>
      <c r="I10" s="36">
        <f t="shared" si="0"/>
        <v>1.8167993171492069</v>
      </c>
      <c r="L10" t="str">
        <f t="shared" si="1"/>
        <v>BINEBAT</v>
      </c>
      <c r="M10" t="str">
        <f t="shared" si="2"/>
        <v>BINE-2-S1-EBAT</v>
      </c>
      <c r="N10" t="s">
        <v>127</v>
      </c>
      <c r="O10" t="s">
        <v>89</v>
      </c>
      <c r="P10" t="s">
        <v>86</v>
      </c>
      <c r="R10" s="43">
        <v>30018.430035879999</v>
      </c>
      <c r="S10" t="s">
        <v>505</v>
      </c>
      <c r="T10">
        <v>1</v>
      </c>
      <c r="W10" t="s">
        <v>89</v>
      </c>
      <c r="X10" t="s">
        <v>15</v>
      </c>
      <c r="Y10" s="53">
        <v>13.751470619999999</v>
      </c>
      <c r="Z10">
        <v>0</v>
      </c>
      <c r="AB10" s="3" t="s">
        <v>313</v>
      </c>
      <c r="AC10" s="32">
        <v>1394.8793011</v>
      </c>
      <c r="AD10" s="32">
        <v>0</v>
      </c>
      <c r="AG10" t="s">
        <v>460</v>
      </c>
      <c r="AH10" t="s">
        <v>461</v>
      </c>
      <c r="AS10" t="str">
        <f>IF(Summary_Exchange_Balances_00UTC!$B10="","","'"&amp;C10&amp;"',")</f>
        <v>'BTC',</v>
      </c>
      <c r="AT10">
        <f>IF(Summary_Exchange_Balances_00UTC!$B10="","",IF(ISERROR(HLOOKUP($C10,$AW$1:$LL$2,2,FALSE)),Summary_Exchange_Balances_00UTC!$Q10,IF(OR(HLOOKUP($C10,$AW$1:$LL$2,2,FALSE)="",HLOOKUP($C10,$AW$1:$LL$2,2,FALSE)="null"),Summary_Exchange_Balances_00UTC!$Q10,HLOOKUP($C10,$AW$1:$LL$2,2,FALSE))))</f>
        <v>16719.740000000002</v>
      </c>
    </row>
    <row r="11" spans="1:271" x14ac:dyDescent="0.25">
      <c r="A11" t="str">
        <f>IF(Summary_Exchange_Balances_00UTC!$B11="","",Summary_Exchange_Balances_00UTC!$N11)</f>
        <v>BINE</v>
      </c>
      <c r="B11" t="str">
        <f>IF(Summary_Exchange_Balances_00UTC!$B11="","",Summary_Exchange_Balances_00UTC!$B11)</f>
        <v>BINE-2-S1-E</v>
      </c>
      <c r="C11" t="str">
        <f>IF(Summary_Exchange_Balances_00UTC!$B11="","",Summary_Exchange_Balances_00UTC!$E11)</f>
        <v>BUSD</v>
      </c>
      <c r="D11" t="str">
        <f>IF(OR(Summary_Exchange_Balances_00UTC!$B11="",Summary_Exchange_Balances_00UTC!$D11=""),"",Summary_Exchange_Balances_00UTC!$D11)</f>
        <v/>
      </c>
      <c r="E11" s="53">
        <f>IF(Summary_Exchange_Balances_00UTC!$B11="","",Summary_Exchange_Balances_00UTC!$C11)</f>
        <v>196876.92648426001</v>
      </c>
      <c r="F11" s="53">
        <f>IF(Summary_Exchange_Balances_00UTC!$B11="","",VLOOKUP(UPPER($A11&amp;$C11),$L:$T,7,FALSE))</f>
        <v>-3165472.0316702998</v>
      </c>
      <c r="G11" s="53">
        <f>IF(Summary_Exchange_Balances_00UTC!$B11="","",VLOOKUP(IF(ISERROR(SEARCH(" ", $B11)),UPPER($B11&amp;$C11&amp;$D11),UPPER(LEFT($B11, SEARCH(" ",$B11)-1)&amp;$C11&amp;$D11)),$M:$T,6,FALSE))</f>
        <v>114533.72121504</v>
      </c>
      <c r="H11">
        <f>IF(Summary_Exchange_Balances_00UTC!$B11="","",IF(ISERROR($G11),$E11,$G11))</f>
        <v>114533.72121504</v>
      </c>
      <c r="I11" s="36">
        <f t="shared" si="0"/>
        <v>-0.41824710868697562</v>
      </c>
      <c r="L11" t="str">
        <f t="shared" si="1"/>
        <v>BINEBAT</v>
      </c>
      <c r="M11" t="str">
        <f t="shared" si="2"/>
        <v>BINE-2-S1-MBATMARGIN LOAN</v>
      </c>
      <c r="N11" t="s">
        <v>127</v>
      </c>
      <c r="O11" t="s">
        <v>89</v>
      </c>
      <c r="P11" t="s">
        <v>94</v>
      </c>
      <c r="Q11" t="s">
        <v>203</v>
      </c>
      <c r="R11" s="43">
        <v>-30000</v>
      </c>
      <c r="S11" t="s">
        <v>506</v>
      </c>
      <c r="T11">
        <v>1</v>
      </c>
      <c r="W11" t="s">
        <v>89</v>
      </c>
      <c r="X11" t="s">
        <v>91</v>
      </c>
      <c r="Y11" s="53">
        <v>24746.129452879999</v>
      </c>
      <c r="Z11">
        <v>0</v>
      </c>
      <c r="AB11" s="3" t="s">
        <v>190</v>
      </c>
      <c r="AC11" s="32">
        <v>-138.47285380000005</v>
      </c>
      <c r="AD11" s="32">
        <v>-138.47285380120002</v>
      </c>
      <c r="AG11" t="s">
        <v>462</v>
      </c>
      <c r="AH11" t="s">
        <v>463</v>
      </c>
      <c r="AS11" t="str">
        <f>IF(Summary_Exchange_Balances_00UTC!$B11="","","'"&amp;C11&amp;"',")</f>
        <v>'BUSD',</v>
      </c>
      <c r="AT11">
        <f>IF(Summary_Exchange_Balances_00UTC!$B11="","",IF(ISERROR(HLOOKUP($C11,$AW$1:$LL$2,2,FALSE)),Summary_Exchange_Balances_00UTC!$Q11,IF(OR(HLOOKUP($C11,$AW$1:$LL$2,2,FALSE)="",HLOOKUP($C11,$AW$1:$LL$2,2,FALSE)="null"),Summary_Exchange_Balances_00UTC!$Q11,HLOOKUP($C11,$AW$1:$LL$2,2,FALSE))))</f>
        <v>1.0002520042927781</v>
      </c>
    </row>
    <row r="12" spans="1:271" x14ac:dyDescent="0.25">
      <c r="A12" t="str">
        <f>IF(Summary_Exchange_Balances_00UTC!$B12="","",Summary_Exchange_Balances_00UTC!$N12)</f>
        <v>BINE</v>
      </c>
      <c r="B12" t="str">
        <f>IF(Summary_Exchange_Balances_00UTC!$B12="","",Summary_Exchange_Balances_00UTC!$B12)</f>
        <v>BINE-2-S1-E</v>
      </c>
      <c r="C12" t="str">
        <f>IF(Summary_Exchange_Balances_00UTC!$B12="","",Summary_Exchange_Balances_00UTC!$E12)</f>
        <v>COMP</v>
      </c>
      <c r="D12" t="str">
        <f>IF(OR(Summary_Exchange_Balances_00UTC!$B12="",Summary_Exchange_Balances_00UTC!$D12=""),"",Summary_Exchange_Balances_00UTC!$D12)</f>
        <v/>
      </c>
      <c r="E12" s="53">
        <f>IF(Summary_Exchange_Balances_00UTC!$B12="","",Summary_Exchange_Balances_00UTC!$C12)</f>
        <v>0.86121729000000002</v>
      </c>
      <c r="F12" s="53">
        <f>IF(Summary_Exchange_Balances_00UTC!$B12="","",VLOOKUP(UPPER($A12&amp;$C12),$L:$T,7,FALSE))</f>
        <v>33.816033869999998</v>
      </c>
      <c r="G12" s="53">
        <f>IF(Summary_Exchange_Balances_00UTC!$B12="","",VLOOKUP(IF(ISERROR(SEARCH(" ", $B12)),UPPER($B12&amp;$C12&amp;$D12),UPPER(LEFT($B12, SEARCH(" ",$B12)-1)&amp;$C12&amp;$D12)),$M:$T,6,FALSE))</f>
        <v>33.816033869999998</v>
      </c>
      <c r="H12">
        <f>IF(Summary_Exchange_Balances_00UTC!$B12="","",IF(ISERROR($G12),$E12,$G12))</f>
        <v>33.816033869999998</v>
      </c>
      <c r="I12" s="36">
        <f t="shared" si="0"/>
        <v>38.265391281217774</v>
      </c>
      <c r="L12" t="str">
        <f t="shared" si="1"/>
        <v>BINEBCH</v>
      </c>
      <c r="M12" t="str">
        <f t="shared" si="2"/>
        <v>BINE-2-S1-EBCH</v>
      </c>
      <c r="N12" t="s">
        <v>21</v>
      </c>
      <c r="O12" t="s">
        <v>89</v>
      </c>
      <c r="P12" t="s">
        <v>86</v>
      </c>
      <c r="R12" s="43">
        <v>91.029457179999994</v>
      </c>
      <c r="S12" t="s">
        <v>505</v>
      </c>
      <c r="T12">
        <v>1</v>
      </c>
      <c r="W12" t="s">
        <v>89</v>
      </c>
      <c r="X12" t="s">
        <v>32</v>
      </c>
      <c r="Y12" s="53">
        <v>36.869033870000003</v>
      </c>
      <c r="Z12">
        <v>0</v>
      </c>
      <c r="AB12" s="3" t="s">
        <v>314</v>
      </c>
      <c r="AC12" s="32">
        <v>379.65103078999999</v>
      </c>
      <c r="AD12" s="32">
        <v>0</v>
      </c>
      <c r="AG12" t="s">
        <v>306</v>
      </c>
      <c r="AH12" t="s">
        <v>457</v>
      </c>
      <c r="AI12" t="s">
        <v>75</v>
      </c>
      <c r="AJ12" t="s">
        <v>93</v>
      </c>
      <c r="AS12" t="str">
        <f>IF(Summary_Exchange_Balances_00UTC!$B12="","","'"&amp;C12&amp;"',")</f>
        <v>'COMP',</v>
      </c>
      <c r="AT12">
        <f>IF(Summary_Exchange_Balances_00UTC!$B12="","",IF(ISERROR(HLOOKUP($C12,$AW$1:$LL$2,2,FALSE)),Summary_Exchange_Balances_00UTC!$Q12,IF(OR(HLOOKUP($C12,$AW$1:$LL$2,2,FALSE)="",HLOOKUP($C12,$AW$1:$LL$2,2,FALSE)="null"),Summary_Exchange_Balances_00UTC!$Q12,HLOOKUP($C12,$AW$1:$LL$2,2,FALSE))))</f>
        <v>39.366320000000002</v>
      </c>
    </row>
    <row r="13" spans="1:271" x14ac:dyDescent="0.25">
      <c r="A13" t="str">
        <f>IF(Summary_Exchange_Balances_00UTC!$B13="","",Summary_Exchange_Balances_00UTC!$N13)</f>
        <v>BINE</v>
      </c>
      <c r="B13" t="str">
        <f>IF(Summary_Exchange_Balances_00UTC!$B13="","",Summary_Exchange_Balances_00UTC!$B13)</f>
        <v>BINE-2-S1-E</v>
      </c>
      <c r="C13" t="str">
        <f>IF(Summary_Exchange_Balances_00UTC!$B13="","",Summary_Exchange_Balances_00UTC!$E13)</f>
        <v>CRV</v>
      </c>
      <c r="D13" t="str">
        <f>IF(OR(Summary_Exchange_Balances_00UTC!$B13="",Summary_Exchange_Balances_00UTC!$D13=""),"",Summary_Exchange_Balances_00UTC!$D13)</f>
        <v/>
      </c>
      <c r="E13" s="53">
        <f>IF(Summary_Exchange_Balances_00UTC!$B13="","",Summary_Exchange_Balances_00UTC!$C13)</f>
        <v>1.5637979999999999E-2</v>
      </c>
      <c r="F13" s="53">
        <f>IF(Summary_Exchange_Balances_00UTC!$B13="","",VLOOKUP(UPPER($A13&amp;$C13),$L:$T,7,FALSE))</f>
        <v>1.5637979999999999E-2</v>
      </c>
      <c r="G13" s="53">
        <f>IF(Summary_Exchange_Balances_00UTC!$B13="","",VLOOKUP(IF(ISERROR(SEARCH(" ", $B13)),UPPER($B13&amp;$C13&amp;$D13),UPPER(LEFT($B13, SEARCH(" ",$B13)-1)&amp;$C13&amp;$D13)),$M:$T,6,FALSE))</f>
        <v>1.5637979999999999E-2</v>
      </c>
      <c r="H13">
        <f>IF(Summary_Exchange_Balances_00UTC!$B13="","",IF(ISERROR($G13),$E13,$G13))</f>
        <v>1.5637979999999999E-2</v>
      </c>
      <c r="I13" s="36">
        <f t="shared" si="0"/>
        <v>0</v>
      </c>
      <c r="L13" t="str">
        <f t="shared" si="1"/>
        <v>BINEBCH</v>
      </c>
      <c r="M13" t="str">
        <f t="shared" si="2"/>
        <v>BINE-2-S1-MBCHMARGIN LOAN</v>
      </c>
      <c r="N13" t="s">
        <v>21</v>
      </c>
      <c r="O13" t="s">
        <v>89</v>
      </c>
      <c r="P13" t="s">
        <v>94</v>
      </c>
      <c r="Q13" t="s">
        <v>203</v>
      </c>
      <c r="R13" s="43">
        <v>-90</v>
      </c>
      <c r="S13" t="s">
        <v>506</v>
      </c>
      <c r="T13">
        <v>1</v>
      </c>
      <c r="W13" t="s">
        <v>89</v>
      </c>
      <c r="X13" t="s">
        <v>191</v>
      </c>
      <c r="Y13" s="53">
        <v>1.5637979999999999E-2</v>
      </c>
      <c r="Z13">
        <v>0</v>
      </c>
      <c r="AB13" s="3" t="s">
        <v>127</v>
      </c>
      <c r="AC13" s="32">
        <v>-4691.5297508000003</v>
      </c>
      <c r="AD13" s="32">
        <v>-4691.5297508000012</v>
      </c>
      <c r="AG13" t="s">
        <v>464</v>
      </c>
      <c r="AH13" t="s">
        <v>465</v>
      </c>
      <c r="AS13" t="str">
        <f>IF(Summary_Exchange_Balances_00UTC!$B13="","","'"&amp;C13&amp;"',")</f>
        <v>'CRV',</v>
      </c>
      <c r="AT13">
        <f>IF(Summary_Exchange_Balances_00UTC!$B13="","",IF(ISERROR(HLOOKUP($C13,$AW$1:$LL$2,2,FALSE)),Summary_Exchange_Balances_00UTC!$Q13,IF(OR(HLOOKUP($C13,$AW$1:$LL$2,2,FALSE)="",HLOOKUP($C13,$AW$1:$LL$2,2,FALSE)="null"),Summary_Exchange_Balances_00UTC!$Q13,HLOOKUP($C13,$AW$1:$LL$2,2,FALSE))))</f>
        <v>0.55510000000000004</v>
      </c>
    </row>
    <row r="14" spans="1:271" x14ac:dyDescent="0.25">
      <c r="A14" t="str">
        <f>IF(Summary_Exchange_Balances_00UTC!$B14="","",Summary_Exchange_Balances_00UTC!$N14)</f>
        <v>BINE</v>
      </c>
      <c r="B14" t="str">
        <f>IF(Summary_Exchange_Balances_00UTC!$B14="","",Summary_Exchange_Balances_00UTC!$B14)</f>
        <v>BINE-2-S1-E</v>
      </c>
      <c r="C14" t="str">
        <f>IF(Summary_Exchange_Balances_00UTC!$B14="","",Summary_Exchange_Balances_00UTC!$E14)</f>
        <v>DASH</v>
      </c>
      <c r="D14" t="str">
        <f>IF(OR(Summary_Exchange_Balances_00UTC!$B14="",Summary_Exchange_Balances_00UTC!$D14=""),"",Summary_Exchange_Balances_00UTC!$D14)</f>
        <v/>
      </c>
      <c r="E14" s="53">
        <f>IF(Summary_Exchange_Balances_00UTC!$B14="","",Summary_Exchange_Balances_00UTC!$C14)</f>
        <v>497.31768</v>
      </c>
      <c r="F14" s="53" t="e">
        <f>IF(Summary_Exchange_Balances_00UTC!$B14="","",VLOOKUP(UPPER($A14&amp;$C14),$L:$T,7,FALSE))</f>
        <v>#N/A</v>
      </c>
      <c r="G14" s="53" t="e">
        <f>IF(Summary_Exchange_Balances_00UTC!$B14="","",VLOOKUP(IF(ISERROR(SEARCH(" ", $B14)),UPPER($B14&amp;$C14&amp;$D14),UPPER(LEFT($B14, SEARCH(" ",$B14)-1)&amp;$C14&amp;$D14)),$M:$T,6,FALSE))</f>
        <v>#N/A</v>
      </c>
      <c r="H14">
        <f>IF(Summary_Exchange_Balances_00UTC!$B14="","",IF(ISERROR($G14),$E14,$G14))</f>
        <v>497.31768</v>
      </c>
      <c r="I14" s="36" t="e">
        <f t="shared" si="0"/>
        <v>#N/A</v>
      </c>
      <c r="L14" t="str">
        <f t="shared" si="1"/>
        <v>BINEBNB</v>
      </c>
      <c r="M14" t="str">
        <f t="shared" si="2"/>
        <v>BINE-2-S1-MBNBMARGIN LOAN</v>
      </c>
      <c r="N14" t="s">
        <v>90</v>
      </c>
      <c r="O14" t="s">
        <v>89</v>
      </c>
      <c r="P14" t="s">
        <v>94</v>
      </c>
      <c r="Q14" t="s">
        <v>203</v>
      </c>
      <c r="R14" s="43">
        <v>2497.9862178100002</v>
      </c>
      <c r="S14" t="s">
        <v>506</v>
      </c>
      <c r="T14">
        <v>1</v>
      </c>
      <c r="W14" t="s">
        <v>89</v>
      </c>
      <c r="X14" t="s">
        <v>193</v>
      </c>
      <c r="Y14" s="53">
        <v>61610.470464270002</v>
      </c>
      <c r="Z14">
        <v>0</v>
      </c>
      <c r="AB14" s="3" t="s">
        <v>21</v>
      </c>
      <c r="AC14" s="32">
        <v>-2267.41612928</v>
      </c>
      <c r="AD14" s="32">
        <v>781.47369452582097</v>
      </c>
      <c r="AG14" t="s">
        <v>227</v>
      </c>
      <c r="AH14" t="s">
        <v>466</v>
      </c>
      <c r="AS14" t="str">
        <f>IF(Summary_Exchange_Balances_00UTC!$B14="","","'"&amp;C14&amp;"',")</f>
        <v>'DASH',</v>
      </c>
      <c r="AT14">
        <f>IF(Summary_Exchange_Balances_00UTC!$B14="","",IF(ISERROR(HLOOKUP($C14,$AW$1:$LL$2,2,FALSE)),Summary_Exchange_Balances_00UTC!$Q14,IF(OR(HLOOKUP($C14,$AW$1:$LL$2,2,FALSE)="",HLOOKUP($C14,$AW$1:$LL$2,2,FALSE)="null"),Summary_Exchange_Balances_00UTC!$Q14,HLOOKUP($C14,$AW$1:$LL$2,2,FALSE))))</f>
        <v>33.817394</v>
      </c>
    </row>
    <row r="15" spans="1:271" x14ac:dyDescent="0.25">
      <c r="A15" t="str">
        <f>IF(Summary_Exchange_Balances_00UTC!$B15="","",Summary_Exchange_Balances_00UTC!$N15)</f>
        <v>BINE</v>
      </c>
      <c r="B15" t="str">
        <f>IF(Summary_Exchange_Balances_00UTC!$B15="","",Summary_Exchange_Balances_00UTC!$B15)</f>
        <v>BINE-2-S1-E</v>
      </c>
      <c r="C15" t="str">
        <f>IF(Summary_Exchange_Balances_00UTC!$B15="","",Summary_Exchange_Balances_00UTC!$E15)</f>
        <v>DOGE</v>
      </c>
      <c r="D15" t="str">
        <f>IF(OR(Summary_Exchange_Balances_00UTC!$B15="",Summary_Exchange_Balances_00UTC!$D15=""),"",Summary_Exchange_Balances_00UTC!$D15)</f>
        <v/>
      </c>
      <c r="E15" s="53">
        <f>IF(Summary_Exchange_Balances_00UTC!$B15="","",Summary_Exchange_Balances_00UTC!$C15)</f>
        <v>604880.55008426995</v>
      </c>
      <c r="F15" s="53">
        <f>IF(Summary_Exchange_Balances_00UTC!$B15="","",VLOOKUP(UPPER($A15&amp;$C15),$L:$T,7,FALSE))</f>
        <v>-180000</v>
      </c>
      <c r="G15" s="53">
        <f>IF(Summary_Exchange_Balances_00UTC!$B15="","",VLOOKUP(IF(ISERROR(SEARCH(" ", $B15)),UPPER($B15&amp;$C15&amp;$D15),UPPER(LEFT($B15, SEARCH(" ",$B15)-1)&amp;$C15&amp;$D15)),$M:$T,6,FALSE))</f>
        <v>180083.91109275</v>
      </c>
      <c r="H15">
        <f>IF(Summary_Exchange_Balances_00UTC!$B15="","",IF(ISERROR($G15),$E15,$G15))</f>
        <v>180083.91109275</v>
      </c>
      <c r="I15" s="36">
        <f t="shared" si="0"/>
        <v>-0.70228186198471532</v>
      </c>
      <c r="L15" t="str">
        <f t="shared" si="1"/>
        <v>BINEBNB</v>
      </c>
      <c r="M15" t="str">
        <f t="shared" si="2"/>
        <v>BINE-2-S1-PBNBBALANCE</v>
      </c>
      <c r="N15" t="s">
        <v>90</v>
      </c>
      <c r="O15" t="s">
        <v>89</v>
      </c>
      <c r="P15" t="s">
        <v>19</v>
      </c>
      <c r="Q15" t="s">
        <v>75</v>
      </c>
      <c r="R15" s="43">
        <v>1E-8</v>
      </c>
      <c r="S15" t="s">
        <v>507</v>
      </c>
      <c r="T15">
        <v>1</v>
      </c>
      <c r="W15" t="s">
        <v>89</v>
      </c>
      <c r="X15" t="s">
        <v>23</v>
      </c>
      <c r="Y15" s="53">
        <v>1999.0152611599999</v>
      </c>
      <c r="Z15">
        <v>0</v>
      </c>
      <c r="AB15" s="3" t="s">
        <v>128</v>
      </c>
      <c r="AC15" s="32">
        <v>2.5033500000000001E-3</v>
      </c>
      <c r="AD15" s="32">
        <v>2.5033500000000001E-3</v>
      </c>
      <c r="AG15" t="s">
        <v>226</v>
      </c>
      <c r="AH15" t="s">
        <v>467</v>
      </c>
      <c r="AS15" t="str">
        <f>IF(Summary_Exchange_Balances_00UTC!$B15="","","'"&amp;C15&amp;"',")</f>
        <v>'DOGE',</v>
      </c>
      <c r="AT15">
        <f>IF(Summary_Exchange_Balances_00UTC!$B15="","",IF(ISERROR(HLOOKUP($C15,$AW$1:$LL$2,2,FALSE)),Summary_Exchange_Balances_00UTC!$Q15,IF(OR(HLOOKUP($C15,$AW$1:$LL$2,2,FALSE)="",HLOOKUP($C15,$AW$1:$LL$2,2,FALSE)="null"),Summary_Exchange_Balances_00UTC!$Q15,HLOOKUP($C15,$AW$1:$LL$2,2,FALSE))))</f>
        <v>8.5419999999999996E-2</v>
      </c>
    </row>
    <row r="16" spans="1:271" x14ac:dyDescent="0.25">
      <c r="A16" t="str">
        <f>IF(Summary_Exchange_Balances_00UTC!$B16="","",Summary_Exchange_Balances_00UTC!$N16)</f>
        <v>BINE</v>
      </c>
      <c r="B16" t="str">
        <f>IF(Summary_Exchange_Balances_00UTC!$B16="","",Summary_Exchange_Balances_00UTC!$B16)</f>
        <v>BINE-2-S1-E</v>
      </c>
      <c r="C16" t="str">
        <f>IF(Summary_Exchange_Balances_00UTC!$B16="","",Summary_Exchange_Balances_00UTC!$E16)</f>
        <v>DOT</v>
      </c>
      <c r="D16" t="str">
        <f>IF(OR(Summary_Exchange_Balances_00UTC!$B16="",Summary_Exchange_Balances_00UTC!$D16=""),"",Summary_Exchange_Balances_00UTC!$D16)</f>
        <v/>
      </c>
      <c r="E16" s="53">
        <f>IF(Summary_Exchange_Balances_00UTC!$B16="","",Summary_Exchange_Balances_00UTC!$C16)</f>
        <v>4998.7032519799995</v>
      </c>
      <c r="F16" s="53">
        <f>IF(Summary_Exchange_Balances_00UTC!$B16="","",VLOOKUP(UPPER($A16&amp;$C16),$L:$T,7,FALSE))</f>
        <v>-2000</v>
      </c>
      <c r="G16" s="53">
        <f>IF(Summary_Exchange_Balances_00UTC!$B16="","",VLOOKUP(IF(ISERROR(SEARCH(" ", $B16)),UPPER($B16&amp;$C16&amp;$D16),UPPER(LEFT($B16, SEARCH(" ",$B16)-1)&amp;$C16&amp;$D16)),$M:$T,6,FALSE))</f>
        <v>1999.0152611599999</v>
      </c>
      <c r="H16">
        <f>IF(Summary_Exchange_Balances_00UTC!$B16="","",IF(ISERROR($G16),$E16,$G16))</f>
        <v>1999.0152611599999</v>
      </c>
      <c r="I16" s="36">
        <f t="shared" si="0"/>
        <v>-0.60009323210610988</v>
      </c>
      <c r="L16" t="str">
        <f t="shared" si="1"/>
        <v>BINEBNB</v>
      </c>
      <c r="M16" t="str">
        <f t="shared" si="2"/>
        <v>BINE-2-S1-EBNB</v>
      </c>
      <c r="N16" t="s">
        <v>90</v>
      </c>
      <c r="O16" t="s">
        <v>89</v>
      </c>
      <c r="P16" t="s">
        <v>86</v>
      </c>
      <c r="R16" s="43">
        <v>84.638991149999995</v>
      </c>
      <c r="S16" t="s">
        <v>505</v>
      </c>
      <c r="T16">
        <v>1</v>
      </c>
      <c r="W16" t="s">
        <v>89</v>
      </c>
      <c r="X16" t="s">
        <v>24</v>
      </c>
      <c r="Y16" s="53">
        <v>29999.901399999999</v>
      </c>
      <c r="Z16">
        <v>0</v>
      </c>
      <c r="AB16" s="3" t="s">
        <v>129</v>
      </c>
      <c r="AC16" s="32">
        <v>115.29838952</v>
      </c>
      <c r="AD16" s="32">
        <v>115.29838952</v>
      </c>
      <c r="AG16" t="s">
        <v>224</v>
      </c>
      <c r="AH16" t="s">
        <v>468</v>
      </c>
      <c r="AI16" t="s">
        <v>75</v>
      </c>
      <c r="AJ16" t="s">
        <v>93</v>
      </c>
      <c r="AS16" t="str">
        <f>IF(Summary_Exchange_Balances_00UTC!$B16="","","'"&amp;C16&amp;"',")</f>
        <v>'DOT',</v>
      </c>
      <c r="AT16">
        <f>IF(Summary_Exchange_Balances_00UTC!$B16="","",IF(ISERROR(HLOOKUP($C16,$AW$1:$LL$2,2,FALSE)),Summary_Exchange_Balances_00UTC!$Q16,IF(OR(HLOOKUP($C16,$AW$1:$LL$2,2,FALSE)="",HLOOKUP($C16,$AW$1:$LL$2,2,FALSE)="null"),Summary_Exchange_Balances_00UTC!$Q16,HLOOKUP($C16,$AW$1:$LL$2,2,FALSE))))</f>
        <v>5.6989999999999998</v>
      </c>
    </row>
    <row r="17" spans="1:46" x14ac:dyDescent="0.25">
      <c r="A17" t="str">
        <f>IF(Summary_Exchange_Balances_00UTC!$B17="","",Summary_Exchange_Balances_00UTC!$N17)</f>
        <v>BINE</v>
      </c>
      <c r="B17" t="str">
        <f>IF(Summary_Exchange_Balances_00UTC!$B17="","",Summary_Exchange_Balances_00UTC!$B17)</f>
        <v>BINE-2-S1-E</v>
      </c>
      <c r="C17" t="str">
        <f>IF(Summary_Exchange_Balances_00UTC!$B17="","",Summary_Exchange_Balances_00UTC!$E17)</f>
        <v>ENJ</v>
      </c>
      <c r="D17" t="str">
        <f>IF(OR(Summary_Exchange_Balances_00UTC!$B17="",Summary_Exchange_Balances_00UTC!$D17=""),"",Summary_Exchange_Balances_00UTC!$D17)</f>
        <v/>
      </c>
      <c r="E17" s="53">
        <f>IF(Summary_Exchange_Balances_00UTC!$B17="","",Summary_Exchange_Balances_00UTC!$C17)</f>
        <v>30831.324700000001</v>
      </c>
      <c r="F17" s="53">
        <f>IF(Summary_Exchange_Balances_00UTC!$B17="","",VLOOKUP(UPPER($A17&amp;$C17),$L:$T,7,FALSE))</f>
        <v>23943.410199999998</v>
      </c>
      <c r="G17" s="53">
        <f>IF(Summary_Exchange_Balances_00UTC!$B17="","",VLOOKUP(IF(ISERROR(SEARCH(" ", $B17)),UPPER($B17&amp;$C17&amp;$D17),UPPER(LEFT($B17, SEARCH(" ",$B17)-1)&amp;$C17&amp;$D17)),$M:$T,6,FALSE))</f>
        <v>23943.410199999998</v>
      </c>
      <c r="H17">
        <f>IF(Summary_Exchange_Balances_00UTC!$B17="","",IF(ISERROR($G17),$E17,$G17))</f>
        <v>23943.410199999998</v>
      </c>
      <c r="I17" s="36">
        <f t="shared" si="0"/>
        <v>-0.22340637539975705</v>
      </c>
      <c r="L17" t="str">
        <f t="shared" si="1"/>
        <v>BINEBTC</v>
      </c>
      <c r="M17" t="str">
        <f t="shared" si="2"/>
        <v>BINE-2-S1-EBTC</v>
      </c>
      <c r="N17" t="s">
        <v>15</v>
      </c>
      <c r="O17" t="s">
        <v>89</v>
      </c>
      <c r="P17" t="s">
        <v>86</v>
      </c>
      <c r="R17" s="43">
        <v>35.056527279999997</v>
      </c>
      <c r="S17" t="s">
        <v>505</v>
      </c>
      <c r="T17">
        <v>1</v>
      </c>
      <c r="W17" t="s">
        <v>89</v>
      </c>
      <c r="X17" t="s">
        <v>16</v>
      </c>
      <c r="Y17" s="53">
        <v>9.9330999999999996</v>
      </c>
      <c r="Z17">
        <v>0</v>
      </c>
      <c r="AB17" s="3" t="s">
        <v>90</v>
      </c>
      <c r="AC17" s="32">
        <v>2608.6483694500002</v>
      </c>
      <c r="AD17" s="32">
        <v>2609.77636626</v>
      </c>
      <c r="AG17" t="s">
        <v>96</v>
      </c>
      <c r="AH17" t="s">
        <v>469</v>
      </c>
      <c r="AL17" t="s">
        <v>430</v>
      </c>
      <c r="AN17" t="s">
        <v>96</v>
      </c>
      <c r="AS17" t="str">
        <f>IF(Summary_Exchange_Balances_00UTC!$B17="","","'"&amp;C17&amp;"',")</f>
        <v>'ENJ',</v>
      </c>
      <c r="AT17">
        <f>IF(Summary_Exchange_Balances_00UTC!$B17="","",IF(ISERROR(HLOOKUP($C17,$AW$1:$LL$2,2,FALSE)),Summary_Exchange_Balances_00UTC!$Q17,IF(OR(HLOOKUP($C17,$AW$1:$LL$2,2,FALSE)="",HLOOKUP($C17,$AW$1:$LL$2,2,FALSE)="null"),Summary_Exchange_Balances_00UTC!$Q17,HLOOKUP($C17,$AW$1:$LL$2,2,FALSE))))</f>
        <v>0.30611965000000002</v>
      </c>
    </row>
    <row r="18" spans="1:46" x14ac:dyDescent="0.25">
      <c r="A18" t="str">
        <f>IF(Summary_Exchange_Balances_00UTC!$B18="","",Summary_Exchange_Balances_00UTC!$N18)</f>
        <v>BINE</v>
      </c>
      <c r="B18" t="str">
        <f>IF(Summary_Exchange_Balances_00UTC!$B18="","",Summary_Exchange_Balances_00UTC!$B18)</f>
        <v>BINE-2-S1-E</v>
      </c>
      <c r="C18" t="str">
        <f>IF(Summary_Exchange_Balances_00UTC!$B18="","",Summary_Exchange_Balances_00UTC!$E18)</f>
        <v>EOS</v>
      </c>
      <c r="D18" t="str">
        <f>IF(OR(Summary_Exchange_Balances_00UTC!$B18="",Summary_Exchange_Balances_00UTC!$D18=""),"",Summary_Exchange_Balances_00UTC!$D18)</f>
        <v/>
      </c>
      <c r="E18" s="53">
        <f>IF(Summary_Exchange_Balances_00UTC!$B18="","",Summary_Exchange_Balances_00UTC!$C18)</f>
        <v>79109.898400000005</v>
      </c>
      <c r="F18" s="53">
        <f>IF(Summary_Exchange_Balances_00UTC!$B18="","",VLOOKUP(UPPER($A18&amp;$C18),$L:$T,7,FALSE))</f>
        <v>153503.5</v>
      </c>
      <c r="G18" s="53">
        <f>IF(Summary_Exchange_Balances_00UTC!$B18="","",VLOOKUP(IF(ISERROR(SEARCH(" ", $B18)),UPPER($B18&amp;$C18&amp;$D18),UPPER(LEFT($B18, SEARCH(" ",$B18)-1)&amp;$C18&amp;$D18)),$M:$T,6,FALSE))</f>
        <v>29999.901399999999</v>
      </c>
      <c r="H18">
        <f>IF(Summary_Exchange_Balances_00UTC!$B18="","",IF(ISERROR($G18),$E18,$G18))</f>
        <v>29999.901399999999</v>
      </c>
      <c r="I18" s="36">
        <f t="shared" si="0"/>
        <v>-0.62078195008780346</v>
      </c>
      <c r="L18" t="str">
        <f t="shared" si="1"/>
        <v>BINEBTC</v>
      </c>
      <c r="M18" t="str">
        <f t="shared" si="2"/>
        <v>BINE-2-S1-FBTCUNREALIZED</v>
      </c>
      <c r="N18" t="s">
        <v>15</v>
      </c>
      <c r="O18" t="s">
        <v>89</v>
      </c>
      <c r="P18" t="s">
        <v>12</v>
      </c>
      <c r="Q18" t="s">
        <v>93</v>
      </c>
      <c r="R18" s="43">
        <v>-4.32962224</v>
      </c>
      <c r="S18" t="s">
        <v>508</v>
      </c>
      <c r="T18">
        <v>1</v>
      </c>
      <c r="W18" t="s">
        <v>89</v>
      </c>
      <c r="X18" t="s">
        <v>110</v>
      </c>
      <c r="Y18" s="53">
        <v>676914.25030584994</v>
      </c>
      <c r="Z18">
        <v>0</v>
      </c>
      <c r="AB18" s="3" t="s">
        <v>130</v>
      </c>
      <c r="AC18" s="32">
        <v>14.7502</v>
      </c>
      <c r="AD18" s="32">
        <v>14.7502</v>
      </c>
      <c r="AL18" t="s">
        <v>100</v>
      </c>
      <c r="AN18" t="s">
        <v>100</v>
      </c>
      <c r="AS18" t="str">
        <f>IF(Summary_Exchange_Balances_00UTC!$B18="","","'"&amp;C18&amp;"',")</f>
        <v>'EOS',</v>
      </c>
      <c r="AT18">
        <f>IF(Summary_Exchange_Balances_00UTC!$B18="","",IF(ISERROR(HLOOKUP($C18,$AW$1:$LL$2,2,FALSE)),Summary_Exchange_Balances_00UTC!$Q18,IF(OR(HLOOKUP($C18,$AW$1:$LL$2,2,FALSE)="",HLOOKUP($C18,$AW$1:$LL$2,2,FALSE)="null"),Summary_Exchange_Balances_00UTC!$Q18,HLOOKUP($C18,$AW$1:$LL$2,2,FALSE))))</f>
        <v>0.90154135000000002</v>
      </c>
    </row>
    <row r="19" spans="1:46" x14ac:dyDescent="0.25">
      <c r="A19" t="str">
        <f>IF(Summary_Exchange_Balances_00UTC!$B19="","",Summary_Exchange_Balances_00UTC!$N19)</f>
        <v>BINE</v>
      </c>
      <c r="B19" t="str">
        <f>IF(Summary_Exchange_Balances_00UTC!$B19="","",Summary_Exchange_Balances_00UTC!$B19)</f>
        <v>BINE-2-S1-E</v>
      </c>
      <c r="C19" t="str">
        <f>IF(Summary_Exchange_Balances_00UTC!$B19="","",Summary_Exchange_Balances_00UTC!$E19)</f>
        <v>ETH</v>
      </c>
      <c r="D19" t="str">
        <f>IF(OR(Summary_Exchange_Balances_00UTC!$B19="",Summary_Exchange_Balances_00UTC!$D19=""),"",Summary_Exchange_Balances_00UTC!$D19)</f>
        <v/>
      </c>
      <c r="E19" s="53">
        <f>IF(Summary_Exchange_Balances_00UTC!$B19="","",Summary_Exchange_Balances_00UTC!$C19)</f>
        <v>207.5909</v>
      </c>
      <c r="F19" s="53">
        <f>IF(Summary_Exchange_Balances_00UTC!$B19="","",VLOOKUP(UPPER($A19&amp;$C19),$L:$T,7,FALSE))</f>
        <v>109.9331</v>
      </c>
      <c r="G19" s="53">
        <f>IF(Summary_Exchange_Balances_00UTC!$B19="","",VLOOKUP(IF(ISERROR(SEARCH(" ", $B19)),UPPER($B19&amp;$C19&amp;$D19),UPPER(LEFT($B19, SEARCH(" ",$B19)-1)&amp;$C19&amp;$D19)),$M:$T,6,FALSE))</f>
        <v>109.9331</v>
      </c>
      <c r="H19">
        <f>IF(Summary_Exchange_Balances_00UTC!$B19="","",IF(ISERROR($G19),$E19,$G19))</f>
        <v>109.9331</v>
      </c>
      <c r="I19" s="36">
        <f t="shared" si="0"/>
        <v>-0.47043391593754835</v>
      </c>
      <c r="L19" t="str">
        <f t="shared" si="1"/>
        <v>BINEBTC</v>
      </c>
      <c r="M19" t="str">
        <f t="shared" si="2"/>
        <v>BINE-2-S1-FBTCBALANCE</v>
      </c>
      <c r="N19" t="s">
        <v>15</v>
      </c>
      <c r="O19" t="s">
        <v>89</v>
      </c>
      <c r="P19" t="s">
        <v>12</v>
      </c>
      <c r="Q19" t="s">
        <v>75</v>
      </c>
      <c r="R19" s="43">
        <v>819.77855609999995</v>
      </c>
      <c r="S19" t="s">
        <v>508</v>
      </c>
      <c r="T19">
        <v>1</v>
      </c>
      <c r="W19" t="s">
        <v>89</v>
      </c>
      <c r="X19" t="s">
        <v>31</v>
      </c>
      <c r="Y19" s="53">
        <v>0.19800000000000001</v>
      </c>
      <c r="Z19">
        <v>0</v>
      </c>
      <c r="AB19" s="3" t="s">
        <v>116</v>
      </c>
      <c r="AC19" s="32">
        <v>3685.6375359500007</v>
      </c>
      <c r="AD19" s="32">
        <v>3684.7702414085002</v>
      </c>
      <c r="AG19" t="s">
        <v>103</v>
      </c>
      <c r="AH19" t="s">
        <v>470</v>
      </c>
      <c r="AL19" t="s">
        <v>438</v>
      </c>
      <c r="AN19" t="s">
        <v>103</v>
      </c>
      <c r="AS19" t="str">
        <f>IF(Summary_Exchange_Balances_00UTC!$B19="","","'"&amp;C19&amp;"',")</f>
        <v>'ETH',</v>
      </c>
      <c r="AT19">
        <f>IF(Summary_Exchange_Balances_00UTC!$B19="","",IF(ISERROR(HLOOKUP($C19,$AW$1:$LL$2,2,FALSE)),Summary_Exchange_Balances_00UTC!$Q19,IF(OR(HLOOKUP($C19,$AW$1:$LL$2,2,FALSE)="",HLOOKUP($C19,$AW$1:$LL$2,2,FALSE)="null"),Summary_Exchange_Balances_00UTC!$Q19,HLOOKUP($C19,$AW$1:$LL$2,2,FALSE))))</f>
        <v>1208.73</v>
      </c>
    </row>
    <row r="20" spans="1:46" x14ac:dyDescent="0.25">
      <c r="A20" t="str">
        <f>IF(Summary_Exchange_Balances_00UTC!$B20="","",Summary_Exchange_Balances_00UTC!$N20)</f>
        <v>BINE</v>
      </c>
      <c r="B20" t="str">
        <f>IF(Summary_Exchange_Balances_00UTC!$B20="","",Summary_Exchange_Balances_00UTC!$B20)</f>
        <v>BINE-2-S1-E</v>
      </c>
      <c r="C20" t="str">
        <f>IF(Summary_Exchange_Balances_00UTC!$B20="","",Summary_Exchange_Balances_00UTC!$E20)</f>
        <v>EUR</v>
      </c>
      <c r="D20" t="str">
        <f>IF(OR(Summary_Exchange_Balances_00UTC!$B20="",Summary_Exchange_Balances_00UTC!$D20=""),"",Summary_Exchange_Balances_00UTC!$D20)</f>
        <v/>
      </c>
      <c r="E20" s="53">
        <f>IF(Summary_Exchange_Balances_00UTC!$B20="","",Summary_Exchange_Balances_00UTC!$C20)</f>
        <v>796684.29277635005</v>
      </c>
      <c r="F20" s="53">
        <f>IF(Summary_Exchange_Balances_00UTC!$B20="","",VLOOKUP(UPPER($A20&amp;$C20),$L:$T,7,FALSE))</f>
        <v>719874.19740535005</v>
      </c>
      <c r="G20" s="53">
        <f>IF(Summary_Exchange_Balances_00UTC!$B20="","",VLOOKUP(IF(ISERROR(SEARCH(" ", $B20)),UPPER($B20&amp;$C20&amp;$D20),UPPER(LEFT($B20, SEARCH(" ",$B20)-1)&amp;$C20&amp;$D20)),$M:$T,6,FALSE))</f>
        <v>719874.19740535005</v>
      </c>
      <c r="H20">
        <f>IF(Summary_Exchange_Balances_00UTC!$B20="","",IF(ISERROR($G20),$E20,$G20))</f>
        <v>719874.19740535005</v>
      </c>
      <c r="I20" s="36">
        <f t="shared" si="0"/>
        <v>-9.641221255075326E-2</v>
      </c>
      <c r="L20" t="str">
        <f t="shared" si="1"/>
        <v>BINEBTC</v>
      </c>
      <c r="M20" t="str">
        <f t="shared" si="2"/>
        <v>BINE-2-S1-MBTCMARGIN LOAN</v>
      </c>
      <c r="N20" t="s">
        <v>15</v>
      </c>
      <c r="O20" t="s">
        <v>89</v>
      </c>
      <c r="P20" t="s">
        <v>94</v>
      </c>
      <c r="Q20" t="s">
        <v>203</v>
      </c>
      <c r="R20" s="43">
        <v>-287.51055587000002</v>
      </c>
      <c r="S20" t="s">
        <v>506</v>
      </c>
      <c r="T20">
        <v>1</v>
      </c>
      <c r="W20" t="s">
        <v>89</v>
      </c>
      <c r="X20" t="s">
        <v>28</v>
      </c>
      <c r="Y20" s="53">
        <v>12.72046903</v>
      </c>
      <c r="Z20">
        <v>0</v>
      </c>
      <c r="AB20" s="3" t="s">
        <v>15</v>
      </c>
      <c r="AC20" s="32">
        <v>8137.3247983999991</v>
      </c>
      <c r="AD20" s="32">
        <v>8178.542182783568</v>
      </c>
      <c r="AG20" t="s">
        <v>105</v>
      </c>
      <c r="AH20" t="s">
        <v>471</v>
      </c>
      <c r="AL20" t="s">
        <v>439</v>
      </c>
      <c r="AN20" t="s">
        <v>105</v>
      </c>
      <c r="AS20" t="str">
        <f>IF(Summary_Exchange_Balances_00UTC!$B20="","","'"&amp;C20&amp;"',")</f>
        <v>'EUR',</v>
      </c>
      <c r="AT20">
        <f>IF(Summary_Exchange_Balances_00UTC!$B20="","",IF(ISERROR(HLOOKUP($C20,$AW$1:$LL$2,2,FALSE)),Summary_Exchange_Balances_00UTC!$Q20,IF(OR(HLOOKUP($C20,$AW$1:$LL$2,2,FALSE)="",HLOOKUP($C20,$AW$1:$LL$2,2,FALSE)="null"),Summary_Exchange_Balances_00UTC!$Q20,HLOOKUP($C20,$AW$1:$LL$2,2,FALSE))))</f>
        <v>1.0682699999999994</v>
      </c>
    </row>
    <row r="21" spans="1:46" x14ac:dyDescent="0.25">
      <c r="A21" t="str">
        <f>IF(Summary_Exchange_Balances_00UTC!$B21="","",Summary_Exchange_Balances_00UTC!$N21)</f>
        <v>BINE</v>
      </c>
      <c r="B21" t="str">
        <f>IF(Summary_Exchange_Balances_00UTC!$B21="","",Summary_Exchange_Balances_00UTC!$B21)</f>
        <v>BINE-2-S1-E</v>
      </c>
      <c r="C21" t="str">
        <f>IF(Summary_Exchange_Balances_00UTC!$B21="","",Summary_Exchange_Balances_00UTC!$E21)</f>
        <v>FIL</v>
      </c>
      <c r="D21" t="str">
        <f>IF(OR(Summary_Exchange_Balances_00UTC!$B21="",Summary_Exchange_Balances_00UTC!$D21=""),"",Summary_Exchange_Balances_00UTC!$D21)</f>
        <v/>
      </c>
      <c r="E21" s="53">
        <f>IF(Summary_Exchange_Balances_00UTC!$B21="","",Summary_Exchange_Balances_00UTC!$C21)</f>
        <v>0.19800000000000001</v>
      </c>
      <c r="F21" s="53">
        <f>IF(Summary_Exchange_Balances_00UTC!$B21="","",VLOOKUP(UPPER($A21&amp;$C21),$L:$T,7,FALSE))</f>
        <v>0.19800000000000001</v>
      </c>
      <c r="G21" s="53">
        <f>IF(Summary_Exchange_Balances_00UTC!$B21="","",VLOOKUP(IF(ISERROR(SEARCH(" ", $B21)),UPPER($B21&amp;$C21&amp;$D21),UPPER(LEFT($B21, SEARCH(" ",$B21)-1)&amp;$C21&amp;$D21)),$M:$T,6,FALSE))</f>
        <v>0.19800000000000001</v>
      </c>
      <c r="H21">
        <f>IF(Summary_Exchange_Balances_00UTC!$B21="","",IF(ISERROR($G21),$E21,$G21))</f>
        <v>0.19800000000000001</v>
      </c>
      <c r="I21" s="36">
        <f t="shared" si="0"/>
        <v>0</v>
      </c>
      <c r="L21" t="str">
        <f t="shared" si="1"/>
        <v>BINEBUSD</v>
      </c>
      <c r="M21" t="str">
        <f t="shared" si="2"/>
        <v>BINE-2-S1-MBUSDMARGIN LOAN</v>
      </c>
      <c r="N21" t="s">
        <v>91</v>
      </c>
      <c r="O21" t="s">
        <v>89</v>
      </c>
      <c r="P21" t="s">
        <v>94</v>
      </c>
      <c r="Q21" t="s">
        <v>203</v>
      </c>
      <c r="R21" s="43">
        <v>-3165472.0316702998</v>
      </c>
      <c r="S21" t="s">
        <v>506</v>
      </c>
      <c r="T21">
        <v>1</v>
      </c>
      <c r="W21" t="s">
        <v>89</v>
      </c>
      <c r="X21" t="s">
        <v>25</v>
      </c>
      <c r="Y21" s="53">
        <v>1.4551239499999999</v>
      </c>
      <c r="Z21">
        <v>0</v>
      </c>
      <c r="AB21" s="3" t="s">
        <v>131</v>
      </c>
      <c r="AC21" s="32">
        <v>0.33565571999999999</v>
      </c>
      <c r="AD21" s="32">
        <v>0.33565571999999999</v>
      </c>
      <c r="AG21" t="s">
        <v>107</v>
      </c>
      <c r="AH21" t="s">
        <v>472</v>
      </c>
      <c r="AL21" t="s">
        <v>440</v>
      </c>
      <c r="AN21" t="s">
        <v>107</v>
      </c>
      <c r="AS21" t="str">
        <f>IF(Summary_Exchange_Balances_00UTC!$B21="","","'"&amp;C21&amp;"',")</f>
        <v>'FIL',</v>
      </c>
      <c r="AT21">
        <f>IF(Summary_Exchange_Balances_00UTC!$B21="","",IF(ISERROR(HLOOKUP($C21,$AW$1:$LL$2,2,FALSE)),Summary_Exchange_Balances_00UTC!$Q21,IF(OR(HLOOKUP($C21,$AW$1:$LL$2,2,FALSE)="",HLOOKUP($C21,$AW$1:$LL$2,2,FALSE)="null"),Summary_Exchange_Balances_00UTC!$Q21,HLOOKUP($C21,$AW$1:$LL$2,2,FALSE))))</f>
        <v>4.3366579999999999</v>
      </c>
    </row>
    <row r="22" spans="1:46" x14ac:dyDescent="0.25">
      <c r="A22" t="str">
        <f>IF(Summary_Exchange_Balances_00UTC!$B22="","",Summary_Exchange_Balances_00UTC!$N22)</f>
        <v>BINE</v>
      </c>
      <c r="B22" t="str">
        <f>IF(Summary_Exchange_Balances_00UTC!$B22="","",Summary_Exchange_Balances_00UTC!$B22)</f>
        <v>BINE-2-S1-E</v>
      </c>
      <c r="C22" t="str">
        <f>IF(Summary_Exchange_Balances_00UTC!$B22="","",Summary_Exchange_Balances_00UTC!$E22)</f>
        <v>FTM</v>
      </c>
      <c r="D22" t="str">
        <f>IF(OR(Summary_Exchange_Balances_00UTC!$B22="",Summary_Exchange_Balances_00UTC!$D22=""),"",Summary_Exchange_Balances_00UTC!$D22)</f>
        <v/>
      </c>
      <c r="E22" s="53">
        <f>IF(Summary_Exchange_Balances_00UTC!$B22="","",Summary_Exchange_Balances_00UTC!$C22)</f>
        <v>142175.21349967</v>
      </c>
      <c r="F22" s="53">
        <f>IF(Summary_Exchange_Balances_00UTC!$B22="","",VLOOKUP(UPPER($A22&amp;$C22),$L:$T,7,FALSE))</f>
        <v>30000</v>
      </c>
      <c r="G22" s="53">
        <f>IF(Summary_Exchange_Balances_00UTC!$B22="","",VLOOKUP(IF(ISERROR(SEARCH(" ", $B22)),UPPER($B22&amp;$C22&amp;$D22),UPPER(LEFT($B22, SEARCH(" ",$B22)-1)&amp;$C22&amp;$D22)),$M:$T,6,FALSE))</f>
        <v>30000</v>
      </c>
      <c r="H22">
        <f>IF(Summary_Exchange_Balances_00UTC!$B22="","",IF(ISERROR($G22),$E22,$G22))</f>
        <v>30000</v>
      </c>
      <c r="I22" s="36">
        <f t="shared" si="0"/>
        <v>-0.78899275575858629</v>
      </c>
      <c r="L22" t="str">
        <f t="shared" si="1"/>
        <v>BINEBUSD</v>
      </c>
      <c r="M22" t="str">
        <f t="shared" si="2"/>
        <v>BINE-2-S1-EBUSD</v>
      </c>
      <c r="N22" t="s">
        <v>91</v>
      </c>
      <c r="O22" t="s">
        <v>89</v>
      </c>
      <c r="P22" t="s">
        <v>86</v>
      </c>
      <c r="R22" s="43">
        <v>114533.72121504</v>
      </c>
      <c r="S22" t="s">
        <v>505</v>
      </c>
      <c r="T22">
        <v>1</v>
      </c>
      <c r="W22" t="s">
        <v>89</v>
      </c>
      <c r="X22" t="s">
        <v>195</v>
      </c>
      <c r="Y22" s="53">
        <v>4125.1621725699997</v>
      </c>
      <c r="Z22">
        <v>0</v>
      </c>
      <c r="AB22" s="3" t="s">
        <v>132</v>
      </c>
      <c r="AC22" s="32">
        <v>1367501156.8785999</v>
      </c>
      <c r="AD22" s="32">
        <v>1367501156.8785999</v>
      </c>
      <c r="AG22" t="s">
        <v>108</v>
      </c>
      <c r="AH22" t="s">
        <v>473</v>
      </c>
      <c r="AL22" t="s">
        <v>437</v>
      </c>
      <c r="AN22" t="s">
        <v>108</v>
      </c>
      <c r="AS22" t="str">
        <f>IF(Summary_Exchange_Balances_00UTC!$B22="","","'"&amp;C22&amp;"',")</f>
        <v>'FTM',</v>
      </c>
      <c r="AT22">
        <f>IF(Summary_Exchange_Balances_00UTC!$B22="","",IF(ISERROR(HLOOKUP($C22,$AW$1:$LL$2,2,FALSE)),Summary_Exchange_Balances_00UTC!$Q22,IF(OR(HLOOKUP($C22,$AW$1:$LL$2,2,FALSE)="",HLOOKUP($C22,$AW$1:$LL$2,2,FALSE)="null"),Summary_Exchange_Balances_00UTC!$Q22,HLOOKUP($C22,$AW$1:$LL$2,2,FALSE))))</f>
        <v>0.17945811</v>
      </c>
    </row>
    <row r="23" spans="1:46" x14ac:dyDescent="0.25">
      <c r="A23" t="str">
        <f>IF(Summary_Exchange_Balances_00UTC!$B23="","",Summary_Exchange_Balances_00UTC!$N23)</f>
        <v>BINE</v>
      </c>
      <c r="B23" t="str">
        <f>IF(Summary_Exchange_Balances_00UTC!$B23="","",Summary_Exchange_Balances_00UTC!$B23)</f>
        <v>BINE-2-S1-E</v>
      </c>
      <c r="C23" t="str">
        <f>IF(Summary_Exchange_Balances_00UTC!$B23="","",Summary_Exchange_Balances_00UTC!$E23)</f>
        <v>GRT</v>
      </c>
      <c r="D23" t="str">
        <f>IF(OR(Summary_Exchange_Balances_00UTC!$B23="",Summary_Exchange_Balances_00UTC!$D23=""),"",Summary_Exchange_Balances_00UTC!$D23)</f>
        <v/>
      </c>
      <c r="E23" s="53">
        <f>IF(Summary_Exchange_Balances_00UTC!$B23="","",Summary_Exchange_Balances_00UTC!$C23)</f>
        <v>239455.44699999999</v>
      </c>
      <c r="F23" s="53" t="e">
        <f>IF(Summary_Exchange_Balances_00UTC!$B23="","",VLOOKUP(UPPER($A23&amp;$C23),$L:$T,7,FALSE))</f>
        <v>#N/A</v>
      </c>
      <c r="G23" s="53" t="e">
        <f>IF(Summary_Exchange_Balances_00UTC!$B23="","",VLOOKUP(IF(ISERROR(SEARCH(" ", $B23)),UPPER($B23&amp;$C23&amp;$D23),UPPER(LEFT($B23, SEARCH(" ",$B23)-1)&amp;$C23&amp;$D23)),$M:$T,6,FALSE))</f>
        <v>#N/A</v>
      </c>
      <c r="H23">
        <f>IF(Summary_Exchange_Balances_00UTC!$B23="","",IF(ISERROR($G23),$E23,$G23))</f>
        <v>239455.44699999999</v>
      </c>
      <c r="I23" s="36" t="e">
        <f t="shared" si="0"/>
        <v>#N/A</v>
      </c>
      <c r="L23" t="str">
        <f t="shared" si="1"/>
        <v>BINEBUSD</v>
      </c>
      <c r="M23" t="str">
        <f t="shared" si="2"/>
        <v>BINE-2-S1-PBUSDBALANCE</v>
      </c>
      <c r="N23" t="s">
        <v>91</v>
      </c>
      <c r="O23" t="s">
        <v>89</v>
      </c>
      <c r="P23" t="s">
        <v>19</v>
      </c>
      <c r="Q23" t="s">
        <v>75</v>
      </c>
      <c r="R23" s="43">
        <v>11900000</v>
      </c>
      <c r="S23" t="s">
        <v>507</v>
      </c>
      <c r="T23">
        <v>1</v>
      </c>
      <c r="W23" t="s">
        <v>89</v>
      </c>
      <c r="X23" t="s">
        <v>92</v>
      </c>
      <c r="Y23" s="53">
        <v>405872.62526320003</v>
      </c>
      <c r="Z23">
        <v>0</v>
      </c>
      <c r="AB23" s="3" t="s">
        <v>91</v>
      </c>
      <c r="AC23" s="32">
        <v>7661438.6118996805</v>
      </c>
      <c r="AD23" s="32">
        <v>7240045.9432645701</v>
      </c>
      <c r="AL23" t="s">
        <v>104</v>
      </c>
      <c r="AS23" t="str">
        <f>IF(Summary_Exchange_Balances_00UTC!$B23="","","'"&amp;C23&amp;"',")</f>
        <v>'GRT',</v>
      </c>
      <c r="AT23">
        <f>IF(Summary_Exchange_Balances_00UTC!$B23="","",IF(ISERROR(HLOOKUP($C23,$AW$1:$LL$2,2,FALSE)),Summary_Exchange_Balances_00UTC!$Q23,IF(OR(HLOOKUP($C23,$AW$1:$LL$2,2,FALSE)="",HLOOKUP($C23,$AW$1:$LL$2,2,FALSE)="null"),Summary_Exchange_Balances_00UTC!$Q23,HLOOKUP($C23,$AW$1:$LL$2,2,FALSE))))</f>
        <v>6.08E-2</v>
      </c>
    </row>
    <row r="24" spans="1:46" x14ac:dyDescent="0.25">
      <c r="A24" t="str">
        <f>IF(Summary_Exchange_Balances_00UTC!$B24="","",Summary_Exchange_Balances_00UTC!$N24)</f>
        <v>BINE</v>
      </c>
      <c r="B24" t="str">
        <f>IF(Summary_Exchange_Balances_00UTC!$B24="","",Summary_Exchange_Balances_00UTC!$B24)</f>
        <v>BINE-2-S1-E</v>
      </c>
      <c r="C24" t="str">
        <f>IF(Summary_Exchange_Balances_00UTC!$B24="","",Summary_Exchange_Balances_00UTC!$E24)</f>
        <v>HBAR</v>
      </c>
      <c r="D24" t="str">
        <f>IF(OR(Summary_Exchange_Balances_00UTC!$B24="",Summary_Exchange_Balances_00UTC!$D24=""),"",Summary_Exchange_Balances_00UTC!$D24)</f>
        <v/>
      </c>
      <c r="E24" s="53">
        <f>IF(Summary_Exchange_Balances_00UTC!$B24="","",Summary_Exchange_Balances_00UTC!$C24)</f>
        <v>622005.60076897999</v>
      </c>
      <c r="F24" s="53" t="e">
        <f>IF(Summary_Exchange_Balances_00UTC!$B24="","",VLOOKUP(UPPER($A24&amp;$C24),$L:$T,7,FALSE))</f>
        <v>#N/A</v>
      </c>
      <c r="G24" s="53" t="e">
        <f>IF(Summary_Exchange_Balances_00UTC!$B24="","",VLOOKUP(IF(ISERROR(SEARCH(" ", $B24)),UPPER($B24&amp;$C24&amp;$D24),UPPER(LEFT($B24, SEARCH(" ",$B24)-1)&amp;$C24&amp;$D24)),$M:$T,6,FALSE))</f>
        <v>#N/A</v>
      </c>
      <c r="H24">
        <f>IF(Summary_Exchange_Balances_00UTC!$B24="","",IF(ISERROR($G24),$E24,$G24))</f>
        <v>622005.60076897999</v>
      </c>
      <c r="I24" s="36" t="e">
        <f t="shared" si="0"/>
        <v>#N/A</v>
      </c>
      <c r="L24" t="str">
        <f t="shared" si="1"/>
        <v>BINECOMP</v>
      </c>
      <c r="M24" t="str">
        <f t="shared" si="2"/>
        <v>BINE-2-S1-ECOMP</v>
      </c>
      <c r="N24" t="s">
        <v>32</v>
      </c>
      <c r="O24" t="s">
        <v>89</v>
      </c>
      <c r="P24" t="s">
        <v>86</v>
      </c>
      <c r="R24" s="43">
        <v>33.816033869999998</v>
      </c>
      <c r="S24" t="s">
        <v>505</v>
      </c>
      <c r="T24">
        <v>1</v>
      </c>
      <c r="W24" t="s">
        <v>89</v>
      </c>
      <c r="X24" t="s">
        <v>157</v>
      </c>
      <c r="Y24" s="53">
        <v>57.222791209999997</v>
      </c>
      <c r="Z24">
        <v>0</v>
      </c>
      <c r="AB24" s="3" t="s">
        <v>133</v>
      </c>
      <c r="AC24" s="32">
        <v>1.7855998900000001</v>
      </c>
      <c r="AD24" s="32">
        <v>1.7855998900000001</v>
      </c>
      <c r="AN24" t="s">
        <v>262</v>
      </c>
      <c r="AS24" t="str">
        <f>IF(Summary_Exchange_Balances_00UTC!$B24="","","'"&amp;C24&amp;"',")</f>
        <v>'HBAR',</v>
      </c>
      <c r="AT24">
        <f>IF(Summary_Exchange_Balances_00UTC!$B24="","",IF(ISERROR(HLOOKUP($C24,$AW$1:$LL$2,2,FALSE)),Summary_Exchange_Balances_00UTC!$Q24,IF(OR(HLOOKUP($C24,$AW$1:$LL$2,2,FALSE)="",HLOOKUP($C24,$AW$1:$LL$2,2,FALSE)="null"),Summary_Exchange_Balances_00UTC!$Q24,HLOOKUP($C24,$AW$1:$LL$2,2,FALSE))))</f>
        <v>4.9363444999999999E-2</v>
      </c>
    </row>
    <row r="25" spans="1:46" x14ac:dyDescent="0.25">
      <c r="A25" t="str">
        <f>IF(Summary_Exchange_Balances_00UTC!$B25="","",Summary_Exchange_Balances_00UTC!$N25)</f>
        <v>BINE</v>
      </c>
      <c r="B25" t="str">
        <f>IF(Summary_Exchange_Balances_00UTC!$B25="","",Summary_Exchange_Balances_00UTC!$B25)</f>
        <v>BINE-2-S1-E</v>
      </c>
      <c r="C25" t="str">
        <f>IF(Summary_Exchange_Balances_00UTC!$B25="","",Summary_Exchange_Balances_00UTC!$E25)</f>
        <v>LINK</v>
      </c>
      <c r="D25" t="str">
        <f>IF(OR(Summary_Exchange_Balances_00UTC!$B25="",Summary_Exchange_Balances_00UTC!$D25=""),"",Summary_Exchange_Balances_00UTC!$D25)</f>
        <v/>
      </c>
      <c r="E25" s="53">
        <f>IF(Summary_Exchange_Balances_00UTC!$B25="","",Summary_Exchange_Balances_00UTC!$C25)</f>
        <v>9313.9301735600002</v>
      </c>
      <c r="F25" s="53">
        <f>IF(Summary_Exchange_Balances_00UTC!$B25="","",VLOOKUP(UPPER($A25&amp;$C25),$L:$T,7,FALSE))</f>
        <v>-6486.86</v>
      </c>
      <c r="G25" s="53">
        <f>IF(Summary_Exchange_Balances_00UTC!$B25="","",VLOOKUP(IF(ISERROR(SEARCH(" ", $B25)),UPPER($B25&amp;$C25&amp;$D25),UPPER(LEFT($B25, SEARCH(" ",$B25)-1)&amp;$C25&amp;$D25)),$M:$T,6,FALSE))</f>
        <v>12.72046903</v>
      </c>
      <c r="H25">
        <f>IF(Summary_Exchange_Balances_00UTC!$B25="","",IF(ISERROR($G25),$E25,$G25))</f>
        <v>12.72046903</v>
      </c>
      <c r="I25" s="36">
        <f t="shared" si="0"/>
        <v>-0.9986342533395719</v>
      </c>
      <c r="L25" t="str">
        <f t="shared" si="1"/>
        <v>BINECOMP</v>
      </c>
      <c r="M25" t="str">
        <f t="shared" si="2"/>
        <v>BINE-2-S1-MCOMPMARGIN LOAN</v>
      </c>
      <c r="N25" t="s">
        <v>32</v>
      </c>
      <c r="O25" t="s">
        <v>89</v>
      </c>
      <c r="P25" t="s">
        <v>94</v>
      </c>
      <c r="Q25" t="s">
        <v>203</v>
      </c>
      <c r="R25" s="43">
        <v>-4800</v>
      </c>
      <c r="S25" t="s">
        <v>506</v>
      </c>
      <c r="T25">
        <v>1</v>
      </c>
      <c r="W25" t="s">
        <v>89</v>
      </c>
      <c r="X25" t="s">
        <v>39</v>
      </c>
      <c r="Y25" s="53">
        <v>718282.38861262996</v>
      </c>
      <c r="Z25">
        <v>0</v>
      </c>
      <c r="AB25" s="3" t="s">
        <v>32</v>
      </c>
      <c r="AC25" s="32">
        <v>-4719.99876898</v>
      </c>
      <c r="AD25" s="32">
        <v>-4719.99876898</v>
      </c>
      <c r="AN25" t="s">
        <v>292</v>
      </c>
      <c r="AS25" t="str">
        <f>IF(Summary_Exchange_Balances_00UTC!$B25="","","'"&amp;C25&amp;"',")</f>
        <v>'LINK',</v>
      </c>
      <c r="AT25">
        <f>IF(Summary_Exchange_Balances_00UTC!$B25="","",IF(ISERROR(HLOOKUP($C25,$AW$1:$LL$2,2,FALSE)),Summary_Exchange_Balances_00UTC!$Q25,IF(OR(HLOOKUP($C25,$AW$1:$LL$2,2,FALSE)="",HLOOKUP($C25,$AW$1:$LL$2,2,FALSE)="null"),Summary_Exchange_Balances_00UTC!$Q25,HLOOKUP($C25,$AW$1:$LL$2,2,FALSE))))</f>
        <v>6.2919999999999998</v>
      </c>
    </row>
    <row r="26" spans="1:46" x14ac:dyDescent="0.25">
      <c r="A26" t="str">
        <f>IF(Summary_Exchange_Balances_00UTC!$B26="","",Summary_Exchange_Balances_00UTC!$N26)</f>
        <v>BINE</v>
      </c>
      <c r="B26" t="str">
        <f>IF(Summary_Exchange_Balances_00UTC!$B26="","",Summary_Exchange_Balances_00UTC!$B26)</f>
        <v>BINE-2-S1-E</v>
      </c>
      <c r="C26" t="str">
        <f>IF(Summary_Exchange_Balances_00UTC!$B26="","",Summary_Exchange_Balances_00UTC!$E26)</f>
        <v>LTC</v>
      </c>
      <c r="D26" t="str">
        <f>IF(OR(Summary_Exchange_Balances_00UTC!$B26="",Summary_Exchange_Balances_00UTC!$D26=""),"",Summary_Exchange_Balances_00UTC!$D26)</f>
        <v/>
      </c>
      <c r="E26" s="53">
        <f>IF(Summary_Exchange_Balances_00UTC!$B26="","",Summary_Exchange_Balances_00UTC!$C26)</f>
        <v>690.72668716999999</v>
      </c>
      <c r="F26" s="53">
        <f>IF(Summary_Exchange_Balances_00UTC!$B26="","",VLOOKUP(UPPER($A26&amp;$C26),$L:$T,7,FALSE))</f>
        <v>-909.601</v>
      </c>
      <c r="G26" s="53">
        <f>IF(Summary_Exchange_Balances_00UTC!$B26="","",VLOOKUP(IF(ISERROR(SEARCH(" ", $B26)),UPPER($B26&amp;$C26&amp;$D26),UPPER(LEFT($B26, SEARCH(" ",$B26)-1)&amp;$C26&amp;$D26)),$M:$T,6,FALSE))</f>
        <v>1.2395E-4</v>
      </c>
      <c r="H26">
        <f>IF(Summary_Exchange_Balances_00UTC!$B26="","",IF(ISERROR($G26),$E26,$G26))</f>
        <v>1.2395E-4</v>
      </c>
      <c r="I26" s="36">
        <f t="shared" si="0"/>
        <v>-0.99999982055130876</v>
      </c>
      <c r="L26" t="str">
        <f t="shared" si="1"/>
        <v>BINECRV</v>
      </c>
      <c r="M26" t="str">
        <f t="shared" si="2"/>
        <v>BINE-2-S1-ECRV</v>
      </c>
      <c r="N26" t="s">
        <v>191</v>
      </c>
      <c r="O26" t="s">
        <v>89</v>
      </c>
      <c r="P26" t="s">
        <v>86</v>
      </c>
      <c r="R26" s="43">
        <v>1.5637979999999999E-2</v>
      </c>
      <c r="S26" t="s">
        <v>505</v>
      </c>
      <c r="T26">
        <v>1</v>
      </c>
      <c r="W26" t="s">
        <v>89</v>
      </c>
      <c r="X26" t="s">
        <v>15</v>
      </c>
      <c r="Y26" s="53">
        <v>821.98064921000002</v>
      </c>
      <c r="Z26">
        <v>0</v>
      </c>
      <c r="AB26" s="3" t="s">
        <v>134</v>
      </c>
      <c r="AC26" s="32">
        <v>0.30791584</v>
      </c>
      <c r="AD26" s="32">
        <v>0.30791584</v>
      </c>
      <c r="AN26" t="s">
        <v>300</v>
      </c>
      <c r="AS26" t="str">
        <f>IF(Summary_Exchange_Balances_00UTC!$B26="","","'"&amp;C26&amp;"',")</f>
        <v>'LTC',</v>
      </c>
      <c r="AT26">
        <f>IF(Summary_Exchange_Balances_00UTC!$B26="","",IF(ISERROR(HLOOKUP($C26,$AW$1:$LL$2,2,FALSE)),Summary_Exchange_Balances_00UTC!$Q26,IF(OR(HLOOKUP($C26,$AW$1:$LL$2,2,FALSE)="",HLOOKUP($C26,$AW$1:$LL$2,2,FALSE)="null"),Summary_Exchange_Balances_00UTC!$Q26,HLOOKUP($C26,$AW$1:$LL$2,2,FALSE))))</f>
        <v>62.35</v>
      </c>
    </row>
    <row r="27" spans="1:46" x14ac:dyDescent="0.25">
      <c r="A27" t="str">
        <f>IF(Summary_Exchange_Balances_00UTC!$B27="","",Summary_Exchange_Balances_00UTC!$N27)</f>
        <v>BINE</v>
      </c>
      <c r="B27" t="str">
        <f>IF(Summary_Exchange_Balances_00UTC!$B27="","",Summary_Exchange_Balances_00UTC!$B27)</f>
        <v>BINE-2-S1-E</v>
      </c>
      <c r="C27" t="str">
        <f>IF(Summary_Exchange_Balances_00UTC!$B27="","",Summary_Exchange_Balances_00UTC!$E27)</f>
        <v>MANA</v>
      </c>
      <c r="D27" t="str">
        <f>IF(OR(Summary_Exchange_Balances_00UTC!$B27="",Summary_Exchange_Balances_00UTC!$D27=""),"",Summary_Exchange_Balances_00UTC!$D27)</f>
        <v/>
      </c>
      <c r="E27" s="54">
        <f>IF(Summary_Exchange_Balances_00UTC!$B27="","",Summary_Exchange_Balances_00UTC!$C27)</f>
        <v>51976.868269259998</v>
      </c>
      <c r="F27" s="53">
        <f>IF(Summary_Exchange_Balances_00UTC!$B27="","",VLOOKUP(UPPER($A27&amp;$C27),$L:$T,7,FALSE))</f>
        <v>28371.504884990001</v>
      </c>
      <c r="G27" s="53">
        <f>IF(Summary_Exchange_Balances_00UTC!$B27="","",VLOOKUP(IF(ISERROR(SEARCH(" ", $B27)),UPPER($B27&amp;$C27&amp;$D27),UPPER(LEFT($B27, SEARCH(" ",$B27)-1)&amp;$C27&amp;$D27)),$M:$T,6,FALSE))</f>
        <v>28371.504884990001</v>
      </c>
      <c r="H27">
        <f>IF(Summary_Exchange_Balances_00UTC!$B27="","",IF(ISERROR($G27),$E27,$G27))</f>
        <v>28371.504884990001</v>
      </c>
      <c r="I27" s="36">
        <f t="shared" si="0"/>
        <v>-0.45415132096811245</v>
      </c>
      <c r="L27" t="str">
        <f t="shared" si="1"/>
        <v>BINEDOGE</v>
      </c>
      <c r="M27" t="str">
        <f t="shared" si="2"/>
        <v>BINE-2-S1-MDOGEMARGIN LOAN</v>
      </c>
      <c r="N27" t="s">
        <v>193</v>
      </c>
      <c r="O27" t="s">
        <v>89</v>
      </c>
      <c r="P27" t="s">
        <v>94</v>
      </c>
      <c r="Q27" t="s">
        <v>203</v>
      </c>
      <c r="R27" s="43">
        <v>-180000</v>
      </c>
      <c r="S27" t="s">
        <v>506</v>
      </c>
      <c r="T27">
        <v>1</v>
      </c>
      <c r="W27" t="s">
        <v>89</v>
      </c>
      <c r="X27" t="s">
        <v>15</v>
      </c>
      <c r="Y27" s="54">
        <v>-10.536066610000001</v>
      </c>
      <c r="Z27">
        <v>0</v>
      </c>
      <c r="AB27" s="3" t="s">
        <v>191</v>
      </c>
      <c r="AC27" s="32">
        <v>-11772.45379655</v>
      </c>
      <c r="AD27" s="32">
        <v>9.7934164133999992</v>
      </c>
      <c r="AN27" t="s">
        <v>307</v>
      </c>
      <c r="AS27" t="str">
        <f>IF(Summary_Exchange_Balances_00UTC!$B27="","","'"&amp;C27&amp;"',")</f>
        <v>'MANA',</v>
      </c>
      <c r="AT27">
        <f>IF(Summary_Exchange_Balances_00UTC!$B27="","",IF(ISERROR(HLOOKUP($C27,$AW$1:$LL$2,2,FALSE)),Summary_Exchange_Balances_00UTC!$Q27,IF(OR(HLOOKUP($C27,$AW$1:$LL$2,2,FALSE)="",HLOOKUP($C27,$AW$1:$LL$2,2,FALSE)="null"),Summary_Exchange_Balances_00UTC!$Q27,HLOOKUP($C27,$AW$1:$LL$2,2,FALSE))))</f>
        <v>0.41775250000000003</v>
      </c>
    </row>
    <row r="28" spans="1:46" x14ac:dyDescent="0.25">
      <c r="A28" t="str">
        <f>IF(Summary_Exchange_Balances_00UTC!$B28="","",Summary_Exchange_Balances_00UTC!$N28)</f>
        <v>BINE</v>
      </c>
      <c r="B28" t="str">
        <f>IF(Summary_Exchange_Balances_00UTC!$B28="","",Summary_Exchange_Balances_00UTC!$B28)</f>
        <v>BINE-2-S1-E</v>
      </c>
      <c r="C28" t="str">
        <f>IF(Summary_Exchange_Balances_00UTC!$B28="","",Summary_Exchange_Balances_00UTC!$E28)</f>
        <v>MATIC</v>
      </c>
      <c r="D28" t="str">
        <f>IF(OR(Summary_Exchange_Balances_00UTC!$B28="",Summary_Exchange_Balances_00UTC!$D28=""),"",Summary_Exchange_Balances_00UTC!$D28)</f>
        <v/>
      </c>
      <c r="E28" s="53">
        <f>IF(Summary_Exchange_Balances_00UTC!$B28="","",Summary_Exchange_Balances_00UTC!$C28)</f>
        <v>56026.01335152</v>
      </c>
      <c r="F28" s="53" t="e">
        <f>IF(Summary_Exchange_Balances_00UTC!$B28="","",VLOOKUP(UPPER($A28&amp;$C28),$L:$T,7,FALSE))</f>
        <v>#N/A</v>
      </c>
      <c r="G28" s="53" t="e">
        <f>IF(Summary_Exchange_Balances_00UTC!$B28="","",VLOOKUP(IF(ISERROR(SEARCH(" ", $B28)),UPPER($B28&amp;$C28&amp;$D28),UPPER(LEFT($B28, SEARCH(" ",$B28)-1)&amp;$C28&amp;$D28)),$M:$T,6,FALSE))</f>
        <v>#N/A</v>
      </c>
      <c r="H28">
        <f>IF(Summary_Exchange_Balances_00UTC!$B28="","",IF(ISERROR($G28),$E28,$G28))</f>
        <v>56026.01335152</v>
      </c>
      <c r="I28" s="36" t="e">
        <f t="shared" si="0"/>
        <v>#N/A</v>
      </c>
      <c r="L28" t="str">
        <f t="shared" si="1"/>
        <v>BINEDOGE</v>
      </c>
      <c r="M28" t="str">
        <f t="shared" si="2"/>
        <v>BINE-2-S1-EDOGE</v>
      </c>
      <c r="N28" t="s">
        <v>193</v>
      </c>
      <c r="O28" t="s">
        <v>89</v>
      </c>
      <c r="P28" t="s">
        <v>86</v>
      </c>
      <c r="R28" s="43">
        <v>180083.91109275</v>
      </c>
      <c r="S28" t="s">
        <v>505</v>
      </c>
      <c r="T28">
        <v>1</v>
      </c>
      <c r="W28" t="s">
        <v>89</v>
      </c>
      <c r="X28" t="s">
        <v>16</v>
      </c>
      <c r="Y28" s="53">
        <v>5855.6751637199995</v>
      </c>
      <c r="Z28">
        <v>0</v>
      </c>
      <c r="AB28" s="3" t="s">
        <v>192</v>
      </c>
      <c r="AC28" s="32">
        <v>3.0861679999999999E-2</v>
      </c>
      <c r="AD28" s="32">
        <v>0</v>
      </c>
      <c r="AN28" t="s">
        <v>311</v>
      </c>
      <c r="AS28" t="str">
        <f>IF(Summary_Exchange_Balances_00UTC!$B28="","","'"&amp;C28&amp;"',")</f>
        <v>'MATIC',</v>
      </c>
      <c r="AT28">
        <f>IF(Summary_Exchange_Balances_00UTC!$B28="","",IF(ISERROR(HLOOKUP($C28,$AW$1:$LL$2,2,FALSE)),Summary_Exchange_Balances_00UTC!$Q28,IF(OR(HLOOKUP($C28,$AW$1:$LL$2,2,FALSE)="",HLOOKUP($C28,$AW$1:$LL$2,2,FALSE)="null"),Summary_Exchange_Balances_00UTC!$Q28,HLOOKUP($C28,$AW$1:$LL$2,2,FALSE))))</f>
        <v>0.88490000000000002</v>
      </c>
    </row>
    <row r="29" spans="1:46" x14ac:dyDescent="0.25">
      <c r="A29" t="str">
        <f>IF(Summary_Exchange_Balances_00UTC!$B29="","",Summary_Exchange_Balances_00UTC!$N29)</f>
        <v>BINE</v>
      </c>
      <c r="B29" t="str">
        <f>IF(Summary_Exchange_Balances_00UTC!$B29="","",Summary_Exchange_Balances_00UTC!$B29)</f>
        <v>BINE-2-S1-E</v>
      </c>
      <c r="C29" t="str">
        <f>IF(Summary_Exchange_Balances_00UTC!$B29="","",Summary_Exchange_Balances_00UTC!$E29)</f>
        <v>MKR</v>
      </c>
      <c r="D29" t="str">
        <f>IF(OR(Summary_Exchange_Balances_00UTC!$B29="",Summary_Exchange_Balances_00UTC!$D29=""),"",Summary_Exchange_Balances_00UTC!$D29)</f>
        <v/>
      </c>
      <c r="E29" s="54">
        <f>IF(Summary_Exchange_Balances_00UTC!$B29="","",Summary_Exchange_Balances_00UTC!$C29)</f>
        <v>14.148957319999999</v>
      </c>
      <c r="F29" s="53" t="e">
        <f>IF(Summary_Exchange_Balances_00UTC!$B29="","",VLOOKUP(UPPER($A29&amp;$C29),$L:$T,7,FALSE))</f>
        <v>#N/A</v>
      </c>
      <c r="G29" s="53" t="e">
        <f>IF(Summary_Exchange_Balances_00UTC!$B29="","",VLOOKUP(IF(ISERROR(SEARCH(" ", $B29)),UPPER($B29&amp;$C29&amp;$D29),UPPER(LEFT($B29, SEARCH(" ",$B29)-1)&amp;$C29&amp;$D29)),$M:$T,6,FALSE))</f>
        <v>#N/A</v>
      </c>
      <c r="H29">
        <f>IF(Summary_Exchange_Balances_00UTC!$B29="","",IF(ISERROR($G29),$E29,$G29))</f>
        <v>14.148957319999999</v>
      </c>
      <c r="I29" s="36" t="e">
        <f t="shared" si="0"/>
        <v>#N/A</v>
      </c>
      <c r="L29" t="str">
        <f t="shared" si="1"/>
        <v>BINEDOT</v>
      </c>
      <c r="M29" t="str">
        <f t="shared" si="2"/>
        <v>BINE-2-S1-MDOTMARGIN LOAN</v>
      </c>
      <c r="N29" t="s">
        <v>23</v>
      </c>
      <c r="O29" t="s">
        <v>89</v>
      </c>
      <c r="P29" t="s">
        <v>94</v>
      </c>
      <c r="Q29" t="s">
        <v>203</v>
      </c>
      <c r="R29" s="43">
        <v>-2000</v>
      </c>
      <c r="S29" t="s">
        <v>506</v>
      </c>
      <c r="T29">
        <v>1</v>
      </c>
      <c r="W29" t="s">
        <v>89</v>
      </c>
      <c r="X29" t="s">
        <v>16</v>
      </c>
      <c r="Y29" s="54">
        <v>46.067630880000003</v>
      </c>
      <c r="Z29">
        <v>0</v>
      </c>
      <c r="AB29" s="3" t="s">
        <v>135</v>
      </c>
      <c r="AC29" s="32">
        <v>5.6119999999999998E-5</v>
      </c>
      <c r="AD29" s="32">
        <v>5.6119999999999998E-5</v>
      </c>
      <c r="AN29" t="s">
        <v>312</v>
      </c>
      <c r="AS29" t="str">
        <f>IF(Summary_Exchange_Balances_00UTC!$B29="","","'"&amp;C29&amp;"',")</f>
        <v>'MKR',</v>
      </c>
      <c r="AT29">
        <f>IF(Summary_Exchange_Balances_00UTC!$B29="","",IF(ISERROR(HLOOKUP($C29,$AW$1:$LL$2,2,FALSE)),Summary_Exchange_Balances_00UTC!$Q29,IF(OR(HLOOKUP($C29,$AW$1:$LL$2,2,FALSE)="",HLOOKUP($C29,$AW$1:$LL$2,2,FALSE)="null"),Summary_Exchange_Balances_00UTC!$Q29,HLOOKUP($C29,$AW$1:$LL$2,2,FALSE))))</f>
        <v>657.48676</v>
      </c>
    </row>
    <row r="30" spans="1:46" x14ac:dyDescent="0.25">
      <c r="A30" t="str">
        <f>IF(Summary_Exchange_Balances_00UTC!$B30="","",Summary_Exchange_Balances_00UTC!$N30)</f>
        <v>BINE</v>
      </c>
      <c r="B30" t="str">
        <f>IF(Summary_Exchange_Balances_00UTC!$B30="","",Summary_Exchange_Balances_00UTC!$B30)</f>
        <v>BINE-2-S1-E</v>
      </c>
      <c r="C30" t="str">
        <f>IF(Summary_Exchange_Balances_00UTC!$B30="","",Summary_Exchange_Balances_00UTC!$E30)</f>
        <v>OMG</v>
      </c>
      <c r="D30" t="str">
        <f>IF(OR(Summary_Exchange_Balances_00UTC!$B30="",Summary_Exchange_Balances_00UTC!$D30=""),"",Summary_Exchange_Balances_00UTC!$D30)</f>
        <v/>
      </c>
      <c r="E30" s="53">
        <f>IF(Summary_Exchange_Balances_00UTC!$B30="","",Summary_Exchange_Balances_00UTC!$C30)</f>
        <v>24304.849819300001</v>
      </c>
      <c r="F30" s="53">
        <f>IF(Summary_Exchange_Balances_00UTC!$B30="","",VLOOKUP(UPPER($A30&amp;$C30),$L:$T,7,FALSE))</f>
        <v>8000</v>
      </c>
      <c r="G30" s="53">
        <f>IF(Summary_Exchange_Balances_00UTC!$B30="","",VLOOKUP(IF(ISERROR(SEARCH(" ", $B30)),UPPER($B30&amp;$C30&amp;$D30),UPPER(LEFT($B30, SEARCH(" ",$B30)-1)&amp;$C30&amp;$D30)),$M:$T,6,FALSE))</f>
        <v>8000</v>
      </c>
      <c r="H30">
        <f>IF(Summary_Exchange_Balances_00UTC!$B30="","",IF(ISERROR($G30),$E30,$G30))</f>
        <v>8000</v>
      </c>
      <c r="I30" s="36">
        <f t="shared" si="0"/>
        <v>-0.6708475855856818</v>
      </c>
      <c r="L30" t="str">
        <f t="shared" si="1"/>
        <v>BINEDOT</v>
      </c>
      <c r="M30" t="str">
        <f t="shared" si="2"/>
        <v>BINE-2-S1-EDOT</v>
      </c>
      <c r="N30" t="s">
        <v>23</v>
      </c>
      <c r="O30" t="s">
        <v>89</v>
      </c>
      <c r="P30" t="s">
        <v>86</v>
      </c>
      <c r="R30" s="43">
        <v>1999.0152611599999</v>
      </c>
      <c r="S30" t="s">
        <v>505</v>
      </c>
      <c r="T30">
        <v>1</v>
      </c>
      <c r="W30" t="s">
        <v>89</v>
      </c>
      <c r="X30" t="s">
        <v>90</v>
      </c>
      <c r="Y30" s="53">
        <v>2521.9114588000002</v>
      </c>
      <c r="Z30">
        <v>0</v>
      </c>
      <c r="AB30" s="3" t="s">
        <v>193</v>
      </c>
      <c r="AC30" s="32">
        <v>-118389.52953572999</v>
      </c>
      <c r="AD30" s="32">
        <v>-118389.52953572999</v>
      </c>
      <c r="AG30" t="s">
        <v>444</v>
      </c>
      <c r="AH30" t="s">
        <v>474</v>
      </c>
      <c r="AL30" t="s">
        <v>431</v>
      </c>
      <c r="AN30" t="s">
        <v>34</v>
      </c>
      <c r="AS30" t="str">
        <f>IF(Summary_Exchange_Balances_00UTC!$B30="","","'"&amp;C30&amp;"',")</f>
        <v>'OMG',</v>
      </c>
      <c r="AT30">
        <f>IF(Summary_Exchange_Balances_00UTC!$B30="","",IF(ISERROR(HLOOKUP($C30,$AW$1:$LL$2,2,FALSE)),Summary_Exchange_Balances_00UTC!$Q30,IF(OR(HLOOKUP($C30,$AW$1:$LL$2,2,FALSE)="",HLOOKUP($C30,$AW$1:$LL$2,2,FALSE)="null"),Summary_Exchange_Balances_00UTC!$Q30,HLOOKUP($C30,$AW$1:$LL$2,2,FALSE))))</f>
        <v>1.1276999999999999</v>
      </c>
    </row>
    <row r="31" spans="1:46" x14ac:dyDescent="0.25">
      <c r="A31" t="str">
        <f>IF(Summary_Exchange_Balances_00UTC!$B31="","",Summary_Exchange_Balances_00UTC!$N31)</f>
        <v>BINE</v>
      </c>
      <c r="B31" t="str">
        <f>IF(Summary_Exchange_Balances_00UTC!$B31="","",Summary_Exchange_Balances_00UTC!$B31)</f>
        <v>BINE-2-S1-E</v>
      </c>
      <c r="C31" t="str">
        <f>IF(Summary_Exchange_Balances_00UTC!$B31="","",Summary_Exchange_Balances_00UTC!$E31)</f>
        <v>OXT</v>
      </c>
      <c r="D31" t="str">
        <f>IF(OR(Summary_Exchange_Balances_00UTC!$B31="",Summary_Exchange_Balances_00UTC!$D31=""),"",Summary_Exchange_Balances_00UTC!$D31)</f>
        <v/>
      </c>
      <c r="E31" s="53">
        <f>IF(Summary_Exchange_Balances_00UTC!$B31="","",Summary_Exchange_Balances_00UTC!$C31)</f>
        <v>579497.75941952004</v>
      </c>
      <c r="F31" s="53">
        <f>IF(Summary_Exchange_Balances_00UTC!$B31="","",VLOOKUP(UPPER($A31&amp;$C31),$L:$T,7,FALSE))</f>
        <v>411141.62526320003</v>
      </c>
      <c r="G31" s="53">
        <f>IF(Summary_Exchange_Balances_00UTC!$B31="","",VLOOKUP(IF(ISERROR(SEARCH(" ", $B31)),UPPER($B31&amp;$C31&amp;$D31),UPPER(LEFT($B31, SEARCH(" ",$B31)-1)&amp;$C31&amp;$D31)),$M:$T,6,FALSE))</f>
        <v>411141.62526320003</v>
      </c>
      <c r="H31">
        <f>IF(Summary_Exchange_Balances_00UTC!$B31="","",IF(ISERROR($G31),$E31,$G31))</f>
        <v>411141.62526320003</v>
      </c>
      <c r="I31" s="36">
        <f t="shared" si="0"/>
        <v>-0.29052076806122856</v>
      </c>
      <c r="L31" t="str">
        <f t="shared" si="1"/>
        <v>BINEENJ</v>
      </c>
      <c r="M31" t="str">
        <f t="shared" si="2"/>
        <v>BINE-2-S1-EENJ</v>
      </c>
      <c r="N31" t="s">
        <v>29</v>
      </c>
      <c r="O31" t="s">
        <v>89</v>
      </c>
      <c r="P31" t="s">
        <v>86</v>
      </c>
      <c r="R31" s="43">
        <v>23943.410199999998</v>
      </c>
      <c r="S31" t="s">
        <v>505</v>
      </c>
      <c r="T31">
        <v>1</v>
      </c>
      <c r="W31" t="s">
        <v>89</v>
      </c>
      <c r="X31" t="s">
        <v>24</v>
      </c>
      <c r="Y31" s="53">
        <v>204642.6</v>
      </c>
      <c r="Z31">
        <v>0</v>
      </c>
      <c r="AB31" s="3" t="s">
        <v>136</v>
      </c>
      <c r="AC31" s="32">
        <v>5.9800000000000001E-4</v>
      </c>
      <c r="AD31" s="32">
        <v>5.9800000000000001E-4</v>
      </c>
      <c r="AN31" t="s">
        <v>240</v>
      </c>
      <c r="AS31" t="str">
        <f>IF(Summary_Exchange_Balances_00UTC!$B31="","","'"&amp;C31&amp;"',")</f>
        <v>'OXT',</v>
      </c>
      <c r="AT31">
        <f>IF(Summary_Exchange_Balances_00UTC!$B31="","",IF(ISERROR(HLOOKUP($C31,$AW$1:$LL$2,2,FALSE)),Summary_Exchange_Balances_00UTC!$Q31,IF(OR(HLOOKUP($C31,$AW$1:$LL$2,2,FALSE)="",HLOOKUP($C31,$AW$1:$LL$2,2,FALSE)="null"),Summary_Exchange_Balances_00UTC!$Q31,HLOOKUP($C31,$AW$1:$LL$2,2,FALSE))))</f>
        <v>8.09E-2</v>
      </c>
    </row>
    <row r="32" spans="1:46" x14ac:dyDescent="0.25">
      <c r="A32" t="str">
        <f>IF(Summary_Exchange_Balances_00UTC!$B32="","",Summary_Exchange_Balances_00UTC!$N32)</f>
        <v>BINE</v>
      </c>
      <c r="B32" t="str">
        <f>IF(Summary_Exchange_Balances_00UTC!$B32="","",Summary_Exchange_Balances_00UTC!$B32)</f>
        <v>BINE-2-S1-E</v>
      </c>
      <c r="C32" t="str">
        <f>IF(Summary_Exchange_Balances_00UTC!$B32="","",Summary_Exchange_Balances_00UTC!$E32)</f>
        <v>SHIB</v>
      </c>
      <c r="D32" t="str">
        <f>IF(OR(Summary_Exchange_Balances_00UTC!$B32="",Summary_Exchange_Balances_00UTC!$D32=""),"",Summary_Exchange_Balances_00UTC!$D32)</f>
        <v/>
      </c>
      <c r="E32" s="53">
        <f>IF(Summary_Exchange_Balances_00UTC!$B32="","",Summary_Exchange_Balances_00UTC!$C32)</f>
        <v>3891093088.6999998</v>
      </c>
      <c r="F32" s="53">
        <f>IF(Summary_Exchange_Balances_00UTC!$B32="","",VLOOKUP(UPPER($A32&amp;$C32),$L:$T,7,FALSE))</f>
        <v>-6000000000</v>
      </c>
      <c r="G32" s="53" t="e">
        <f>IF(Summary_Exchange_Balances_00UTC!$B32="","",VLOOKUP(IF(ISERROR(SEARCH(" ", $B32)),UPPER($B32&amp;$C32&amp;$D32),UPPER(LEFT($B32, SEARCH(" ",$B32)-1)&amp;$C32&amp;$D32)),$M:$T,6,FALSE))</f>
        <v>#N/A</v>
      </c>
      <c r="H32">
        <f>IF(Summary_Exchange_Balances_00UTC!$B32="","",IF(ISERROR($G32),$E32,$G32))</f>
        <v>3891093088.6999998</v>
      </c>
      <c r="I32" s="36" t="e">
        <f t="shared" si="0"/>
        <v>#N/A</v>
      </c>
      <c r="L32" t="str">
        <f t="shared" si="1"/>
        <v>BINEENJ</v>
      </c>
      <c r="M32" t="str">
        <f t="shared" si="2"/>
        <v>BINE-2-S1-MENJMARGIN LOAN</v>
      </c>
      <c r="N32" t="s">
        <v>29</v>
      </c>
      <c r="O32" t="s">
        <v>89</v>
      </c>
      <c r="P32" t="s">
        <v>94</v>
      </c>
      <c r="Q32" t="s">
        <v>203</v>
      </c>
      <c r="R32" s="43">
        <v>-30000</v>
      </c>
      <c r="S32" t="s">
        <v>506</v>
      </c>
      <c r="T32">
        <v>1</v>
      </c>
      <c r="W32" t="s">
        <v>89</v>
      </c>
      <c r="X32" t="s">
        <v>30</v>
      </c>
      <c r="Y32" s="53">
        <v>0.15721859999999999</v>
      </c>
      <c r="Z32">
        <v>0</v>
      </c>
      <c r="AB32" s="3" t="s">
        <v>23</v>
      </c>
      <c r="AC32" s="32">
        <v>36736.67008774</v>
      </c>
      <c r="AD32" s="32">
        <v>36704.706578630605</v>
      </c>
      <c r="AL32" t="s">
        <v>189</v>
      </c>
      <c r="AN32" t="s">
        <v>189</v>
      </c>
      <c r="AS32" t="str">
        <f>IF(Summary_Exchange_Balances_00UTC!$B32="","","'"&amp;C32&amp;"',")</f>
        <v>'SHIB',</v>
      </c>
      <c r="AT32">
        <f>IF(Summary_Exchange_Balances_00UTC!$B32="","",IF(ISERROR(HLOOKUP($C32,$AW$1:$LL$2,2,FALSE)),Summary_Exchange_Balances_00UTC!$Q32,IF(OR(HLOOKUP($C32,$AW$1:$LL$2,2,FALSE)="",HLOOKUP($C32,$AW$1:$LL$2,2,FALSE)="null"),Summary_Exchange_Balances_00UTC!$Q32,HLOOKUP($C32,$AW$1:$LL$2,2,FALSE))))</f>
        <v>9.1027119999999996E-6</v>
      </c>
    </row>
    <row r="33" spans="1:46" x14ac:dyDescent="0.25">
      <c r="A33" t="str">
        <f>IF(Summary_Exchange_Balances_00UTC!$B33="","",Summary_Exchange_Balances_00UTC!$N33)</f>
        <v>BINE</v>
      </c>
      <c r="B33" t="str">
        <f>IF(Summary_Exchange_Balances_00UTC!$B33="","",Summary_Exchange_Balances_00UTC!$B33)</f>
        <v>BINE-2-S1-E</v>
      </c>
      <c r="C33" t="str">
        <f>IF(Summary_Exchange_Balances_00UTC!$B33="","",Summary_Exchange_Balances_00UTC!$E33)</f>
        <v>SOL</v>
      </c>
      <c r="D33" t="str">
        <f>IF(OR(Summary_Exchange_Balances_00UTC!$B33="",Summary_Exchange_Balances_00UTC!$D33=""),"",Summary_Exchange_Balances_00UTC!$D33)</f>
        <v/>
      </c>
      <c r="E33" s="53">
        <f>IF(Summary_Exchange_Balances_00UTC!$B33="","",Summary_Exchange_Balances_00UTC!$C33)</f>
        <v>4911.3312864700001</v>
      </c>
      <c r="F33" s="53">
        <f>IF(Summary_Exchange_Balances_00UTC!$B33="","",VLOOKUP(UPPER($A33&amp;$C33),$L:$T,7,FALSE))</f>
        <v>-60</v>
      </c>
      <c r="G33" s="53">
        <f>IF(Summary_Exchange_Balances_00UTC!$B33="","",VLOOKUP(IF(ISERROR(SEARCH(" ", $B33)),UPPER($B33&amp;$C33&amp;$D33),UPPER(LEFT($B33, SEARCH(" ",$B33)-1)&amp;$C33&amp;$D33)),$M:$T,6,FALSE))</f>
        <v>57.222791209999997</v>
      </c>
      <c r="H33">
        <f>IF(Summary_Exchange_Balances_00UTC!$B33="","",IF(ISERROR($G33),$E33,$G33))</f>
        <v>57.222791209999997</v>
      </c>
      <c r="I33" s="36">
        <f t="shared" si="0"/>
        <v>-0.98834882277893976</v>
      </c>
      <c r="L33" t="str">
        <f t="shared" si="1"/>
        <v>BINEEOS</v>
      </c>
      <c r="M33" t="str">
        <f t="shared" si="2"/>
        <v>BINE-2-S1-MEOSMARGIN LOAN</v>
      </c>
      <c r="N33" t="s">
        <v>24</v>
      </c>
      <c r="O33" t="s">
        <v>89</v>
      </c>
      <c r="P33" t="s">
        <v>94</v>
      </c>
      <c r="Q33" t="s">
        <v>203</v>
      </c>
      <c r="R33" s="43">
        <v>153503.5</v>
      </c>
      <c r="S33" t="s">
        <v>506</v>
      </c>
      <c r="T33">
        <v>1</v>
      </c>
      <c r="W33" t="s">
        <v>89</v>
      </c>
      <c r="X33" t="s">
        <v>16</v>
      </c>
      <c r="Y33" s="53">
        <v>1555.5547999999999</v>
      </c>
      <c r="Z33">
        <v>0</v>
      </c>
      <c r="AB33" s="3" t="s">
        <v>29</v>
      </c>
      <c r="AC33" s="32">
        <v>241319.15317850999</v>
      </c>
      <c r="AD33" s="32">
        <v>241319.15317850999</v>
      </c>
      <c r="AN33" t="s">
        <v>109</v>
      </c>
      <c r="AP33" t="s">
        <v>201</v>
      </c>
      <c r="AS33" t="str">
        <f>IF(Summary_Exchange_Balances_00UTC!$B33="","","'"&amp;C33&amp;"',")</f>
        <v>'SOL',</v>
      </c>
      <c r="AT33">
        <f>IF(Summary_Exchange_Balances_00UTC!$B33="","",IF(ISERROR(HLOOKUP($C33,$AW$1:$LL$2,2,FALSE)),Summary_Exchange_Balances_00UTC!$Q33,IF(OR(HLOOKUP($C33,$AW$1:$LL$2,2,FALSE)="",HLOOKUP($C33,$AW$1:$LL$2,2,FALSE)="null"),Summary_Exchange_Balances_00UTC!$Q33,HLOOKUP($C33,$AW$1:$LL$2,2,FALSE))))</f>
        <v>13.78</v>
      </c>
    </row>
    <row r="34" spans="1:46" x14ac:dyDescent="0.25">
      <c r="A34" t="str">
        <f>IF(Summary_Exchange_Balances_00UTC!$B34="","",Summary_Exchange_Balances_00UTC!$N34)</f>
        <v>BINE</v>
      </c>
      <c r="B34" t="str">
        <f>IF(Summary_Exchange_Balances_00UTC!$B34="","",Summary_Exchange_Balances_00UTC!$B34)</f>
        <v>BINE-2-S1-E</v>
      </c>
      <c r="C34" t="str">
        <f>IF(Summary_Exchange_Balances_00UTC!$B34="","",Summary_Exchange_Balances_00UTC!$E34)</f>
        <v>SUSHI</v>
      </c>
      <c r="D34" t="str">
        <f>IF(OR(Summary_Exchange_Balances_00UTC!$B34="",Summary_Exchange_Balances_00UTC!$D34=""),"",Summary_Exchange_Balances_00UTC!$D34)</f>
        <v/>
      </c>
      <c r="E34" s="53">
        <f>IF(Summary_Exchange_Balances_00UTC!$B34="","",Summary_Exchange_Balances_00UTC!$C34)</f>
        <v>28471.638187349999</v>
      </c>
      <c r="F34" s="53" t="e">
        <f>IF(Summary_Exchange_Balances_00UTC!$B34="","",VLOOKUP(UPPER($A34&amp;$C34),$L:$T,7,FALSE))</f>
        <v>#N/A</v>
      </c>
      <c r="G34" s="53" t="e">
        <f>IF(Summary_Exchange_Balances_00UTC!$B34="","",VLOOKUP(IF(ISERROR(SEARCH(" ", $B34)),UPPER($B34&amp;$C34&amp;$D34),UPPER(LEFT($B34, SEARCH(" ",$B34)-1)&amp;$C34&amp;$D34)),$M:$T,6,FALSE))</f>
        <v>#N/A</v>
      </c>
      <c r="H34">
        <f>IF(Summary_Exchange_Balances_00UTC!$B34="","",IF(ISERROR($G34),$E34,$G34))</f>
        <v>28471.638187349999</v>
      </c>
      <c r="I34" s="36" t="e">
        <f t="shared" si="0"/>
        <v>#N/A</v>
      </c>
      <c r="L34" t="str">
        <f t="shared" si="1"/>
        <v>BINEEOS</v>
      </c>
      <c r="M34" t="str">
        <f t="shared" si="2"/>
        <v>BINE-2-S1-EEOS</v>
      </c>
      <c r="N34" t="s">
        <v>24</v>
      </c>
      <c r="O34" t="s">
        <v>89</v>
      </c>
      <c r="P34" t="s">
        <v>86</v>
      </c>
      <c r="R34" s="43">
        <v>29999.901399999999</v>
      </c>
      <c r="S34" t="s">
        <v>505</v>
      </c>
      <c r="T34">
        <v>1</v>
      </c>
      <c r="W34" t="s">
        <v>89</v>
      </c>
      <c r="X34" t="s">
        <v>28</v>
      </c>
      <c r="Y34" s="53">
        <v>1581.07</v>
      </c>
      <c r="Z34">
        <v>0</v>
      </c>
      <c r="AB34" s="3" t="s">
        <v>24</v>
      </c>
      <c r="AC34" s="32">
        <v>1854565.0232365597</v>
      </c>
      <c r="AD34" s="32">
        <v>1788029.9734365612</v>
      </c>
      <c r="AG34" t="s">
        <v>442</v>
      </c>
      <c r="AH34" t="s">
        <v>475</v>
      </c>
      <c r="AI34" t="s">
        <v>75</v>
      </c>
      <c r="AJ34" t="s">
        <v>93</v>
      </c>
      <c r="AL34" t="s">
        <v>442</v>
      </c>
      <c r="AN34" t="s">
        <v>114</v>
      </c>
      <c r="AS34" t="str">
        <f>IF(Summary_Exchange_Balances_00UTC!$B34="","","'"&amp;C34&amp;"',")</f>
        <v>'SUSHI',</v>
      </c>
      <c r="AT34">
        <f>IF(Summary_Exchange_Balances_00UTC!$B34="","",IF(ISERROR(HLOOKUP($C34,$AW$1:$LL$2,2,FALSE)),Summary_Exchange_Balances_00UTC!$Q34,IF(OR(HLOOKUP($C34,$AW$1:$LL$2,2,FALSE)="",HLOOKUP($C34,$AW$1:$LL$2,2,FALSE)="null"),Summary_Exchange_Balances_00UTC!$Q34,HLOOKUP($C34,$AW$1:$LL$2,2,FALSE))))</f>
        <v>1.248</v>
      </c>
    </row>
    <row r="35" spans="1:46" x14ac:dyDescent="0.25">
      <c r="A35" t="str">
        <f>IF(Summary_Exchange_Balances_00UTC!$B35="","",Summary_Exchange_Balances_00UTC!$N35)</f>
        <v>BINE</v>
      </c>
      <c r="B35" t="str">
        <f>IF(Summary_Exchange_Balances_00UTC!$B35="","",Summary_Exchange_Balances_00UTC!$B35)</f>
        <v>BINE-2-S1-E</v>
      </c>
      <c r="C35" t="str">
        <f>IF(Summary_Exchange_Balances_00UTC!$B35="","",Summary_Exchange_Balances_00UTC!$E35)</f>
        <v>UNI</v>
      </c>
      <c r="D35" t="str">
        <f>IF(OR(Summary_Exchange_Balances_00UTC!$B35="",Summary_Exchange_Balances_00UTC!$D35=""),"",Summary_Exchange_Balances_00UTC!$D35)</f>
        <v/>
      </c>
      <c r="E35" s="54">
        <f>IF(Summary_Exchange_Balances_00UTC!$B35="","",Summary_Exchange_Balances_00UTC!$C35)</f>
        <v>5519.2358653000001</v>
      </c>
      <c r="F35" s="53">
        <f>IF(Summary_Exchange_Balances_00UTC!$B35="","",VLOOKUP(UPPER($A35&amp;$C35),$L:$T,7,FALSE))</f>
        <v>1000</v>
      </c>
      <c r="G35" s="53">
        <f>IF(Summary_Exchange_Balances_00UTC!$B35="","",VLOOKUP(IF(ISERROR(SEARCH(" ", $B35)),UPPER($B35&amp;$C35&amp;$D35),UPPER(LEFT($B35, SEARCH(" ",$B35)-1)&amp;$C35&amp;$D35)),$M:$T,6,FALSE))</f>
        <v>1000</v>
      </c>
      <c r="H35">
        <f>IF(Summary_Exchange_Balances_00UTC!$B35="","",IF(ISERROR($G35),$E35,$G35))</f>
        <v>1000</v>
      </c>
      <c r="I35" s="36">
        <f t="shared" si="0"/>
        <v>-0.81881549830346945</v>
      </c>
      <c r="L35" t="str">
        <f t="shared" si="1"/>
        <v>BINEETC</v>
      </c>
      <c r="M35" t="str">
        <f t="shared" si="2"/>
        <v>BINE-2-S1-METCMARGIN LOAN</v>
      </c>
      <c r="N35" t="s">
        <v>30</v>
      </c>
      <c r="O35" t="s">
        <v>89</v>
      </c>
      <c r="P35" t="s">
        <v>94</v>
      </c>
      <c r="Q35" t="s">
        <v>203</v>
      </c>
      <c r="R35" s="43">
        <v>0.15721859999999999</v>
      </c>
      <c r="S35" t="s">
        <v>506</v>
      </c>
      <c r="T35">
        <v>1</v>
      </c>
      <c r="W35" t="s">
        <v>89</v>
      </c>
      <c r="X35" t="s">
        <v>25</v>
      </c>
      <c r="Y35" s="54">
        <v>237.91499999999999</v>
      </c>
      <c r="Z35">
        <v>0</v>
      </c>
      <c r="AB35" s="3" t="s">
        <v>30</v>
      </c>
      <c r="AC35" s="32">
        <v>9678.2703249800015</v>
      </c>
      <c r="AD35" s="32">
        <v>9678.2703259151094</v>
      </c>
      <c r="AG35" t="s">
        <v>441</v>
      </c>
      <c r="AH35" t="s">
        <v>476</v>
      </c>
      <c r="AI35" t="s">
        <v>75</v>
      </c>
      <c r="AJ35" t="s">
        <v>93</v>
      </c>
      <c r="AL35" t="s">
        <v>441</v>
      </c>
      <c r="AN35" t="s">
        <v>41</v>
      </c>
      <c r="AS35" t="str">
        <f>IF(Summary_Exchange_Balances_00UTC!$B35="","","'"&amp;C35&amp;"',")</f>
        <v>'UNI',</v>
      </c>
      <c r="AT35">
        <f>IF(Summary_Exchange_Balances_00UTC!$B35="","",IF(ISERROR(HLOOKUP($C35,$AW$1:$LL$2,2,FALSE)),Summary_Exchange_Balances_00UTC!$Q35,IF(OR(HLOOKUP($C35,$AW$1:$LL$2,2,FALSE)="",HLOOKUP($C35,$AW$1:$LL$2,2,FALSE)="null"),Summary_Exchange_Balances_00UTC!$Q35,HLOOKUP($C35,$AW$1:$LL$2,2,FALSE))))</f>
        <v>5.7869999999999999</v>
      </c>
    </row>
    <row r="36" spans="1:46" x14ac:dyDescent="0.25">
      <c r="A36" t="str">
        <f>IF(Summary_Exchange_Balances_00UTC!$B36="","",Summary_Exchange_Balances_00UTC!$N36)</f>
        <v>BINE</v>
      </c>
      <c r="B36" t="str">
        <f>IF(Summary_Exchange_Balances_00UTC!$B36="","",Summary_Exchange_Balances_00UTC!$B36)</f>
        <v>BINE-2-S1-E</v>
      </c>
      <c r="C36" t="str">
        <f>IF(Summary_Exchange_Balances_00UTC!$B36="","",Summary_Exchange_Balances_00UTC!$E36)</f>
        <v>USDT</v>
      </c>
      <c r="D36" t="str">
        <f>IF(OR(Summary_Exchange_Balances_00UTC!$B36="",Summary_Exchange_Balances_00UTC!$D36=""),"",Summary_Exchange_Balances_00UTC!$D36)</f>
        <v/>
      </c>
      <c r="E36" s="53">
        <f>IF(Summary_Exchange_Balances_00UTC!$B36="","",Summary_Exchange_Balances_00UTC!$C36)</f>
        <v>1097551.0372077101</v>
      </c>
      <c r="F36" s="53">
        <f>IF(Summary_Exchange_Balances_00UTC!$B36="","",VLOOKUP(UPPER($A36&amp;$C36),$L:$T,7,FALSE))</f>
        <v>1989106.98597552</v>
      </c>
      <c r="G36" s="53">
        <f>IF(Summary_Exchange_Balances_00UTC!$B36="","",VLOOKUP(IF(ISERROR(SEARCH(" ", $B36)),UPPER($B36&amp;$C36&amp;$D36),UPPER(LEFT($B36, SEARCH(" ",$B36)-1)&amp;$C36&amp;$D36)),$M:$T,6,FALSE))</f>
        <v>10207067.854730301</v>
      </c>
      <c r="H36">
        <f>IF(Summary_Exchange_Balances_00UTC!$B36="","",IF(ISERROR($G36),$E36,$G36))</f>
        <v>10207067.854730301</v>
      </c>
      <c r="I36" s="36">
        <f t="shared" si="0"/>
        <v>8.2998571444096108</v>
      </c>
      <c r="L36" t="str">
        <f t="shared" si="1"/>
        <v>BINEETH</v>
      </c>
      <c r="M36" t="str">
        <f t="shared" si="2"/>
        <v>BINE-2-S1-EETH</v>
      </c>
      <c r="N36" t="s">
        <v>16</v>
      </c>
      <c r="O36" t="s">
        <v>89</v>
      </c>
      <c r="P36" t="s">
        <v>86</v>
      </c>
      <c r="R36" s="43">
        <v>109.9331</v>
      </c>
      <c r="S36" t="s">
        <v>505</v>
      </c>
      <c r="T36">
        <v>1</v>
      </c>
      <c r="W36" t="s">
        <v>89</v>
      </c>
      <c r="X36" t="s">
        <v>39</v>
      </c>
      <c r="Y36" s="53">
        <v>15525555.45521039</v>
      </c>
      <c r="Z36">
        <v>0</v>
      </c>
      <c r="AB36" s="3" t="s">
        <v>16</v>
      </c>
      <c r="AC36" s="32">
        <v>32060.337068530003</v>
      </c>
      <c r="AD36" s="32">
        <v>42213.678711827626</v>
      </c>
      <c r="AN36" t="s">
        <v>296</v>
      </c>
      <c r="AS36" t="str">
        <f>IF(Summary_Exchange_Balances_00UTC!$B36="","","'"&amp;C36&amp;"',")</f>
        <v>'USDT',</v>
      </c>
      <c r="AT36">
        <f>IF(Summary_Exchange_Balances_00UTC!$B36="","",IF(ISERROR(HLOOKUP($C36,$AW$1:$LL$2,2,FALSE)),Summary_Exchange_Balances_00UTC!$Q36,IF(OR(HLOOKUP($C36,$AW$1:$LL$2,2,FALSE)="",HLOOKUP($C36,$AW$1:$LL$2,2,FALSE)="null"),Summary_Exchange_Balances_00UTC!$Q36,HLOOKUP($C36,$AW$1:$LL$2,2,FALSE))))</f>
        <v>1.0001054103245297</v>
      </c>
    </row>
    <row r="37" spans="1:46" x14ac:dyDescent="0.25">
      <c r="A37" t="str">
        <f>IF(Summary_Exchange_Balances_00UTC!$B37="","",Summary_Exchange_Balances_00UTC!$N37)</f>
        <v>BINE</v>
      </c>
      <c r="B37" t="str">
        <f>IF(Summary_Exchange_Balances_00UTC!$B37="","",Summary_Exchange_Balances_00UTC!$B37)</f>
        <v>BINE-2-S1-E</v>
      </c>
      <c r="C37" t="str">
        <f>IF(Summary_Exchange_Balances_00UTC!$B37="","",Summary_Exchange_Balances_00UTC!$E37)</f>
        <v>XLM</v>
      </c>
      <c r="D37" t="str">
        <f>IF(OR(Summary_Exchange_Balances_00UTC!$B37="",Summary_Exchange_Balances_00UTC!$D37=""),"",Summary_Exchange_Balances_00UTC!$D37)</f>
        <v/>
      </c>
      <c r="E37" s="53">
        <f>IF(Summary_Exchange_Balances_00UTC!$B37="","",Summary_Exchange_Balances_00UTC!$C37)</f>
        <v>497026.08497730002</v>
      </c>
      <c r="F37" s="53">
        <f>IF(Summary_Exchange_Balances_00UTC!$B37="","",VLOOKUP(UPPER($A37&amp;$C37),$L:$T,7,FALSE))</f>
        <v>-50000</v>
      </c>
      <c r="G37" s="53">
        <f>IF(Summary_Exchange_Balances_00UTC!$B37="","",VLOOKUP(IF(ISERROR(SEARCH(" ", $B37)),UPPER($B37&amp;$C37&amp;$D37),UPPER(LEFT($B37, SEARCH(" ",$B37)-1)&amp;$C37&amp;$D37)),$M:$T,6,FALSE))</f>
        <v>50000</v>
      </c>
      <c r="H37">
        <f>IF(Summary_Exchange_Balances_00UTC!$B37="","",IF(ISERROR($G37),$E37,$G37))</f>
        <v>50000</v>
      </c>
      <c r="I37" s="36">
        <f t="shared" si="0"/>
        <v>-0.89940165815988593</v>
      </c>
      <c r="L37" t="str">
        <f t="shared" si="1"/>
        <v>BINEETH</v>
      </c>
      <c r="M37" t="str">
        <f t="shared" si="2"/>
        <v>BINE-2-S1-METHMARGIN LOAN</v>
      </c>
      <c r="N37" t="s">
        <v>16</v>
      </c>
      <c r="O37" t="s">
        <v>89</v>
      </c>
      <c r="P37" t="s">
        <v>94</v>
      </c>
      <c r="Q37" t="s">
        <v>203</v>
      </c>
      <c r="R37" s="43">
        <v>2149.5747000000001</v>
      </c>
      <c r="S37" t="s">
        <v>506</v>
      </c>
      <c r="T37">
        <v>1</v>
      </c>
      <c r="W37" t="s">
        <v>89</v>
      </c>
      <c r="X37" t="s">
        <v>90</v>
      </c>
      <c r="Y37" s="53">
        <v>1E-8</v>
      </c>
      <c r="Z37">
        <v>0</v>
      </c>
      <c r="AB37" s="3" t="s">
        <v>297</v>
      </c>
      <c r="AC37" s="32">
        <v>9823.8374246499989</v>
      </c>
      <c r="AD37" s="32">
        <v>9823.8364263999993</v>
      </c>
      <c r="AN37" t="s">
        <v>299</v>
      </c>
      <c r="AS37" t="str">
        <f>IF(Summary_Exchange_Balances_00UTC!$B37="","","'"&amp;C37&amp;"',")</f>
        <v>'XLM',</v>
      </c>
      <c r="AT37">
        <f>IF(Summary_Exchange_Balances_00UTC!$B37="","",IF(ISERROR(HLOOKUP($C37,$AW$1:$LL$2,2,FALSE)),Summary_Exchange_Balances_00UTC!$Q37,IF(OR(HLOOKUP($C37,$AW$1:$LL$2,2,FALSE)="",HLOOKUP($C37,$AW$1:$LL$2,2,FALSE)="null"),Summary_Exchange_Balances_00UTC!$Q37,HLOOKUP($C37,$AW$1:$LL$2,2,FALSE))))</f>
        <v>9.0786800000000001E-2</v>
      </c>
    </row>
    <row r="38" spans="1:46" x14ac:dyDescent="0.25">
      <c r="A38" t="str">
        <f>IF(Summary_Exchange_Balances_00UTC!$B38="","",Summary_Exchange_Balances_00UTC!$N38)</f>
        <v>BINE</v>
      </c>
      <c r="B38" t="str">
        <f>IF(Summary_Exchange_Balances_00UTC!$B38="","",Summary_Exchange_Balances_00UTC!$B38)</f>
        <v>BINE-2-S1-E</v>
      </c>
      <c r="C38" t="str">
        <f>IF(Summary_Exchange_Balances_00UTC!$B38="","",Summary_Exchange_Balances_00UTC!$E38)</f>
        <v>XTZ</v>
      </c>
      <c r="D38" t="str">
        <f>IF(OR(Summary_Exchange_Balances_00UTC!$B38="",Summary_Exchange_Balances_00UTC!$D38=""),"",Summary_Exchange_Balances_00UTC!$D38)</f>
        <v/>
      </c>
      <c r="E38" s="53">
        <f>IF(Summary_Exchange_Balances_00UTC!$B38="","",Summary_Exchange_Balances_00UTC!$C38)</f>
        <v>39920.39445</v>
      </c>
      <c r="F38" s="53" t="e">
        <f>IF(Summary_Exchange_Balances_00UTC!$B38="","",VLOOKUP(UPPER($A38&amp;$C38),$L:$T,7,FALSE))</f>
        <v>#N/A</v>
      </c>
      <c r="G38" s="53" t="e">
        <f>IF(Summary_Exchange_Balances_00UTC!$B38="","",VLOOKUP(IF(ISERROR(SEARCH(" ", $B38)),UPPER($B38&amp;$C38&amp;$D38),UPPER(LEFT($B38, SEARCH(" ",$B38)-1)&amp;$C38&amp;$D38)),$M:$T,6,FALSE))</f>
        <v>#N/A</v>
      </c>
      <c r="H38">
        <f>IF(Summary_Exchange_Balances_00UTC!$B38="","",IF(ISERROR($G38),$E38,$G38))</f>
        <v>39920.39445</v>
      </c>
      <c r="I38" s="36" t="e">
        <f t="shared" si="0"/>
        <v>#N/A</v>
      </c>
      <c r="L38" t="str">
        <f t="shared" si="1"/>
        <v>BINEETH</v>
      </c>
      <c r="M38" t="str">
        <f t="shared" si="2"/>
        <v>BINE-2-S1-FETHBALANCE</v>
      </c>
      <c r="N38" t="s">
        <v>16</v>
      </c>
      <c r="O38" t="s">
        <v>89</v>
      </c>
      <c r="P38" t="s">
        <v>12</v>
      </c>
      <c r="Q38" t="s">
        <v>75</v>
      </c>
      <c r="R38" s="43">
        <v>6515.89078814</v>
      </c>
      <c r="S38" t="s">
        <v>508</v>
      </c>
      <c r="T38">
        <v>1</v>
      </c>
      <c r="W38" t="s">
        <v>89</v>
      </c>
      <c r="X38" t="s">
        <v>91</v>
      </c>
      <c r="Y38" s="53">
        <v>13100000</v>
      </c>
      <c r="Z38">
        <v>0</v>
      </c>
      <c r="AB38" s="3" t="s">
        <v>275</v>
      </c>
      <c r="AC38" s="32">
        <v>4732.5387514900003</v>
      </c>
      <c r="AD38" s="32">
        <v>4732.7699950957995</v>
      </c>
      <c r="AG38" t="s">
        <v>427</v>
      </c>
      <c r="AH38" t="s">
        <v>477</v>
      </c>
      <c r="AL38" t="s">
        <v>427</v>
      </c>
      <c r="AN38" t="s">
        <v>117</v>
      </c>
      <c r="AS38" t="str">
        <f>IF(Summary_Exchange_Balances_00UTC!$B38="","","'"&amp;C38&amp;"',")</f>
        <v>'XTZ',</v>
      </c>
      <c r="AT38">
        <f>IF(Summary_Exchange_Balances_00UTC!$B38="","",IF(ISERROR(HLOOKUP($C38,$AW$1:$LL$2,2,FALSE)),Summary_Exchange_Balances_00UTC!$Q38,IF(OR(HLOOKUP($C38,$AW$1:$LL$2,2,FALSE)="",HLOOKUP($C38,$AW$1:$LL$2,2,FALSE)="null"),Summary_Exchange_Balances_00UTC!$Q38,HLOOKUP($C38,$AW$1:$LL$2,2,FALSE))))</f>
        <v>0.98099999999999998</v>
      </c>
    </row>
    <row r="39" spans="1:46" x14ac:dyDescent="0.25">
      <c r="A39" t="str">
        <f>IF(Summary_Exchange_Balances_00UTC!$B39="","",Summary_Exchange_Balances_00UTC!$N39)</f>
        <v>BINE</v>
      </c>
      <c r="B39" t="str">
        <f>IF(Summary_Exchange_Balances_00UTC!$B39="","",Summary_Exchange_Balances_00UTC!$B39)</f>
        <v>BINE-2-S1-E</v>
      </c>
      <c r="C39" t="str">
        <f>IF(Summary_Exchange_Balances_00UTC!$B39="","",Summary_Exchange_Balances_00UTC!$E39)</f>
        <v>YFI</v>
      </c>
      <c r="D39" t="str">
        <f>IF(OR(Summary_Exchange_Balances_00UTC!$B39="",Summary_Exchange_Balances_00UTC!$D39=""),"",Summary_Exchange_Balances_00UTC!$D39)</f>
        <v/>
      </c>
      <c r="E39" s="53">
        <f>IF(Summary_Exchange_Balances_00UTC!$B39="","",Summary_Exchange_Balances_00UTC!$C39)</f>
        <v>4.1090000000000002E-2</v>
      </c>
      <c r="F39" s="53" t="e">
        <f>IF(Summary_Exchange_Balances_00UTC!$B39="","",VLOOKUP(UPPER($A39&amp;$C39),$L:$T,7,FALSE))</f>
        <v>#N/A</v>
      </c>
      <c r="G39" s="53" t="e">
        <f>IF(Summary_Exchange_Balances_00UTC!$B39="","",VLOOKUP(IF(ISERROR(SEARCH(" ", $B39)),UPPER($B39&amp;$C39&amp;$D39),UPPER(LEFT($B39, SEARCH(" ",$B39)-1)&amp;$C39&amp;$D39)),$M:$T,6,FALSE))</f>
        <v>#N/A</v>
      </c>
      <c r="H39">
        <f>IF(Summary_Exchange_Balances_00UTC!$B39="","",IF(ISERROR($G39),$E39,$G39))</f>
        <v>4.1090000000000002E-2</v>
      </c>
      <c r="I39" s="36" t="e">
        <f t="shared" si="0"/>
        <v>#N/A</v>
      </c>
      <c r="L39" t="str">
        <f t="shared" si="1"/>
        <v>BINEETH</v>
      </c>
      <c r="M39" t="str">
        <f t="shared" si="2"/>
        <v>BINE-2-S1-FETHUNREALIZED</v>
      </c>
      <c r="N39" t="s">
        <v>16</v>
      </c>
      <c r="O39" t="s">
        <v>89</v>
      </c>
      <c r="P39" t="s">
        <v>12</v>
      </c>
      <c r="Q39" t="s">
        <v>93</v>
      </c>
      <c r="R39" s="43">
        <v>33.385132030000001</v>
      </c>
      <c r="S39" t="s">
        <v>508</v>
      </c>
      <c r="T39">
        <v>1</v>
      </c>
      <c r="W39" t="s">
        <v>89</v>
      </c>
      <c r="X39" t="s">
        <v>39</v>
      </c>
      <c r="Y39" s="53">
        <v>33612223.521003857</v>
      </c>
      <c r="Z39">
        <v>0</v>
      </c>
      <c r="AB39" s="3" t="s">
        <v>110</v>
      </c>
      <c r="AC39" s="32">
        <v>34503839.232798174</v>
      </c>
      <c r="AD39" s="32">
        <v>701675.65022685006</v>
      </c>
      <c r="AG39" t="s">
        <v>425</v>
      </c>
      <c r="AH39" t="s">
        <v>478</v>
      </c>
      <c r="AN39" t="s">
        <v>118</v>
      </c>
      <c r="AS39" t="str">
        <f>IF(Summary_Exchange_Balances_00UTC!$B39="","","'"&amp;C39&amp;"',")</f>
        <v>'YFI',</v>
      </c>
      <c r="AT39">
        <f>IF(Summary_Exchange_Balances_00UTC!$B39="","",IF(ISERROR(HLOOKUP($C39,$AW$1:$LL$2,2,FALSE)),Summary_Exchange_Balances_00UTC!$Q39,IF(OR(HLOOKUP($C39,$AW$1:$LL$2,2,FALSE)="",HLOOKUP($C39,$AW$1:$LL$2,2,FALSE)="null"),Summary_Exchange_Balances_00UTC!$Q39,HLOOKUP($C39,$AW$1:$LL$2,2,FALSE))))</f>
        <v>6065.0834999999997</v>
      </c>
    </row>
    <row r="40" spans="1:46" x14ac:dyDescent="0.25">
      <c r="A40" t="str">
        <f>IF(Summary_Exchange_Balances_00UTC!$B40="","",Summary_Exchange_Balances_00UTC!$N40)</f>
        <v>BINE</v>
      </c>
      <c r="B40" t="str">
        <f>IF(Summary_Exchange_Balances_00UTC!$B40="","",Summary_Exchange_Balances_00UTC!$B40)</f>
        <v>BINE-2-S1-F</v>
      </c>
      <c r="C40" t="str">
        <f>IF(Summary_Exchange_Balances_00UTC!$B40="","",Summary_Exchange_Balances_00UTC!$E40)</f>
        <v>BTC</v>
      </c>
      <c r="D40" t="str">
        <f>IF(OR(Summary_Exchange_Balances_00UTC!$B40="",Summary_Exchange_Balances_00UTC!$D40=""),"",Summary_Exchange_Balances_00UTC!$D40)</f>
        <v>Balance</v>
      </c>
      <c r="E40" s="54">
        <f>IF(Summary_Exchange_Balances_00UTC!$B40="","",Summary_Exchange_Balances_00UTC!$C40)</f>
        <v>755.24808492</v>
      </c>
      <c r="F40" s="53">
        <f>IF(Summary_Exchange_Balances_00UTC!$B40="","",VLOOKUP(UPPER($A40&amp;$C40),$L:$T,7,FALSE))</f>
        <v>35.056527279999997</v>
      </c>
      <c r="G40" s="53">
        <f>IF(Summary_Exchange_Balances_00UTC!$B40="","",VLOOKUP(IF(ISERROR(SEARCH(" ", $B40)),UPPER($B40&amp;$C40&amp;$D40),UPPER(LEFT($B40, SEARCH(" ",$B40)-1)&amp;$C40&amp;$D40)),$M:$T,6,FALSE))</f>
        <v>819.77855609999995</v>
      </c>
      <c r="H40">
        <f>IF(Summary_Exchange_Balances_00UTC!$B40="","",IF(ISERROR($G40),$E40,$G40))</f>
        <v>819.77855609999995</v>
      </c>
      <c r="I40" s="36">
        <f t="shared" si="0"/>
        <v>8.5442747182649756E-2</v>
      </c>
      <c r="L40" t="str">
        <f t="shared" si="1"/>
        <v>BINEEUR</v>
      </c>
      <c r="M40" t="str">
        <f t="shared" si="2"/>
        <v>BINE-2-S1-EEUR</v>
      </c>
      <c r="N40" t="s">
        <v>110</v>
      </c>
      <c r="O40" t="s">
        <v>89</v>
      </c>
      <c r="P40" t="s">
        <v>86</v>
      </c>
      <c r="R40" s="43">
        <v>719874.19740535005</v>
      </c>
      <c r="S40" t="s">
        <v>505</v>
      </c>
      <c r="T40">
        <v>1</v>
      </c>
      <c r="W40" t="s">
        <v>89</v>
      </c>
      <c r="X40" t="s">
        <v>39</v>
      </c>
      <c r="Y40" s="54">
        <v>2628589.32911707</v>
      </c>
      <c r="Z40">
        <v>0</v>
      </c>
      <c r="AB40" s="3" t="s">
        <v>261</v>
      </c>
      <c r="AC40" s="32">
        <v>344654.03834208002</v>
      </c>
      <c r="AD40" s="32">
        <v>339435.07507432002</v>
      </c>
      <c r="AG40" t="s">
        <v>42</v>
      </c>
      <c r="AH40" t="s">
        <v>479</v>
      </c>
      <c r="AI40" t="s">
        <v>75</v>
      </c>
      <c r="AJ40" t="s">
        <v>93</v>
      </c>
      <c r="AL40" t="s">
        <v>42</v>
      </c>
      <c r="AN40" t="s">
        <v>42</v>
      </c>
      <c r="AS40" t="str">
        <f>IF(Summary_Exchange_Balances_00UTC!$B40="","","'"&amp;C40&amp;"',")</f>
        <v>'BTC',</v>
      </c>
      <c r="AT40">
        <f>IF(Summary_Exchange_Balances_00UTC!$B40="","",IF(ISERROR(HLOOKUP($C40,$AW$1:$LL$2,2,FALSE)),Summary_Exchange_Balances_00UTC!$Q40,IF(OR(HLOOKUP($C40,$AW$1:$LL$2,2,FALSE)="",HLOOKUP($C40,$AW$1:$LL$2,2,FALSE)="null"),Summary_Exchange_Balances_00UTC!$Q40,HLOOKUP($C40,$AW$1:$LL$2,2,FALSE))))</f>
        <v>16719.740000000002</v>
      </c>
    </row>
    <row r="41" spans="1:46" x14ac:dyDescent="0.25">
      <c r="A41" t="str">
        <f>IF(Summary_Exchange_Balances_00UTC!$B41="","",Summary_Exchange_Balances_00UTC!$N41)</f>
        <v>BINE</v>
      </c>
      <c r="B41" t="str">
        <f>IF(Summary_Exchange_Balances_00UTC!$B41="","",Summary_Exchange_Balances_00UTC!$B41)</f>
        <v>BINE-2-S1-F</v>
      </c>
      <c r="C41" t="str">
        <f>IF(Summary_Exchange_Balances_00UTC!$B41="","",Summary_Exchange_Balances_00UTC!$E41)</f>
        <v>BTC</v>
      </c>
      <c r="D41" t="str">
        <f>IF(OR(Summary_Exchange_Balances_00UTC!$B41="",Summary_Exchange_Balances_00UTC!$D41=""),"",Summary_Exchange_Balances_00UTC!$D41)</f>
        <v>Unrealized</v>
      </c>
      <c r="E41" s="53">
        <f>IF(Summary_Exchange_Balances_00UTC!$B41="","",Summary_Exchange_Balances_00UTC!$C41)</f>
        <v>-1.3556931999999999</v>
      </c>
      <c r="F41" s="53">
        <f>IF(Summary_Exchange_Balances_00UTC!$B41="","",VLOOKUP(UPPER($A41&amp;$C41),$L:$T,7,FALSE))</f>
        <v>35.056527279999997</v>
      </c>
      <c r="G41" s="53">
        <f>IF(Summary_Exchange_Balances_00UTC!$B41="","",VLOOKUP(IF(ISERROR(SEARCH(" ", $B41)),UPPER($B41&amp;$C41&amp;$D41),UPPER(LEFT($B41, SEARCH(" ",$B41)-1)&amp;$C41&amp;$D41)),$M:$T,6,FALSE))</f>
        <v>-4.32962224</v>
      </c>
      <c r="H41">
        <f>IF(Summary_Exchange_Balances_00UTC!$B41="","",IF(ISERROR($G41),$E41,$G41))</f>
        <v>-4.32962224</v>
      </c>
      <c r="I41" s="36">
        <f t="shared" si="0"/>
        <v>2.1936593323622189</v>
      </c>
      <c r="L41" t="str">
        <f t="shared" si="1"/>
        <v>BINEFIL</v>
      </c>
      <c r="M41" t="str">
        <f t="shared" si="2"/>
        <v>BINE-2-S1-EFIL</v>
      </c>
      <c r="N41" t="s">
        <v>31</v>
      </c>
      <c r="O41" t="s">
        <v>89</v>
      </c>
      <c r="P41" t="s">
        <v>86</v>
      </c>
      <c r="R41" s="43">
        <v>0.19800000000000001</v>
      </c>
      <c r="S41" t="s">
        <v>505</v>
      </c>
      <c r="T41">
        <v>1</v>
      </c>
      <c r="W41" t="s">
        <v>89</v>
      </c>
      <c r="X41" t="s">
        <v>39</v>
      </c>
      <c r="Y41" s="53">
        <v>1966905.2624124701</v>
      </c>
      <c r="Z41">
        <v>0</v>
      </c>
      <c r="AB41" s="3" t="s">
        <v>335</v>
      </c>
      <c r="AC41" s="32">
        <v>0</v>
      </c>
      <c r="AD41" s="32">
        <v>5024</v>
      </c>
      <c r="AN41" t="s">
        <v>43</v>
      </c>
      <c r="AS41" t="str">
        <f>IF(Summary_Exchange_Balances_00UTC!$B41="","","'"&amp;C41&amp;"',")</f>
        <v>'BTC',</v>
      </c>
      <c r="AT41">
        <f>IF(Summary_Exchange_Balances_00UTC!$B41="","",IF(ISERROR(HLOOKUP($C41,$AW$1:$LL$2,2,FALSE)),Summary_Exchange_Balances_00UTC!$Q41,IF(OR(HLOOKUP($C41,$AW$1:$LL$2,2,FALSE)="",HLOOKUP($C41,$AW$1:$LL$2,2,FALSE)="null"),Summary_Exchange_Balances_00UTC!$Q41,HLOOKUP($C41,$AW$1:$LL$2,2,FALSE))))</f>
        <v>16719.740000000002</v>
      </c>
    </row>
    <row r="42" spans="1:46" x14ac:dyDescent="0.25">
      <c r="A42" t="str">
        <f>IF(Summary_Exchange_Balances_00UTC!$B42="","",Summary_Exchange_Balances_00UTC!$N42)</f>
        <v>BINE</v>
      </c>
      <c r="B42" t="str">
        <f>IF(Summary_Exchange_Balances_00UTC!$B42="","",Summary_Exchange_Balances_00UTC!$B42)</f>
        <v>BINE-2-S1-F</v>
      </c>
      <c r="C42" t="str">
        <f>IF(Summary_Exchange_Balances_00UTC!$B42="","",Summary_Exchange_Balances_00UTC!$E42)</f>
        <v>ETH</v>
      </c>
      <c r="D42" t="str">
        <f>IF(OR(Summary_Exchange_Balances_00UTC!$B42="",Summary_Exchange_Balances_00UTC!$D42=""),"",Summary_Exchange_Balances_00UTC!$D42)</f>
        <v>Balance</v>
      </c>
      <c r="E42" s="54">
        <f>IF(Summary_Exchange_Balances_00UTC!$B42="","",Summary_Exchange_Balances_00UTC!$C42)</f>
        <v>6196.1898552499997</v>
      </c>
      <c r="F42" s="53">
        <f>IF(Summary_Exchange_Balances_00UTC!$B42="","",VLOOKUP(UPPER($A42&amp;$C42),$L:$T,7,FALSE))</f>
        <v>109.9331</v>
      </c>
      <c r="G42" s="53">
        <f>IF(Summary_Exchange_Balances_00UTC!$B42="","",VLOOKUP(IF(ISERROR(SEARCH(" ", $B42)),UPPER($B42&amp;$C42&amp;$D42),UPPER(LEFT($B42, SEARCH(" ",$B42)-1)&amp;$C42&amp;$D42)),$M:$T,6,FALSE))</f>
        <v>6515.89078814</v>
      </c>
      <c r="H42">
        <f>IF(Summary_Exchange_Balances_00UTC!$B42="","",IF(ISERROR($G42),$E42,$G42))</f>
        <v>6515.89078814</v>
      </c>
      <c r="I42" s="36">
        <f t="shared" si="0"/>
        <v>5.1596374604164101E-2</v>
      </c>
      <c r="L42" t="str">
        <f t="shared" si="1"/>
        <v>BINEFTM</v>
      </c>
      <c r="M42" t="str">
        <f t="shared" si="2"/>
        <v>BINE-2-S1-EFTM</v>
      </c>
      <c r="N42" t="s">
        <v>194</v>
      </c>
      <c r="O42" t="s">
        <v>89</v>
      </c>
      <c r="P42" t="s">
        <v>86</v>
      </c>
      <c r="R42" s="43">
        <v>30000</v>
      </c>
      <c r="S42" t="s">
        <v>505</v>
      </c>
      <c r="T42">
        <v>1</v>
      </c>
      <c r="W42" t="s">
        <v>89</v>
      </c>
      <c r="X42" t="s">
        <v>39</v>
      </c>
      <c r="Y42" s="54">
        <v>-11749.007398719999</v>
      </c>
      <c r="Z42">
        <v>0</v>
      </c>
      <c r="AB42" s="3" t="s">
        <v>31</v>
      </c>
      <c r="AC42" s="32">
        <v>2340.0222107299996</v>
      </c>
      <c r="AD42" s="32">
        <v>2340.0222108158487</v>
      </c>
      <c r="AG42" t="s">
        <v>480</v>
      </c>
      <c r="AH42" t="s">
        <v>481</v>
      </c>
      <c r="AS42" t="str">
        <f>IF(Summary_Exchange_Balances_00UTC!$B42="","","'"&amp;C42&amp;"',")</f>
        <v>'ETH',</v>
      </c>
      <c r="AT42">
        <f>IF(Summary_Exchange_Balances_00UTC!$B42="","",IF(ISERROR(HLOOKUP($C42,$AW$1:$LL$2,2,FALSE)),Summary_Exchange_Balances_00UTC!$Q42,IF(OR(HLOOKUP($C42,$AW$1:$LL$2,2,FALSE)="",HLOOKUP($C42,$AW$1:$LL$2,2,FALSE)="null"),Summary_Exchange_Balances_00UTC!$Q42,HLOOKUP($C42,$AW$1:$LL$2,2,FALSE))))</f>
        <v>1208.73</v>
      </c>
    </row>
    <row r="43" spans="1:46" x14ac:dyDescent="0.25">
      <c r="A43" t="str">
        <f>IF(Summary_Exchange_Balances_00UTC!$B43="","",Summary_Exchange_Balances_00UTC!$N43)</f>
        <v>BINE</v>
      </c>
      <c r="B43" t="str">
        <f>IF(Summary_Exchange_Balances_00UTC!$B43="","",Summary_Exchange_Balances_00UTC!$B43)</f>
        <v>BINE-2-S1-F</v>
      </c>
      <c r="C43" t="str">
        <f>IF(Summary_Exchange_Balances_00UTC!$B43="","",Summary_Exchange_Balances_00UTC!$E43)</f>
        <v>ETH</v>
      </c>
      <c r="D43" t="str">
        <f>IF(OR(Summary_Exchange_Balances_00UTC!$B43="",Summary_Exchange_Balances_00UTC!$D43=""),"",Summary_Exchange_Balances_00UTC!$D43)</f>
        <v>Unrealized</v>
      </c>
      <c r="E43" s="53">
        <f>IF(Summary_Exchange_Balances_00UTC!$B43="","",Summary_Exchange_Balances_00UTC!$C43)</f>
        <v>45.487666580000003</v>
      </c>
      <c r="F43" s="53">
        <f>IF(Summary_Exchange_Balances_00UTC!$B43="","",VLOOKUP(UPPER($A43&amp;$C43),$L:$T,7,FALSE))</f>
        <v>109.9331</v>
      </c>
      <c r="G43" s="53">
        <f>IF(Summary_Exchange_Balances_00UTC!$B43="","",VLOOKUP(IF(ISERROR(SEARCH(" ", $B43)),UPPER($B43&amp;$C43&amp;$D43),UPPER(LEFT($B43, SEARCH(" ",$B43)-1)&amp;$C43&amp;$D43)),$M:$T,6,FALSE))</f>
        <v>33.385132030000001</v>
      </c>
      <c r="H43">
        <f>IF(Summary_Exchange_Balances_00UTC!$B43="","",IF(ISERROR($G43),$E43,$G43))</f>
        <v>33.385132030000001</v>
      </c>
      <c r="I43" s="36">
        <f t="shared" si="0"/>
        <v>-0.26606189017664933</v>
      </c>
      <c r="L43" t="str">
        <f t="shared" si="1"/>
        <v>BINEFTM</v>
      </c>
      <c r="M43" t="str">
        <f t="shared" si="2"/>
        <v>BINE-2-S1-MFTMMARGIN LOAN</v>
      </c>
      <c r="N43" t="s">
        <v>194</v>
      </c>
      <c r="O43" t="s">
        <v>89</v>
      </c>
      <c r="P43" t="s">
        <v>94</v>
      </c>
      <c r="Q43" t="s">
        <v>203</v>
      </c>
      <c r="R43" s="43">
        <v>-30000</v>
      </c>
      <c r="S43" t="s">
        <v>506</v>
      </c>
      <c r="T43">
        <v>1</v>
      </c>
      <c r="W43" t="s">
        <v>97</v>
      </c>
      <c r="X43" t="s">
        <v>15</v>
      </c>
      <c r="Y43" s="53">
        <v>7.9996000000000008E-3</v>
      </c>
      <c r="Z43">
        <v>0</v>
      </c>
      <c r="AB43" s="3" t="s">
        <v>194</v>
      </c>
      <c r="AC43" s="32">
        <v>8.9826517900000002</v>
      </c>
      <c r="AD43" s="32">
        <v>0</v>
      </c>
      <c r="AG43" t="s">
        <v>480</v>
      </c>
      <c r="AH43" t="s">
        <v>482</v>
      </c>
      <c r="AI43" t="s">
        <v>75</v>
      </c>
      <c r="AJ43" t="s">
        <v>93</v>
      </c>
      <c r="AS43" t="str">
        <f>IF(Summary_Exchange_Balances_00UTC!$B43="","","'"&amp;C43&amp;"',")</f>
        <v>'ETH',</v>
      </c>
      <c r="AT43">
        <f>IF(Summary_Exchange_Balances_00UTC!$B43="","",IF(ISERROR(HLOOKUP($C43,$AW$1:$LL$2,2,FALSE)),Summary_Exchange_Balances_00UTC!$Q43,IF(OR(HLOOKUP($C43,$AW$1:$LL$2,2,FALSE)="",HLOOKUP($C43,$AW$1:$LL$2,2,FALSE)="null"),Summary_Exchange_Balances_00UTC!$Q43,HLOOKUP($C43,$AW$1:$LL$2,2,FALSE))))</f>
        <v>1208.73</v>
      </c>
    </row>
    <row r="44" spans="1:46" x14ac:dyDescent="0.25">
      <c r="A44" t="str">
        <f>IF(Summary_Exchange_Balances_00UTC!$B44="","",Summary_Exchange_Balances_00UTC!$N44)</f>
        <v>BINE</v>
      </c>
      <c r="B44" t="str">
        <f>IF(Summary_Exchange_Balances_00UTC!$B44="","",Summary_Exchange_Balances_00UTC!$B44)</f>
        <v>BINE-2-S1-M</v>
      </c>
      <c r="C44" t="str">
        <f>IF(Summary_Exchange_Balances_00UTC!$B44="","",Summary_Exchange_Balances_00UTC!$E44)</f>
        <v>BNB</v>
      </c>
      <c r="D44" t="str">
        <f>IF(OR(Summary_Exchange_Balances_00UTC!$B44="",Summary_Exchange_Balances_00UTC!$D44=""),"",Summary_Exchange_Balances_00UTC!$D44)</f>
        <v/>
      </c>
      <c r="E44" s="53">
        <f>IF(Summary_Exchange_Balances_00UTC!$B44="","",Summary_Exchange_Balances_00UTC!$C44)</f>
        <v>2425.4498470899998</v>
      </c>
      <c r="F44" s="53">
        <f>IF(Summary_Exchange_Balances_00UTC!$B44="","",VLOOKUP(UPPER($A44&amp;$C44),$L:$T,7,FALSE))</f>
        <v>2497.9862178100002</v>
      </c>
      <c r="G44" s="53" t="e">
        <f>IF(Summary_Exchange_Balances_00UTC!$B44="","",VLOOKUP(IF(ISERROR(SEARCH(" ", $B44)),UPPER($B44&amp;$C44&amp;$D44),UPPER(LEFT($B44, SEARCH(" ",$B44)-1)&amp;$C44&amp;$D44)),$M:$T,6,FALSE))</f>
        <v>#N/A</v>
      </c>
      <c r="H44">
        <f>IF(Summary_Exchange_Balances_00UTC!$B44="","",IF(ISERROR($G44),$E44,$G44))</f>
        <v>2425.4498470899998</v>
      </c>
      <c r="I44" s="36" t="e">
        <f t="shared" si="0"/>
        <v>#N/A</v>
      </c>
      <c r="L44" t="str">
        <f t="shared" si="1"/>
        <v>BINELINK</v>
      </c>
      <c r="M44" t="str">
        <f t="shared" si="2"/>
        <v>BINE-2-S1-MLINKMARGIN LOAN</v>
      </c>
      <c r="N44" t="s">
        <v>28</v>
      </c>
      <c r="O44" t="s">
        <v>89</v>
      </c>
      <c r="P44" t="s">
        <v>94</v>
      </c>
      <c r="Q44" t="s">
        <v>203</v>
      </c>
      <c r="R44" s="43">
        <v>-6486.86</v>
      </c>
      <c r="S44" t="s">
        <v>506</v>
      </c>
      <c r="T44">
        <v>1</v>
      </c>
      <c r="W44" t="s">
        <v>97</v>
      </c>
      <c r="X44" t="s">
        <v>16</v>
      </c>
      <c r="Y44" s="53">
        <v>0.02</v>
      </c>
      <c r="Z44">
        <v>0</v>
      </c>
      <c r="AB44" s="3" t="s">
        <v>336</v>
      </c>
      <c r="AC44" s="32">
        <v>0</v>
      </c>
      <c r="AD44" s="32">
        <v>8.9826517890000002</v>
      </c>
      <c r="AG44" t="s">
        <v>483</v>
      </c>
      <c r="AH44" t="s">
        <v>484</v>
      </c>
      <c r="AS44" t="str">
        <f>IF(Summary_Exchange_Balances_00UTC!$B44="","","'"&amp;C44&amp;"',")</f>
        <v>'BNB',</v>
      </c>
      <c r="AT44">
        <f>IF(Summary_Exchange_Balances_00UTC!$B44="","",IF(ISERROR(HLOOKUP($C44,$AW$1:$LL$2,2,FALSE)),Summary_Exchange_Balances_00UTC!$Q44,IF(OR(HLOOKUP($C44,$AW$1:$LL$2,2,FALSE)="",HLOOKUP($C44,$AW$1:$LL$2,2,FALSE)="null"),Summary_Exchange_Balances_00UTC!$Q44,HLOOKUP($C44,$AW$1:$LL$2,2,FALSE))))</f>
        <v>268.61020000000002</v>
      </c>
    </row>
    <row r="45" spans="1:46" x14ac:dyDescent="0.25">
      <c r="A45" t="str">
        <f>IF(Summary_Exchange_Balances_00UTC!$B45="","",Summary_Exchange_Balances_00UTC!$N45)</f>
        <v>BINE</v>
      </c>
      <c r="B45" t="str">
        <f>IF(Summary_Exchange_Balances_00UTC!$B45="","",Summary_Exchange_Balances_00UTC!$B45)</f>
        <v>BINE-2-S1-M</v>
      </c>
      <c r="C45" t="str">
        <f>IF(Summary_Exchange_Balances_00UTC!$B45="","",Summary_Exchange_Balances_00UTC!$E45)</f>
        <v>BTC</v>
      </c>
      <c r="D45" t="str">
        <f>IF(OR(Summary_Exchange_Balances_00UTC!$B45="",Summary_Exchange_Balances_00UTC!$D45=""),"",Summary_Exchange_Balances_00UTC!$D45)</f>
        <v/>
      </c>
      <c r="E45" s="53">
        <f>IF(Summary_Exchange_Balances_00UTC!$B45="","",Summary_Exchange_Balances_00UTC!$C45)</f>
        <v>713.93965645000003</v>
      </c>
      <c r="F45" s="53">
        <f>IF(Summary_Exchange_Balances_00UTC!$B45="","",VLOOKUP(UPPER($A45&amp;$C45),$L:$T,7,FALSE))</f>
        <v>35.056527279999997</v>
      </c>
      <c r="G45" s="53" t="e">
        <f>IF(Summary_Exchange_Balances_00UTC!$B45="","",VLOOKUP(IF(ISERROR(SEARCH(" ", $B45)),UPPER($B45&amp;$C45&amp;$D45),UPPER(LEFT($B45, SEARCH(" ",$B45)-1)&amp;$C45&amp;$D45)),$M:$T,6,FALSE))</f>
        <v>#N/A</v>
      </c>
      <c r="H45">
        <f>IF(Summary_Exchange_Balances_00UTC!$B45="","",IF(ISERROR($G45),$E45,$G45))</f>
        <v>713.93965645000003</v>
      </c>
      <c r="I45" s="36" t="e">
        <f t="shared" si="0"/>
        <v>#N/A</v>
      </c>
      <c r="L45" t="str">
        <f t="shared" si="1"/>
        <v>BINELINK</v>
      </c>
      <c r="M45" t="str">
        <f t="shared" si="2"/>
        <v>BINE-2-S1-ELINK</v>
      </c>
      <c r="N45" t="s">
        <v>28</v>
      </c>
      <c r="O45" t="s">
        <v>89</v>
      </c>
      <c r="P45" t="s">
        <v>86</v>
      </c>
      <c r="R45" s="43">
        <v>12.72046903</v>
      </c>
      <c r="S45" t="s">
        <v>505</v>
      </c>
      <c r="T45">
        <v>1</v>
      </c>
      <c r="W45" t="s">
        <v>97</v>
      </c>
      <c r="X45" t="s">
        <v>275</v>
      </c>
      <c r="Y45" s="53">
        <v>0.02</v>
      </c>
      <c r="Z45">
        <v>0</v>
      </c>
      <c r="AB45" s="3" t="s">
        <v>112</v>
      </c>
      <c r="AC45" s="32">
        <v>1013.76837302</v>
      </c>
      <c r="AD45" s="32">
        <v>3.2244594900000001</v>
      </c>
      <c r="AG45" t="s">
        <v>485</v>
      </c>
      <c r="AH45" t="s">
        <v>486</v>
      </c>
      <c r="AS45" t="str">
        <f>IF(Summary_Exchange_Balances_00UTC!$B45="","","'"&amp;C45&amp;"',")</f>
        <v>'BTC',</v>
      </c>
      <c r="AT45">
        <f>IF(Summary_Exchange_Balances_00UTC!$B45="","",IF(ISERROR(HLOOKUP($C45,$AW$1:$LL$2,2,FALSE)),Summary_Exchange_Balances_00UTC!$Q45,IF(OR(HLOOKUP($C45,$AW$1:$LL$2,2,FALSE)="",HLOOKUP($C45,$AW$1:$LL$2,2,FALSE)="null"),Summary_Exchange_Balances_00UTC!$Q45,HLOOKUP($C45,$AW$1:$LL$2,2,FALSE))))</f>
        <v>16719.740000000002</v>
      </c>
    </row>
    <row r="46" spans="1:46" x14ac:dyDescent="0.25">
      <c r="A46" t="str">
        <f>IF(Summary_Exchange_Balances_00UTC!$B46="","",Summary_Exchange_Balances_00UTC!$N46)</f>
        <v>BINE</v>
      </c>
      <c r="B46" t="str">
        <f>IF(Summary_Exchange_Balances_00UTC!$B46="","",Summary_Exchange_Balances_00UTC!$B46)</f>
        <v>BINE-2-S1-M</v>
      </c>
      <c r="C46" t="str">
        <f>IF(Summary_Exchange_Balances_00UTC!$B46="","",Summary_Exchange_Balances_00UTC!$E46)</f>
        <v>EOS</v>
      </c>
      <c r="D46" t="str">
        <f>IF(OR(Summary_Exchange_Balances_00UTC!$B46="",Summary_Exchange_Balances_00UTC!$D46=""),"",Summary_Exchange_Balances_00UTC!$D46)</f>
        <v/>
      </c>
      <c r="E46" s="53">
        <f>IF(Summary_Exchange_Balances_00UTC!$B46="","",Summary_Exchange_Balances_00UTC!$C46)</f>
        <v>27051.7</v>
      </c>
      <c r="F46" s="53">
        <f>IF(Summary_Exchange_Balances_00UTC!$B46="","",VLOOKUP(UPPER($A46&amp;$C46),$L:$T,7,FALSE))</f>
        <v>153503.5</v>
      </c>
      <c r="G46" s="53" t="e">
        <f>IF(Summary_Exchange_Balances_00UTC!$B46="","",VLOOKUP(IF(ISERROR(SEARCH(" ", $B46)),UPPER($B46&amp;$C46&amp;$D46),UPPER(LEFT($B46, SEARCH(" ",$B46)-1)&amp;$C46&amp;$D46)),$M:$T,6,FALSE))</f>
        <v>#N/A</v>
      </c>
      <c r="H46">
        <f>IF(Summary_Exchange_Balances_00UTC!$B46="","",IF(ISERROR($G46),$E46,$G46))</f>
        <v>27051.7</v>
      </c>
      <c r="I46" s="36" t="e">
        <f t="shared" si="0"/>
        <v>#N/A</v>
      </c>
      <c r="L46" t="str">
        <f t="shared" si="1"/>
        <v>BINELTC</v>
      </c>
      <c r="M46" t="str">
        <f t="shared" si="2"/>
        <v>BINE-2-S1-MLTCMARGIN LOAN</v>
      </c>
      <c r="N46" t="s">
        <v>25</v>
      </c>
      <c r="O46" t="s">
        <v>89</v>
      </c>
      <c r="P46" t="s">
        <v>94</v>
      </c>
      <c r="Q46" t="s">
        <v>203</v>
      </c>
      <c r="R46" s="43">
        <v>-909.601</v>
      </c>
      <c r="S46" t="s">
        <v>506</v>
      </c>
      <c r="T46">
        <v>1</v>
      </c>
      <c r="W46" t="s">
        <v>97</v>
      </c>
      <c r="X46" t="s">
        <v>98</v>
      </c>
      <c r="Y46" s="53">
        <v>2.755467E-2</v>
      </c>
      <c r="Z46">
        <v>0</v>
      </c>
      <c r="AB46" s="3" t="s">
        <v>137</v>
      </c>
      <c r="AC46" s="32">
        <v>54.776400000000002</v>
      </c>
      <c r="AD46" s="32">
        <v>54.776400000000002</v>
      </c>
      <c r="AG46" t="s">
        <v>485</v>
      </c>
      <c r="AH46" t="s">
        <v>487</v>
      </c>
      <c r="AI46" t="s">
        <v>75</v>
      </c>
      <c r="AJ46" t="s">
        <v>93</v>
      </c>
      <c r="AS46" t="str">
        <f>IF(Summary_Exchange_Balances_00UTC!$B46="","","'"&amp;C46&amp;"',")</f>
        <v>'EOS',</v>
      </c>
      <c r="AT46">
        <f>IF(Summary_Exchange_Balances_00UTC!$B46="","",IF(ISERROR(HLOOKUP($C46,$AW$1:$LL$2,2,FALSE)),Summary_Exchange_Balances_00UTC!$Q46,IF(OR(HLOOKUP($C46,$AW$1:$LL$2,2,FALSE)="",HLOOKUP($C46,$AW$1:$LL$2,2,FALSE)="null"),Summary_Exchange_Balances_00UTC!$Q46,HLOOKUP($C46,$AW$1:$LL$2,2,FALSE))))</f>
        <v>0.90154135000000002</v>
      </c>
    </row>
    <row r="47" spans="1:46" x14ac:dyDescent="0.25">
      <c r="A47" t="str">
        <f>IF(Summary_Exchange_Balances_00UTC!$B47="","",Summary_Exchange_Balances_00UTC!$N47)</f>
        <v>BINE</v>
      </c>
      <c r="B47" t="str">
        <f>IF(Summary_Exchange_Balances_00UTC!$B47="","",Summary_Exchange_Balances_00UTC!$B47)</f>
        <v>BINE-2-S1-M</v>
      </c>
      <c r="C47" t="str">
        <f>IF(Summary_Exchange_Balances_00UTC!$B47="","",Summary_Exchange_Balances_00UTC!$E47)</f>
        <v>ETC</v>
      </c>
      <c r="D47" t="str">
        <f>IF(OR(Summary_Exchange_Balances_00UTC!$B47="",Summary_Exchange_Balances_00UTC!$D47=""),"",Summary_Exchange_Balances_00UTC!$D47)</f>
        <v/>
      </c>
      <c r="E47" s="53">
        <f>IF(Summary_Exchange_Balances_00UTC!$B47="","",Summary_Exchange_Balances_00UTC!$C47)</f>
        <v>0.15721859999999999</v>
      </c>
      <c r="F47" s="53">
        <f>IF(Summary_Exchange_Balances_00UTC!$B47="","",VLOOKUP(UPPER($A47&amp;$C47),$L:$T,7,FALSE))</f>
        <v>0.15721859999999999</v>
      </c>
      <c r="G47" s="53" t="e">
        <f>IF(Summary_Exchange_Balances_00UTC!$B47="","",VLOOKUP(IF(ISERROR(SEARCH(" ", $B47)),UPPER($B47&amp;$C47&amp;$D47),UPPER(LEFT($B47, SEARCH(" ",$B47)-1)&amp;$C47&amp;$D47)),$M:$T,6,FALSE))</f>
        <v>#N/A</v>
      </c>
      <c r="H47">
        <f>IF(Summary_Exchange_Balances_00UTC!$B47="","",IF(ISERROR($G47),$E47,$G47))</f>
        <v>0.15721859999999999</v>
      </c>
      <c r="I47" s="36" t="e">
        <f t="shared" si="0"/>
        <v>#N/A</v>
      </c>
      <c r="L47" t="str">
        <f t="shared" si="1"/>
        <v>BINELTC</v>
      </c>
      <c r="M47" t="str">
        <f t="shared" si="2"/>
        <v>BINE-2-S1-ELTC</v>
      </c>
      <c r="N47" t="s">
        <v>25</v>
      </c>
      <c r="O47" t="s">
        <v>89</v>
      </c>
      <c r="P47" t="s">
        <v>86</v>
      </c>
      <c r="R47" s="43">
        <v>1.2395E-4</v>
      </c>
      <c r="S47" t="s">
        <v>505</v>
      </c>
      <c r="T47">
        <v>1</v>
      </c>
      <c r="W47" t="s">
        <v>97</v>
      </c>
      <c r="X47" t="s">
        <v>99</v>
      </c>
      <c r="Y47" s="53">
        <v>29.9885932</v>
      </c>
      <c r="Z47">
        <v>0</v>
      </c>
      <c r="AB47" s="3" t="s">
        <v>180</v>
      </c>
      <c r="AC47" s="32">
        <v>0.01</v>
      </c>
      <c r="AD47" s="32">
        <v>0</v>
      </c>
      <c r="AG47" t="s">
        <v>488</v>
      </c>
      <c r="AH47" t="s">
        <v>489</v>
      </c>
      <c r="AS47" t="str">
        <f>IF(Summary_Exchange_Balances_00UTC!$B47="","","'"&amp;C47&amp;"',")</f>
        <v>'ETC',</v>
      </c>
      <c r="AT47">
        <f>IF(Summary_Exchange_Balances_00UTC!$B47="","",IF(ISERROR(HLOOKUP($C47,$AW$1:$LL$2,2,FALSE)),Summary_Exchange_Balances_00UTC!$Q47,IF(OR(HLOOKUP($C47,$AW$1:$LL$2,2,FALSE)="",HLOOKUP($C47,$AW$1:$LL$2,2,FALSE)="null"),Summary_Exchange_Balances_00UTC!$Q47,HLOOKUP($C47,$AW$1:$LL$2,2,FALSE))))</f>
        <v>19.614688999999998</v>
      </c>
    </row>
    <row r="48" spans="1:46" x14ac:dyDescent="0.25">
      <c r="A48" t="str">
        <f>IF(Summary_Exchange_Balances_00UTC!$B48="","",Summary_Exchange_Balances_00UTC!$N48)</f>
        <v>BINE</v>
      </c>
      <c r="B48" t="str">
        <f>IF(Summary_Exchange_Balances_00UTC!$B48="","",Summary_Exchange_Balances_00UTC!$B48)</f>
        <v>BINE-2-S1-M</v>
      </c>
      <c r="C48" t="str">
        <f>IF(Summary_Exchange_Balances_00UTC!$B48="","",Summary_Exchange_Balances_00UTC!$E48)</f>
        <v>ETH</v>
      </c>
      <c r="D48" t="str">
        <f>IF(OR(Summary_Exchange_Balances_00UTC!$B48="",Summary_Exchange_Balances_00UTC!$D48=""),"",Summary_Exchange_Balances_00UTC!$D48)</f>
        <v/>
      </c>
      <c r="E48" s="53">
        <f>IF(Summary_Exchange_Balances_00UTC!$B48="","",Summary_Exchange_Balances_00UTC!$C48)</f>
        <v>9580.5062999999991</v>
      </c>
      <c r="F48" s="53">
        <f>IF(Summary_Exchange_Balances_00UTC!$B48="","",VLOOKUP(UPPER($A48&amp;$C48),$L:$T,7,FALSE))</f>
        <v>109.9331</v>
      </c>
      <c r="G48" s="53" t="e">
        <f>IF(Summary_Exchange_Balances_00UTC!$B48="","",VLOOKUP(IF(ISERROR(SEARCH(" ", $B48)),UPPER($B48&amp;$C48&amp;$D48),UPPER(LEFT($B48, SEARCH(" ",$B48)-1)&amp;$C48&amp;$D48)),$M:$T,6,FALSE))</f>
        <v>#N/A</v>
      </c>
      <c r="H48">
        <f>IF(Summary_Exchange_Balances_00UTC!$B48="","",IF(ISERROR($G48),$E48,$G48))</f>
        <v>9580.5062999999991</v>
      </c>
      <c r="I48" s="36" t="e">
        <f t="shared" si="0"/>
        <v>#N/A</v>
      </c>
      <c r="L48" t="str">
        <f t="shared" si="1"/>
        <v>BINEMANA</v>
      </c>
      <c r="M48" t="str">
        <f t="shared" si="2"/>
        <v>BINE-2-S1-EMANA</v>
      </c>
      <c r="N48" t="s">
        <v>195</v>
      </c>
      <c r="O48" t="s">
        <v>89</v>
      </c>
      <c r="P48" t="s">
        <v>86</v>
      </c>
      <c r="R48" s="43">
        <v>28371.504884990001</v>
      </c>
      <c r="S48" t="s">
        <v>505</v>
      </c>
      <c r="T48">
        <v>1</v>
      </c>
      <c r="W48" t="s">
        <v>100</v>
      </c>
      <c r="X48" t="s">
        <v>21</v>
      </c>
      <c r="Y48" s="53">
        <v>0.21932823000000001</v>
      </c>
      <c r="Z48">
        <v>0</v>
      </c>
      <c r="AB48" s="3" t="s">
        <v>138</v>
      </c>
      <c r="AC48" s="32">
        <v>179.99224844999998</v>
      </c>
      <c r="AD48" s="32">
        <v>179.99224845000001</v>
      </c>
      <c r="AG48" t="s">
        <v>445</v>
      </c>
      <c r="AH48" t="s">
        <v>490</v>
      </c>
      <c r="AL48" t="s">
        <v>445</v>
      </c>
      <c r="AN48" t="s">
        <v>45</v>
      </c>
      <c r="AS48" t="str">
        <f>IF(Summary_Exchange_Balances_00UTC!$B48="","","'"&amp;C48&amp;"',")</f>
        <v>'ETH',</v>
      </c>
      <c r="AT48">
        <f>IF(Summary_Exchange_Balances_00UTC!$B48="","",IF(ISERROR(HLOOKUP($C48,$AW$1:$LL$2,2,FALSE)),Summary_Exchange_Balances_00UTC!$Q48,IF(OR(HLOOKUP($C48,$AW$1:$LL$2,2,FALSE)="",HLOOKUP($C48,$AW$1:$LL$2,2,FALSE)="null"),Summary_Exchange_Balances_00UTC!$Q48,HLOOKUP($C48,$AW$1:$LL$2,2,FALSE))))</f>
        <v>1208.73</v>
      </c>
    </row>
    <row r="49" spans="1:46" x14ac:dyDescent="0.25">
      <c r="A49" t="str">
        <f>IF(Summary_Exchange_Balances_00UTC!$B49="","",Summary_Exchange_Balances_00UTC!$N49)</f>
        <v>BINE</v>
      </c>
      <c r="B49" t="str">
        <f>IF(Summary_Exchange_Balances_00UTC!$B49="","",Summary_Exchange_Balances_00UTC!$B49)</f>
        <v>BINE-2-S1-P</v>
      </c>
      <c r="C49" t="str">
        <f>IF(Summary_Exchange_Balances_00UTC!$B49="","",Summary_Exchange_Balances_00UTC!$E49)</f>
        <v>BNB</v>
      </c>
      <c r="D49" t="str">
        <f>IF(OR(Summary_Exchange_Balances_00UTC!$B49="",Summary_Exchange_Balances_00UTC!$D49=""),"",Summary_Exchange_Balances_00UTC!$D49)</f>
        <v>Balance</v>
      </c>
      <c r="E49" s="53">
        <f>IF(Summary_Exchange_Balances_00UTC!$B49="","",Summary_Exchange_Balances_00UTC!$C49)</f>
        <v>66.815459570000002</v>
      </c>
      <c r="F49" s="53">
        <f>IF(Summary_Exchange_Balances_00UTC!$B49="","",VLOOKUP(UPPER($A49&amp;$C49),$L:$T,7,FALSE))</f>
        <v>2497.9862178100002</v>
      </c>
      <c r="G49" s="53">
        <f>IF(Summary_Exchange_Balances_00UTC!$B49="","",VLOOKUP(IF(ISERROR(SEARCH(" ", $B49)),UPPER($B49&amp;$C49&amp;$D49),UPPER(LEFT($B49, SEARCH(" ",$B49)-1)&amp;$C49&amp;$D49)),$M:$T,6,FALSE))</f>
        <v>1E-8</v>
      </c>
      <c r="H49">
        <f>IF(Summary_Exchange_Balances_00UTC!$B49="","",IF(ISERROR($G49),$E49,$G49))</f>
        <v>1E-8</v>
      </c>
      <c r="I49" s="36">
        <f t="shared" si="0"/>
        <v>-0.99999999985033416</v>
      </c>
      <c r="L49" t="str">
        <f t="shared" si="1"/>
        <v>BINEMANA</v>
      </c>
      <c r="M49" t="str">
        <f t="shared" si="2"/>
        <v>BINE-2-S1-MMANAMARGIN LOAN</v>
      </c>
      <c r="N49" t="s">
        <v>195</v>
      </c>
      <c r="O49" t="s">
        <v>89</v>
      </c>
      <c r="P49" t="s">
        <v>94</v>
      </c>
      <c r="Q49" t="s">
        <v>203</v>
      </c>
      <c r="R49" s="43">
        <v>-20000</v>
      </c>
      <c r="S49" t="s">
        <v>506</v>
      </c>
      <c r="T49">
        <v>1</v>
      </c>
      <c r="W49" t="s">
        <v>100</v>
      </c>
      <c r="X49" t="s">
        <v>15</v>
      </c>
      <c r="Y49" s="53">
        <v>5.7861299999999997E-2</v>
      </c>
      <c r="Z49">
        <v>0</v>
      </c>
      <c r="AB49" s="3" t="s">
        <v>139</v>
      </c>
      <c r="AC49" s="32">
        <v>5337.6979873099999</v>
      </c>
      <c r="AD49" s="32">
        <v>5337.6979873099999</v>
      </c>
      <c r="AG49" t="s">
        <v>445</v>
      </c>
      <c r="AH49" t="s">
        <v>491</v>
      </c>
      <c r="AI49" t="s">
        <v>75</v>
      </c>
      <c r="AJ49" t="s">
        <v>93</v>
      </c>
      <c r="AN49" t="s">
        <v>122</v>
      </c>
      <c r="AS49" t="str">
        <f>IF(Summary_Exchange_Balances_00UTC!$B49="","","'"&amp;C49&amp;"',")</f>
        <v>'BNB',</v>
      </c>
      <c r="AT49">
        <f>IF(Summary_Exchange_Balances_00UTC!$B49="","",IF(ISERROR(HLOOKUP($C49,$AW$1:$LL$2,2,FALSE)),Summary_Exchange_Balances_00UTC!$Q49,IF(OR(HLOOKUP($C49,$AW$1:$LL$2,2,FALSE)="",HLOOKUP($C49,$AW$1:$LL$2,2,FALSE)="null"),Summary_Exchange_Balances_00UTC!$Q49,HLOOKUP($C49,$AW$1:$LL$2,2,FALSE))))</f>
        <v>268.61020000000002</v>
      </c>
    </row>
    <row r="50" spans="1:46" x14ac:dyDescent="0.25">
      <c r="A50" t="str">
        <f>IF(Summary_Exchange_Balances_00UTC!$B50="","",Summary_Exchange_Balances_00UTC!$N50)</f>
        <v>BINE</v>
      </c>
      <c r="B50" t="str">
        <f>IF(Summary_Exchange_Balances_00UTC!$B50="","",Summary_Exchange_Balances_00UTC!$B50)</f>
        <v>BINE-2-S1-P</v>
      </c>
      <c r="C50" t="str">
        <f>IF(Summary_Exchange_Balances_00UTC!$B50="","",Summary_Exchange_Balances_00UTC!$E50)</f>
        <v>BUSD</v>
      </c>
      <c r="D50" t="str">
        <f>IF(OR(Summary_Exchange_Balances_00UTC!$B50="",Summary_Exchange_Balances_00UTC!$D50=""),"",Summary_Exchange_Balances_00UTC!$D50)</f>
        <v>Balance</v>
      </c>
      <c r="E50" s="53">
        <f>IF(Summary_Exchange_Balances_00UTC!$B50="","",Summary_Exchange_Balances_00UTC!$C50)</f>
        <v>24200000</v>
      </c>
      <c r="F50" s="53">
        <f>IF(Summary_Exchange_Balances_00UTC!$B50="","",VLOOKUP(UPPER($A50&amp;$C50),$L:$T,7,FALSE))</f>
        <v>-3165472.0316702998</v>
      </c>
      <c r="G50" s="53">
        <f>IF(Summary_Exchange_Balances_00UTC!$B50="","",VLOOKUP(IF(ISERROR(SEARCH(" ", $B50)),UPPER($B50&amp;$C50&amp;$D50),UPPER(LEFT($B50, SEARCH(" ",$B50)-1)&amp;$C50&amp;$D50)),$M:$T,6,FALSE))</f>
        <v>11900000</v>
      </c>
      <c r="H50">
        <f>IF(Summary_Exchange_Balances_00UTC!$B50="","",IF(ISERROR($G50),$E50,$G50))</f>
        <v>11900000</v>
      </c>
      <c r="I50" s="36">
        <f t="shared" si="0"/>
        <v>-0.50826446280991733</v>
      </c>
      <c r="L50" t="str">
        <f t="shared" si="1"/>
        <v>BINEOMG</v>
      </c>
      <c r="M50" t="str">
        <f t="shared" si="2"/>
        <v>BINE-2-S1-EOMG</v>
      </c>
      <c r="N50" t="s">
        <v>153</v>
      </c>
      <c r="O50" t="s">
        <v>89</v>
      </c>
      <c r="P50" t="s">
        <v>86</v>
      </c>
      <c r="R50" s="43">
        <v>8000</v>
      </c>
      <c r="S50" t="s">
        <v>505</v>
      </c>
      <c r="T50">
        <v>1</v>
      </c>
      <c r="W50" t="s">
        <v>100</v>
      </c>
      <c r="X50" t="s">
        <v>16</v>
      </c>
      <c r="Y50" s="53">
        <v>0.73541904000000002</v>
      </c>
      <c r="Z50">
        <v>0</v>
      </c>
      <c r="AB50" s="3" t="s">
        <v>140</v>
      </c>
      <c r="AC50" s="32">
        <v>3354.5254768599998</v>
      </c>
      <c r="AD50" s="32">
        <v>3368.00656334</v>
      </c>
      <c r="AG50" t="s">
        <v>446</v>
      </c>
      <c r="AH50" t="s">
        <v>492</v>
      </c>
      <c r="AN50" t="s">
        <v>204</v>
      </c>
      <c r="AS50" t="str">
        <f>IF(Summary_Exchange_Balances_00UTC!$B50="","","'"&amp;C50&amp;"',")</f>
        <v>'BUSD',</v>
      </c>
      <c r="AT50">
        <f>IF(Summary_Exchange_Balances_00UTC!$B50="","",IF(ISERROR(HLOOKUP($C50,$AW$1:$LL$2,2,FALSE)),Summary_Exchange_Balances_00UTC!$Q50,IF(OR(HLOOKUP($C50,$AW$1:$LL$2,2,FALSE)="",HLOOKUP($C50,$AW$1:$LL$2,2,FALSE)="null"),Summary_Exchange_Balances_00UTC!$Q50,HLOOKUP($C50,$AW$1:$LL$2,2,FALSE))))</f>
        <v>1.0002520042927809</v>
      </c>
    </row>
    <row r="51" spans="1:46" x14ac:dyDescent="0.25">
      <c r="A51" t="str">
        <f>IF(Summary_Exchange_Balances_00UTC!$B51="","",Summary_Exchange_Balances_00UTC!$N51)</f>
        <v>BINE</v>
      </c>
      <c r="B51" t="str">
        <f>IF(Summary_Exchange_Balances_00UTC!$B51="","",Summary_Exchange_Balances_00UTC!$B51)</f>
        <v>BINE-2-S1-P</v>
      </c>
      <c r="C51" t="str">
        <f>IF(Summary_Exchange_Balances_00UTC!$B51="","",Summary_Exchange_Balances_00UTC!$E51)</f>
        <v>USDT</v>
      </c>
      <c r="D51" t="str">
        <f>IF(OR(Summary_Exchange_Balances_00UTC!$B51="",Summary_Exchange_Balances_00UTC!$D51=""),"",Summary_Exchange_Balances_00UTC!$D51)</f>
        <v>Balance</v>
      </c>
      <c r="E51" s="53">
        <f>IF(Summary_Exchange_Balances_00UTC!$B51="","",Summary_Exchange_Balances_00UTC!$C51)</f>
        <v>16280293.7164532</v>
      </c>
      <c r="F51" s="53">
        <f>IF(Summary_Exchange_Balances_00UTC!$B51="","",VLOOKUP(UPPER($A51&amp;$C51),$L:$T,7,FALSE))</f>
        <v>1989106.98597552</v>
      </c>
      <c r="G51" s="53">
        <f>IF(Summary_Exchange_Balances_00UTC!$B51="","",VLOOKUP(IF(ISERROR(SEARCH(" ", $B51)),UPPER($B51&amp;$C51&amp;$D51),UPPER(LEFT($B51, SEARCH(" ",$B51)-1)&amp;$C51&amp;$D51)),$M:$T,6,FALSE))</f>
        <v>56475047.939215802</v>
      </c>
      <c r="H51">
        <f>IF(Summary_Exchange_Balances_00UTC!$B51="","",IF(ISERROR($G51),$E51,$G51))</f>
        <v>56475047.939215802</v>
      </c>
      <c r="I51" s="36">
        <f t="shared" si="0"/>
        <v>2.4689207039392018</v>
      </c>
      <c r="L51" t="str">
        <f t="shared" si="1"/>
        <v>BINEOMG</v>
      </c>
      <c r="M51" t="str">
        <f t="shared" si="2"/>
        <v>BINE-2-S1-MOMGMARGIN LOAN</v>
      </c>
      <c r="N51" t="s">
        <v>153</v>
      </c>
      <c r="O51" t="s">
        <v>89</v>
      </c>
      <c r="P51" t="s">
        <v>94</v>
      </c>
      <c r="Q51" t="s">
        <v>203</v>
      </c>
      <c r="R51" s="43">
        <v>-8000</v>
      </c>
      <c r="S51" t="s">
        <v>506</v>
      </c>
      <c r="T51">
        <v>1</v>
      </c>
      <c r="W51" t="s">
        <v>100</v>
      </c>
      <c r="X51" t="s">
        <v>101</v>
      </c>
      <c r="Y51" s="53">
        <v>22277.5319929</v>
      </c>
      <c r="Z51">
        <v>0</v>
      </c>
      <c r="AB51" s="3" t="s">
        <v>142</v>
      </c>
      <c r="AC51" s="32">
        <v>14.785856219999999</v>
      </c>
      <c r="AD51" s="32">
        <v>14.785856219999999</v>
      </c>
      <c r="AL51" t="s">
        <v>425</v>
      </c>
      <c r="AN51" t="s">
        <v>123</v>
      </c>
      <c r="AP51" t="s">
        <v>206</v>
      </c>
      <c r="AS51" t="str">
        <f>IF(Summary_Exchange_Balances_00UTC!$B51="","","'"&amp;C51&amp;"',")</f>
        <v>'USDT',</v>
      </c>
      <c r="AT51">
        <f>IF(Summary_Exchange_Balances_00UTC!$B51="","",IF(ISERROR(HLOOKUP($C51,$AW$1:$LL$2,2,FALSE)),Summary_Exchange_Balances_00UTC!$Q51,IF(OR(HLOOKUP($C51,$AW$1:$LL$2,2,FALSE)="",HLOOKUP($C51,$AW$1:$LL$2,2,FALSE)="null"),Summary_Exchange_Balances_00UTC!$Q51,HLOOKUP($C51,$AW$1:$LL$2,2,FALSE))))</f>
        <v>1.0001054103245364</v>
      </c>
    </row>
    <row r="52" spans="1:46" x14ac:dyDescent="0.25">
      <c r="A52" t="str">
        <f>IF(Summary_Exchange_Balances_00UTC!$B52="","",Summary_Exchange_Balances_00UTC!$N52)</f>
        <v>BINE</v>
      </c>
      <c r="B52" t="str">
        <f>IF(Summary_Exchange_Balances_00UTC!$B52="","",Summary_Exchange_Balances_00UTC!$B52)</f>
        <v>BINE-2-S1-P</v>
      </c>
      <c r="C52" t="str">
        <f>IF(Summary_Exchange_Balances_00UTC!$B52="","",Summary_Exchange_Balances_00UTC!$E52)</f>
        <v>USDT</v>
      </c>
      <c r="D52" t="str">
        <f>IF(OR(Summary_Exchange_Balances_00UTC!$B52="",Summary_Exchange_Balances_00UTC!$D52=""),"",Summary_Exchange_Balances_00UTC!$D52)</f>
        <v>Unrealized</v>
      </c>
      <c r="E52" s="53">
        <f>IF(Summary_Exchange_Balances_00UTC!$B52="","",Summary_Exchange_Balances_00UTC!$C52)</f>
        <v>198854.41619873</v>
      </c>
      <c r="F52" s="53">
        <f>IF(Summary_Exchange_Balances_00UTC!$B52="","",VLOOKUP(UPPER($A52&amp;$C52),$L:$T,7,FALSE))</f>
        <v>1989106.98597552</v>
      </c>
      <c r="G52" s="53">
        <f>IF(Summary_Exchange_Balances_00UTC!$B52="","",VLOOKUP(IF(ISERROR(SEARCH(" ", $B52)),UPPER($B52&amp;$C52&amp;$D52),UPPER(LEFT($B52, SEARCH(" ",$B52)-1)&amp;$C52&amp;$D52)),$M:$T,6,FALSE))</f>
        <v>101686.14597167</v>
      </c>
      <c r="H52">
        <f>IF(Summary_Exchange_Balances_00UTC!$B52="","",IF(ISERROR($G52),$E52,$G52))</f>
        <v>101686.14597167</v>
      </c>
      <c r="I52" s="36">
        <f t="shared" si="0"/>
        <v>-0.48864024286970081</v>
      </c>
      <c r="L52" t="str">
        <f t="shared" si="1"/>
        <v>BINEOXT</v>
      </c>
      <c r="M52" t="str">
        <f t="shared" si="2"/>
        <v>BINE-2-S1-EOXT</v>
      </c>
      <c r="N52" t="s">
        <v>92</v>
      </c>
      <c r="O52" t="s">
        <v>89</v>
      </c>
      <c r="P52" t="s">
        <v>86</v>
      </c>
      <c r="R52" s="43">
        <v>411141.62526320003</v>
      </c>
      <c r="S52" t="s">
        <v>505</v>
      </c>
      <c r="T52">
        <v>1</v>
      </c>
      <c r="W52" t="s">
        <v>100</v>
      </c>
      <c r="X52" t="s">
        <v>98</v>
      </c>
      <c r="Y52" s="53">
        <v>114736.84</v>
      </c>
      <c r="Z52">
        <v>0</v>
      </c>
      <c r="AB52" s="3" t="s">
        <v>143</v>
      </c>
      <c r="AC52" s="32">
        <v>0.81765067999999996</v>
      </c>
      <c r="AD52" s="32">
        <v>0.81765067999999996</v>
      </c>
      <c r="AN52" t="s">
        <v>169</v>
      </c>
      <c r="AP52" t="s">
        <v>171</v>
      </c>
      <c r="AS52" t="str">
        <f>IF(Summary_Exchange_Balances_00UTC!$B52="","","'"&amp;C52&amp;"',")</f>
        <v>'USDT',</v>
      </c>
      <c r="AT52">
        <f>IF(Summary_Exchange_Balances_00UTC!$B52="","",IF(ISERROR(HLOOKUP($C52,$AW$1:$LL$2,2,FALSE)),Summary_Exchange_Balances_00UTC!$Q52,IF(OR(HLOOKUP($C52,$AW$1:$LL$2,2,FALSE)="",HLOOKUP($C52,$AW$1:$LL$2,2,FALSE)="null"),Summary_Exchange_Balances_00UTC!$Q52,HLOOKUP($C52,$AW$1:$LL$2,2,FALSE))))</f>
        <v>1.0001054103245364</v>
      </c>
    </row>
    <row r="53" spans="1:46" x14ac:dyDescent="0.25">
      <c r="A53" t="str">
        <f>IF(Summary_Exchange_Balances_00UTC!$B53="","",Summary_Exchange_Balances_00UTC!$N53)</f>
        <v>BINE</v>
      </c>
      <c r="B53" t="str">
        <f>IF(Summary_Exchange_Balances_00UTC!$B53="","",Summary_Exchange_Balances_00UTC!$B53)</f>
        <v>BINE-2-S2-P</v>
      </c>
      <c r="C53" t="str">
        <f>IF(Summary_Exchange_Balances_00UTC!$B53="","",Summary_Exchange_Balances_00UTC!$E53)</f>
        <v>USDT</v>
      </c>
      <c r="D53" t="str">
        <f>IF(OR(Summary_Exchange_Balances_00UTC!$B53="",Summary_Exchange_Balances_00UTC!$D53=""),"",Summary_Exchange_Balances_00UTC!$D53)</f>
        <v>Balance</v>
      </c>
      <c r="E53" s="53">
        <f>IF(Summary_Exchange_Balances_00UTC!$B53="","",Summary_Exchange_Balances_00UTC!$C53)</f>
        <v>2083043.21306778</v>
      </c>
      <c r="F53" s="53">
        <f>IF(Summary_Exchange_Balances_00UTC!$B53="","",VLOOKUP(UPPER($A53&amp;$C53),$L:$T,7,FALSE))</f>
        <v>1989106.98597552</v>
      </c>
      <c r="G53" s="53">
        <f>IF(Summary_Exchange_Balances_00UTC!$B53="","",VLOOKUP(IF(ISERROR(SEARCH(" ", $B53)),UPPER($B53&amp;$C53&amp;$D53),UPPER(LEFT($B53, SEARCH(" ",$B53)-1)&amp;$C53&amp;$D53)),$M:$T,6,FALSE))</f>
        <v>1989106.98597552</v>
      </c>
      <c r="H53">
        <f>IF(Summary_Exchange_Balances_00UTC!$B53="","",IF(ISERROR($G53),$E53,$G53))</f>
        <v>1989106.98597552</v>
      </c>
      <c r="I53" s="36">
        <f t="shared" si="0"/>
        <v>-4.50956689246578E-2</v>
      </c>
      <c r="L53" t="str">
        <f t="shared" si="1"/>
        <v>BINESHIB</v>
      </c>
      <c r="M53" t="str">
        <f t="shared" si="2"/>
        <v>BINE-2-S1-MSHIBMARGIN LOAN</v>
      </c>
      <c r="N53" t="s">
        <v>38</v>
      </c>
      <c r="O53" t="s">
        <v>89</v>
      </c>
      <c r="P53" t="s">
        <v>94</v>
      </c>
      <c r="Q53" t="s">
        <v>203</v>
      </c>
      <c r="R53" s="43">
        <v>-6000000000</v>
      </c>
      <c r="S53" t="s">
        <v>506</v>
      </c>
      <c r="T53">
        <v>1</v>
      </c>
      <c r="W53" t="s">
        <v>100</v>
      </c>
      <c r="X53" t="s">
        <v>102</v>
      </c>
      <c r="Y53" s="53">
        <v>116647.68407285</v>
      </c>
      <c r="Z53">
        <v>0</v>
      </c>
      <c r="AB53" s="3" t="s">
        <v>144</v>
      </c>
      <c r="AC53" s="32">
        <v>9.1121815000000002</v>
      </c>
      <c r="AD53" s="32">
        <v>9.1121815000000002</v>
      </c>
      <c r="AN53" t="s">
        <v>205</v>
      </c>
      <c r="AP53" t="s">
        <v>207</v>
      </c>
      <c r="AS53" t="str">
        <f>IF(Summary_Exchange_Balances_00UTC!$B53="","","'"&amp;C53&amp;"',")</f>
        <v>'USDT',</v>
      </c>
      <c r="AT53">
        <f>IF(Summary_Exchange_Balances_00UTC!$B53="","",IF(ISERROR(HLOOKUP($C53,$AW$1:$LL$2,2,FALSE)),Summary_Exchange_Balances_00UTC!$Q53,IF(OR(HLOOKUP($C53,$AW$1:$LL$2,2,FALSE)="",HLOOKUP($C53,$AW$1:$LL$2,2,FALSE)="null"),Summary_Exchange_Balances_00UTC!$Q53,HLOOKUP($C53,$AW$1:$LL$2,2,FALSE))))</f>
        <v>1.000105410324535</v>
      </c>
    </row>
    <row r="54" spans="1:46" x14ac:dyDescent="0.25">
      <c r="A54" t="str">
        <f>IF(Summary_Exchange_Balances_00UTC!$B54="","",Summary_Exchange_Balances_00UTC!$N54)</f>
        <v>BINE</v>
      </c>
      <c r="B54" t="str">
        <f>IF(Summary_Exchange_Balances_00UTC!$B54="","",Summary_Exchange_Balances_00UTC!$B54)</f>
        <v>BINE-2-S2-P</v>
      </c>
      <c r="C54" t="str">
        <f>IF(Summary_Exchange_Balances_00UTC!$B54="","",Summary_Exchange_Balances_00UTC!$E54)</f>
        <v>USDT</v>
      </c>
      <c r="D54" t="str">
        <f>IF(OR(Summary_Exchange_Balances_00UTC!$B54="",Summary_Exchange_Balances_00UTC!$D54=""),"",Summary_Exchange_Balances_00UTC!$D54)</f>
        <v>Unrealized</v>
      </c>
      <c r="E54" s="53">
        <f>IF(Summary_Exchange_Balances_00UTC!$B54="","",Summary_Exchange_Balances_00UTC!$C54)</f>
        <v>-2190.8285996300001</v>
      </c>
      <c r="F54" s="53">
        <f>IF(Summary_Exchange_Balances_00UTC!$B54="","",VLOOKUP(UPPER($A54&amp;$C54),$L:$T,7,FALSE))</f>
        <v>1989106.98597552</v>
      </c>
      <c r="G54" s="53">
        <f>IF(Summary_Exchange_Balances_00UTC!$B54="","",VLOOKUP(IF(ISERROR(SEARCH(" ", $B54)),UPPER($B54&amp;$C54&amp;$D54),UPPER(LEFT($B54, SEARCH(" ",$B54)-1)&amp;$C54&amp;$D54)),$M:$T,6,FALSE))</f>
        <v>5541.4023363799997</v>
      </c>
      <c r="H54">
        <f>IF(Summary_Exchange_Balances_00UTC!$B54="","",IF(ISERROR($G54),$E54,$G54))</f>
        <v>5541.4023363799997</v>
      </c>
      <c r="I54" s="36">
        <f t="shared" si="0"/>
        <v>-3.5293637016222372</v>
      </c>
      <c r="L54" t="str">
        <f t="shared" si="1"/>
        <v>BINESOL</v>
      </c>
      <c r="M54" t="str">
        <f t="shared" si="2"/>
        <v>BINE-2-S1-MSOLMARGIN LOAN</v>
      </c>
      <c r="N54" t="s">
        <v>157</v>
      </c>
      <c r="O54" t="s">
        <v>89</v>
      </c>
      <c r="P54" t="s">
        <v>94</v>
      </c>
      <c r="Q54" t="s">
        <v>203</v>
      </c>
      <c r="R54" s="43">
        <v>-60</v>
      </c>
      <c r="S54" t="s">
        <v>506</v>
      </c>
      <c r="T54">
        <v>1</v>
      </c>
      <c r="W54" t="s">
        <v>104</v>
      </c>
      <c r="X54" t="s">
        <v>15</v>
      </c>
      <c r="Y54" s="53">
        <v>4143.1451217100002</v>
      </c>
      <c r="Z54">
        <v>0</v>
      </c>
      <c r="AB54" s="3" t="s">
        <v>44</v>
      </c>
      <c r="AC54" s="32">
        <v>6399.6825488800005</v>
      </c>
      <c r="AD54" s="32">
        <v>6.9338685143000003</v>
      </c>
      <c r="AL54" t="s">
        <v>170</v>
      </c>
      <c r="AN54" t="s">
        <v>170</v>
      </c>
      <c r="AP54" t="s">
        <v>208</v>
      </c>
      <c r="AS54" t="str">
        <f>IF(Summary_Exchange_Balances_00UTC!$B54="","","'"&amp;C54&amp;"',")</f>
        <v>'USDT',</v>
      </c>
      <c r="AT54">
        <f>IF(Summary_Exchange_Balances_00UTC!$B54="","",IF(ISERROR(HLOOKUP($C54,$AW$1:$LL$2,2,FALSE)),Summary_Exchange_Balances_00UTC!$Q54,IF(OR(HLOOKUP($C54,$AW$1:$LL$2,2,FALSE)="",HLOOKUP($C54,$AW$1:$LL$2,2,FALSE)="null"),Summary_Exchange_Balances_00UTC!$Q54,HLOOKUP($C54,$AW$1:$LL$2,2,FALSE))))</f>
        <v>1.0001054103245359</v>
      </c>
    </row>
    <row r="55" spans="1:46" x14ac:dyDescent="0.25">
      <c r="A55" t="str">
        <f>IF(Summary_Exchange_Balances_00UTC!$B55="","",Summary_Exchange_Balances_00UTC!$N55)</f>
        <v xml:space="preserve">BTFX </v>
      </c>
      <c r="B55" t="str">
        <f>IF(Summary_Exchange_Balances_00UTC!$B55="","",Summary_Exchange_Balances_00UTC!$B55)</f>
        <v>BTFX-1-M-E</v>
      </c>
      <c r="C55" t="str">
        <f>IF(Summary_Exchange_Balances_00UTC!$B55="","",Summary_Exchange_Balances_00UTC!$E55)</f>
        <v>BTC</v>
      </c>
      <c r="D55" t="str">
        <f>IF(OR(Summary_Exchange_Balances_00UTC!$B55="",Summary_Exchange_Balances_00UTC!$D55=""),"",Summary_Exchange_Balances_00UTC!$D55)</f>
        <v/>
      </c>
      <c r="E55" s="53">
        <f>IF(Summary_Exchange_Balances_00UTC!$B55="","",Summary_Exchange_Balances_00UTC!$C55)</f>
        <v>7.9996000000000008E-3</v>
      </c>
      <c r="F55" s="53" t="e">
        <f>IF(Summary_Exchange_Balances_00UTC!$B55="","",VLOOKUP(UPPER($A55&amp;$C55),$L:$T,7,FALSE))</f>
        <v>#N/A</v>
      </c>
      <c r="G55" s="53">
        <f>IF(Summary_Exchange_Balances_00UTC!$B55="","",VLOOKUP(IF(ISERROR(SEARCH(" ", $B55)),UPPER($B55&amp;$C55&amp;$D55),UPPER(LEFT($B55, SEARCH(" ",$B55)-1)&amp;$C55&amp;$D55)),$M:$T,6,FALSE))</f>
        <v>7.9996000000000008E-3</v>
      </c>
      <c r="H55">
        <f>IF(Summary_Exchange_Balances_00UTC!$B55="","",IF(ISERROR($G55),$E55,$G55))</f>
        <v>7.9996000000000008E-3</v>
      </c>
      <c r="I55" s="36">
        <f t="shared" si="0"/>
        <v>0</v>
      </c>
      <c r="L55" t="str">
        <f t="shared" si="1"/>
        <v>BINESOL</v>
      </c>
      <c r="M55" t="str">
        <f t="shared" si="2"/>
        <v>BINE-2-S1-ESOL</v>
      </c>
      <c r="N55" t="s">
        <v>157</v>
      </c>
      <c r="O55" t="s">
        <v>89</v>
      </c>
      <c r="P55" t="s">
        <v>86</v>
      </c>
      <c r="R55" s="43">
        <v>57.222791209999997</v>
      </c>
      <c r="S55" t="s">
        <v>505</v>
      </c>
      <c r="T55">
        <v>1</v>
      </c>
      <c r="W55" t="s">
        <v>104</v>
      </c>
      <c r="X55" t="s">
        <v>98</v>
      </c>
      <c r="Y55" s="53">
        <v>27340430.102899998</v>
      </c>
      <c r="Z55">
        <v>0</v>
      </c>
      <c r="AB55" s="3" t="s">
        <v>145</v>
      </c>
      <c r="AC55" s="32">
        <v>0.24234807999999999</v>
      </c>
      <c r="AD55" s="32">
        <v>0.24234807999999999</v>
      </c>
      <c r="AL55" t="s">
        <v>175</v>
      </c>
      <c r="AN55" t="s">
        <v>175</v>
      </c>
      <c r="AP55" t="s">
        <v>210</v>
      </c>
      <c r="AS55" t="str">
        <f>IF(Summary_Exchange_Balances_00UTC!$B55="","","'"&amp;C55&amp;"',")</f>
        <v>'BTC',</v>
      </c>
      <c r="AT55">
        <f>IF(Summary_Exchange_Balances_00UTC!$B55="","",IF(ISERROR(HLOOKUP($C55,$AW$1:$LL$2,2,FALSE)),Summary_Exchange_Balances_00UTC!$Q55,IF(OR(HLOOKUP($C55,$AW$1:$LL$2,2,FALSE)="",HLOOKUP($C55,$AW$1:$LL$2,2,FALSE)="null"),Summary_Exchange_Balances_00UTC!$Q55,HLOOKUP($C55,$AW$1:$LL$2,2,FALSE))))</f>
        <v>16719.740000000002</v>
      </c>
    </row>
    <row r="56" spans="1:46" x14ac:dyDescent="0.25">
      <c r="A56" t="str">
        <f>IF(Summary_Exchange_Balances_00UTC!$B56="","",Summary_Exchange_Balances_00UTC!$N56)</f>
        <v xml:space="preserve">BTFX </v>
      </c>
      <c r="B56" t="str">
        <f>IF(Summary_Exchange_Balances_00UTC!$B56="","",Summary_Exchange_Balances_00UTC!$B56)</f>
        <v>BTFX-1-M-E</v>
      </c>
      <c r="C56" t="str">
        <f>IF(Summary_Exchange_Balances_00UTC!$B56="","",Summary_Exchange_Balances_00UTC!$E56)</f>
        <v>ETH</v>
      </c>
      <c r="D56" t="str">
        <f>IF(OR(Summary_Exchange_Balances_00UTC!$B56="",Summary_Exchange_Balances_00UTC!$D56=""),"",Summary_Exchange_Balances_00UTC!$D56)</f>
        <v/>
      </c>
      <c r="E56" s="53">
        <f>IF(Summary_Exchange_Balances_00UTC!$B56="","",Summary_Exchange_Balances_00UTC!$C56)</f>
        <v>0.02</v>
      </c>
      <c r="F56" s="53" t="e">
        <f>IF(Summary_Exchange_Balances_00UTC!$B56="","",VLOOKUP(UPPER($A56&amp;$C56),$L:$T,7,FALSE))</f>
        <v>#N/A</v>
      </c>
      <c r="G56" s="53">
        <f>IF(Summary_Exchange_Balances_00UTC!$B56="","",VLOOKUP(IF(ISERROR(SEARCH(" ", $B56)),UPPER($B56&amp;$C56&amp;$D56),UPPER(LEFT($B56, SEARCH(" ",$B56)-1)&amp;$C56&amp;$D56)),$M:$T,6,FALSE))</f>
        <v>0.02</v>
      </c>
      <c r="H56">
        <f>IF(Summary_Exchange_Balances_00UTC!$B56="","",IF(ISERROR($G56),$E56,$G56))</f>
        <v>0.02</v>
      </c>
      <c r="I56" s="36">
        <f t="shared" si="0"/>
        <v>0</v>
      </c>
      <c r="L56" t="str">
        <f t="shared" si="1"/>
        <v>BINEUNI</v>
      </c>
      <c r="M56" t="str">
        <f t="shared" si="2"/>
        <v>BINE-2-S1-EUNI</v>
      </c>
      <c r="N56" t="s">
        <v>162</v>
      </c>
      <c r="O56" t="s">
        <v>89</v>
      </c>
      <c r="P56" t="s">
        <v>86</v>
      </c>
      <c r="R56" s="43">
        <v>1000</v>
      </c>
      <c r="S56" t="s">
        <v>505</v>
      </c>
      <c r="T56">
        <v>1</v>
      </c>
      <c r="W56" t="s">
        <v>104</v>
      </c>
      <c r="X56" t="s">
        <v>95</v>
      </c>
      <c r="Y56" s="53">
        <v>101</v>
      </c>
      <c r="Z56">
        <v>0</v>
      </c>
      <c r="AB56" s="3" t="s">
        <v>146</v>
      </c>
      <c r="AC56" s="32">
        <v>1E-8</v>
      </c>
      <c r="AD56" s="32">
        <v>1E-8</v>
      </c>
      <c r="AL56" t="s">
        <v>176</v>
      </c>
      <c r="AN56" t="s">
        <v>176</v>
      </c>
      <c r="AP56" t="s">
        <v>213</v>
      </c>
      <c r="AS56" t="str">
        <f>IF(Summary_Exchange_Balances_00UTC!$B56="","","'"&amp;C56&amp;"',")</f>
        <v>'ETH',</v>
      </c>
      <c r="AT56">
        <f>IF(Summary_Exchange_Balances_00UTC!$B56="","",IF(ISERROR(HLOOKUP($C56,$AW$1:$LL$2,2,FALSE)),Summary_Exchange_Balances_00UTC!$Q56,IF(OR(HLOOKUP($C56,$AW$1:$LL$2,2,FALSE)="",HLOOKUP($C56,$AW$1:$LL$2,2,FALSE)="null"),Summary_Exchange_Balances_00UTC!$Q56,HLOOKUP($C56,$AW$1:$LL$2,2,FALSE))))</f>
        <v>1208.73</v>
      </c>
    </row>
    <row r="57" spans="1:46" x14ac:dyDescent="0.25">
      <c r="A57" t="str">
        <f>IF(Summary_Exchange_Balances_00UTC!$B57="","",Summary_Exchange_Balances_00UTC!$N57)</f>
        <v xml:space="preserve">BTFX </v>
      </c>
      <c r="B57" t="str">
        <f>IF(Summary_Exchange_Balances_00UTC!$B57="","",Summary_Exchange_Balances_00UTC!$B57)</f>
        <v>BTFX-1-M-E</v>
      </c>
      <c r="C57" t="str">
        <f>IF(Summary_Exchange_Balances_00UTC!$B57="","",Summary_Exchange_Balances_00UTC!$E57)</f>
        <v>ETHW</v>
      </c>
      <c r="D57" t="str">
        <f>IF(OR(Summary_Exchange_Balances_00UTC!$B57="",Summary_Exchange_Balances_00UTC!$D57=""),"",Summary_Exchange_Balances_00UTC!$D57)</f>
        <v/>
      </c>
      <c r="E57" s="53">
        <f>IF(Summary_Exchange_Balances_00UTC!$B57="","",Summary_Exchange_Balances_00UTC!$C57)</f>
        <v>0.02</v>
      </c>
      <c r="F57" s="53" t="e">
        <f>IF(Summary_Exchange_Balances_00UTC!$B57="","",VLOOKUP(UPPER($A57&amp;$C57),$L:$T,7,FALSE))</f>
        <v>#N/A</v>
      </c>
      <c r="G57" s="53">
        <f>IF(Summary_Exchange_Balances_00UTC!$B57="","",VLOOKUP(IF(ISERROR(SEARCH(" ", $B57)),UPPER($B57&amp;$C57&amp;$D57),UPPER(LEFT($B57, SEARCH(" ",$B57)-1)&amp;$C57&amp;$D57)),$M:$T,6,FALSE))</f>
        <v>0.02</v>
      </c>
      <c r="H57">
        <f>IF(Summary_Exchange_Balances_00UTC!$B57="","",IF(ISERROR($G57),$E57,$G57))</f>
        <v>0.02</v>
      </c>
      <c r="I57" s="36">
        <f t="shared" si="0"/>
        <v>0</v>
      </c>
      <c r="L57" t="str">
        <f t="shared" si="1"/>
        <v>BINEUNI</v>
      </c>
      <c r="M57" t="str">
        <f t="shared" si="2"/>
        <v>BINE-2-S1-MUNIMARGIN LOAN</v>
      </c>
      <c r="N57" t="s">
        <v>162</v>
      </c>
      <c r="O57" t="s">
        <v>89</v>
      </c>
      <c r="P57" t="s">
        <v>94</v>
      </c>
      <c r="Q57" t="s">
        <v>203</v>
      </c>
      <c r="R57" s="43">
        <v>-1000</v>
      </c>
      <c r="S57" t="s">
        <v>506</v>
      </c>
      <c r="T57">
        <v>1</v>
      </c>
      <c r="W57" t="s">
        <v>104</v>
      </c>
      <c r="X57" t="s">
        <v>24</v>
      </c>
      <c r="Y57" s="53">
        <v>1297032.5469</v>
      </c>
      <c r="Z57">
        <v>0</v>
      </c>
      <c r="AB57" s="3" t="s">
        <v>28</v>
      </c>
      <c r="AC57" s="32">
        <v>11218.654894359996</v>
      </c>
      <c r="AD57" s="32">
        <v>39267.313827886705</v>
      </c>
      <c r="AG57" t="s">
        <v>47</v>
      </c>
      <c r="AH57" t="s">
        <v>493</v>
      </c>
      <c r="AJ57" t="s">
        <v>93</v>
      </c>
      <c r="AL57" t="s">
        <v>47</v>
      </c>
      <c r="AN57" t="s">
        <v>47</v>
      </c>
      <c r="AS57" t="str">
        <f>IF(Summary_Exchange_Balances_00UTC!$B57="","","'"&amp;C57&amp;"',")</f>
        <v>'ETHW',</v>
      </c>
      <c r="AT57">
        <f>IF(Summary_Exchange_Balances_00UTC!$B57="","",IF(ISERROR(HLOOKUP($C57,$AW$1:$LL$2,2,FALSE)),Summary_Exchange_Balances_00UTC!$Q57,IF(OR(HLOOKUP($C57,$AW$1:$LL$2,2,FALSE)="",HLOOKUP($C57,$AW$1:$LL$2,2,FALSE)="null"),Summary_Exchange_Balances_00UTC!$Q57,HLOOKUP($C57,$AW$1:$LL$2,2,FALSE))))</f>
        <v>3.5405121692480597</v>
      </c>
    </row>
    <row r="58" spans="1:46" x14ac:dyDescent="0.25">
      <c r="A58" t="str">
        <f>IF(Summary_Exchange_Balances_00UTC!$B58="","",Summary_Exchange_Balances_00UTC!$N58)</f>
        <v xml:space="preserve">BTFX </v>
      </c>
      <c r="B58" t="str">
        <f>IF(Summary_Exchange_Balances_00UTC!$B58="","",Summary_Exchange_Balances_00UTC!$B58)</f>
        <v>BTFX-1-M-E</v>
      </c>
      <c r="C58" t="str">
        <f>IF(Summary_Exchange_Balances_00UTC!$B58="","",Summary_Exchange_Balances_00UTC!$E58)</f>
        <v>USD</v>
      </c>
      <c r="D58" t="str">
        <f>IF(OR(Summary_Exchange_Balances_00UTC!$B58="",Summary_Exchange_Balances_00UTC!$D58=""),"",Summary_Exchange_Balances_00UTC!$D58)</f>
        <v/>
      </c>
      <c r="E58" s="53">
        <f>IF(Summary_Exchange_Balances_00UTC!$B58="","",Summary_Exchange_Balances_00UTC!$C58)</f>
        <v>2.755467E-2</v>
      </c>
      <c r="F58" s="53" t="e">
        <f>IF(Summary_Exchange_Balances_00UTC!$B58="","",VLOOKUP(UPPER($A58&amp;$C58),$L:$T,7,FALSE))</f>
        <v>#N/A</v>
      </c>
      <c r="G58" s="53">
        <f>IF(Summary_Exchange_Balances_00UTC!$B58="","",VLOOKUP(IF(ISERROR(SEARCH(" ", $B58)),UPPER($B58&amp;$C58&amp;$D58),UPPER(LEFT($B58, SEARCH(" ",$B58)-1)&amp;$C58&amp;$D58)),$M:$T,6,FALSE))</f>
        <v>2.755467E-2</v>
      </c>
      <c r="H58">
        <f>IF(Summary_Exchange_Balances_00UTC!$B58="","",IF(ISERROR($G58),$E58,$G58))</f>
        <v>2.755467E-2</v>
      </c>
      <c r="I58" s="36">
        <f t="shared" si="0"/>
        <v>0</v>
      </c>
      <c r="L58" t="str">
        <f t="shared" si="1"/>
        <v>BINEUSDT</v>
      </c>
      <c r="M58" t="str">
        <f t="shared" si="2"/>
        <v>BINE-2-S2-PUSDTBALANCE</v>
      </c>
      <c r="N58" t="s">
        <v>39</v>
      </c>
      <c r="O58" t="s">
        <v>89</v>
      </c>
      <c r="P58" t="s">
        <v>306</v>
      </c>
      <c r="Q58" t="s">
        <v>75</v>
      </c>
      <c r="R58" s="43">
        <v>1989106.98597552</v>
      </c>
      <c r="S58" t="s">
        <v>509</v>
      </c>
      <c r="T58">
        <v>1</v>
      </c>
      <c r="W58" t="s">
        <v>104</v>
      </c>
      <c r="X58" t="s">
        <v>28</v>
      </c>
      <c r="Y58" s="53">
        <v>14768.90497507</v>
      </c>
      <c r="Z58">
        <v>0</v>
      </c>
      <c r="AB58" s="3" t="s">
        <v>147</v>
      </c>
      <c r="AC58" s="32">
        <v>4.3289484800000002</v>
      </c>
      <c r="AD58" s="32">
        <v>4.3289484800000002</v>
      </c>
      <c r="AG58" t="s">
        <v>177</v>
      </c>
      <c r="AH58" t="s">
        <v>493</v>
      </c>
      <c r="AI58" t="s">
        <v>75</v>
      </c>
      <c r="AL58" t="s">
        <v>177</v>
      </c>
      <c r="AN58" t="s">
        <v>177</v>
      </c>
      <c r="AP58" t="s">
        <v>216</v>
      </c>
      <c r="AS58" t="str">
        <f>IF(Summary_Exchange_Balances_00UTC!$B58="","","'"&amp;C58&amp;"',")</f>
        <v>'USD',</v>
      </c>
      <c r="AT58">
        <f>IF(Summary_Exchange_Balances_00UTC!$B58="","",IF(ISERROR(HLOOKUP($C58,$AW$1:$LL$2,2,FALSE)),Summary_Exchange_Balances_00UTC!$Q58,IF(OR(HLOOKUP($C58,$AW$1:$LL$2,2,FALSE)="",HLOOKUP($C58,$AW$1:$LL$2,2,FALSE)="null"),Summary_Exchange_Balances_00UTC!$Q58,HLOOKUP($C58,$AW$1:$LL$2,2,FALSE))))</f>
        <v>1</v>
      </c>
    </row>
    <row r="59" spans="1:46" x14ac:dyDescent="0.25">
      <c r="A59" t="str">
        <f>IF(Summary_Exchange_Balances_00UTC!$B59="","",Summary_Exchange_Balances_00UTC!$N59)</f>
        <v xml:space="preserve">BTFX </v>
      </c>
      <c r="B59" t="str">
        <f>IF(Summary_Exchange_Balances_00UTC!$B59="","",Summary_Exchange_Balances_00UTC!$B59)</f>
        <v>BTFX-1-M-E</v>
      </c>
      <c r="C59" t="str">
        <f>IF(Summary_Exchange_Balances_00UTC!$B59="","",Summary_Exchange_Balances_00UTC!$E59)</f>
        <v>UST</v>
      </c>
      <c r="D59" t="str">
        <f>IF(OR(Summary_Exchange_Balances_00UTC!$B59="",Summary_Exchange_Balances_00UTC!$D59=""),"",Summary_Exchange_Balances_00UTC!$D59)</f>
        <v/>
      </c>
      <c r="E59" s="53">
        <f>IF(Summary_Exchange_Balances_00UTC!$B59="","",Summary_Exchange_Balances_00UTC!$C59)</f>
        <v>29.9885932</v>
      </c>
      <c r="F59" s="53" t="e">
        <f>IF(Summary_Exchange_Balances_00UTC!$B59="","",VLOOKUP(UPPER($A59&amp;$C59),$L:$T,7,FALSE))</f>
        <v>#N/A</v>
      </c>
      <c r="G59" s="53">
        <f>IF(Summary_Exchange_Balances_00UTC!$B59="","",VLOOKUP(IF(ISERROR(SEARCH(" ", $B59)),UPPER($B59&amp;$C59&amp;$D59),UPPER(LEFT($B59, SEARCH(" ",$B59)-1)&amp;$C59&amp;$D59)),$M:$T,6,FALSE))</f>
        <v>30</v>
      </c>
      <c r="H59">
        <f>IF(Summary_Exchange_Balances_00UTC!$B59="","",IF(ISERROR($G59),$E59,$G59))</f>
        <v>30</v>
      </c>
      <c r="I59" s="36">
        <f t="shared" si="0"/>
        <v>3.8037129397585766E-4</v>
      </c>
      <c r="L59" t="str">
        <f t="shared" si="1"/>
        <v>BINEUSDT</v>
      </c>
      <c r="M59" t="str">
        <f t="shared" si="2"/>
        <v>BINE-2-S1-EUSDT</v>
      </c>
      <c r="N59" t="s">
        <v>39</v>
      </c>
      <c r="O59" t="s">
        <v>89</v>
      </c>
      <c r="P59" t="s">
        <v>86</v>
      </c>
      <c r="R59" s="43">
        <v>10207067.854730301</v>
      </c>
      <c r="S59" t="s">
        <v>505</v>
      </c>
      <c r="T59">
        <v>1</v>
      </c>
      <c r="W59" t="s">
        <v>104</v>
      </c>
      <c r="X59" t="s">
        <v>25</v>
      </c>
      <c r="Y59" s="53">
        <v>1987.78841713</v>
      </c>
      <c r="Z59">
        <v>0</v>
      </c>
      <c r="AB59" s="3" t="s">
        <v>25</v>
      </c>
      <c r="AC59" s="32">
        <v>12922.80805792</v>
      </c>
      <c r="AD59" s="32">
        <v>13345.921607515338</v>
      </c>
      <c r="AG59" t="s">
        <v>50</v>
      </c>
      <c r="AH59" t="s">
        <v>494</v>
      </c>
      <c r="AL59" t="s">
        <v>495</v>
      </c>
      <c r="AN59" t="s">
        <v>50</v>
      </c>
      <c r="AS59" t="str">
        <f>IF(Summary_Exchange_Balances_00UTC!$B59="","","'"&amp;C59&amp;"',")</f>
        <v>'UST',</v>
      </c>
      <c r="AT59">
        <f>IF(Summary_Exchange_Balances_00UTC!$B59="","",IF(ISERROR(HLOOKUP($C59,$AW$1:$LL$2,2,FALSE)),Summary_Exchange_Balances_00UTC!$Q59,IF(OR(HLOOKUP($C59,$AW$1:$LL$2,2,FALSE)="",HLOOKUP($C59,$AW$1:$LL$2,2,FALSE)="null"),Summary_Exchange_Balances_00UTC!$Q59,HLOOKUP($C59,$AW$1:$LL$2,2,FALSE))))</f>
        <v>0</v>
      </c>
    </row>
    <row r="60" spans="1:46" x14ac:dyDescent="0.25">
      <c r="A60" t="str">
        <f>IF(Summary_Exchange_Balances_00UTC!$B60="","",Summary_Exchange_Balances_00UTC!$N60)</f>
        <v>BTSE</v>
      </c>
      <c r="B60" t="str">
        <f>IF(Summary_Exchange_Balances_00UTC!$B60="","",Summary_Exchange_Balances_00UTC!$B60)</f>
        <v>BTSE</v>
      </c>
      <c r="C60" t="str">
        <f>IF(Summary_Exchange_Balances_00UTC!$B60="","",Summary_Exchange_Balances_00UTC!$E60)</f>
        <v>BCH</v>
      </c>
      <c r="D60" t="str">
        <f>IF(OR(Summary_Exchange_Balances_00UTC!$B60="",Summary_Exchange_Balances_00UTC!$D60=""),"",Summary_Exchange_Balances_00UTC!$D60)</f>
        <v/>
      </c>
      <c r="E60" s="54">
        <f>IF(Summary_Exchange_Balances_00UTC!$B60="","",Summary_Exchange_Balances_00UTC!$C60)</f>
        <v>0.21932823000000001</v>
      </c>
      <c r="F60" s="53">
        <f>IF(Summary_Exchange_Balances_00UTC!$B60="","",VLOOKUP(UPPER($A60&amp;$C60),$L:$T,7,FALSE))</f>
        <v>0.21932823000000001</v>
      </c>
      <c r="G60" s="53">
        <f>IF(Summary_Exchange_Balances_00UTC!$B60="","",VLOOKUP(IF(ISERROR(SEARCH(" ", $B60)),UPPER($B60&amp;$C60&amp;$D60),UPPER(LEFT($B60, SEARCH(" ",$B60)-1)&amp;$C60&amp;$D60)),$M:$T,6,FALSE))</f>
        <v>0.21932823000000001</v>
      </c>
      <c r="H60">
        <f>IF(Summary_Exchange_Balances_00UTC!$B60="","",IF(ISERROR($G60),$E60,$G60))</f>
        <v>0.21932823000000001</v>
      </c>
      <c r="I60" s="36">
        <f t="shared" si="0"/>
        <v>0</v>
      </c>
      <c r="L60" t="str">
        <f t="shared" si="1"/>
        <v>BINEUSDT</v>
      </c>
      <c r="M60" t="str">
        <f t="shared" si="2"/>
        <v>BINE-2-S1-MUSDTMARGIN LOAN</v>
      </c>
      <c r="N60" t="s">
        <v>39</v>
      </c>
      <c r="O60" t="s">
        <v>89</v>
      </c>
      <c r="P60" t="s">
        <v>94</v>
      </c>
      <c r="Q60" t="s">
        <v>203</v>
      </c>
      <c r="R60" s="43">
        <v>15572971.3846302</v>
      </c>
      <c r="S60" t="s">
        <v>506</v>
      </c>
      <c r="T60">
        <v>1</v>
      </c>
      <c r="W60" t="s">
        <v>104</v>
      </c>
      <c r="X60" t="s">
        <v>98</v>
      </c>
      <c r="Y60" s="54">
        <v>7654946.8200000003</v>
      </c>
      <c r="Z60">
        <v>0</v>
      </c>
      <c r="AB60" s="3" t="s">
        <v>148</v>
      </c>
      <c r="AC60" s="32">
        <v>0.66495972999999997</v>
      </c>
      <c r="AD60" s="32">
        <v>0.66495972999999997</v>
      </c>
      <c r="AG60" t="s">
        <v>53</v>
      </c>
      <c r="AH60" t="s">
        <v>496</v>
      </c>
      <c r="AL60" t="s">
        <v>497</v>
      </c>
      <c r="AN60" t="s">
        <v>53</v>
      </c>
      <c r="AS60" t="str">
        <f>IF(Summary_Exchange_Balances_00UTC!$B60="","","'"&amp;C60&amp;"',")</f>
        <v>'BCH',</v>
      </c>
      <c r="AT60">
        <f>IF(Summary_Exchange_Balances_00UTC!$B60="","",IF(ISERROR(HLOOKUP($C60,$AW$1:$LL$2,2,FALSE)),Summary_Exchange_Balances_00UTC!$Q60,IF(OR(HLOOKUP($C60,$AW$1:$LL$2,2,FALSE)="",HLOOKUP($C60,$AW$1:$LL$2,2,FALSE)="null"),Summary_Exchange_Balances_00UTC!$Q60,HLOOKUP($C60,$AW$1:$LL$2,2,FALSE))))</f>
        <v>103.98</v>
      </c>
    </row>
    <row r="61" spans="1:46" x14ac:dyDescent="0.25">
      <c r="A61" t="str">
        <f>IF(Summary_Exchange_Balances_00UTC!$B61="","",Summary_Exchange_Balances_00UTC!$N61)</f>
        <v>BTSE</v>
      </c>
      <c r="B61" t="str">
        <f>IF(Summary_Exchange_Balances_00UTC!$B61="","",Summary_Exchange_Balances_00UTC!$B61)</f>
        <v>BTSE</v>
      </c>
      <c r="C61" t="str">
        <f>IF(Summary_Exchange_Balances_00UTC!$B61="","",Summary_Exchange_Balances_00UTC!$E61)</f>
        <v>BTC</v>
      </c>
      <c r="D61" t="str">
        <f>IF(OR(Summary_Exchange_Balances_00UTC!$B61="",Summary_Exchange_Balances_00UTC!$D61=""),"",Summary_Exchange_Balances_00UTC!$D61)</f>
        <v/>
      </c>
      <c r="E61" s="54">
        <f>IF(Summary_Exchange_Balances_00UTC!$B61="","",Summary_Exchange_Balances_00UTC!$C61)</f>
        <v>5.7861299999999997E-2</v>
      </c>
      <c r="F61" s="53">
        <f>IF(Summary_Exchange_Balances_00UTC!$B61="","",VLOOKUP(UPPER($A61&amp;$C61),$L:$T,7,FALSE))</f>
        <v>5.7861299999999997E-2</v>
      </c>
      <c r="G61" s="53">
        <f>IF(Summary_Exchange_Balances_00UTC!$B61="","",VLOOKUP(IF(ISERROR(SEARCH(" ", $B61)),UPPER($B61&amp;$C61&amp;$D61),UPPER(LEFT($B61, SEARCH(" ",$B61)-1)&amp;$C61&amp;$D61)),$M:$T,6,FALSE))</f>
        <v>5.7861299999999997E-2</v>
      </c>
      <c r="H61">
        <f>IF(Summary_Exchange_Balances_00UTC!$B61="","",IF(ISERROR($G61),$E61,$G61))</f>
        <v>5.7861299999999997E-2</v>
      </c>
      <c r="I61" s="36">
        <f t="shared" si="0"/>
        <v>0</v>
      </c>
      <c r="L61" t="str">
        <f t="shared" si="1"/>
        <v>BINEUSDT</v>
      </c>
      <c r="M61" t="str">
        <f t="shared" si="2"/>
        <v>BINE-2-S1-PUSDTBALANCE</v>
      </c>
      <c r="N61" t="s">
        <v>39</v>
      </c>
      <c r="O61" t="s">
        <v>89</v>
      </c>
      <c r="P61" t="s">
        <v>19</v>
      </c>
      <c r="Q61" t="s">
        <v>75</v>
      </c>
      <c r="R61" s="43">
        <v>56475047.939215802</v>
      </c>
      <c r="S61" t="s">
        <v>507</v>
      </c>
      <c r="T61">
        <v>1</v>
      </c>
      <c r="W61" t="s">
        <v>104</v>
      </c>
      <c r="X61" t="s">
        <v>16</v>
      </c>
      <c r="Y61" s="54">
        <v>15727.92235072</v>
      </c>
      <c r="Z61">
        <v>0</v>
      </c>
      <c r="AB61" s="3" t="s">
        <v>195</v>
      </c>
      <c r="AC61" s="32">
        <v>-15874.497827430001</v>
      </c>
      <c r="AD61" s="32">
        <v>-15874.497827430001</v>
      </c>
      <c r="AN61" t="s">
        <v>54</v>
      </c>
      <c r="AP61" t="s">
        <v>215</v>
      </c>
      <c r="AS61" t="str">
        <f>IF(Summary_Exchange_Balances_00UTC!$B61="","","'"&amp;C61&amp;"',")</f>
        <v>'BTC',</v>
      </c>
      <c r="AT61">
        <f>IF(Summary_Exchange_Balances_00UTC!$B61="","",IF(ISERROR(HLOOKUP($C61,$AW$1:$LL$2,2,FALSE)),Summary_Exchange_Balances_00UTC!$Q61,IF(OR(HLOOKUP($C61,$AW$1:$LL$2,2,FALSE)="",HLOOKUP($C61,$AW$1:$LL$2,2,FALSE)="null"),Summary_Exchange_Balances_00UTC!$Q61,HLOOKUP($C61,$AW$1:$LL$2,2,FALSE))))</f>
        <v>16719.740000000002</v>
      </c>
    </row>
    <row r="62" spans="1:46" x14ac:dyDescent="0.25">
      <c r="A62" t="str">
        <f>IF(Summary_Exchange_Balances_00UTC!$B62="","",Summary_Exchange_Balances_00UTC!$N62)</f>
        <v>BTSE</v>
      </c>
      <c r="B62" t="str">
        <f>IF(Summary_Exchange_Balances_00UTC!$B62="","",Summary_Exchange_Balances_00UTC!$B62)</f>
        <v>BTSE</v>
      </c>
      <c r="C62" t="str">
        <f>IF(Summary_Exchange_Balances_00UTC!$B62="","",Summary_Exchange_Balances_00UTC!$E62)</f>
        <v>ETH</v>
      </c>
      <c r="D62" t="str">
        <f>IF(OR(Summary_Exchange_Balances_00UTC!$B62="",Summary_Exchange_Balances_00UTC!$D62=""),"",Summary_Exchange_Balances_00UTC!$D62)</f>
        <v/>
      </c>
      <c r="E62" s="54">
        <f>IF(Summary_Exchange_Balances_00UTC!$B62="","",Summary_Exchange_Balances_00UTC!$C62)</f>
        <v>0.73541904000000002</v>
      </c>
      <c r="F62" s="53">
        <f>IF(Summary_Exchange_Balances_00UTC!$B62="","",VLOOKUP(UPPER($A62&amp;$C62),$L:$T,7,FALSE))</f>
        <v>0.73541904000000002</v>
      </c>
      <c r="G62" s="53">
        <f>IF(Summary_Exchange_Balances_00UTC!$B62="","",VLOOKUP(IF(ISERROR(SEARCH(" ", $B62)),UPPER($B62&amp;$C62&amp;$D62),UPPER(LEFT($B62, SEARCH(" ",$B62)-1)&amp;$C62&amp;$D62)),$M:$T,6,FALSE))</f>
        <v>0.73541904000000002</v>
      </c>
      <c r="H62">
        <f>IF(Summary_Exchange_Balances_00UTC!$B62="","",IF(ISERROR($G62),$E62,$G62))</f>
        <v>0.73541904000000002</v>
      </c>
      <c r="I62" s="36">
        <f t="shared" si="0"/>
        <v>0</v>
      </c>
      <c r="L62" t="str">
        <f t="shared" si="1"/>
        <v>BINEUSDT</v>
      </c>
      <c r="M62" t="str">
        <f t="shared" si="2"/>
        <v>BINE-2-S1-PUSDTUNREALIZED</v>
      </c>
      <c r="N62" t="s">
        <v>39</v>
      </c>
      <c r="O62" t="s">
        <v>89</v>
      </c>
      <c r="P62" t="s">
        <v>19</v>
      </c>
      <c r="Q62" t="s">
        <v>93</v>
      </c>
      <c r="R62" s="43">
        <v>101686.14597167</v>
      </c>
      <c r="S62" t="s">
        <v>507</v>
      </c>
      <c r="T62">
        <v>1</v>
      </c>
      <c r="W62" t="s">
        <v>104</v>
      </c>
      <c r="X62" t="s">
        <v>98</v>
      </c>
      <c r="Y62" s="54">
        <v>10612807.468800001</v>
      </c>
      <c r="Z62">
        <v>0</v>
      </c>
      <c r="AB62" s="3" t="s">
        <v>196</v>
      </c>
      <c r="AC62" s="32">
        <v>5.6554146699999999</v>
      </c>
      <c r="AD62" s="32">
        <v>5.6554146698999999</v>
      </c>
      <c r="AG62" t="s">
        <v>186</v>
      </c>
      <c r="AH62" t="s">
        <v>498</v>
      </c>
      <c r="AN62" t="s">
        <v>178</v>
      </c>
      <c r="AS62" t="str">
        <f>IF(Summary_Exchange_Balances_00UTC!$B62="","","'"&amp;C62&amp;"',")</f>
        <v>'ETH',</v>
      </c>
      <c r="AT62">
        <f>IF(Summary_Exchange_Balances_00UTC!$B62="","",IF(ISERROR(HLOOKUP($C62,$AW$1:$LL$2,2,FALSE)),Summary_Exchange_Balances_00UTC!$Q62,IF(OR(HLOOKUP($C62,$AW$1:$LL$2,2,FALSE)="",HLOOKUP($C62,$AW$1:$LL$2,2,FALSE)="null"),Summary_Exchange_Balances_00UTC!$Q62,HLOOKUP($C62,$AW$1:$LL$2,2,FALSE))))</f>
        <v>1208.73</v>
      </c>
    </row>
    <row r="63" spans="1:46" x14ac:dyDescent="0.25">
      <c r="A63" t="str">
        <f>IF(Summary_Exchange_Balances_00UTC!$B63="","",Summary_Exchange_Balances_00UTC!$N63)</f>
        <v>BTSE</v>
      </c>
      <c r="B63" t="str">
        <f>IF(Summary_Exchange_Balances_00UTC!$B63="","",Summary_Exchange_Balances_00UTC!$B63)</f>
        <v>BTSE</v>
      </c>
      <c r="C63" t="str">
        <f>IF(Summary_Exchange_Balances_00UTC!$B63="","",Summary_Exchange_Balances_00UTC!$E63)</f>
        <v>SGB</v>
      </c>
      <c r="D63" t="str">
        <f>IF(OR(Summary_Exchange_Balances_00UTC!$B63="",Summary_Exchange_Balances_00UTC!$D63=""),"",Summary_Exchange_Balances_00UTC!$D63)</f>
        <v/>
      </c>
      <c r="E63" s="54">
        <f>IF(Summary_Exchange_Balances_00UTC!$B63="","",Summary_Exchange_Balances_00UTC!$C63)</f>
        <v>22277.5319929</v>
      </c>
      <c r="F63" s="53">
        <f>IF(Summary_Exchange_Balances_00UTC!$B63="","",VLOOKUP(UPPER($A63&amp;$C63),$L:$T,7,FALSE))</f>
        <v>22277.5319929</v>
      </c>
      <c r="G63" s="53">
        <f>IF(Summary_Exchange_Balances_00UTC!$B63="","",VLOOKUP(IF(ISERROR(SEARCH(" ", $B63)),UPPER($B63&amp;$C63&amp;$D63),UPPER(LEFT($B63, SEARCH(" ",$B63)-1)&amp;$C63&amp;$D63)),$M:$T,6,FALSE))</f>
        <v>22277.5319929</v>
      </c>
      <c r="H63">
        <f>IF(Summary_Exchange_Balances_00UTC!$B63="","",IF(ISERROR($G63),$E63,$G63))</f>
        <v>22277.5319929</v>
      </c>
      <c r="I63" s="36">
        <f t="shared" si="0"/>
        <v>0</v>
      </c>
      <c r="L63" t="str">
        <f t="shared" si="1"/>
        <v>BINEUSDT</v>
      </c>
      <c r="M63" t="str">
        <f t="shared" si="2"/>
        <v>BINE-2-S2-PUSDTUNREALIZED</v>
      </c>
      <c r="N63" t="s">
        <v>39</v>
      </c>
      <c r="O63" t="s">
        <v>89</v>
      </c>
      <c r="P63" t="s">
        <v>306</v>
      </c>
      <c r="Q63" t="s">
        <v>93</v>
      </c>
      <c r="R63" s="43">
        <v>5541.4023363799997</v>
      </c>
      <c r="S63" t="s">
        <v>509</v>
      </c>
      <c r="T63">
        <v>1</v>
      </c>
      <c r="W63" t="s">
        <v>104</v>
      </c>
      <c r="X63" t="s">
        <v>15</v>
      </c>
      <c r="Y63" s="54">
        <v>60.144188849999999</v>
      </c>
      <c r="Z63">
        <v>0</v>
      </c>
      <c r="AB63" s="3" t="s">
        <v>149</v>
      </c>
      <c r="AC63" s="32">
        <v>0.89105878000000005</v>
      </c>
      <c r="AD63" s="32">
        <v>0.89105878000000005</v>
      </c>
      <c r="AL63" t="s">
        <v>417</v>
      </c>
      <c r="AS63" t="str">
        <f>IF(Summary_Exchange_Balances_00UTC!$B63="","","'"&amp;C63&amp;"',")</f>
        <v>'SGB',</v>
      </c>
      <c r="AT63">
        <f>IF(Summary_Exchange_Balances_00UTC!$B63="","",IF(ISERROR(HLOOKUP($C63,$AW$1:$LL$2,2,FALSE)),Summary_Exchange_Balances_00UTC!$Q63,IF(OR(HLOOKUP($C63,$AW$1:$LL$2,2,FALSE)="",HLOOKUP($C63,$AW$1:$LL$2,2,FALSE)="null"),Summary_Exchange_Balances_00UTC!$Q63,HLOOKUP($C63,$AW$1:$LL$2,2,FALSE))))</f>
        <v>1.1899667914311273E-2</v>
      </c>
    </row>
    <row r="64" spans="1:46" x14ac:dyDescent="0.25">
      <c r="A64" t="str">
        <f>IF(Summary_Exchange_Balances_00UTC!$B64="","",Summary_Exchange_Balances_00UTC!$N64)</f>
        <v>BTSE</v>
      </c>
      <c r="B64" t="str">
        <f>IF(Summary_Exchange_Balances_00UTC!$B64="","",Summary_Exchange_Balances_00UTC!$B64)</f>
        <v>BTSE</v>
      </c>
      <c r="C64" t="str">
        <f>IF(Summary_Exchange_Balances_00UTC!$B64="","",Summary_Exchange_Balances_00UTC!$E64)</f>
        <v>USD</v>
      </c>
      <c r="D64" t="str">
        <f>IF(OR(Summary_Exchange_Balances_00UTC!$B64="",Summary_Exchange_Balances_00UTC!$D64=""),"",Summary_Exchange_Balances_00UTC!$D64)</f>
        <v/>
      </c>
      <c r="E64" s="53">
        <f>IF(Summary_Exchange_Balances_00UTC!$B64="","",Summary_Exchange_Balances_00UTC!$C64)</f>
        <v>114736.84</v>
      </c>
      <c r="F64" s="53">
        <f>IF(Summary_Exchange_Balances_00UTC!$B64="","",VLOOKUP(UPPER($A64&amp;$C64),$L:$T,7,FALSE))</f>
        <v>114736.84</v>
      </c>
      <c r="G64" s="53">
        <f>IF(Summary_Exchange_Balances_00UTC!$B64="","",VLOOKUP(IF(ISERROR(SEARCH(" ", $B64)),UPPER($B64&amp;$C64&amp;$D64),UPPER(LEFT($B64, SEARCH(" ",$B64)-1)&amp;$C64&amp;$D64)),$M:$T,6,FALSE))</f>
        <v>114736.84</v>
      </c>
      <c r="H64">
        <f>IF(Summary_Exchange_Balances_00UTC!$B64="","",IF(ISERROR($G64),$E64,$G64))</f>
        <v>114736.84</v>
      </c>
      <c r="I64" s="36">
        <f t="shared" si="0"/>
        <v>0</v>
      </c>
      <c r="L64" t="str">
        <f t="shared" si="1"/>
        <v>BINEVET</v>
      </c>
      <c r="M64" t="str">
        <f t="shared" si="2"/>
        <v>BINE-2-S1-MVETMARGIN LOAN</v>
      </c>
      <c r="N64" t="s">
        <v>199</v>
      </c>
      <c r="O64" t="s">
        <v>89</v>
      </c>
      <c r="P64" t="s">
        <v>94</v>
      </c>
      <c r="Q64" t="s">
        <v>203</v>
      </c>
      <c r="R64" s="43">
        <v>-100</v>
      </c>
      <c r="S64" t="s">
        <v>506</v>
      </c>
      <c r="T64">
        <v>1</v>
      </c>
      <c r="W64" t="s">
        <v>104</v>
      </c>
      <c r="X64" t="s">
        <v>16</v>
      </c>
      <c r="Y64" s="53">
        <v>1166.0086387199999</v>
      </c>
      <c r="Z64">
        <v>0</v>
      </c>
      <c r="AB64" s="3" t="s">
        <v>150</v>
      </c>
      <c r="AC64" s="32">
        <v>40.704174029999997</v>
      </c>
      <c r="AD64" s="32">
        <v>40.704174029999997</v>
      </c>
      <c r="AL64" t="s">
        <v>418</v>
      </c>
      <c r="AS64" t="str">
        <f>IF(Summary_Exchange_Balances_00UTC!$B64="","","'"&amp;C64&amp;"',")</f>
        <v>'USD',</v>
      </c>
      <c r="AT64">
        <f>IF(Summary_Exchange_Balances_00UTC!$B64="","",IF(ISERROR(HLOOKUP($C64,$AW$1:$LL$2,2,FALSE)),Summary_Exchange_Balances_00UTC!$Q64,IF(OR(HLOOKUP($C64,$AW$1:$LL$2,2,FALSE)="",HLOOKUP($C64,$AW$1:$LL$2,2,FALSE)="null"),Summary_Exchange_Balances_00UTC!$Q64,HLOOKUP($C64,$AW$1:$LL$2,2,FALSE))))</f>
        <v>1</v>
      </c>
    </row>
    <row r="65" spans="1:46" x14ac:dyDescent="0.25">
      <c r="A65" t="str">
        <f>IF(Summary_Exchange_Balances_00UTC!$B65="","",Summary_Exchange_Balances_00UTC!$N65)</f>
        <v>BTSE</v>
      </c>
      <c r="B65" t="str">
        <f>IF(Summary_Exchange_Balances_00UTC!$B65="","",Summary_Exchange_Balances_00UTC!$B65)</f>
        <v>BTSE</v>
      </c>
      <c r="C65" t="str">
        <f>IF(Summary_Exchange_Balances_00UTC!$B65="","",Summary_Exchange_Balances_00UTC!$E65)</f>
        <v>XRP</v>
      </c>
      <c r="D65" t="str">
        <f>IF(OR(Summary_Exchange_Balances_00UTC!$B65="",Summary_Exchange_Balances_00UTC!$D65=""),"",Summary_Exchange_Balances_00UTC!$D65)</f>
        <v/>
      </c>
      <c r="E65" s="54">
        <f>IF(Summary_Exchange_Balances_00UTC!$B65="","",Summary_Exchange_Balances_00UTC!$C65)</f>
        <v>116647.68407285</v>
      </c>
      <c r="F65" s="53">
        <f>IF(Summary_Exchange_Balances_00UTC!$B65="","",VLOOKUP(UPPER($A65&amp;$C65),$L:$T,7,FALSE))</f>
        <v>116647.68407285</v>
      </c>
      <c r="G65" s="53">
        <f>IF(Summary_Exchange_Balances_00UTC!$B65="","",VLOOKUP(IF(ISERROR(SEARCH(" ", $B65)),UPPER($B65&amp;$C65&amp;$D65),UPPER(LEFT($B65, SEARCH(" ",$B65)-1)&amp;$C65&amp;$D65)),$M:$T,6,FALSE))</f>
        <v>116647.68407285</v>
      </c>
      <c r="H65">
        <f>IF(Summary_Exchange_Balances_00UTC!$B65="","",IF(ISERROR($G65),$E65,$G65))</f>
        <v>116647.68407285</v>
      </c>
      <c r="I65" s="36">
        <f t="shared" si="0"/>
        <v>0</v>
      </c>
      <c r="L65" t="str">
        <f t="shared" si="1"/>
        <v>BINEXLM</v>
      </c>
      <c r="M65" t="str">
        <f t="shared" si="2"/>
        <v>BINE-2-S1-MXLMMARGIN LOAN</v>
      </c>
      <c r="N65" t="s">
        <v>166</v>
      </c>
      <c r="O65" t="s">
        <v>89</v>
      </c>
      <c r="P65" t="s">
        <v>94</v>
      </c>
      <c r="Q65" t="s">
        <v>203</v>
      </c>
      <c r="R65" s="43">
        <v>-50000</v>
      </c>
      <c r="S65" t="s">
        <v>506</v>
      </c>
      <c r="T65">
        <v>1</v>
      </c>
      <c r="W65" t="s">
        <v>301</v>
      </c>
      <c r="X65" t="s">
        <v>191</v>
      </c>
      <c r="Y65" s="54">
        <v>0.26739257999999999</v>
      </c>
      <c r="Z65">
        <v>0</v>
      </c>
      <c r="AB65" s="3" t="s">
        <v>151</v>
      </c>
      <c r="AC65" s="32">
        <v>3013993111.0959439</v>
      </c>
      <c r="AD65" s="32">
        <v>3013993111.0959401</v>
      </c>
      <c r="AS65" t="str">
        <f>IF(Summary_Exchange_Balances_00UTC!$B65="","","'"&amp;C65&amp;"',")</f>
        <v>'XRP',</v>
      </c>
      <c r="AT65">
        <f>IF(Summary_Exchange_Balances_00UTC!$B65="","",IF(ISERROR(HLOOKUP($C65,$AW$1:$LL$2,2,FALSE)),Summary_Exchange_Balances_00UTC!$Q65,IF(OR(HLOOKUP($C65,$AW$1:$LL$2,2,FALSE)="",HLOOKUP($C65,$AW$1:$LL$2,2,FALSE)="null"),Summary_Exchange_Balances_00UTC!$Q65,HLOOKUP($C65,$AW$1:$LL$2,2,FALSE))))</f>
        <v>0.38471588000000001</v>
      </c>
    </row>
    <row r="66" spans="1:46" x14ac:dyDescent="0.25">
      <c r="A66" t="str">
        <f>IF(Summary_Exchange_Balances_00UTC!$B66="","",Summary_Exchange_Balances_00UTC!$N66)</f>
        <v>BULL</v>
      </c>
      <c r="B66" t="str">
        <f>IF(Summary_Exchange_Balances_00UTC!$B66="","",Summary_Exchange_Balances_00UTC!$B66)</f>
        <v>BULL-1-M-E</v>
      </c>
      <c r="C66" t="str">
        <f>IF(Summary_Exchange_Balances_00UTC!$B66="","",Summary_Exchange_Balances_00UTC!$E66)</f>
        <v>BTC</v>
      </c>
      <c r="D66" t="str">
        <f>IF(OR(Summary_Exchange_Balances_00UTC!$B66="",Summary_Exchange_Balances_00UTC!$D66=""),"",Summary_Exchange_Balances_00UTC!$D66)</f>
        <v/>
      </c>
      <c r="E66" s="54">
        <f>IF(Summary_Exchange_Balances_00UTC!$B66="","",Summary_Exchange_Balances_00UTC!$C66)</f>
        <v>1811.18993475</v>
      </c>
      <c r="F66" s="53">
        <f>IF(Summary_Exchange_Balances_00UTC!$B66="","",VLOOKUP(UPPER($A66&amp;$C66),$L:$T,7,FALSE))</f>
        <v>4667.5576719600003</v>
      </c>
      <c r="G66" s="53">
        <f>IF(Summary_Exchange_Balances_00UTC!$B66="","",VLOOKUP(IF(ISERROR(SEARCH(" ", $B66)),UPPER($B66&amp;$C66&amp;$D66),UPPER(LEFT($B66, SEARCH(" ",$B66)-1)&amp;$C66&amp;$D66)),$M:$T,6,FALSE))</f>
        <v>4667.5576719600003</v>
      </c>
      <c r="H66">
        <f>IF(Summary_Exchange_Balances_00UTC!$B66="","",IF(ISERROR($G66),$E66,$G66))</f>
        <v>4667.5576719600003</v>
      </c>
      <c r="I66" s="36">
        <f t="shared" ref="I66:I129" si="3">(G66-E66)/E66</f>
        <v>1.5770669229145571</v>
      </c>
      <c r="L66" t="str">
        <f t="shared" ref="L66:L129" si="4">UPPER($O66&amp;$N66)</f>
        <v>BINEXLM</v>
      </c>
      <c r="M66" t="str">
        <f t="shared" ref="M66:M129" si="5">UPPER($P66&amp;$N66&amp;Q66)</f>
        <v>BINE-2-S1-EXLM</v>
      </c>
      <c r="N66" t="s">
        <v>166</v>
      </c>
      <c r="O66" t="s">
        <v>89</v>
      </c>
      <c r="P66" t="s">
        <v>86</v>
      </c>
      <c r="R66" s="43">
        <v>50000</v>
      </c>
      <c r="S66" t="s">
        <v>505</v>
      </c>
      <c r="T66">
        <v>1</v>
      </c>
      <c r="W66" t="s">
        <v>301</v>
      </c>
      <c r="X66" t="s">
        <v>191</v>
      </c>
      <c r="Y66" s="54">
        <v>9.7777784299999997</v>
      </c>
      <c r="Z66">
        <v>0</v>
      </c>
      <c r="AB66" s="3" t="s">
        <v>152</v>
      </c>
      <c r="AC66" s="32">
        <v>4.3068300000000002E-3</v>
      </c>
      <c r="AD66" s="32">
        <v>4.3068300000000002E-3</v>
      </c>
      <c r="AN66" t="s">
        <v>183</v>
      </c>
      <c r="AS66" t="str">
        <f>IF(Summary_Exchange_Balances_00UTC!$B66="","","'"&amp;C66&amp;"',")</f>
        <v>'BTC',</v>
      </c>
      <c r="AT66">
        <f>IF(Summary_Exchange_Balances_00UTC!$B66="","",IF(ISERROR(HLOOKUP($C66,$AW$1:$LL$2,2,FALSE)),Summary_Exchange_Balances_00UTC!$Q66,IF(OR(HLOOKUP($C66,$AW$1:$LL$2,2,FALSE)="",HLOOKUP($C66,$AW$1:$LL$2,2,FALSE)="null"),Summary_Exchange_Balances_00UTC!$Q66,HLOOKUP($C66,$AW$1:$LL$2,2,FALSE))))</f>
        <v>16719.740000000002</v>
      </c>
    </row>
    <row r="67" spans="1:46" x14ac:dyDescent="0.25">
      <c r="A67" t="str">
        <f>IF(Summary_Exchange_Balances_00UTC!$B67="","",Summary_Exchange_Balances_00UTC!$N67)</f>
        <v>BULL</v>
      </c>
      <c r="B67" t="str">
        <f>IF(Summary_Exchange_Balances_00UTC!$B67="","",Summary_Exchange_Balances_00UTC!$B67)</f>
        <v>BULL-1-M-E</v>
      </c>
      <c r="C67" t="str">
        <f>IF(Summary_Exchange_Balances_00UTC!$B67="","",Summary_Exchange_Balances_00UTC!$E67)</f>
        <v>USD</v>
      </c>
      <c r="D67" t="str">
        <f>IF(OR(Summary_Exchange_Balances_00UTC!$B67="",Summary_Exchange_Balances_00UTC!$D67=""),"",Summary_Exchange_Balances_00UTC!$D67)</f>
        <v/>
      </c>
      <c r="E67" s="54">
        <f>IF(Summary_Exchange_Balances_00UTC!$B67="","",Summary_Exchange_Balances_00UTC!$C67)</f>
        <v>62054507.6281</v>
      </c>
      <c r="F67" s="53">
        <f>IF(Summary_Exchange_Balances_00UTC!$B67="","",VLOOKUP(UPPER($A67&amp;$C67),$L:$T,7,FALSE))</f>
        <v>5764124.4515000004</v>
      </c>
      <c r="G67" s="53">
        <f>IF(Summary_Exchange_Balances_00UTC!$B67="","",VLOOKUP(IF(ISERROR(SEARCH(" ", $B67)),UPPER($B67&amp;$C67&amp;$D67),UPPER(LEFT($B67, SEARCH(" ",$B67)-1)&amp;$C67&amp;$D67)),$M:$T,6,FALSE))</f>
        <v>13766205.880799999</v>
      </c>
      <c r="H67">
        <f>IF(Summary_Exchange_Balances_00UTC!$B67="","",IF(ISERROR($G67),$E67,$G67))</f>
        <v>13766205.880799999</v>
      </c>
      <c r="I67" s="36">
        <f t="shared" si="3"/>
        <v>-0.77815945356778105</v>
      </c>
      <c r="L67" t="str">
        <f t="shared" si="4"/>
        <v>BTFXBTC</v>
      </c>
      <c r="M67" t="str">
        <f t="shared" si="5"/>
        <v>BTFX-1-M-EBTC</v>
      </c>
      <c r="N67" t="s">
        <v>15</v>
      </c>
      <c r="O67" t="s">
        <v>220</v>
      </c>
      <c r="P67" t="s">
        <v>96</v>
      </c>
      <c r="R67" s="43">
        <v>7.9996000000000008E-3</v>
      </c>
      <c r="S67" t="s">
        <v>510</v>
      </c>
      <c r="T67">
        <v>1</v>
      </c>
      <c r="W67" t="s">
        <v>301</v>
      </c>
      <c r="X67" t="s">
        <v>192</v>
      </c>
      <c r="Y67" s="54">
        <v>3.0536339999999999E-2</v>
      </c>
      <c r="Z67">
        <v>0</v>
      </c>
      <c r="AB67" s="3" t="s">
        <v>153</v>
      </c>
      <c r="AC67" s="32">
        <v>1546.8743013300118</v>
      </c>
      <c r="AD67" s="32">
        <v>162259.33519957002</v>
      </c>
      <c r="AL67" t="s">
        <v>432</v>
      </c>
      <c r="AN67" t="s">
        <v>186</v>
      </c>
      <c r="AP67" t="s">
        <v>217</v>
      </c>
      <c r="AS67" t="str">
        <f>IF(Summary_Exchange_Balances_00UTC!$B67="","","'"&amp;C67&amp;"',")</f>
        <v>'USD',</v>
      </c>
      <c r="AT67">
        <f>IF(Summary_Exchange_Balances_00UTC!$B67="","",IF(ISERROR(HLOOKUP($C67,$AW$1:$LL$2,2,FALSE)),Summary_Exchange_Balances_00UTC!$Q67,IF(OR(HLOOKUP($C67,$AW$1:$LL$2,2,FALSE)="",HLOOKUP($C67,$AW$1:$LL$2,2,FALSE)="null"),Summary_Exchange_Balances_00UTC!$Q67,HLOOKUP($C67,$AW$1:$LL$2,2,FALSE))))</f>
        <v>1</v>
      </c>
    </row>
    <row r="68" spans="1:46" x14ac:dyDescent="0.25">
      <c r="A68" t="str">
        <f>IF(Summary_Exchange_Balances_00UTC!$B68="","",Summary_Exchange_Balances_00UTC!$N68)</f>
        <v>BULL</v>
      </c>
      <c r="B68" t="str">
        <f>IF(Summary_Exchange_Balances_00UTC!$B68="","",Summary_Exchange_Balances_00UTC!$B68)</f>
        <v>BULL-1-M-E</v>
      </c>
      <c r="C68" t="str">
        <f>IF(Summary_Exchange_Balances_00UTC!$B68="","",Summary_Exchange_Balances_00UTC!$E68)</f>
        <v>USDC</v>
      </c>
      <c r="D68" t="str">
        <f>IF(OR(Summary_Exchange_Balances_00UTC!$B68="",Summary_Exchange_Balances_00UTC!$D68=""),"",Summary_Exchange_Balances_00UTC!$D68)</f>
        <v/>
      </c>
      <c r="E68" s="54">
        <f>IF(Summary_Exchange_Balances_00UTC!$B68="","",Summary_Exchange_Balances_00UTC!$C68)</f>
        <v>101</v>
      </c>
      <c r="F68" s="53">
        <f>IF(Summary_Exchange_Balances_00UTC!$B68="","",VLOOKUP(UPPER($A68&amp;$C68),$L:$T,7,FALSE))</f>
        <v>101</v>
      </c>
      <c r="G68" s="53">
        <f>IF(Summary_Exchange_Balances_00UTC!$B68="","",VLOOKUP(IF(ISERROR(SEARCH(" ", $B68)),UPPER($B68&amp;$C68&amp;$D68),UPPER(LEFT($B68, SEARCH(" ",$B68)-1)&amp;$C68&amp;$D68)),$M:$T,6,FALSE))</f>
        <v>101</v>
      </c>
      <c r="H68">
        <f>IF(Summary_Exchange_Balances_00UTC!$B68="","",IF(ISERROR($G68),$E68,$G68))</f>
        <v>101</v>
      </c>
      <c r="I68" s="36">
        <f t="shared" si="3"/>
        <v>0</v>
      </c>
      <c r="L68" t="str">
        <f t="shared" si="4"/>
        <v>BTFXBTC</v>
      </c>
      <c r="M68" t="str">
        <f t="shared" si="5"/>
        <v>BTFX-1-M-EBTC</v>
      </c>
      <c r="N68" t="s">
        <v>15</v>
      </c>
      <c r="O68" t="s">
        <v>220</v>
      </c>
      <c r="P68" t="s">
        <v>96</v>
      </c>
      <c r="R68" s="43">
        <v>1E-3</v>
      </c>
      <c r="S68" t="s">
        <v>510</v>
      </c>
      <c r="T68">
        <v>1</v>
      </c>
      <c r="W68" t="s">
        <v>301</v>
      </c>
      <c r="X68" t="s">
        <v>192</v>
      </c>
      <c r="Y68" s="54">
        <v>3.2534000000000003E-4</v>
      </c>
      <c r="Z68">
        <v>0</v>
      </c>
      <c r="AB68" s="3" t="s">
        <v>154</v>
      </c>
      <c r="AC68" s="32">
        <v>0.34782034000000001</v>
      </c>
      <c r="AD68" s="32">
        <v>0.34782034000000001</v>
      </c>
      <c r="AS68" t="str">
        <f>IF(Summary_Exchange_Balances_00UTC!$B68="","","'"&amp;C68&amp;"',")</f>
        <v>'USDC',</v>
      </c>
      <c r="AT68">
        <f>IF(Summary_Exchange_Balances_00UTC!$B68="","",IF(ISERROR(HLOOKUP($C68,$AW$1:$LL$2,2,FALSE)),Summary_Exchange_Balances_00UTC!$Q68,IF(OR(HLOOKUP($C68,$AW$1:$LL$2,2,FALSE)="",HLOOKUP($C68,$AW$1:$LL$2,2,FALSE)="null"),Summary_Exchange_Balances_00UTC!$Q68,HLOOKUP($C68,$AW$1:$LL$2,2,FALSE))))</f>
        <v>0.9999795253044258</v>
      </c>
    </row>
    <row r="69" spans="1:46" x14ac:dyDescent="0.25">
      <c r="A69" t="str">
        <f>IF(Summary_Exchange_Balances_00UTC!$B69="","",Summary_Exchange_Balances_00UTC!$N69)</f>
        <v>BULL</v>
      </c>
      <c r="B69" t="str">
        <f>IF(Summary_Exchange_Balances_00UTC!$B69="","",Summary_Exchange_Balances_00UTC!$B69)</f>
        <v>BULL-2-M-E</v>
      </c>
      <c r="C69" t="str">
        <f>IF(Summary_Exchange_Balances_00UTC!$B69="","",Summary_Exchange_Balances_00UTC!$E69)</f>
        <v>EOS</v>
      </c>
      <c r="D69" t="str">
        <f>IF(OR(Summary_Exchange_Balances_00UTC!$B69="",Summary_Exchange_Balances_00UTC!$D69=""),"",Summary_Exchange_Balances_00UTC!$D69)</f>
        <v/>
      </c>
      <c r="E69" s="54">
        <f>IF(Summary_Exchange_Balances_00UTC!$B69="","",Summary_Exchange_Balances_00UTC!$C69)</f>
        <v>3305322.7056</v>
      </c>
      <c r="F69" s="53">
        <f>IF(Summary_Exchange_Balances_00UTC!$B69="","",VLOOKUP(UPPER($A69&amp;$C69),$L:$T,7,FALSE))</f>
        <v>2658096.3936999999</v>
      </c>
      <c r="G69" s="53">
        <f>IF(Summary_Exchange_Balances_00UTC!$B69="","",VLOOKUP(IF(ISERROR(SEARCH(" ", $B69)),UPPER($B69&amp;$C69&amp;$D69),UPPER(LEFT($B69, SEARCH(" ",$B69)-1)&amp;$C69&amp;$D69)),$M:$T,6,FALSE))</f>
        <v>2658096.3936999999</v>
      </c>
      <c r="H69">
        <f>IF(Summary_Exchange_Balances_00UTC!$B69="","",IF(ISERROR($G69),$E69,$G69))</f>
        <v>2658096.3936999999</v>
      </c>
      <c r="I69" s="36">
        <f t="shared" si="3"/>
        <v>-0.19581335002583722</v>
      </c>
      <c r="L69" t="str">
        <f t="shared" si="4"/>
        <v>BTFXETH</v>
      </c>
      <c r="M69" t="str">
        <f t="shared" si="5"/>
        <v>BTFX-1-M-EETH</v>
      </c>
      <c r="N69" t="s">
        <v>16</v>
      </c>
      <c r="O69" t="s">
        <v>220</v>
      </c>
      <c r="P69" t="s">
        <v>96</v>
      </c>
      <c r="R69" s="43">
        <v>0.02</v>
      </c>
      <c r="S69" t="s">
        <v>510</v>
      </c>
      <c r="T69">
        <v>1</v>
      </c>
      <c r="W69" t="s">
        <v>301</v>
      </c>
      <c r="X69" t="s">
        <v>16</v>
      </c>
      <c r="Y69" s="54">
        <v>530.26134416000002</v>
      </c>
      <c r="Z69">
        <v>0</v>
      </c>
      <c r="AB69" s="3" t="s">
        <v>309</v>
      </c>
      <c r="AC69" s="32">
        <v>5625.02729593</v>
      </c>
      <c r="AD69" s="32">
        <v>0</v>
      </c>
      <c r="AS69" t="str">
        <f>IF(Summary_Exchange_Balances_00UTC!$B69="","","'"&amp;C69&amp;"',")</f>
        <v>'EOS',</v>
      </c>
      <c r="AT69">
        <f>IF(Summary_Exchange_Balances_00UTC!$B69="","",IF(ISERROR(HLOOKUP($C69,$AW$1:$LL$2,2,FALSE)),Summary_Exchange_Balances_00UTC!$Q69,IF(OR(HLOOKUP($C69,$AW$1:$LL$2,2,FALSE)="",HLOOKUP($C69,$AW$1:$LL$2,2,FALSE)="null"),Summary_Exchange_Balances_00UTC!$Q69,HLOOKUP($C69,$AW$1:$LL$2,2,FALSE))))</f>
        <v>0.90154135000000002</v>
      </c>
    </row>
    <row r="70" spans="1:46" x14ac:dyDescent="0.25">
      <c r="A70" t="str">
        <f>IF(Summary_Exchange_Balances_00UTC!$B70="","",Summary_Exchange_Balances_00UTC!$N70)</f>
        <v>BULL</v>
      </c>
      <c r="B70" t="str">
        <f>IF(Summary_Exchange_Balances_00UTC!$B70="","",Summary_Exchange_Balances_00UTC!$B70)</f>
        <v>BULL-2-M-E</v>
      </c>
      <c r="C70" t="str">
        <f>IF(Summary_Exchange_Balances_00UTC!$B70="","",Summary_Exchange_Balances_00UTC!$E70)</f>
        <v>LINK</v>
      </c>
      <c r="D70" t="str">
        <f>IF(OR(Summary_Exchange_Balances_00UTC!$B70="",Summary_Exchange_Balances_00UTC!$D70=""),"",Summary_Exchange_Balances_00UTC!$D70)</f>
        <v/>
      </c>
      <c r="E70" s="54">
        <f>IF(Summary_Exchange_Balances_00UTC!$B70="","",Summary_Exchange_Balances_00UTC!$C70)</f>
        <v>60029.229923910003</v>
      </c>
      <c r="F70" s="53">
        <f>IF(Summary_Exchange_Balances_00UTC!$B70="","",VLOOKUP(UPPER($A70&amp;$C70),$L:$T,7,FALSE))</f>
        <v>92892.237954340002</v>
      </c>
      <c r="G70" s="53">
        <f>IF(Summary_Exchange_Balances_00UTC!$B70="","",VLOOKUP(IF(ISERROR(SEARCH(" ", $B70)),UPPER($B70&amp;$C70&amp;$D70),UPPER(LEFT($B70, SEARCH(" ",$B70)-1)&amp;$C70&amp;$D70)),$M:$T,6,FALSE))</f>
        <v>92892.237954340002</v>
      </c>
      <c r="H70">
        <f>IF(Summary_Exchange_Balances_00UTC!$B70="","",IF(ISERROR($G70),$E70,$G70))</f>
        <v>92892.237954340002</v>
      </c>
      <c r="I70" s="36">
        <f t="shared" si="3"/>
        <v>0.54745010176018372</v>
      </c>
      <c r="L70" t="str">
        <f t="shared" si="4"/>
        <v>BTFXETHW</v>
      </c>
      <c r="M70" t="str">
        <f t="shared" si="5"/>
        <v>BTFX-1-M-EETHW</v>
      </c>
      <c r="N70" t="s">
        <v>275</v>
      </c>
      <c r="O70" t="s">
        <v>220</v>
      </c>
      <c r="P70" t="s">
        <v>96</v>
      </c>
      <c r="R70" s="43">
        <v>0.02</v>
      </c>
      <c r="S70" t="s">
        <v>510</v>
      </c>
      <c r="T70">
        <v>1</v>
      </c>
      <c r="W70" t="s">
        <v>301</v>
      </c>
      <c r="X70" t="s">
        <v>16</v>
      </c>
      <c r="Y70" s="54">
        <v>3.67060545</v>
      </c>
      <c r="Z70">
        <v>0</v>
      </c>
      <c r="AB70" s="3" t="s">
        <v>310</v>
      </c>
      <c r="AC70" s="32">
        <v>5968</v>
      </c>
      <c r="AD70" s="32">
        <v>0</v>
      </c>
      <c r="AS70" t="str">
        <f>IF(Summary_Exchange_Balances_00UTC!$B70="","","'"&amp;C70&amp;"',")</f>
        <v>'LINK',</v>
      </c>
      <c r="AT70">
        <f>IF(Summary_Exchange_Balances_00UTC!$B70="","",IF(ISERROR(HLOOKUP($C70,$AW$1:$LL$2,2,FALSE)),Summary_Exchange_Balances_00UTC!$Q70,IF(OR(HLOOKUP($C70,$AW$1:$LL$2,2,FALSE)="",HLOOKUP($C70,$AW$1:$LL$2,2,FALSE)="null"),Summary_Exchange_Balances_00UTC!$Q70,HLOOKUP($C70,$AW$1:$LL$2,2,FALSE))))</f>
        <v>6.2919999999999998</v>
      </c>
    </row>
    <row r="71" spans="1:46" x14ac:dyDescent="0.25">
      <c r="A71" t="str">
        <f>IF(Summary_Exchange_Balances_00UTC!$B71="","",Summary_Exchange_Balances_00UTC!$N71)</f>
        <v>BULL</v>
      </c>
      <c r="B71" t="str">
        <f>IF(Summary_Exchange_Balances_00UTC!$B71="","",Summary_Exchange_Balances_00UTC!$B71)</f>
        <v>BULL-2-M-E</v>
      </c>
      <c r="C71" t="str">
        <f>IF(Summary_Exchange_Balances_00UTC!$B71="","",Summary_Exchange_Balances_00UTC!$E71)</f>
        <v>LTC</v>
      </c>
      <c r="D71" t="str">
        <f>IF(OR(Summary_Exchange_Balances_00UTC!$B71="",Summary_Exchange_Balances_00UTC!$D71=""),"",Summary_Exchange_Balances_00UTC!$D71)</f>
        <v/>
      </c>
      <c r="E71" s="54">
        <f>IF(Summary_Exchange_Balances_00UTC!$B71="","",Summary_Exchange_Balances_00UTC!$C71)</f>
        <v>6062.1725529100004</v>
      </c>
      <c r="F71" s="53">
        <f>IF(Summary_Exchange_Balances_00UTC!$B71="","",VLOOKUP(UPPER($A71&amp;$C71),$L:$T,7,FALSE))</f>
        <v>8194.9920944200003</v>
      </c>
      <c r="G71" s="53">
        <f>IF(Summary_Exchange_Balances_00UTC!$B71="","",VLOOKUP(IF(ISERROR(SEARCH(" ", $B71)),UPPER($B71&amp;$C71&amp;$D71),UPPER(LEFT($B71, SEARCH(" ",$B71)-1)&amp;$C71&amp;$D71)),$M:$T,6,FALSE))</f>
        <v>8194.9920944200003</v>
      </c>
      <c r="H71">
        <f>IF(Summary_Exchange_Balances_00UTC!$B71="","",IF(ISERROR($G71),$E71,$G71))</f>
        <v>8194.9920944200003</v>
      </c>
      <c r="I71" s="36">
        <f t="shared" si="3"/>
        <v>0.35182428789266168</v>
      </c>
      <c r="L71" t="str">
        <f t="shared" si="4"/>
        <v>BTFXUSD</v>
      </c>
      <c r="M71" t="str">
        <f t="shared" si="5"/>
        <v>BTFX-1-M-EUSD</v>
      </c>
      <c r="N71" t="s">
        <v>98</v>
      </c>
      <c r="O71" t="s">
        <v>220</v>
      </c>
      <c r="P71" t="s">
        <v>96</v>
      </c>
      <c r="R71" s="43">
        <v>2.755467E-2</v>
      </c>
      <c r="S71" t="s">
        <v>510</v>
      </c>
      <c r="T71">
        <v>1</v>
      </c>
      <c r="W71" t="s">
        <v>301</v>
      </c>
      <c r="X71" t="s">
        <v>95</v>
      </c>
      <c r="Y71" s="54">
        <v>12023.262882000001</v>
      </c>
      <c r="Z71">
        <v>0</v>
      </c>
      <c r="AB71" s="3" t="s">
        <v>320</v>
      </c>
      <c r="AC71" s="32">
        <v>0</v>
      </c>
      <c r="AD71" s="32">
        <v>5625.02729593</v>
      </c>
      <c r="AS71" t="str">
        <f>IF(Summary_Exchange_Balances_00UTC!$B71="","","'"&amp;C71&amp;"',")</f>
        <v>'LTC',</v>
      </c>
      <c r="AT71">
        <f>IF(Summary_Exchange_Balances_00UTC!$B71="","",IF(ISERROR(HLOOKUP($C71,$AW$1:$LL$2,2,FALSE)),Summary_Exchange_Balances_00UTC!$Q71,IF(OR(HLOOKUP($C71,$AW$1:$LL$2,2,FALSE)="",HLOOKUP($C71,$AW$1:$LL$2,2,FALSE)="null"),Summary_Exchange_Balances_00UTC!$Q71,HLOOKUP($C71,$AW$1:$LL$2,2,FALSE))))</f>
        <v>62.35</v>
      </c>
    </row>
    <row r="72" spans="1:46" x14ac:dyDescent="0.25">
      <c r="A72" t="str">
        <f>IF(Summary_Exchange_Balances_00UTC!$B72="","",Summary_Exchange_Balances_00UTC!$N72)</f>
        <v>BULL</v>
      </c>
      <c r="B72" t="str">
        <f>IF(Summary_Exchange_Balances_00UTC!$B72="","",Summary_Exchange_Balances_00UTC!$B72)</f>
        <v>BULL-2-M-E</v>
      </c>
      <c r="C72" t="str">
        <f>IF(Summary_Exchange_Balances_00UTC!$B72="","",Summary_Exchange_Balances_00UTC!$E72)</f>
        <v>USD</v>
      </c>
      <c r="D72" t="str">
        <f>IF(OR(Summary_Exchange_Balances_00UTC!$B72="",Summary_Exchange_Balances_00UTC!$D72=""),"",Summary_Exchange_Balances_00UTC!$D72)</f>
        <v/>
      </c>
      <c r="E72" s="54">
        <f>IF(Summary_Exchange_Balances_00UTC!$B72="","",Summary_Exchange_Balances_00UTC!$C72)</f>
        <v>5014251.5754000004</v>
      </c>
      <c r="F72" s="53">
        <f>IF(Summary_Exchange_Balances_00UTC!$B72="","",VLOOKUP(UPPER($A72&amp;$C72),$L:$T,7,FALSE))</f>
        <v>5764124.4515000004</v>
      </c>
      <c r="G72" s="53">
        <f>IF(Summary_Exchange_Balances_00UTC!$B72="","",VLOOKUP(IF(ISERROR(SEARCH(" ", $B72)),UPPER($B72&amp;$C72&amp;$D72),UPPER(LEFT($B72, SEARCH(" ",$B72)-1)&amp;$C72&amp;$D72)),$M:$T,6,FALSE))</f>
        <v>5546928.0181999998</v>
      </c>
      <c r="H72">
        <f>IF(Summary_Exchange_Balances_00UTC!$B72="","",IF(ISERROR($G72),$E72,$G72))</f>
        <v>5546928.0181999998</v>
      </c>
      <c r="I72" s="36">
        <f t="shared" si="3"/>
        <v>0.10623249248468478</v>
      </c>
      <c r="L72" t="str">
        <f t="shared" si="4"/>
        <v>BTFXUST</v>
      </c>
      <c r="M72" t="str">
        <f t="shared" si="5"/>
        <v>BTFX-1-M-EUST</v>
      </c>
      <c r="N72" t="s">
        <v>99</v>
      </c>
      <c r="O72" t="s">
        <v>220</v>
      </c>
      <c r="P72" t="s">
        <v>96</v>
      </c>
      <c r="R72" s="43">
        <v>30</v>
      </c>
      <c r="S72" t="s">
        <v>510</v>
      </c>
      <c r="T72">
        <v>1</v>
      </c>
      <c r="W72" t="s">
        <v>301</v>
      </c>
      <c r="X72" t="s">
        <v>95</v>
      </c>
      <c r="Y72" s="54">
        <v>13972.219738</v>
      </c>
      <c r="Z72">
        <v>0</v>
      </c>
      <c r="AB72" s="3" t="s">
        <v>259</v>
      </c>
      <c r="AC72" s="32">
        <v>0</v>
      </c>
      <c r="AD72" s="32">
        <v>5968</v>
      </c>
      <c r="AS72" t="str">
        <f>IF(Summary_Exchange_Balances_00UTC!$B72="","","'"&amp;C72&amp;"',")</f>
        <v>'USD',</v>
      </c>
      <c r="AT72">
        <f>IF(Summary_Exchange_Balances_00UTC!$B72="","",IF(ISERROR(HLOOKUP($C72,$AW$1:$LL$2,2,FALSE)),Summary_Exchange_Balances_00UTC!$Q72,IF(OR(HLOOKUP($C72,$AW$1:$LL$2,2,FALSE)="",HLOOKUP($C72,$AW$1:$LL$2,2,FALSE)="null"),Summary_Exchange_Balances_00UTC!$Q72,HLOOKUP($C72,$AW$1:$LL$2,2,FALSE))))</f>
        <v>1</v>
      </c>
    </row>
    <row r="73" spans="1:46" x14ac:dyDescent="0.25">
      <c r="A73" t="str">
        <f>IF(Summary_Exchange_Balances_00UTC!$B73="","",Summary_Exchange_Balances_00UTC!$N73)</f>
        <v>BULL</v>
      </c>
      <c r="B73" t="str">
        <f>IF(Summary_Exchange_Balances_00UTC!$B73="","",Summary_Exchange_Balances_00UTC!$B73)</f>
        <v>BULL-3-M-E</v>
      </c>
      <c r="C73" t="str">
        <f>IF(Summary_Exchange_Balances_00UTC!$B73="","",Summary_Exchange_Balances_00UTC!$E73)</f>
        <v>ETH</v>
      </c>
      <c r="D73" t="str">
        <f>IF(OR(Summary_Exchange_Balances_00UTC!$B73="",Summary_Exchange_Balances_00UTC!$D73=""),"",Summary_Exchange_Balances_00UTC!$D73)</f>
        <v/>
      </c>
      <c r="E73" s="54">
        <f>IF(Summary_Exchange_Balances_00UTC!$B73="","",Summary_Exchange_Balances_00UTC!$C73)</f>
        <v>15355.680843669999</v>
      </c>
      <c r="F73" s="53">
        <f>IF(Summary_Exchange_Balances_00UTC!$B73="","",VLOOKUP(UPPER($A73&amp;$C73),$L:$T,7,FALSE))</f>
        <v>764.07724300999996</v>
      </c>
      <c r="G73" s="53">
        <f>IF(Summary_Exchange_Balances_00UTC!$B73="","",VLOOKUP(IF(ISERROR(SEARCH(" ", $B73)),UPPER($B73&amp;$C73&amp;$D73),UPPER(LEFT($B73, SEARCH(" ",$B73)-1)&amp;$C73&amp;$D73)),$M:$T,6,FALSE))</f>
        <v>18815.134038569999</v>
      </c>
      <c r="H73">
        <f>IF(Summary_Exchange_Balances_00UTC!$B73="","",IF(ISERROR($G73),$E73,$G73))</f>
        <v>18815.134038569999</v>
      </c>
      <c r="I73" s="36">
        <f t="shared" si="3"/>
        <v>0.22528816729907963</v>
      </c>
      <c r="L73" t="str">
        <f t="shared" si="4"/>
        <v>BTFXUST</v>
      </c>
      <c r="M73" t="str">
        <f t="shared" si="5"/>
        <v>BTFX-1-M-EUST</v>
      </c>
      <c r="N73" t="s">
        <v>99</v>
      </c>
      <c r="O73" t="s">
        <v>220</v>
      </c>
      <c r="P73" t="s">
        <v>96</v>
      </c>
      <c r="R73" s="43">
        <v>29.9885932</v>
      </c>
      <c r="S73" t="s">
        <v>510</v>
      </c>
      <c r="T73">
        <v>1</v>
      </c>
      <c r="W73" t="s">
        <v>301</v>
      </c>
      <c r="X73" t="s">
        <v>308</v>
      </c>
      <c r="Y73" s="54">
        <v>7000</v>
      </c>
      <c r="Z73">
        <v>0</v>
      </c>
      <c r="AB73" s="3" t="s">
        <v>92</v>
      </c>
      <c r="AC73" s="32">
        <v>2608598.9318831502</v>
      </c>
      <c r="AD73" s="32">
        <v>2608903.748189589</v>
      </c>
      <c r="AS73" t="str">
        <f>IF(Summary_Exchange_Balances_00UTC!$B73="","","'"&amp;C73&amp;"',")</f>
        <v>'ETH',</v>
      </c>
      <c r="AT73">
        <f>IF(Summary_Exchange_Balances_00UTC!$B73="","",IF(ISERROR(HLOOKUP($C73,$AW$1:$LL$2,2,FALSE)),Summary_Exchange_Balances_00UTC!$Q73,IF(OR(HLOOKUP($C73,$AW$1:$LL$2,2,FALSE)="",HLOOKUP($C73,$AW$1:$LL$2,2,FALSE)="null"),Summary_Exchange_Balances_00UTC!$Q73,HLOOKUP($C73,$AW$1:$LL$2,2,FALSE))))</f>
        <v>1208.73</v>
      </c>
    </row>
    <row r="74" spans="1:46" x14ac:dyDescent="0.25">
      <c r="A74" t="str">
        <f>IF(Summary_Exchange_Balances_00UTC!$B74="","",Summary_Exchange_Balances_00UTC!$N74)</f>
        <v>BULL</v>
      </c>
      <c r="B74" t="str">
        <f>IF(Summary_Exchange_Balances_00UTC!$B74="","",Summary_Exchange_Balances_00UTC!$B74)</f>
        <v>BULL-3-M-E</v>
      </c>
      <c r="C74" t="str">
        <f>IF(Summary_Exchange_Balances_00UTC!$B74="","",Summary_Exchange_Balances_00UTC!$E74)</f>
        <v>USD</v>
      </c>
      <c r="D74" t="str">
        <f>IF(OR(Summary_Exchange_Balances_00UTC!$B74="",Summary_Exchange_Balances_00UTC!$D74=""),"",Summary_Exchange_Balances_00UTC!$D74)</f>
        <v/>
      </c>
      <c r="E74" s="54">
        <f>IF(Summary_Exchange_Balances_00UTC!$B74="","",Summary_Exchange_Balances_00UTC!$C74)</f>
        <v>10179492.812899999</v>
      </c>
      <c r="F74" s="53">
        <f>IF(Summary_Exchange_Balances_00UTC!$B74="","",VLOOKUP(UPPER($A74&amp;$C74),$L:$T,7,FALSE))</f>
        <v>5764124.4515000004</v>
      </c>
      <c r="G74" s="53">
        <f>IF(Summary_Exchange_Balances_00UTC!$B74="","",VLOOKUP(IF(ISERROR(SEARCH(" ", $B74)),UPPER($B74&amp;$C74&amp;$D74),UPPER(LEFT($B74, SEARCH(" ",$B74)-1)&amp;$C74&amp;$D74)),$M:$T,6,FALSE))</f>
        <v>5764124.4515000004</v>
      </c>
      <c r="H74">
        <f>IF(Summary_Exchange_Balances_00UTC!$B74="","",IF(ISERROR($G74),$E74,$G74))</f>
        <v>5764124.4515000004</v>
      </c>
      <c r="I74" s="36">
        <f t="shared" si="3"/>
        <v>-0.43375131183398519</v>
      </c>
      <c r="L74" t="str">
        <f t="shared" si="4"/>
        <v>BTFXUSTF0</v>
      </c>
      <c r="M74" t="str">
        <f t="shared" si="5"/>
        <v>BTFX-1-M-EUSTF0</v>
      </c>
      <c r="N74" t="s">
        <v>333</v>
      </c>
      <c r="O74" t="s">
        <v>220</v>
      </c>
      <c r="P74" t="s">
        <v>96</v>
      </c>
      <c r="R74" s="43">
        <v>30</v>
      </c>
      <c r="S74" t="s">
        <v>510</v>
      </c>
      <c r="T74">
        <v>1</v>
      </c>
      <c r="W74" t="s">
        <v>301</v>
      </c>
      <c r="X74" t="s">
        <v>324</v>
      </c>
      <c r="Y74" s="54">
        <v>7000</v>
      </c>
      <c r="Z74">
        <v>0</v>
      </c>
      <c r="AB74" s="3" t="s">
        <v>155</v>
      </c>
      <c r="AC74" s="32">
        <v>3.0962099999999998E-3</v>
      </c>
      <c r="AD74" s="32">
        <v>3.0962099999999998E-3</v>
      </c>
      <c r="AS74" t="str">
        <f>IF(Summary_Exchange_Balances_00UTC!$B74="","","'"&amp;C74&amp;"',")</f>
        <v>'USD',</v>
      </c>
      <c r="AT74">
        <f>IF(Summary_Exchange_Balances_00UTC!$B74="","",IF(ISERROR(HLOOKUP($C74,$AW$1:$LL$2,2,FALSE)),Summary_Exchange_Balances_00UTC!$Q74,IF(OR(HLOOKUP($C74,$AW$1:$LL$2,2,FALSE)="",HLOOKUP($C74,$AW$1:$LL$2,2,FALSE)="null"),Summary_Exchange_Balances_00UTC!$Q74,HLOOKUP($C74,$AW$1:$LL$2,2,FALSE))))</f>
        <v>1</v>
      </c>
    </row>
    <row r="75" spans="1:46" x14ac:dyDescent="0.25">
      <c r="A75" t="str">
        <f>IF(Summary_Exchange_Balances_00UTC!$B75="","",Summary_Exchange_Balances_00UTC!$N75)</f>
        <v>BULL</v>
      </c>
      <c r="B75" t="str">
        <f>IF(Summary_Exchange_Balances_00UTC!$B75="","",Summary_Exchange_Balances_00UTC!$B75)</f>
        <v>BULL-4-M-E</v>
      </c>
      <c r="C75" t="str">
        <f>IF(Summary_Exchange_Balances_00UTC!$B75="","",Summary_Exchange_Balances_00UTC!$E75)</f>
        <v>BTC</v>
      </c>
      <c r="D75" t="str">
        <f>IF(OR(Summary_Exchange_Balances_00UTC!$B75="",Summary_Exchange_Balances_00UTC!$D75=""),"",Summary_Exchange_Balances_00UTC!$D75)</f>
        <v/>
      </c>
      <c r="E75" s="54">
        <f>IF(Summary_Exchange_Balances_00UTC!$B75="","",Summary_Exchange_Balances_00UTC!$C75)</f>
        <v>65.807786899999996</v>
      </c>
      <c r="F75" s="53">
        <f>IF(Summary_Exchange_Balances_00UTC!$B75="","",VLOOKUP(UPPER($A75&amp;$C75),$L:$T,7,FALSE))</f>
        <v>4667.5576719600003</v>
      </c>
      <c r="G75" s="53">
        <f>IF(Summary_Exchange_Balances_00UTC!$B75="","",VLOOKUP(IF(ISERROR(SEARCH(" ", $B75)),UPPER($B75&amp;$C75&amp;$D75),UPPER(LEFT($B75, SEARCH(" ",$B75)-1)&amp;$C75&amp;$D75)),$M:$T,6,FALSE))</f>
        <v>89.528266250000001</v>
      </c>
      <c r="H75">
        <f>IF(Summary_Exchange_Balances_00UTC!$B75="","",IF(ISERROR($G75),$E75,$G75))</f>
        <v>89.528266250000001</v>
      </c>
      <c r="I75" s="36">
        <f t="shared" si="3"/>
        <v>0.36045095067617305</v>
      </c>
      <c r="L75" t="str">
        <f t="shared" si="4"/>
        <v>BTSEBCH</v>
      </c>
      <c r="M75" t="str">
        <f t="shared" si="5"/>
        <v>BTSEBCH</v>
      </c>
      <c r="N75" t="s">
        <v>21</v>
      </c>
      <c r="O75" t="s">
        <v>100</v>
      </c>
      <c r="P75" t="s">
        <v>100</v>
      </c>
      <c r="R75" s="43">
        <v>0.21932823000000001</v>
      </c>
      <c r="S75" t="s">
        <v>511</v>
      </c>
      <c r="T75">
        <v>1</v>
      </c>
      <c r="W75" t="s">
        <v>301</v>
      </c>
      <c r="X75" t="s">
        <v>119</v>
      </c>
      <c r="Y75" s="54">
        <v>150</v>
      </c>
      <c r="Z75">
        <v>0</v>
      </c>
      <c r="AB75" s="3" t="s">
        <v>156</v>
      </c>
      <c r="AC75" s="32">
        <v>2.6598900000000002E-2</v>
      </c>
      <c r="AD75" s="32">
        <v>2.6598900000000002E-2</v>
      </c>
      <c r="AS75" t="str">
        <f>IF(Summary_Exchange_Balances_00UTC!$B75="","","'"&amp;C75&amp;"',")</f>
        <v>'BTC',</v>
      </c>
      <c r="AT75">
        <f>IF(Summary_Exchange_Balances_00UTC!$B75="","",IF(ISERROR(HLOOKUP($C75,$AW$1:$LL$2,2,FALSE)),Summary_Exchange_Balances_00UTC!$Q75,IF(OR(HLOOKUP($C75,$AW$1:$LL$2,2,FALSE)="",HLOOKUP($C75,$AW$1:$LL$2,2,FALSE)="null"),Summary_Exchange_Balances_00UTC!$Q75,HLOOKUP($C75,$AW$1:$LL$2,2,FALSE))))</f>
        <v>16719.740000000002</v>
      </c>
    </row>
    <row r="76" spans="1:46" x14ac:dyDescent="0.25">
      <c r="A76" t="str">
        <f>IF(Summary_Exchange_Balances_00UTC!$B76="","",Summary_Exchange_Balances_00UTC!$N76)</f>
        <v>BULL</v>
      </c>
      <c r="B76" t="str">
        <f>IF(Summary_Exchange_Balances_00UTC!$B76="","",Summary_Exchange_Balances_00UTC!$B76)</f>
        <v>BULL-4-M-E</v>
      </c>
      <c r="C76" t="str">
        <f>IF(Summary_Exchange_Balances_00UTC!$B76="","",Summary_Exchange_Balances_00UTC!$E76)</f>
        <v>ETH</v>
      </c>
      <c r="D76" t="str">
        <f>IF(OR(Summary_Exchange_Balances_00UTC!$B76="",Summary_Exchange_Balances_00UTC!$D76=""),"",Summary_Exchange_Balances_00UTC!$D76)</f>
        <v/>
      </c>
      <c r="E76" s="54">
        <f>IF(Summary_Exchange_Balances_00UTC!$B76="","",Summary_Exchange_Balances_00UTC!$C76)</f>
        <v>1094.7835571000001</v>
      </c>
      <c r="F76" s="53">
        <f>IF(Summary_Exchange_Balances_00UTC!$B76="","",VLOOKUP(UPPER($A76&amp;$C76),$L:$T,7,FALSE))</f>
        <v>764.07724300999996</v>
      </c>
      <c r="G76" s="53">
        <f>IF(Summary_Exchange_Balances_00UTC!$B76="","",VLOOKUP(IF(ISERROR(SEARCH(" ", $B76)),UPPER($B76&amp;$C76&amp;$D76),UPPER(LEFT($B76, SEARCH(" ",$B76)-1)&amp;$C76&amp;$D76)),$M:$T,6,FALSE))</f>
        <v>764.07724300999996</v>
      </c>
      <c r="H76">
        <f>IF(Summary_Exchange_Balances_00UTC!$B76="","",IF(ISERROR($G76),$E76,$G76))</f>
        <v>764.07724300999996</v>
      </c>
      <c r="I76" s="36">
        <f t="shared" si="3"/>
        <v>-0.30207460821389798</v>
      </c>
      <c r="L76" t="str">
        <f t="shared" si="4"/>
        <v>BTSEBTC</v>
      </c>
      <c r="M76" t="str">
        <f t="shared" si="5"/>
        <v>BTSEBTC</v>
      </c>
      <c r="N76" t="s">
        <v>15</v>
      </c>
      <c r="O76" t="s">
        <v>100</v>
      </c>
      <c r="P76" t="s">
        <v>100</v>
      </c>
      <c r="R76" s="43">
        <v>5.7861299999999997E-2</v>
      </c>
      <c r="S76" t="s">
        <v>512</v>
      </c>
      <c r="T76">
        <v>1</v>
      </c>
      <c r="W76" t="s">
        <v>301</v>
      </c>
      <c r="X76" t="s">
        <v>16</v>
      </c>
      <c r="Y76" s="54">
        <v>50.996764159999998</v>
      </c>
      <c r="Z76">
        <v>0</v>
      </c>
      <c r="AB76" s="3" t="s">
        <v>298</v>
      </c>
      <c r="AC76" s="32">
        <v>9.5929999999999998E-5</v>
      </c>
      <c r="AD76" s="32">
        <v>0</v>
      </c>
      <c r="AS76" t="str">
        <f>IF(Summary_Exchange_Balances_00UTC!$B76="","","'"&amp;C76&amp;"',")</f>
        <v>'ETH',</v>
      </c>
      <c r="AT76">
        <f>IF(Summary_Exchange_Balances_00UTC!$B76="","",IF(ISERROR(HLOOKUP($C76,$AW$1:$LL$2,2,FALSE)),Summary_Exchange_Balances_00UTC!$Q76,IF(OR(HLOOKUP($C76,$AW$1:$LL$2,2,FALSE)="",HLOOKUP($C76,$AW$1:$LL$2,2,FALSE)="null"),Summary_Exchange_Balances_00UTC!$Q76,HLOOKUP($C76,$AW$1:$LL$2,2,FALSE))))</f>
        <v>1208.73</v>
      </c>
    </row>
    <row r="77" spans="1:46" x14ac:dyDescent="0.25">
      <c r="A77" t="str">
        <f>IF(Summary_Exchange_Balances_00UTC!$B77="","",Summary_Exchange_Balances_00UTC!$N77)</f>
        <v>DEFI</v>
      </c>
      <c r="B77" t="str">
        <f>IF(Summary_Exchange_Balances_00UTC!$B77="","",Summary_Exchange_Balances_00UTC!$B77)</f>
        <v>DEFI-STRAT-1</v>
      </c>
      <c r="C77" t="str">
        <f>IF(Summary_Exchange_Balances_00UTC!$B77="","",Summary_Exchange_Balances_00UTC!$E77)</f>
        <v>CRV</v>
      </c>
      <c r="D77" t="str">
        <f>IF(OR(Summary_Exchange_Balances_00UTC!$B77="",Summary_Exchange_Balances_00UTC!$D77=""),"",Summary_Exchange_Balances_00UTC!$D77)</f>
        <v>reward_token</v>
      </c>
      <c r="E77" s="54">
        <f>IF(Summary_Exchange_Balances_00UTC!$B77="","",Summary_Exchange_Balances_00UTC!$C77)</f>
        <v>0.26739257999999999</v>
      </c>
      <c r="F77" s="53" t="e">
        <f>IF(Summary_Exchange_Balances_00UTC!$B77="","",VLOOKUP(UPPER($A77&amp;$C77),$L:$T,7,FALSE))</f>
        <v>#N/A</v>
      </c>
      <c r="G77" s="53" t="e">
        <f>IF(Summary_Exchange_Balances_00UTC!$B77="","",VLOOKUP(IF(ISERROR(SEARCH(" ", $B77)),UPPER($B77&amp;$C77&amp;$D77),UPPER(LEFT($B77, SEARCH(" ",$B77)-1)&amp;$C77&amp;$D77)),$M:$T,6,FALSE))</f>
        <v>#N/A</v>
      </c>
      <c r="H77">
        <f>IF(Summary_Exchange_Balances_00UTC!$B77="","",IF(ISERROR($G77),$E77,$G77))</f>
        <v>0.26739257999999999</v>
      </c>
      <c r="I77" s="36" t="e">
        <f t="shared" si="3"/>
        <v>#N/A</v>
      </c>
      <c r="L77" t="str">
        <f t="shared" si="4"/>
        <v>BTSEETH</v>
      </c>
      <c r="M77" t="str">
        <f t="shared" si="5"/>
        <v>BTSEETH</v>
      </c>
      <c r="N77" t="s">
        <v>16</v>
      </c>
      <c r="O77" t="s">
        <v>100</v>
      </c>
      <c r="P77" t="s">
        <v>100</v>
      </c>
      <c r="R77" s="43">
        <v>0.73541904000000002</v>
      </c>
      <c r="S77" t="s">
        <v>513</v>
      </c>
      <c r="T77">
        <v>1</v>
      </c>
      <c r="W77" t="s">
        <v>301</v>
      </c>
      <c r="X77" t="s">
        <v>309</v>
      </c>
      <c r="Y77" s="54">
        <v>5625.02729593</v>
      </c>
      <c r="Z77">
        <v>0</v>
      </c>
      <c r="AB77" s="3" t="s">
        <v>101</v>
      </c>
      <c r="AC77" s="32">
        <v>1236499.8774543798</v>
      </c>
      <c r="AD77" s="32">
        <v>1236499.8774543798</v>
      </c>
      <c r="AS77" t="str">
        <f>IF(Summary_Exchange_Balances_00UTC!$B77="","","'"&amp;C77&amp;"',")</f>
        <v>'CRV',</v>
      </c>
      <c r="AT77">
        <f>IF(Summary_Exchange_Balances_00UTC!$B77="","",IF(ISERROR(HLOOKUP($C77,$AW$1:$LL$2,2,FALSE)),Summary_Exchange_Balances_00UTC!$Q77,IF(OR(HLOOKUP($C77,$AW$1:$LL$2,2,FALSE)="",HLOOKUP($C77,$AW$1:$LL$2,2,FALSE)="null"),Summary_Exchange_Balances_00UTC!$Q77,HLOOKUP($C77,$AW$1:$LL$2,2,FALSE))))</f>
        <v>0.55510000000000004</v>
      </c>
    </row>
    <row r="78" spans="1:46" x14ac:dyDescent="0.25">
      <c r="A78" t="str">
        <f>IF(Summary_Exchange_Balances_00UTC!$B78="","",Summary_Exchange_Balances_00UTC!$N78)</f>
        <v>DEFI</v>
      </c>
      <c r="B78" t="str">
        <f>IF(Summary_Exchange_Balances_00UTC!$B78="","",Summary_Exchange_Balances_00UTC!$B78)</f>
        <v>DEFI-STRAT-1</v>
      </c>
      <c r="C78" t="str">
        <f>IF(Summary_Exchange_Balances_00UTC!$B78="","",Summary_Exchange_Balances_00UTC!$E78)</f>
        <v>CRV</v>
      </c>
      <c r="D78" t="str">
        <f>IF(OR(Summary_Exchange_Balances_00UTC!$B78="",Summary_Exchange_Balances_00UTC!$D78=""),"",Summary_Exchange_Balances_00UTC!$D78)</f>
        <v>wallet</v>
      </c>
      <c r="E78" s="54">
        <f>IF(Summary_Exchange_Balances_00UTC!$B78="","",Summary_Exchange_Balances_00UTC!$C78)</f>
        <v>9.7777784299999997</v>
      </c>
      <c r="F78" s="53" t="e">
        <f>IF(Summary_Exchange_Balances_00UTC!$B78="","",VLOOKUP(UPPER($A78&amp;$C78),$L:$T,7,FALSE))</f>
        <v>#N/A</v>
      </c>
      <c r="G78" s="53" t="e">
        <f>IF(Summary_Exchange_Balances_00UTC!$B78="","",VLOOKUP(IF(ISERROR(SEARCH(" ", $B78)),UPPER($B78&amp;$C78&amp;$D78),UPPER(LEFT($B78, SEARCH(" ",$B78)-1)&amp;$C78&amp;$D78)),$M:$T,6,FALSE))</f>
        <v>#N/A</v>
      </c>
      <c r="H78">
        <f>IF(Summary_Exchange_Balances_00UTC!$B78="","",IF(ISERROR($G78),$E78,$G78))</f>
        <v>9.7777784299999997</v>
      </c>
      <c r="I78" s="36" t="e">
        <f t="shared" si="3"/>
        <v>#N/A</v>
      </c>
      <c r="L78" t="str">
        <f t="shared" si="4"/>
        <v>BTSELTC</v>
      </c>
      <c r="M78" t="str">
        <f t="shared" si="5"/>
        <v>BTSELTC</v>
      </c>
      <c r="N78" t="s">
        <v>25</v>
      </c>
      <c r="O78" t="s">
        <v>100</v>
      </c>
      <c r="P78" t="s">
        <v>100</v>
      </c>
      <c r="R78" s="43">
        <v>15.892145019999999</v>
      </c>
      <c r="S78" t="s">
        <v>419</v>
      </c>
      <c r="T78">
        <v>1</v>
      </c>
      <c r="W78" t="s">
        <v>301</v>
      </c>
      <c r="X78" t="s">
        <v>310</v>
      </c>
      <c r="Y78" s="54">
        <v>5968</v>
      </c>
      <c r="Z78">
        <v>0</v>
      </c>
      <c r="AB78" s="3" t="s">
        <v>184</v>
      </c>
      <c r="AC78" s="32">
        <v>3189967.2936231201</v>
      </c>
      <c r="AD78" s="32">
        <v>0</v>
      </c>
      <c r="AS78" t="str">
        <f>IF(Summary_Exchange_Balances_00UTC!$B78="","","'"&amp;C78&amp;"',")</f>
        <v>'CRV',</v>
      </c>
      <c r="AT78">
        <f>IF(Summary_Exchange_Balances_00UTC!$B78="","",IF(ISERROR(HLOOKUP($C78,$AW$1:$LL$2,2,FALSE)),Summary_Exchange_Balances_00UTC!$Q78,IF(OR(HLOOKUP($C78,$AW$1:$LL$2,2,FALSE)="",HLOOKUP($C78,$AW$1:$LL$2,2,FALSE)="null"),Summary_Exchange_Balances_00UTC!$Q78,HLOOKUP($C78,$AW$1:$LL$2,2,FALSE))))</f>
        <v>0.55510000000000004</v>
      </c>
    </row>
    <row r="79" spans="1:46" x14ac:dyDescent="0.25">
      <c r="A79" t="str">
        <f>IF(Summary_Exchange_Balances_00UTC!$B79="","",Summary_Exchange_Balances_00UTC!$N79)</f>
        <v>DEFI</v>
      </c>
      <c r="B79" t="str">
        <f>IF(Summary_Exchange_Balances_00UTC!$B79="","",Summary_Exchange_Balances_00UTC!$B79)</f>
        <v>DEFI-STRAT-1</v>
      </c>
      <c r="C79" t="str">
        <f>IF(Summary_Exchange_Balances_00UTC!$B79="","",Summary_Exchange_Balances_00UTC!$E79)</f>
        <v>CVX</v>
      </c>
      <c r="D79" t="str">
        <f>IF(OR(Summary_Exchange_Balances_00UTC!$B79="",Summary_Exchange_Balances_00UTC!$D79=""),"",Summary_Exchange_Balances_00UTC!$D79)</f>
        <v>reward_token</v>
      </c>
      <c r="E79" s="54">
        <f>IF(Summary_Exchange_Balances_00UTC!$B79="","",Summary_Exchange_Balances_00UTC!$C79)</f>
        <v>2.9103980000000002E-2</v>
      </c>
      <c r="F79" s="53" t="e">
        <f>IF(Summary_Exchange_Balances_00UTC!$B79="","",VLOOKUP(UPPER($A79&amp;$C79),$L:$T,7,FALSE))</f>
        <v>#N/A</v>
      </c>
      <c r="G79" s="53" t="e">
        <f>IF(Summary_Exchange_Balances_00UTC!$B79="","",VLOOKUP(IF(ISERROR(SEARCH(" ", $B79)),UPPER($B79&amp;$C79&amp;$D79),UPPER(LEFT($B79, SEARCH(" ",$B79)-1)&amp;$C79&amp;$D79)),$M:$T,6,FALSE))</f>
        <v>#N/A</v>
      </c>
      <c r="H79">
        <f>IF(Summary_Exchange_Balances_00UTC!$B79="","",IF(ISERROR($G79),$E79,$G79))</f>
        <v>2.9103980000000002E-2</v>
      </c>
      <c r="I79" s="36" t="e">
        <f t="shared" si="3"/>
        <v>#N/A</v>
      </c>
      <c r="L79" t="str">
        <f t="shared" si="4"/>
        <v>BTSESGB</v>
      </c>
      <c r="M79" t="str">
        <f t="shared" si="5"/>
        <v>BTSESGB</v>
      </c>
      <c r="N79" t="s">
        <v>101</v>
      </c>
      <c r="O79" t="s">
        <v>100</v>
      </c>
      <c r="P79" t="s">
        <v>100</v>
      </c>
      <c r="R79" s="43">
        <v>22277.5319929</v>
      </c>
      <c r="S79" t="s">
        <v>514</v>
      </c>
      <c r="T79">
        <v>1</v>
      </c>
      <c r="W79" t="s">
        <v>301</v>
      </c>
      <c r="X79" t="s">
        <v>95</v>
      </c>
      <c r="Y79" s="54">
        <v>60000</v>
      </c>
      <c r="Z79">
        <v>0</v>
      </c>
      <c r="AB79" s="3" t="s">
        <v>38</v>
      </c>
      <c r="AC79" s="32">
        <v>-11237055278.027714</v>
      </c>
      <c r="AD79" s="32">
        <v>-11237032208.001568</v>
      </c>
      <c r="AS79" t="str">
        <f>IF(Summary_Exchange_Balances_00UTC!$B79="","","'"&amp;C79&amp;"',")</f>
        <v>'CVX',</v>
      </c>
      <c r="AT79">
        <f>IF(Summary_Exchange_Balances_00UTC!$B79="","",IF(ISERROR(HLOOKUP($C79,$AW$1:$LL$2,2,FALSE)),Summary_Exchange_Balances_00UTC!$Q79,IF(OR(HLOOKUP($C79,$AW$1:$LL$2,2,FALSE)="",HLOOKUP($C79,$AW$1:$LL$2,2,FALSE)="null"),Summary_Exchange_Balances_00UTC!$Q79,HLOOKUP($C79,$AW$1:$LL$2,2,FALSE))))</f>
        <v>3.9590679999999998</v>
      </c>
    </row>
    <row r="80" spans="1:46" x14ac:dyDescent="0.25">
      <c r="A80" t="str">
        <f>IF(Summary_Exchange_Balances_00UTC!$B80="","",Summary_Exchange_Balances_00UTC!$N80)</f>
        <v>DEFI</v>
      </c>
      <c r="B80" t="str">
        <f>IF(Summary_Exchange_Balances_00UTC!$B80="","",Summary_Exchange_Balances_00UTC!$B80)</f>
        <v>DEFI-STRAT-1</v>
      </c>
      <c r="C80" t="str">
        <f>IF(Summary_Exchange_Balances_00UTC!$B80="","",Summary_Exchange_Balances_00UTC!$E80)</f>
        <v>ETH</v>
      </c>
      <c r="D80" t="str">
        <f>IF(OR(Summary_Exchange_Balances_00UTC!$B80="",Summary_Exchange_Balances_00UTC!$D80=""),"",Summary_Exchange_Balances_00UTC!$D80)</f>
        <v>wallet</v>
      </c>
      <c r="E80" s="54">
        <f>IF(Summary_Exchange_Balances_00UTC!$B80="","",Summary_Exchange_Balances_00UTC!$C80)</f>
        <v>3.67060545</v>
      </c>
      <c r="F80" s="53" t="e">
        <f>IF(Summary_Exchange_Balances_00UTC!$B80="","",VLOOKUP(UPPER($A80&amp;$C80),$L:$T,7,FALSE))</f>
        <v>#N/A</v>
      </c>
      <c r="G80" s="53" t="e">
        <f>IF(Summary_Exchange_Balances_00UTC!$B80="","",VLOOKUP(IF(ISERROR(SEARCH(" ", $B80)),UPPER($B80&amp;$C80&amp;$D80),UPPER(LEFT($B80, SEARCH(" ",$B80)-1)&amp;$C80&amp;$D80)),$M:$T,6,FALSE))</f>
        <v>#N/A</v>
      </c>
      <c r="H80">
        <f>IF(Summary_Exchange_Balances_00UTC!$B80="","",IF(ISERROR($G80),$E80,$G80))</f>
        <v>3.67060545</v>
      </c>
      <c r="I80" s="36" t="e">
        <f t="shared" si="3"/>
        <v>#N/A</v>
      </c>
      <c r="L80" t="str">
        <f t="shared" si="4"/>
        <v>BTSEUSD</v>
      </c>
      <c r="M80" t="str">
        <f t="shared" si="5"/>
        <v>BTSEUSD</v>
      </c>
      <c r="N80" t="s">
        <v>98</v>
      </c>
      <c r="O80" t="s">
        <v>100</v>
      </c>
      <c r="P80" t="s">
        <v>100</v>
      </c>
      <c r="R80" s="43">
        <v>114736.84</v>
      </c>
      <c r="S80" t="s">
        <v>515</v>
      </c>
      <c r="T80">
        <v>1</v>
      </c>
      <c r="W80" t="s">
        <v>301</v>
      </c>
      <c r="X80" t="s">
        <v>260</v>
      </c>
      <c r="Y80" s="54">
        <v>47.937388089999999</v>
      </c>
      <c r="Z80">
        <v>0</v>
      </c>
      <c r="AB80" s="3" t="s">
        <v>157</v>
      </c>
      <c r="AC80" s="32">
        <v>0.26090255999999812</v>
      </c>
      <c r="AD80" s="32">
        <v>0.26090255999999712</v>
      </c>
      <c r="AS80" t="str">
        <f>IF(Summary_Exchange_Balances_00UTC!$B80="","","'"&amp;C80&amp;"',")</f>
        <v>'ETH',</v>
      </c>
      <c r="AT80">
        <f>IF(Summary_Exchange_Balances_00UTC!$B80="","",IF(ISERROR(HLOOKUP($C80,$AW$1:$LL$2,2,FALSE)),Summary_Exchange_Balances_00UTC!$Q80,IF(OR(HLOOKUP($C80,$AW$1:$LL$2,2,FALSE)="",HLOOKUP($C80,$AW$1:$LL$2,2,FALSE)="null"),Summary_Exchange_Balances_00UTC!$Q80,HLOOKUP($C80,$AW$1:$LL$2,2,FALSE))))</f>
        <v>1208.73</v>
      </c>
    </row>
    <row r="81" spans="1:46" x14ac:dyDescent="0.25">
      <c r="A81" t="str">
        <f>IF(Summary_Exchange_Balances_00UTC!$B81="","",Summary_Exchange_Balances_00UTC!$N81)</f>
        <v>DEFI</v>
      </c>
      <c r="B81" t="str">
        <f>IF(Summary_Exchange_Balances_00UTC!$B81="","",Summary_Exchange_Balances_00UTC!$B81)</f>
        <v>DEFI-STRAT-1</v>
      </c>
      <c r="C81" t="str">
        <f>IF(Summary_Exchange_Balances_00UTC!$B81="","",Summary_Exchange_Balances_00UTC!$E81)</f>
        <v>USDC</v>
      </c>
      <c r="D81" t="str">
        <f>IF(OR(Summary_Exchange_Balances_00UTC!$B81="",Summary_Exchange_Balances_00UTC!$D81=""),"",Summary_Exchange_Balances_00UTC!$D81)</f>
        <v>wallet</v>
      </c>
      <c r="E81" s="54">
        <f>IF(Summary_Exchange_Balances_00UTC!$B81="","",Summary_Exchange_Balances_00UTC!$C81)</f>
        <v>13972.219738</v>
      </c>
      <c r="F81" s="53" t="e">
        <f>IF(Summary_Exchange_Balances_00UTC!$B81="","",VLOOKUP(UPPER($A81&amp;$C81),$L:$T,7,FALSE))</f>
        <v>#N/A</v>
      </c>
      <c r="G81" s="53" t="e">
        <f>IF(Summary_Exchange_Balances_00UTC!$B81="","",VLOOKUP(IF(ISERROR(SEARCH(" ", $B81)),UPPER($B81&amp;$C81&amp;$D81),UPPER(LEFT($B81, SEARCH(" ",$B81)-1)&amp;$C81&amp;$D81)),$M:$T,6,FALSE))</f>
        <v>#N/A</v>
      </c>
      <c r="H81">
        <f>IF(Summary_Exchange_Balances_00UTC!$B81="","",IF(ISERROR($G81),$E81,$G81))</f>
        <v>13972.219738</v>
      </c>
      <c r="I81" s="36" t="e">
        <f t="shared" si="3"/>
        <v>#N/A</v>
      </c>
      <c r="L81" t="str">
        <f t="shared" si="4"/>
        <v>BTSEXRP</v>
      </c>
      <c r="M81" t="str">
        <f t="shared" si="5"/>
        <v>BTSEXRP</v>
      </c>
      <c r="N81" t="s">
        <v>102</v>
      </c>
      <c r="O81" t="s">
        <v>100</v>
      </c>
      <c r="P81" t="s">
        <v>100</v>
      </c>
      <c r="R81" s="43">
        <v>116647.68407285</v>
      </c>
      <c r="S81" t="s">
        <v>516</v>
      </c>
      <c r="T81">
        <v>1</v>
      </c>
      <c r="W81" t="s">
        <v>301</v>
      </c>
      <c r="X81" t="s">
        <v>16</v>
      </c>
      <c r="Y81" s="54">
        <v>0.57950425000000005</v>
      </c>
      <c r="Z81">
        <v>0</v>
      </c>
      <c r="AB81" s="3" t="s">
        <v>158</v>
      </c>
      <c r="AC81" s="32">
        <v>38753.774400000002</v>
      </c>
      <c r="AD81" s="32">
        <v>38753.774400000002</v>
      </c>
      <c r="AS81" t="str">
        <f>IF(Summary_Exchange_Balances_00UTC!$B81="","","'"&amp;C81&amp;"',")</f>
        <v>'USDC',</v>
      </c>
      <c r="AT81">
        <f>IF(Summary_Exchange_Balances_00UTC!$B81="","",IF(ISERROR(HLOOKUP($C81,$AW$1:$LL$2,2,FALSE)),Summary_Exchange_Balances_00UTC!$Q81,IF(OR(HLOOKUP($C81,$AW$1:$LL$2,2,FALSE)="",HLOOKUP($C81,$AW$1:$LL$2,2,FALSE)="null"),Summary_Exchange_Balances_00UTC!$Q81,HLOOKUP($C81,$AW$1:$LL$2,2,FALSE))))</f>
        <v>0.99997952530442802</v>
      </c>
    </row>
    <row r="82" spans="1:46" x14ac:dyDescent="0.25">
      <c r="A82" t="str">
        <f>IF(Summary_Exchange_Balances_00UTC!$B82="","",Summary_Exchange_Balances_00UTC!$N82)</f>
        <v>DEFI</v>
      </c>
      <c r="B82" t="str">
        <f>IF(Summary_Exchange_Balances_00UTC!$B82="","",Summary_Exchange_Balances_00UTC!$B82)</f>
        <v>DEFI-STRAT-2</v>
      </c>
      <c r="C82" t="str">
        <f>IF(Summary_Exchange_Balances_00UTC!$B82="","",Summary_Exchange_Balances_00UTC!$E82)</f>
        <v>$ USDCBONUS.COM &lt;- VISIT TO CLAIM BONUS</v>
      </c>
      <c r="D82" t="str">
        <f>IF(OR(Summary_Exchange_Balances_00UTC!$B82="",Summary_Exchange_Balances_00UTC!$D82=""),"",Summary_Exchange_Balances_00UTC!$D82)</f>
        <v>wallet</v>
      </c>
      <c r="E82" s="54">
        <f>IF(Summary_Exchange_Balances_00UTC!$B82="","",Summary_Exchange_Balances_00UTC!$C82)</f>
        <v>7000</v>
      </c>
      <c r="F82" s="53" t="e">
        <f>IF(Summary_Exchange_Balances_00UTC!$B82="","",VLOOKUP(UPPER($A82&amp;$C82),$L:$T,7,FALSE))</f>
        <v>#N/A</v>
      </c>
      <c r="G82" s="53" t="e">
        <f>IF(Summary_Exchange_Balances_00UTC!$B82="","",VLOOKUP(IF(ISERROR(SEARCH(" ", $B82)),UPPER($B82&amp;$C82&amp;$D82),UPPER(LEFT($B82, SEARCH(" ",$B82)-1)&amp;$C82&amp;$D82)),$M:$T,6,FALSE))</f>
        <v>#N/A</v>
      </c>
      <c r="H82">
        <f>IF(Summary_Exchange_Balances_00UTC!$B82="","",IF(ISERROR($G82),$E82,$G82))</f>
        <v>7000</v>
      </c>
      <c r="I82" s="36" t="e">
        <f t="shared" si="3"/>
        <v>#N/A</v>
      </c>
      <c r="L82" t="str">
        <f t="shared" si="4"/>
        <v>BULLBTC</v>
      </c>
      <c r="M82" t="str">
        <f t="shared" si="5"/>
        <v>BULL-1-M-EBTC</v>
      </c>
      <c r="N82" t="s">
        <v>15</v>
      </c>
      <c r="O82" t="s">
        <v>104</v>
      </c>
      <c r="P82" t="s">
        <v>103</v>
      </c>
      <c r="R82" s="43">
        <v>4667.5576719600003</v>
      </c>
      <c r="S82" t="s">
        <v>517</v>
      </c>
      <c r="T82">
        <v>1</v>
      </c>
      <c r="W82" t="s">
        <v>301</v>
      </c>
      <c r="X82" t="s">
        <v>95</v>
      </c>
      <c r="Y82" s="54">
        <v>1006533.600838</v>
      </c>
      <c r="Z82">
        <v>0</v>
      </c>
      <c r="AB82" s="3" t="s">
        <v>113</v>
      </c>
      <c r="AC82" s="32">
        <v>14232.599999999999</v>
      </c>
      <c r="AD82" s="32">
        <v>0</v>
      </c>
      <c r="AS82" t="str">
        <f>IF(Summary_Exchange_Balances_00UTC!$B82="","","'"&amp;C82&amp;"',")</f>
        <v>'$ USDCBONUS.COM &lt;- VISIT TO CLAIM BONUS',</v>
      </c>
      <c r="AT82">
        <f>IF(Summary_Exchange_Balances_00UTC!$B82="","",IF(ISERROR(HLOOKUP($C82,$AW$1:$LL$2,2,FALSE)),Summary_Exchange_Balances_00UTC!$Q82,IF(OR(HLOOKUP($C82,$AW$1:$LL$2,2,FALSE)="",HLOOKUP($C82,$AW$1:$LL$2,2,FALSE)="null"),Summary_Exchange_Balances_00UTC!$Q82,HLOOKUP($C82,$AW$1:$LL$2,2,FALSE))))</f>
        <v>0</v>
      </c>
    </row>
    <row r="83" spans="1:46" x14ac:dyDescent="0.25">
      <c r="A83" t="str">
        <f>IF(Summary_Exchange_Balances_00UTC!$B83="","",Summary_Exchange_Balances_00UTC!$N83)</f>
        <v>DEFI</v>
      </c>
      <c r="B83" t="str">
        <f>IF(Summary_Exchange_Balances_00UTC!$B83="","",Summary_Exchange_Balances_00UTC!$B83)</f>
        <v>DEFI-STRAT-2</v>
      </c>
      <c r="C83" t="str">
        <f>IF(Summary_Exchange_Balances_00UTC!$B83="","",Summary_Exchange_Balances_00UTC!$E83)</f>
        <v>$ USDCGIFT.COM &lt;- VISIT TO CLAIM BONUS</v>
      </c>
      <c r="D83" t="str">
        <f>IF(OR(Summary_Exchange_Balances_00UTC!$B83="",Summary_Exchange_Balances_00UTC!$D83=""),"",Summary_Exchange_Balances_00UTC!$D83)</f>
        <v>wallet</v>
      </c>
      <c r="E83" s="54">
        <f>IF(Summary_Exchange_Balances_00UTC!$B83="","",Summary_Exchange_Balances_00UTC!$C83)</f>
        <v>7000</v>
      </c>
      <c r="F83" s="53" t="e">
        <f>IF(Summary_Exchange_Balances_00UTC!$B83="","",VLOOKUP(UPPER($A83&amp;$C83),$L:$T,7,FALSE))</f>
        <v>#N/A</v>
      </c>
      <c r="G83" s="53" t="e">
        <f>IF(Summary_Exchange_Balances_00UTC!$B83="","",VLOOKUP(IF(ISERROR(SEARCH(" ", $B83)),UPPER($B83&amp;$C83&amp;$D83),UPPER(LEFT($B83, SEARCH(" ",$B83)-1)&amp;$C83&amp;$D83)),$M:$T,6,FALSE))</f>
        <v>#N/A</v>
      </c>
      <c r="H83">
        <f>IF(Summary_Exchange_Balances_00UTC!$B83="","",IF(ISERROR($G83),$E83,$G83))</f>
        <v>7000</v>
      </c>
      <c r="I83" s="36" t="e">
        <f t="shared" si="3"/>
        <v>#N/A</v>
      </c>
      <c r="L83" t="str">
        <f t="shared" si="4"/>
        <v>BULLBTC</v>
      </c>
      <c r="M83" t="str">
        <f t="shared" si="5"/>
        <v>BULL-4-M-EBTC</v>
      </c>
      <c r="N83" t="s">
        <v>15</v>
      </c>
      <c r="O83" t="s">
        <v>104</v>
      </c>
      <c r="P83" t="s">
        <v>108</v>
      </c>
      <c r="R83" s="43">
        <v>89.528266250000001</v>
      </c>
      <c r="S83" t="s">
        <v>518</v>
      </c>
      <c r="T83">
        <v>1</v>
      </c>
      <c r="W83" t="s">
        <v>301</v>
      </c>
      <c r="X83" t="s">
        <v>313</v>
      </c>
      <c r="Y83" s="54">
        <v>1394.87930108</v>
      </c>
      <c r="Z83">
        <v>0</v>
      </c>
      <c r="AB83" s="3" t="s">
        <v>315</v>
      </c>
      <c r="AC83" s="32">
        <v>931.15332089000003</v>
      </c>
      <c r="AD83" s="32">
        <v>0</v>
      </c>
      <c r="AS83" t="str">
        <f>IF(Summary_Exchange_Balances_00UTC!$B83="","","'"&amp;C83&amp;"',")</f>
        <v>'$ USDCGIFT.COM &lt;- VISIT TO CLAIM BONUS',</v>
      </c>
      <c r="AT83">
        <f>IF(Summary_Exchange_Balances_00UTC!$B83="","",IF(ISERROR(HLOOKUP($C83,$AW$1:$LL$2,2,FALSE)),Summary_Exchange_Balances_00UTC!$Q83,IF(OR(HLOOKUP($C83,$AW$1:$LL$2,2,FALSE)="",HLOOKUP($C83,$AW$1:$LL$2,2,FALSE)="null"),Summary_Exchange_Balances_00UTC!$Q83,HLOOKUP($C83,$AW$1:$LL$2,2,FALSE))))</f>
        <v>0</v>
      </c>
    </row>
    <row r="84" spans="1:46" x14ac:dyDescent="0.25">
      <c r="A84" t="str">
        <f>IF(Summary_Exchange_Balances_00UTC!$B84="","",Summary_Exchange_Balances_00UTC!$N84)</f>
        <v>DEFI</v>
      </c>
      <c r="B84" t="str">
        <f>IF(Summary_Exchange_Balances_00UTC!$B84="","",Summary_Exchange_Balances_00UTC!$B84)</f>
        <v>DEFI-STRAT-2</v>
      </c>
      <c r="C84" t="str">
        <f>IF(Summary_Exchange_Balances_00UTC!$B84="","",Summary_Exchange_Balances_00UTC!$E84)</f>
        <v>927$ VISIT AUSDBONUS.COM TO CLAIM</v>
      </c>
      <c r="D84" t="str">
        <f>IF(OR(Summary_Exchange_Balances_00UTC!$B84="",Summary_Exchange_Balances_00UTC!$D84=""),"",Summary_Exchange_Balances_00UTC!$D84)</f>
        <v>wallet</v>
      </c>
      <c r="E84" s="54">
        <f>IF(Summary_Exchange_Balances_00UTC!$B84="","",Summary_Exchange_Balances_00UTC!$C84)</f>
        <v>8</v>
      </c>
      <c r="F84" s="53" t="e">
        <f>IF(Summary_Exchange_Balances_00UTC!$B84="","",VLOOKUP(UPPER($A84&amp;$C84),$L:$T,7,FALSE))</f>
        <v>#N/A</v>
      </c>
      <c r="G84" s="53" t="e">
        <f>IF(Summary_Exchange_Balances_00UTC!$B84="","",VLOOKUP(IF(ISERROR(SEARCH(" ", $B84)),UPPER($B84&amp;$C84&amp;$D84),UPPER(LEFT($B84, SEARCH(" ",$B84)-1)&amp;$C84&amp;$D84)),$M:$T,6,FALSE))</f>
        <v>#N/A</v>
      </c>
      <c r="H84">
        <f>IF(Summary_Exchange_Balances_00UTC!$B84="","",IF(ISERROR($G84),$E84,$G84))</f>
        <v>8</v>
      </c>
      <c r="I84" s="36" t="e">
        <f t="shared" si="3"/>
        <v>#N/A</v>
      </c>
      <c r="L84" t="str">
        <f t="shared" si="4"/>
        <v>BULLEOS</v>
      </c>
      <c r="M84" t="str">
        <f t="shared" si="5"/>
        <v>BULL-2-M-EEOS</v>
      </c>
      <c r="N84" t="s">
        <v>24</v>
      </c>
      <c r="O84" t="s">
        <v>104</v>
      </c>
      <c r="P84" t="s">
        <v>105</v>
      </c>
      <c r="R84" s="43">
        <v>2658096.3936999999</v>
      </c>
      <c r="S84" t="s">
        <v>519</v>
      </c>
      <c r="T84">
        <v>1</v>
      </c>
      <c r="W84" t="s">
        <v>301</v>
      </c>
      <c r="X84" t="s">
        <v>313</v>
      </c>
      <c r="Y84" s="54">
        <v>2E-8</v>
      </c>
      <c r="Z84">
        <v>0</v>
      </c>
      <c r="AB84" s="3" t="s">
        <v>159</v>
      </c>
      <c r="AC84" s="32">
        <v>29.76350429</v>
      </c>
      <c r="AD84" s="32">
        <v>29.76350429</v>
      </c>
      <c r="AS84" t="str">
        <f>IF(Summary_Exchange_Balances_00UTC!$B84="","","'"&amp;C84&amp;"',")</f>
        <v>'927$ VISIT AUSDBONUS.COM TO CLAIM',</v>
      </c>
      <c r="AT84">
        <f>IF(Summary_Exchange_Balances_00UTC!$B84="","",IF(ISERROR(HLOOKUP($C84,$AW$1:$LL$2,2,FALSE)),Summary_Exchange_Balances_00UTC!$Q84,IF(OR(HLOOKUP($C84,$AW$1:$LL$2,2,FALSE)="",HLOOKUP($C84,$AW$1:$LL$2,2,FALSE)="null"),Summary_Exchange_Balances_00UTC!$Q84,HLOOKUP($C84,$AW$1:$LL$2,2,FALSE))))</f>
        <v>0</v>
      </c>
    </row>
    <row r="85" spans="1:46" x14ac:dyDescent="0.25">
      <c r="A85" t="str">
        <f>IF(Summary_Exchange_Balances_00UTC!$B85="","",Summary_Exchange_Balances_00UTC!$N85)</f>
        <v>DEFI</v>
      </c>
      <c r="B85" t="str">
        <f>IF(Summary_Exchange_Balances_00UTC!$B85="","",Summary_Exchange_Balances_00UTC!$B85)</f>
        <v>DEFI-STRAT-2</v>
      </c>
      <c r="C85" t="str">
        <f>IF(Summary_Exchange_Balances_00UTC!$B85="","",Summary_Exchange_Balances_00UTC!$E85)</f>
        <v>AAVE</v>
      </c>
      <c r="D85" t="str">
        <f>IF(OR(Summary_Exchange_Balances_00UTC!$B85="",Summary_Exchange_Balances_00UTC!$D85=""),"",Summary_Exchange_Balances_00UTC!$D85)</f>
        <v>wallet</v>
      </c>
      <c r="E85" s="54">
        <f>IF(Summary_Exchange_Balances_00UTC!$B85="","",Summary_Exchange_Balances_00UTC!$C85)</f>
        <v>180.62351240000001</v>
      </c>
      <c r="F85" s="53" t="e">
        <f>IF(Summary_Exchange_Balances_00UTC!$B85="","",VLOOKUP(UPPER($A85&amp;$C85),$L:$T,7,FALSE))</f>
        <v>#N/A</v>
      </c>
      <c r="G85" s="53" t="e">
        <f>IF(Summary_Exchange_Balances_00UTC!$B85="","",VLOOKUP(IF(ISERROR(SEARCH(" ", $B85)),UPPER($B85&amp;$C85&amp;$D85),UPPER(LEFT($B85, SEARCH(" ",$B85)-1)&amp;$C85&amp;$D85)),$M:$T,6,FALSE))</f>
        <v>#N/A</v>
      </c>
      <c r="H85">
        <f>IF(Summary_Exchange_Balances_00UTC!$B85="","",IF(ISERROR($G85),$E85,$G85))</f>
        <v>180.62351240000001</v>
      </c>
      <c r="I85" s="36" t="e">
        <f t="shared" si="3"/>
        <v>#N/A</v>
      </c>
      <c r="L85" t="str">
        <f t="shared" si="4"/>
        <v>BULLETH</v>
      </c>
      <c r="M85" t="str">
        <f t="shared" si="5"/>
        <v>BULL-4-M-EETH</v>
      </c>
      <c r="N85" t="s">
        <v>16</v>
      </c>
      <c r="O85" t="s">
        <v>104</v>
      </c>
      <c r="P85" t="s">
        <v>108</v>
      </c>
      <c r="R85" s="43">
        <v>764.07724300999996</v>
      </c>
      <c r="S85" t="s">
        <v>518</v>
      </c>
      <c r="T85">
        <v>1</v>
      </c>
      <c r="W85" t="s">
        <v>301</v>
      </c>
      <c r="X85" t="s">
        <v>314</v>
      </c>
      <c r="Y85" s="54">
        <v>379.65102482999998</v>
      </c>
      <c r="Z85">
        <v>0</v>
      </c>
      <c r="AB85" s="3" t="s">
        <v>26</v>
      </c>
      <c r="AC85" s="32">
        <v>12984751.05818682</v>
      </c>
      <c r="AD85" s="32">
        <v>12978751.058186812</v>
      </c>
      <c r="AS85" t="str">
        <f>IF(Summary_Exchange_Balances_00UTC!$B85="","","'"&amp;C85&amp;"',")</f>
        <v>'AAVE',</v>
      </c>
      <c r="AT85">
        <f>IF(Summary_Exchange_Balances_00UTC!$B85="","",IF(ISERROR(HLOOKUP($C85,$AW$1:$LL$2,2,FALSE)),Summary_Exchange_Balances_00UTC!$Q85,IF(OR(HLOOKUP($C85,$AW$1:$LL$2,2,FALSE)="",HLOOKUP($C85,$AW$1:$LL$2,2,FALSE)="null"),Summary_Exchange_Balances_00UTC!$Q85,HLOOKUP($C85,$AW$1:$LL$2,2,FALSE))))</f>
        <v>59.23</v>
      </c>
    </row>
    <row r="86" spans="1:46" x14ac:dyDescent="0.25">
      <c r="A86" t="str">
        <f>IF(Summary_Exchange_Balances_00UTC!$B86="","",Summary_Exchange_Balances_00UTC!$N86)</f>
        <v>DEFI</v>
      </c>
      <c r="B86" t="str">
        <f>IF(Summary_Exchange_Balances_00UTC!$B86="","",Summary_Exchange_Balances_00UTC!$B86)</f>
        <v>DEFI-STRAT-2</v>
      </c>
      <c r="C86" t="str">
        <f>IF(Summary_Exchange_Balances_00UTC!$B86="","",Summary_Exchange_Balances_00UTC!$E86)</f>
        <v>AVAX</v>
      </c>
      <c r="D86" t="str">
        <f>IF(OR(Summary_Exchange_Balances_00UTC!$B86="",Summary_Exchange_Balances_00UTC!$D86=""),"",Summary_Exchange_Balances_00UTC!$D86)</f>
        <v>wallet</v>
      </c>
      <c r="E86" s="54">
        <f>IF(Summary_Exchange_Balances_00UTC!$B86="","",Summary_Exchange_Balances_00UTC!$C86)</f>
        <v>69.006194350000001</v>
      </c>
      <c r="F86" s="53" t="e">
        <f>IF(Summary_Exchange_Balances_00UTC!$B86="","",VLOOKUP(UPPER($A86&amp;$C86),$L:$T,7,FALSE))</f>
        <v>#N/A</v>
      </c>
      <c r="G86" s="53" t="e">
        <f>IF(Summary_Exchange_Balances_00UTC!$B86="","",VLOOKUP(IF(ISERROR(SEARCH(" ", $B86)),UPPER($B86&amp;$C86&amp;$D86),UPPER(LEFT($B86, SEARCH(" ",$B86)-1)&amp;$C86&amp;$D86)),$M:$T,6,FALSE))</f>
        <v>#N/A</v>
      </c>
      <c r="H86">
        <f>IF(Summary_Exchange_Balances_00UTC!$B86="","",IF(ISERROR($G86),$E86,$G86))</f>
        <v>69.006194350000001</v>
      </c>
      <c r="I86" s="36" t="e">
        <f t="shared" si="3"/>
        <v>#N/A</v>
      </c>
      <c r="L86" t="str">
        <f t="shared" si="4"/>
        <v>BULLETH</v>
      </c>
      <c r="M86" t="str">
        <f t="shared" si="5"/>
        <v>BULL-3-M-EETH</v>
      </c>
      <c r="N86" t="s">
        <v>16</v>
      </c>
      <c r="O86" t="s">
        <v>104</v>
      </c>
      <c r="P86" t="s">
        <v>107</v>
      </c>
      <c r="R86" s="43">
        <v>18815.134038569999</v>
      </c>
      <c r="S86" t="s">
        <v>520</v>
      </c>
      <c r="T86">
        <v>1</v>
      </c>
      <c r="W86" t="s">
        <v>301</v>
      </c>
      <c r="X86" t="s">
        <v>314</v>
      </c>
      <c r="Y86" s="54">
        <v>5.9599999999999997E-6</v>
      </c>
      <c r="Z86">
        <v>0</v>
      </c>
      <c r="AB86" s="3" t="s">
        <v>182</v>
      </c>
      <c r="AC86" s="32">
        <v>0.10983253</v>
      </c>
      <c r="AD86" s="32">
        <v>0</v>
      </c>
      <c r="AS86" t="str">
        <f>IF(Summary_Exchange_Balances_00UTC!$B86="","","'"&amp;C86&amp;"',")</f>
        <v>'AVAX',</v>
      </c>
      <c r="AT86">
        <f>IF(Summary_Exchange_Balances_00UTC!$B86="","",IF(ISERROR(HLOOKUP($C86,$AW$1:$LL$2,2,FALSE)),Summary_Exchange_Balances_00UTC!$Q86,IF(OR(HLOOKUP($C86,$AW$1:$LL$2,2,FALSE)="",HLOOKUP($C86,$AW$1:$LL$2,2,FALSE)="null"),Summary_Exchange_Balances_00UTC!$Q86,HLOOKUP($C86,$AW$1:$LL$2,2,FALSE))))</f>
        <v>13.03</v>
      </c>
    </row>
    <row r="87" spans="1:46" x14ac:dyDescent="0.25">
      <c r="A87" t="str">
        <f>IF(Summary_Exchange_Balances_00UTC!$B87="","",Summary_Exchange_Balances_00UTC!$N87)</f>
        <v>DEFI</v>
      </c>
      <c r="B87" t="str">
        <f>IF(Summary_Exchange_Balances_00UTC!$B87="","",Summary_Exchange_Balances_00UTC!$B87)</f>
        <v>DEFI-STRAT-2</v>
      </c>
      <c r="C87" t="str">
        <f>IF(Summary_Exchange_Balances_00UTC!$B87="","",Summary_Exchange_Balances_00UTC!$E87)</f>
        <v>BONUS. VISIT HTTPS://BITBONUS.TECH TO CLAIM REWARD.</v>
      </c>
      <c r="D87" t="str">
        <f>IF(OR(Summary_Exchange_Balances_00UTC!$B87="",Summary_Exchange_Balances_00UTC!$D87=""),"",Summary_Exchange_Balances_00UTC!$D87)</f>
        <v>wallet</v>
      </c>
      <c r="E87" s="54">
        <f>IF(Summary_Exchange_Balances_00UTC!$B87="","",Summary_Exchange_Balances_00UTC!$C87)</f>
        <v>25</v>
      </c>
      <c r="F87" s="53" t="e">
        <f>IF(Summary_Exchange_Balances_00UTC!$B87="","",VLOOKUP(UPPER($A87&amp;$C87),$L:$T,7,FALSE))</f>
        <v>#N/A</v>
      </c>
      <c r="G87" s="53" t="e">
        <f>IF(Summary_Exchange_Balances_00UTC!$B87="","",VLOOKUP(IF(ISERROR(SEARCH(" ", $B87)),UPPER($B87&amp;$C87&amp;$D87),UPPER(LEFT($B87, SEARCH(" ",$B87)-1)&amp;$C87&amp;$D87)),$M:$T,6,FALSE))</f>
        <v>#N/A</v>
      </c>
      <c r="H87">
        <f>IF(Summary_Exchange_Balances_00UTC!$B87="","",IF(ISERROR($G87),$E87,$G87))</f>
        <v>25</v>
      </c>
      <c r="I87" s="36" t="e">
        <f t="shared" si="3"/>
        <v>#N/A</v>
      </c>
      <c r="L87" t="str">
        <f t="shared" si="4"/>
        <v>BULLLINK</v>
      </c>
      <c r="M87" t="str">
        <f t="shared" si="5"/>
        <v>BULL-2-M-ELINK</v>
      </c>
      <c r="N87" t="s">
        <v>28</v>
      </c>
      <c r="O87" t="s">
        <v>104</v>
      </c>
      <c r="P87" t="s">
        <v>105</v>
      </c>
      <c r="R87" s="43">
        <v>92892.237954340002</v>
      </c>
      <c r="S87" t="s">
        <v>519</v>
      </c>
      <c r="T87">
        <v>1</v>
      </c>
      <c r="W87" t="s">
        <v>301</v>
      </c>
      <c r="X87" t="s">
        <v>16</v>
      </c>
      <c r="Y87" s="54">
        <v>625.59695982000005</v>
      </c>
      <c r="Z87">
        <v>0</v>
      </c>
      <c r="AB87" s="3" t="s">
        <v>160</v>
      </c>
      <c r="AC87" s="32">
        <v>6.3152970000000003E-2</v>
      </c>
      <c r="AD87" s="32">
        <v>6.3152970000000003E-2</v>
      </c>
      <c r="AS87" t="str">
        <f>IF(Summary_Exchange_Balances_00UTC!$B87="","","'"&amp;C87&amp;"',")</f>
        <v>'BONUS. VISIT HTTPS://BITBONUS.TECH TO CLAIM REWARD.',</v>
      </c>
      <c r="AT87">
        <f>IF(Summary_Exchange_Balances_00UTC!$B87="","",IF(ISERROR(HLOOKUP($C87,$AW$1:$LL$2,2,FALSE)),Summary_Exchange_Balances_00UTC!$Q87,IF(OR(HLOOKUP($C87,$AW$1:$LL$2,2,FALSE)="",HLOOKUP($C87,$AW$1:$LL$2,2,FALSE)="null"),Summary_Exchange_Balances_00UTC!$Q87,HLOOKUP($C87,$AW$1:$LL$2,2,FALSE))))</f>
        <v>0</v>
      </c>
    </row>
    <row r="88" spans="1:46" x14ac:dyDescent="0.25">
      <c r="A88" t="str">
        <f>IF(Summary_Exchange_Balances_00UTC!$B88="","",Summary_Exchange_Balances_00UTC!$N88)</f>
        <v>DEFI</v>
      </c>
      <c r="B88" t="str">
        <f>IF(Summary_Exchange_Balances_00UTC!$B88="","",Summary_Exchange_Balances_00UTC!$B88)</f>
        <v>DEFI-STRAT-2</v>
      </c>
      <c r="C88" t="str">
        <f>IF(Summary_Exchange_Balances_00UTC!$B88="","",Summary_Exchange_Balances_00UTC!$E88)</f>
        <v>ETH</v>
      </c>
      <c r="D88" t="str">
        <f>IF(OR(Summary_Exchange_Balances_00UTC!$B88="",Summary_Exchange_Balances_00UTC!$D88=""),"",Summary_Exchange_Balances_00UTC!$D88)</f>
        <v>wallet</v>
      </c>
      <c r="E88" s="54">
        <f>IF(Summary_Exchange_Balances_00UTC!$B88="","",Summary_Exchange_Balances_00UTC!$C88)</f>
        <v>16.894087620000001</v>
      </c>
      <c r="F88" s="53" t="e">
        <f>IF(Summary_Exchange_Balances_00UTC!$B88="","",VLOOKUP(UPPER($A88&amp;$C88),$L:$T,7,FALSE))</f>
        <v>#N/A</v>
      </c>
      <c r="G88" s="53" t="e">
        <f>IF(Summary_Exchange_Balances_00UTC!$B88="","",VLOOKUP(IF(ISERROR(SEARCH(" ", $B88)),UPPER($B88&amp;$C88&amp;$D88),UPPER(LEFT($B88, SEARCH(" ",$B88)-1)&amp;$C88&amp;$D88)),$M:$T,6,FALSE))</f>
        <v>#N/A</v>
      </c>
      <c r="H88">
        <f>IF(Summary_Exchange_Balances_00UTC!$B88="","",IF(ISERROR($G88),$E88,$G88))</f>
        <v>16.894087620000001</v>
      </c>
      <c r="I88" s="36" t="e">
        <f t="shared" si="3"/>
        <v>#N/A</v>
      </c>
      <c r="L88" t="str">
        <f t="shared" si="4"/>
        <v>BULLLTC</v>
      </c>
      <c r="M88" t="str">
        <f t="shared" si="5"/>
        <v>BULL-2-M-ELTC</v>
      </c>
      <c r="N88" t="s">
        <v>25</v>
      </c>
      <c r="O88" t="s">
        <v>104</v>
      </c>
      <c r="P88" t="s">
        <v>105</v>
      </c>
      <c r="R88" s="43">
        <v>8194.9920944200003</v>
      </c>
      <c r="S88" t="s">
        <v>519</v>
      </c>
      <c r="T88">
        <v>1</v>
      </c>
      <c r="W88" t="s">
        <v>301</v>
      </c>
      <c r="X88" t="s">
        <v>16</v>
      </c>
      <c r="Y88" s="54">
        <v>4.5371055699999996</v>
      </c>
      <c r="Z88">
        <v>0</v>
      </c>
      <c r="AB88" s="3" t="s">
        <v>161</v>
      </c>
      <c r="AC88" s="32">
        <v>20</v>
      </c>
      <c r="AD88" s="32">
        <v>20</v>
      </c>
      <c r="AS88" t="str">
        <f>IF(Summary_Exchange_Balances_00UTC!$B88="","","'"&amp;C88&amp;"',")</f>
        <v>'ETH',</v>
      </c>
      <c r="AT88">
        <f>IF(Summary_Exchange_Balances_00UTC!$B88="","",IF(ISERROR(HLOOKUP($C88,$AW$1:$LL$2,2,FALSE)),Summary_Exchange_Balances_00UTC!$Q88,IF(OR(HLOOKUP($C88,$AW$1:$LL$2,2,FALSE)="",HLOOKUP($C88,$AW$1:$LL$2,2,FALSE)="null"),Summary_Exchange_Balances_00UTC!$Q88,HLOOKUP($C88,$AW$1:$LL$2,2,FALSE))))</f>
        <v>1208.73</v>
      </c>
    </row>
    <row r="89" spans="1:46" x14ac:dyDescent="0.25">
      <c r="A89" t="str">
        <f>IF(Summary_Exchange_Balances_00UTC!$B89="","",Summary_Exchange_Balances_00UTC!$N89)</f>
        <v>DEFI</v>
      </c>
      <c r="B89" t="str">
        <f>IF(Summary_Exchange_Balances_00UTC!$B89="","",Summary_Exchange_Balances_00UTC!$B89)</f>
        <v>DEFI-STRAT-2</v>
      </c>
      <c r="C89" t="str">
        <f>IF(Summary_Exchange_Balances_00UTC!$B89="","",Summary_Exchange_Balances_00UTC!$E89)</f>
        <v>INVITATION TOKEN. PLEASE VISIT HTTPS://AAKER.SITE AND CLAIM REWARDS.</v>
      </c>
      <c r="D89" t="str">
        <f>IF(OR(Summary_Exchange_Balances_00UTC!$B89="",Summary_Exchange_Balances_00UTC!$D89=""),"",Summary_Exchange_Balances_00UTC!$D89)</f>
        <v>wallet</v>
      </c>
      <c r="E89" s="54">
        <f>IF(Summary_Exchange_Balances_00UTC!$B89="","",Summary_Exchange_Balances_00UTC!$C89)</f>
        <v>480000</v>
      </c>
      <c r="F89" s="53" t="e">
        <f>IF(Summary_Exchange_Balances_00UTC!$B89="","",VLOOKUP(UPPER($A89&amp;$C89),$L:$T,7,FALSE))</f>
        <v>#N/A</v>
      </c>
      <c r="G89" s="53" t="e">
        <f>IF(Summary_Exchange_Balances_00UTC!$B89="","",VLOOKUP(IF(ISERROR(SEARCH(" ", $B89)),UPPER($B89&amp;$C89&amp;$D89),UPPER(LEFT($B89, SEARCH(" ",$B89)-1)&amp;$C89&amp;$D89)),$M:$T,6,FALSE))</f>
        <v>#N/A</v>
      </c>
      <c r="H89">
        <f>IF(Summary_Exchange_Balances_00UTC!$B89="","",IF(ISERROR($G89),$E89,$G89))</f>
        <v>480000</v>
      </c>
      <c r="I89" s="36" t="e">
        <f t="shared" si="3"/>
        <v>#N/A</v>
      </c>
      <c r="L89" t="str">
        <f t="shared" si="4"/>
        <v>BULLUSD</v>
      </c>
      <c r="M89" t="str">
        <f t="shared" si="5"/>
        <v>BULL-3-M-EUSD</v>
      </c>
      <c r="N89" t="s">
        <v>98</v>
      </c>
      <c r="O89" t="s">
        <v>104</v>
      </c>
      <c r="P89" t="s">
        <v>107</v>
      </c>
      <c r="R89" s="43">
        <v>5764124.4515000004</v>
      </c>
      <c r="S89" t="s">
        <v>520</v>
      </c>
      <c r="T89">
        <v>1</v>
      </c>
      <c r="W89" t="s">
        <v>301</v>
      </c>
      <c r="X89" t="s">
        <v>315</v>
      </c>
      <c r="Y89" s="54">
        <v>931.15332089000003</v>
      </c>
      <c r="Z89">
        <v>0</v>
      </c>
      <c r="AB89" s="3" t="s">
        <v>162</v>
      </c>
      <c r="AC89" s="32">
        <v>5.6169297299999998</v>
      </c>
      <c r="AD89" s="32">
        <v>5.6169297299999998</v>
      </c>
      <c r="AS89" t="str">
        <f>IF(Summary_Exchange_Balances_00UTC!$B89="","","'"&amp;C89&amp;"',")</f>
        <v>'INVITATION TOKEN. PLEASE VISIT HTTPS://AAKER.SITE AND CLAIM REWARDS.',</v>
      </c>
      <c r="AT89">
        <f>IF(Summary_Exchange_Balances_00UTC!$B89="","",IF(ISERROR(HLOOKUP($C89,$AW$1:$LL$2,2,FALSE)),Summary_Exchange_Balances_00UTC!$Q89,IF(OR(HLOOKUP($C89,$AW$1:$LL$2,2,FALSE)="",HLOOKUP($C89,$AW$1:$LL$2,2,FALSE)="null"),Summary_Exchange_Balances_00UTC!$Q89,HLOOKUP($C89,$AW$1:$LL$2,2,FALSE))))</f>
        <v>0</v>
      </c>
    </row>
    <row r="90" spans="1:46" x14ac:dyDescent="0.25">
      <c r="A90" t="str">
        <f>IF(Summary_Exchange_Balances_00UTC!$B90="","",Summary_Exchange_Balances_00UTC!$N90)</f>
        <v>DEFI</v>
      </c>
      <c r="B90" t="str">
        <f>IF(Summary_Exchange_Balances_00UTC!$B90="","",Summary_Exchange_Balances_00UTC!$B90)</f>
        <v>DEFI-STRAT-2</v>
      </c>
      <c r="C90" t="str">
        <f>IF(Summary_Exchange_Balances_00UTC!$B90="","",Summary_Exchange_Balances_00UTC!$E90)</f>
        <v>OAAVEUSDC/AAVE-02DEC22-67.5C</v>
      </c>
      <c r="D90" t="str">
        <f>IF(OR(Summary_Exchange_Balances_00UTC!$B90="",Summary_Exchange_Balances_00UTC!$D90=""),"",Summary_Exchange_Balances_00UTC!$D90)</f>
        <v>wallet</v>
      </c>
      <c r="E90" s="54">
        <f>IF(Summary_Exchange_Balances_00UTC!$B90="","",Summary_Exchange_Balances_00UTC!$C90)</f>
        <v>34311.93215886</v>
      </c>
      <c r="F90" s="53" t="e">
        <f>IF(Summary_Exchange_Balances_00UTC!$B90="","",VLOOKUP(UPPER($A90&amp;$C90),$L:$T,7,FALSE))</f>
        <v>#N/A</v>
      </c>
      <c r="G90" s="53" t="e">
        <f>IF(Summary_Exchange_Balances_00UTC!$B90="","",VLOOKUP(IF(ISERROR(SEARCH(" ", $B90)),UPPER($B90&amp;$C90&amp;$D90),UPPER(LEFT($B90, SEARCH(" ",$B90)-1)&amp;$C90&amp;$D90)),$M:$T,6,FALSE))</f>
        <v>#N/A</v>
      </c>
      <c r="H90">
        <f>IF(Summary_Exchange_Balances_00UTC!$B90="","",IF(ISERROR($G90),$E90,$G90))</f>
        <v>34311.93215886</v>
      </c>
      <c r="I90" s="36" t="e">
        <f t="shared" si="3"/>
        <v>#N/A</v>
      </c>
      <c r="L90" t="str">
        <f t="shared" si="4"/>
        <v>BULLUSD</v>
      </c>
      <c r="M90" t="str">
        <f t="shared" si="5"/>
        <v>BULL-1-M-EUSD</v>
      </c>
      <c r="N90" t="s">
        <v>98</v>
      </c>
      <c r="O90" t="s">
        <v>104</v>
      </c>
      <c r="P90" t="s">
        <v>103</v>
      </c>
      <c r="R90" s="43">
        <v>13766205.880799999</v>
      </c>
      <c r="S90" t="s">
        <v>517</v>
      </c>
      <c r="T90">
        <v>1</v>
      </c>
      <c r="W90" t="s">
        <v>33</v>
      </c>
      <c r="X90" t="s">
        <v>95</v>
      </c>
      <c r="Y90" s="54">
        <v>174960.64689599999</v>
      </c>
      <c r="Z90">
        <v>0</v>
      </c>
      <c r="AB90" s="3" t="s">
        <v>98</v>
      </c>
      <c r="AC90" s="32">
        <v>95880386.231540218</v>
      </c>
      <c r="AD90" s="32">
        <v>48752093.441186659</v>
      </c>
      <c r="AS90" t="str">
        <f>IF(Summary_Exchange_Balances_00UTC!$B90="","","'"&amp;C90&amp;"',")</f>
        <v>'OAAVEUSDC/AAVE-02DEC22-67.5C',</v>
      </c>
      <c r="AT90">
        <f>IF(Summary_Exchange_Balances_00UTC!$B90="","",IF(ISERROR(HLOOKUP($C90,$AW$1:$LL$2,2,FALSE)),Summary_Exchange_Balances_00UTC!$Q90,IF(OR(HLOOKUP($C90,$AW$1:$LL$2,2,FALSE)="",HLOOKUP($C90,$AW$1:$LL$2,2,FALSE)="null"),Summary_Exchange_Balances_00UTC!$Q90,HLOOKUP($C90,$AW$1:$LL$2,2,FALSE))))</f>
        <v>0</v>
      </c>
    </row>
    <row r="91" spans="1:46" x14ac:dyDescent="0.25">
      <c r="A91" t="str">
        <f>IF(Summary_Exchange_Balances_00UTC!$B91="","",Summary_Exchange_Balances_00UTC!$N91)</f>
        <v>DEFI</v>
      </c>
      <c r="B91" t="str">
        <f>IF(Summary_Exchange_Balances_00UTC!$B91="","",Summary_Exchange_Balances_00UTC!$B91)</f>
        <v>DEFI-STRAT-2</v>
      </c>
      <c r="C91" t="str">
        <f>IF(Summary_Exchange_Balances_00UTC!$B91="","",Summary_Exchange_Balances_00UTC!$E91)</f>
        <v>OAAVEUSDC/AAVE-16DEC22-72.5C</v>
      </c>
      <c r="D91" t="str">
        <f>IF(OR(Summary_Exchange_Balances_00UTC!$B91="",Summary_Exchange_Balances_00UTC!$D91=""),"",Summary_Exchange_Balances_00UTC!$D91)</f>
        <v>wallet</v>
      </c>
      <c r="E91" s="54">
        <f>IF(Summary_Exchange_Balances_00UTC!$B91="","",Summary_Exchange_Balances_00UTC!$C91)</f>
        <v>33793.379334129997</v>
      </c>
      <c r="F91" s="53" t="e">
        <f>IF(Summary_Exchange_Balances_00UTC!$B91="","",VLOOKUP(UPPER($A91&amp;$C91),$L:$T,7,FALSE))</f>
        <v>#N/A</v>
      </c>
      <c r="G91" s="53" t="e">
        <f>IF(Summary_Exchange_Balances_00UTC!$B91="","",VLOOKUP(IF(ISERROR(SEARCH(" ", $B91)),UPPER($B91&amp;$C91&amp;$D91),UPPER(LEFT($B91, SEARCH(" ",$B91)-1)&amp;$C91&amp;$D91)),$M:$T,6,FALSE))</f>
        <v>#N/A</v>
      </c>
      <c r="H91">
        <f>IF(Summary_Exchange_Balances_00UTC!$B91="","",IF(ISERROR($G91),$E91,$G91))</f>
        <v>33793.379334129997</v>
      </c>
      <c r="I91" s="36" t="e">
        <f t="shared" si="3"/>
        <v>#N/A</v>
      </c>
      <c r="L91" t="str">
        <f t="shared" si="4"/>
        <v>BULLUSD</v>
      </c>
      <c r="M91" t="str">
        <f t="shared" si="5"/>
        <v>BULL-2-M-EUSD</v>
      </c>
      <c r="N91" t="s">
        <v>98</v>
      </c>
      <c r="O91" t="s">
        <v>104</v>
      </c>
      <c r="P91" t="s">
        <v>105</v>
      </c>
      <c r="R91" s="43">
        <v>5546928.0181999998</v>
      </c>
      <c r="S91" t="s">
        <v>519</v>
      </c>
      <c r="T91">
        <v>1</v>
      </c>
      <c r="W91" t="s">
        <v>111</v>
      </c>
      <c r="X91" t="s">
        <v>15</v>
      </c>
      <c r="Y91" s="54">
        <v>5.6822449999999997E-2</v>
      </c>
      <c r="Z91">
        <v>0</v>
      </c>
      <c r="AB91" s="3" t="s">
        <v>95</v>
      </c>
      <c r="AC91" s="32">
        <v>10802610.545761311</v>
      </c>
      <c r="AD91" s="32">
        <v>10615626.789701084</v>
      </c>
      <c r="AS91" t="str">
        <f>IF(Summary_Exchange_Balances_00UTC!$B91="","","'"&amp;C91&amp;"',")</f>
        <v>'OAAVEUSDC/AAVE-16DEC22-72.5C',</v>
      </c>
      <c r="AT91">
        <f>IF(Summary_Exchange_Balances_00UTC!$B91="","",IF(ISERROR(HLOOKUP($C91,$AW$1:$LL$2,2,FALSE)),Summary_Exchange_Balances_00UTC!$Q91,IF(OR(HLOOKUP($C91,$AW$1:$LL$2,2,FALSE)="",HLOOKUP($C91,$AW$1:$LL$2,2,FALSE)="null"),Summary_Exchange_Balances_00UTC!$Q91,HLOOKUP($C91,$AW$1:$LL$2,2,FALSE))))</f>
        <v>0</v>
      </c>
    </row>
    <row r="92" spans="1:46" x14ac:dyDescent="0.25">
      <c r="A92" t="str">
        <f>IF(Summary_Exchange_Balances_00UTC!$B92="","",Summary_Exchange_Balances_00UTC!$N92)</f>
        <v>DEFI</v>
      </c>
      <c r="B92" t="str">
        <f>IF(Summary_Exchange_Balances_00UTC!$B92="","",Summary_Exchange_Balances_00UTC!$B92)</f>
        <v>DEFI-STRAT-2</v>
      </c>
      <c r="C92" t="str">
        <f>IF(Summary_Exchange_Balances_00UTC!$B92="","",Summary_Exchange_Balances_00UTC!$E92)</f>
        <v>OAAVEUSDC/AAVE-25NOV22-72.5C</v>
      </c>
      <c r="D92" t="str">
        <f>IF(OR(Summary_Exchange_Balances_00UTC!$B92="",Summary_Exchange_Balances_00UTC!$D92=""),"",Summary_Exchange_Balances_00UTC!$D92)</f>
        <v>wallet</v>
      </c>
      <c r="E92" s="54">
        <f>IF(Summary_Exchange_Balances_00UTC!$B92="","",Summary_Exchange_Balances_00UTC!$C92)</f>
        <v>33991.374100820001</v>
      </c>
      <c r="F92" s="53" t="e">
        <f>IF(Summary_Exchange_Balances_00UTC!$B92="","",VLOOKUP(UPPER($A92&amp;$C92),$L:$T,7,FALSE))</f>
        <v>#N/A</v>
      </c>
      <c r="G92" s="53" t="e">
        <f>IF(Summary_Exchange_Balances_00UTC!$B92="","",VLOOKUP(IF(ISERROR(SEARCH(" ", $B92)),UPPER($B92&amp;$C92&amp;$D92),UPPER(LEFT($B92, SEARCH(" ",$B92)-1)&amp;$C92&amp;$D92)),$M:$T,6,FALSE))</f>
        <v>#N/A</v>
      </c>
      <c r="H92">
        <f>IF(Summary_Exchange_Balances_00UTC!$B92="","",IF(ISERROR($G92),$E92,$G92))</f>
        <v>33991.374100820001</v>
      </c>
      <c r="I92" s="36" t="e">
        <f t="shared" si="3"/>
        <v>#N/A</v>
      </c>
      <c r="L92" t="str">
        <f t="shared" si="4"/>
        <v>BULLUSDC</v>
      </c>
      <c r="M92" t="str">
        <f t="shared" si="5"/>
        <v>BULL-1-M-EUSDC</v>
      </c>
      <c r="N92" t="s">
        <v>95</v>
      </c>
      <c r="O92" t="s">
        <v>104</v>
      </c>
      <c r="P92" t="s">
        <v>103</v>
      </c>
      <c r="R92" s="43">
        <v>101</v>
      </c>
      <c r="S92" t="s">
        <v>517</v>
      </c>
      <c r="T92">
        <v>1</v>
      </c>
      <c r="W92" t="s">
        <v>111</v>
      </c>
      <c r="X92" t="s">
        <v>110</v>
      </c>
      <c r="Y92" s="54">
        <v>33826924.97249233</v>
      </c>
      <c r="Z92">
        <v>0</v>
      </c>
      <c r="AB92" s="3" t="s">
        <v>163</v>
      </c>
      <c r="AC92" s="32">
        <v>0.34680431</v>
      </c>
      <c r="AD92" s="32">
        <v>0.34680431</v>
      </c>
      <c r="AS92" t="str">
        <f>IF(Summary_Exchange_Balances_00UTC!$B92="","","'"&amp;C92&amp;"',")</f>
        <v>'OAAVEUSDC/AAVE-25NOV22-72.5C',</v>
      </c>
      <c r="AT92">
        <f>IF(Summary_Exchange_Balances_00UTC!$B92="","",IF(ISERROR(HLOOKUP($C92,$AW$1:$LL$2,2,FALSE)),Summary_Exchange_Balances_00UTC!$Q92,IF(OR(HLOOKUP($C92,$AW$1:$LL$2,2,FALSE)="",HLOOKUP($C92,$AW$1:$LL$2,2,FALSE)="null"),Summary_Exchange_Balances_00UTC!$Q92,HLOOKUP($C92,$AW$1:$LL$2,2,FALSE))))</f>
        <v>0</v>
      </c>
    </row>
    <row r="93" spans="1:46" x14ac:dyDescent="0.25">
      <c r="A93" t="str">
        <f>IF(Summary_Exchange_Balances_00UTC!$B93="","",Summary_Exchange_Balances_00UTC!$N93)</f>
        <v>DEFI</v>
      </c>
      <c r="B93" t="str">
        <f>IF(Summary_Exchange_Balances_00UTC!$B93="","",Summary_Exchange_Balances_00UTC!$B93)</f>
        <v>DEFI-STRAT-2</v>
      </c>
      <c r="C93" t="str">
        <f>IF(Summary_Exchange_Balances_00UTC!$B93="","",Summary_Exchange_Balances_00UTC!$E93)</f>
        <v>OWAVAXUSDC.E/WAVAX-09DEC22-15.5C</v>
      </c>
      <c r="D93" t="str">
        <f>IF(OR(Summary_Exchange_Balances_00UTC!$B93="",Summary_Exchange_Balances_00UTC!$D93=""),"",Summary_Exchange_Balances_00UTC!$D93)</f>
        <v>wallet</v>
      </c>
      <c r="E93" s="54">
        <f>IF(Summary_Exchange_Balances_00UTC!$B93="","",Summary_Exchange_Balances_00UTC!$C93)</f>
        <v>29214.150499390002</v>
      </c>
      <c r="F93" s="53" t="e">
        <f>IF(Summary_Exchange_Balances_00UTC!$B93="","",VLOOKUP(UPPER($A93&amp;$C93),$L:$T,7,FALSE))</f>
        <v>#N/A</v>
      </c>
      <c r="G93" s="53" t="e">
        <f>IF(Summary_Exchange_Balances_00UTC!$B93="","",VLOOKUP(IF(ISERROR(SEARCH(" ", $B93)),UPPER($B93&amp;$C93&amp;$D93),UPPER(LEFT($B93, SEARCH(" ",$B93)-1)&amp;$C93&amp;$D93)),$M:$T,6,FALSE))</f>
        <v>#N/A</v>
      </c>
      <c r="H93">
        <f>IF(Summary_Exchange_Balances_00UTC!$B93="","",IF(ISERROR($G93),$E93,$G93))</f>
        <v>29214.150499390002</v>
      </c>
      <c r="I93" s="36" t="e">
        <f t="shared" si="3"/>
        <v>#N/A</v>
      </c>
      <c r="L93" t="str">
        <f t="shared" si="4"/>
        <v>BULLUSDT</v>
      </c>
      <c r="M93" t="str">
        <f t="shared" si="5"/>
        <v>BULLUSDTMARGIN LOAN</v>
      </c>
      <c r="N93" t="s">
        <v>39</v>
      </c>
      <c r="O93" t="s">
        <v>104</v>
      </c>
      <c r="P93" t="s">
        <v>104</v>
      </c>
      <c r="Q93" t="s">
        <v>203</v>
      </c>
      <c r="R93" s="43">
        <v>-67887166.886822894</v>
      </c>
      <c r="S93" t="s">
        <v>521</v>
      </c>
      <c r="T93">
        <v>1</v>
      </c>
      <c r="W93" t="s">
        <v>111</v>
      </c>
      <c r="X93" t="s">
        <v>112</v>
      </c>
      <c r="Y93" s="54">
        <v>1010.5439135300001</v>
      </c>
      <c r="Z93">
        <v>0</v>
      </c>
      <c r="AB93" s="3" t="s">
        <v>39</v>
      </c>
      <c r="AC93" s="32">
        <v>159436269.26402554</v>
      </c>
      <c r="AD93" s="32">
        <v>-2771813.5739419311</v>
      </c>
      <c r="AS93" t="str">
        <f>IF(Summary_Exchange_Balances_00UTC!$B93="","","'"&amp;C93&amp;"',")</f>
        <v>'OWAVAXUSDC.E/WAVAX-09DEC22-15.5C',</v>
      </c>
      <c r="AT93">
        <f>IF(Summary_Exchange_Balances_00UTC!$B93="","",IF(ISERROR(HLOOKUP($C93,$AW$1:$LL$2,2,FALSE)),Summary_Exchange_Balances_00UTC!$Q93,IF(OR(HLOOKUP($C93,$AW$1:$LL$2,2,FALSE)="",HLOOKUP($C93,$AW$1:$LL$2,2,FALSE)="null"),Summary_Exchange_Balances_00UTC!$Q93,HLOOKUP($C93,$AW$1:$LL$2,2,FALSE))))</f>
        <v>0</v>
      </c>
    </row>
    <row r="94" spans="1:46" x14ac:dyDescent="0.25">
      <c r="A94" t="str">
        <f>IF(Summary_Exchange_Balances_00UTC!$B94="","",Summary_Exchange_Balances_00UTC!$N94)</f>
        <v>DEFI</v>
      </c>
      <c r="B94" t="str">
        <f>IF(Summary_Exchange_Balances_00UTC!$B94="","",Summary_Exchange_Balances_00UTC!$B94)</f>
        <v>DEFI-STRAT-2</v>
      </c>
      <c r="C94" t="str">
        <f>IF(Summary_Exchange_Balances_00UTC!$B94="","",Summary_Exchange_Balances_00UTC!$E94)</f>
        <v>OWAVAXUSDC.E/WAVAX-16DEC22-15.25C</v>
      </c>
      <c r="D94" t="str">
        <f>IF(OR(Summary_Exchange_Balances_00UTC!$B94="",Summary_Exchange_Balances_00UTC!$D94=""),"",Summary_Exchange_Balances_00UTC!$D94)</f>
        <v>wallet</v>
      </c>
      <c r="E94" s="54">
        <f>IF(Summary_Exchange_Balances_00UTC!$B94="","",Summary_Exchange_Balances_00UTC!$C94)</f>
        <v>20213.414599259999</v>
      </c>
      <c r="F94" s="53" t="e">
        <f>IF(Summary_Exchange_Balances_00UTC!$B94="","",VLOOKUP(UPPER($A94&amp;$C94),$L:$T,7,FALSE))</f>
        <v>#N/A</v>
      </c>
      <c r="G94" s="53" t="e">
        <f>IF(Summary_Exchange_Balances_00UTC!$B94="","",VLOOKUP(IF(ISERROR(SEARCH(" ", $B94)),UPPER($B94&amp;$C94&amp;$D94),UPPER(LEFT($B94, SEARCH(" ",$B94)-1)&amp;$C94&amp;$D94)),$M:$T,6,FALSE))</f>
        <v>#N/A</v>
      </c>
      <c r="H94">
        <f>IF(Summary_Exchange_Balances_00UTC!$B94="","",IF(ISERROR($G94),$E94,$G94))</f>
        <v>20213.414599259999</v>
      </c>
      <c r="I94" s="36" t="e">
        <f t="shared" si="3"/>
        <v>#N/A</v>
      </c>
      <c r="L94" t="str">
        <f t="shared" si="4"/>
        <v>DYDXUSD</v>
      </c>
      <c r="M94" t="str">
        <f t="shared" si="5"/>
        <v>DYDX-1-MUSD</v>
      </c>
      <c r="N94" t="s">
        <v>334</v>
      </c>
      <c r="O94" t="s">
        <v>33</v>
      </c>
      <c r="P94" t="s">
        <v>444</v>
      </c>
      <c r="R94" s="43">
        <v>174263.88360299999</v>
      </c>
      <c r="S94" t="s">
        <v>522</v>
      </c>
      <c r="T94">
        <v>1</v>
      </c>
      <c r="W94" t="s">
        <v>111</v>
      </c>
      <c r="X94" t="s">
        <v>25</v>
      </c>
      <c r="Y94" s="54">
        <v>8.9908658799999994</v>
      </c>
      <c r="Z94">
        <v>0</v>
      </c>
      <c r="AB94" s="3" t="s">
        <v>337</v>
      </c>
      <c r="AC94" s="32">
        <v>0</v>
      </c>
      <c r="AD94" s="32">
        <v>35119.677000000003</v>
      </c>
      <c r="AS94" t="str">
        <f>IF(Summary_Exchange_Balances_00UTC!$B94="","","'"&amp;C94&amp;"',")</f>
        <v>'OWAVAXUSDC.E/WAVAX-16DEC22-15.25C',</v>
      </c>
      <c r="AT94">
        <f>IF(Summary_Exchange_Balances_00UTC!$B94="","",IF(ISERROR(HLOOKUP($C94,$AW$1:$LL$2,2,FALSE)),Summary_Exchange_Balances_00UTC!$Q94,IF(OR(HLOOKUP($C94,$AW$1:$LL$2,2,FALSE)="",HLOOKUP($C94,$AW$1:$LL$2,2,FALSE)="null"),Summary_Exchange_Balances_00UTC!$Q94,HLOOKUP($C94,$AW$1:$LL$2,2,FALSE))))</f>
        <v>0</v>
      </c>
    </row>
    <row r="95" spans="1:46" x14ac:dyDescent="0.25">
      <c r="A95" t="str">
        <f>IF(Summary_Exchange_Balances_00UTC!$B95="","",Summary_Exchange_Balances_00UTC!$N95)</f>
        <v>DEFI</v>
      </c>
      <c r="B95" t="str">
        <f>IF(Summary_Exchange_Balances_00UTC!$B95="","",Summary_Exchange_Balances_00UTC!$B95)</f>
        <v>DEFI-STRAT-2</v>
      </c>
      <c r="C95" t="str">
        <f>IF(Summary_Exchange_Balances_00UTC!$B95="","",Summary_Exchange_Balances_00UTC!$E95)</f>
        <v>OWAVAXUSDC.E/WAVAX-25NOV22-15.5C</v>
      </c>
      <c r="D95" t="str">
        <f>IF(OR(Summary_Exchange_Balances_00UTC!$B95="",Summary_Exchange_Balances_00UTC!$D95=""),"",Summary_Exchange_Balances_00UTC!$D95)</f>
        <v>wallet</v>
      </c>
      <c r="E95" s="54">
        <f>IF(Summary_Exchange_Balances_00UTC!$B95="","",Summary_Exchange_Balances_00UTC!$C95)</f>
        <v>31925.004081070001</v>
      </c>
      <c r="F95" s="53" t="e">
        <f>IF(Summary_Exchange_Balances_00UTC!$B95="","",VLOOKUP(UPPER($A95&amp;$C95),$L:$T,7,FALSE))</f>
        <v>#N/A</v>
      </c>
      <c r="G95" s="53" t="e">
        <f>IF(Summary_Exchange_Balances_00UTC!$B95="","",VLOOKUP(IF(ISERROR(SEARCH(" ", $B95)),UPPER($B95&amp;$C95&amp;$D95),UPPER(LEFT($B95, SEARCH(" ",$B95)-1)&amp;$C95&amp;$D95)),$M:$T,6,FALSE))</f>
        <v>#N/A</v>
      </c>
      <c r="H95">
        <f>IF(Summary_Exchange_Balances_00UTC!$B95="","",IF(ISERROR($G95),$E95,$G95))</f>
        <v>31925.004081070001</v>
      </c>
      <c r="I95" s="36" t="e">
        <f t="shared" si="3"/>
        <v>#N/A</v>
      </c>
      <c r="L95" t="str">
        <f t="shared" si="4"/>
        <v>FBLKAAVE</v>
      </c>
      <c r="M95" t="str">
        <f t="shared" si="5"/>
        <v>FBLKAAVE</v>
      </c>
      <c r="N95" t="s">
        <v>119</v>
      </c>
      <c r="O95" t="s">
        <v>189</v>
      </c>
      <c r="P95" t="s">
        <v>189</v>
      </c>
      <c r="R95" s="43">
        <v>157.89936084000001</v>
      </c>
      <c r="S95" t="s">
        <v>523</v>
      </c>
      <c r="T95">
        <v>1</v>
      </c>
      <c r="W95" t="s">
        <v>111</v>
      </c>
      <c r="X95" t="s">
        <v>113</v>
      </c>
      <c r="Y95" s="54">
        <v>1539.02875778</v>
      </c>
      <c r="Z95">
        <v>0</v>
      </c>
      <c r="AB95" s="3" t="s">
        <v>99</v>
      </c>
      <c r="AC95" s="32">
        <v>29.9885932</v>
      </c>
      <c r="AD95" s="32">
        <v>59.988593199999997</v>
      </c>
      <c r="AS95" t="str">
        <f>IF(Summary_Exchange_Balances_00UTC!$B95="","","'"&amp;C95&amp;"',")</f>
        <v>'OWAVAXUSDC.E/WAVAX-25NOV22-15.5C',</v>
      </c>
      <c r="AT95">
        <f>IF(Summary_Exchange_Balances_00UTC!$B95="","",IF(ISERROR(HLOOKUP($C95,$AW$1:$LL$2,2,FALSE)),Summary_Exchange_Balances_00UTC!$Q95,IF(OR(HLOOKUP($C95,$AW$1:$LL$2,2,FALSE)="",HLOOKUP($C95,$AW$1:$LL$2,2,FALSE)="null"),Summary_Exchange_Balances_00UTC!$Q95,HLOOKUP($C95,$AW$1:$LL$2,2,FALSE))))</f>
        <v>0</v>
      </c>
    </row>
    <row r="96" spans="1:46" x14ac:dyDescent="0.25">
      <c r="A96" t="str">
        <f>IF(Summary_Exchange_Balances_00UTC!$B96="","",Summary_Exchange_Balances_00UTC!$N96)</f>
        <v>DEFI</v>
      </c>
      <c r="B96" t="str">
        <f>IF(Summary_Exchange_Balances_00UTC!$B96="","",Summary_Exchange_Balances_00UTC!$B96)</f>
        <v>DEFI-STRAT-2</v>
      </c>
      <c r="C96" t="str">
        <f>IF(Summary_Exchange_Balances_00UTC!$B96="","",Summary_Exchange_Balances_00UTC!$E96)</f>
        <v>OWETHUSDC/WETH-09DEC22-1450C</v>
      </c>
      <c r="D96" t="str">
        <f>IF(OR(Summary_Exchange_Balances_00UTC!$B96="",Summary_Exchange_Balances_00UTC!$D96=""),"",Summary_Exchange_Balances_00UTC!$D96)</f>
        <v>wallet</v>
      </c>
      <c r="E96" s="54">
        <f>IF(Summary_Exchange_Balances_00UTC!$B96="","",Summary_Exchange_Balances_00UTC!$C96)</f>
        <v>2698</v>
      </c>
      <c r="F96" s="53" t="e">
        <f>IF(Summary_Exchange_Balances_00UTC!$B96="","",VLOOKUP(UPPER($A96&amp;$C96),$L:$T,7,FALSE))</f>
        <v>#N/A</v>
      </c>
      <c r="G96" s="53" t="e">
        <f>IF(Summary_Exchange_Balances_00UTC!$B96="","",VLOOKUP(IF(ISERROR(SEARCH(" ", $B96)),UPPER($B96&amp;$C96&amp;$D96),UPPER(LEFT($B96, SEARCH(" ",$B96)-1)&amp;$C96&amp;$D96)),$M:$T,6,FALSE))</f>
        <v>#N/A</v>
      </c>
      <c r="H96">
        <f>IF(Summary_Exchange_Balances_00UTC!$B96="","",IF(ISERROR($G96),$E96,$G96))</f>
        <v>2698</v>
      </c>
      <c r="I96" s="36" t="e">
        <f t="shared" si="3"/>
        <v>#N/A</v>
      </c>
      <c r="L96" t="str">
        <f t="shared" si="4"/>
        <v>FBLKADA</v>
      </c>
      <c r="M96" t="str">
        <f t="shared" si="5"/>
        <v>FBLKADA</v>
      </c>
      <c r="N96" t="s">
        <v>87</v>
      </c>
      <c r="O96" t="s">
        <v>189</v>
      </c>
      <c r="P96" t="s">
        <v>189</v>
      </c>
      <c r="R96" s="43">
        <v>996.18084699999997</v>
      </c>
      <c r="S96" t="s">
        <v>523</v>
      </c>
      <c r="T96">
        <v>1</v>
      </c>
      <c r="W96" t="s">
        <v>111</v>
      </c>
      <c r="X96" t="s">
        <v>113</v>
      </c>
      <c r="Y96" s="54">
        <v>12693.571242219999</v>
      </c>
      <c r="Z96">
        <v>0</v>
      </c>
      <c r="AB96" s="3" t="s">
        <v>333</v>
      </c>
      <c r="AC96" s="32">
        <v>0</v>
      </c>
      <c r="AD96" s="32">
        <v>30</v>
      </c>
      <c r="AS96" t="str">
        <f>IF(Summary_Exchange_Balances_00UTC!$B96="","","'"&amp;C96&amp;"',")</f>
        <v>'OWETHUSDC/WETH-09DEC22-1450C',</v>
      </c>
      <c r="AT96">
        <f>IF(Summary_Exchange_Balances_00UTC!$B96="","",IF(ISERROR(HLOOKUP($C96,$AW$1:$LL$2,2,FALSE)),Summary_Exchange_Balances_00UTC!$Q96,IF(OR(HLOOKUP($C96,$AW$1:$LL$2,2,FALSE)="",HLOOKUP($C96,$AW$1:$LL$2,2,FALSE)="null"),Summary_Exchange_Balances_00UTC!$Q96,HLOOKUP($C96,$AW$1:$LL$2,2,FALSE))))</f>
        <v>0</v>
      </c>
    </row>
    <row r="97" spans="1:46" x14ac:dyDescent="0.25">
      <c r="A97" t="str">
        <f>IF(Summary_Exchange_Balances_00UTC!$B97="","",Summary_Exchange_Balances_00UTC!$N97)</f>
        <v>DEFI</v>
      </c>
      <c r="B97" t="str">
        <f>IF(Summary_Exchange_Balances_00UTC!$B97="","",Summary_Exchange_Balances_00UTC!$B97)</f>
        <v>DEFI-STRAT-2</v>
      </c>
      <c r="C97" t="str">
        <f>IF(Summary_Exchange_Balances_00UTC!$B97="","",Summary_Exchange_Balances_00UTC!$E97)</f>
        <v>OWETHUSDC/WETH-16DEC22-1450C</v>
      </c>
      <c r="D97" t="str">
        <f>IF(OR(Summary_Exchange_Balances_00UTC!$B97="",Summary_Exchange_Balances_00UTC!$D97=""),"",Summary_Exchange_Balances_00UTC!$D97)</f>
        <v>wallet</v>
      </c>
      <c r="E97" s="54">
        <f>IF(Summary_Exchange_Balances_00UTC!$B97="","",Summary_Exchange_Balances_00UTC!$C97)</f>
        <v>2891</v>
      </c>
      <c r="F97" s="53" t="e">
        <f>IF(Summary_Exchange_Balances_00UTC!$B97="","",VLOOKUP(UPPER($A97&amp;$C97),$L:$T,7,FALSE))</f>
        <v>#N/A</v>
      </c>
      <c r="G97" s="53" t="e">
        <f>IF(Summary_Exchange_Balances_00UTC!$B97="","",VLOOKUP(IF(ISERROR(SEARCH(" ", $B97)),UPPER($B97&amp;$C97&amp;$D97),UPPER(LEFT($B97, SEARCH(" ",$B97)-1)&amp;$C97&amp;$D97)),$M:$T,6,FALSE))</f>
        <v>#N/A</v>
      </c>
      <c r="H97">
        <f>IF(Summary_Exchange_Balances_00UTC!$B97="","",IF(ISERROR($G97),$E97,$G97))</f>
        <v>2891</v>
      </c>
      <c r="I97" s="36" t="e">
        <f t="shared" si="3"/>
        <v>#N/A</v>
      </c>
      <c r="L97" t="str">
        <f t="shared" si="4"/>
        <v>FBLKAVAX</v>
      </c>
      <c r="M97" t="str">
        <f t="shared" si="5"/>
        <v>FBLKAVAX</v>
      </c>
      <c r="N97" t="s">
        <v>190</v>
      </c>
      <c r="O97" t="s">
        <v>189</v>
      </c>
      <c r="P97" t="s">
        <v>189</v>
      </c>
      <c r="R97" s="43">
        <v>28.207490373799999</v>
      </c>
      <c r="S97" t="s">
        <v>523</v>
      </c>
      <c r="T97">
        <v>1</v>
      </c>
      <c r="W97" t="s">
        <v>111</v>
      </c>
      <c r="X97" t="s">
        <v>98</v>
      </c>
      <c r="Y97" s="54">
        <v>10670883.885147721</v>
      </c>
      <c r="Z97">
        <v>0</v>
      </c>
      <c r="AB97" s="3" t="s">
        <v>199</v>
      </c>
      <c r="AC97" s="32">
        <v>59489.017780000002</v>
      </c>
      <c r="AD97" s="32">
        <v>59489.017780000002</v>
      </c>
      <c r="AS97" t="str">
        <f>IF(Summary_Exchange_Balances_00UTC!$B97="","","'"&amp;C97&amp;"',")</f>
        <v>'OWETHUSDC/WETH-16DEC22-1450C',</v>
      </c>
      <c r="AT97">
        <f>IF(Summary_Exchange_Balances_00UTC!$B97="","",IF(ISERROR(HLOOKUP($C97,$AW$1:$LL$2,2,FALSE)),Summary_Exchange_Balances_00UTC!$Q97,IF(OR(HLOOKUP($C97,$AW$1:$LL$2,2,FALSE)="",HLOOKUP($C97,$AW$1:$LL$2,2,FALSE)="null"),Summary_Exchange_Balances_00UTC!$Q97,HLOOKUP($C97,$AW$1:$LL$2,2,FALSE))))</f>
        <v>0</v>
      </c>
    </row>
    <row r="98" spans="1:46" x14ac:dyDescent="0.25">
      <c r="A98" t="str">
        <f>IF(Summary_Exchange_Balances_00UTC!$B98="","",Summary_Exchange_Balances_00UTC!$N98)</f>
        <v>DEFI</v>
      </c>
      <c r="B98" t="str">
        <f>IF(Summary_Exchange_Balances_00UTC!$B98="","",Summary_Exchange_Balances_00UTC!$B98)</f>
        <v>DEFI-STRAT-2</v>
      </c>
      <c r="C98" t="str">
        <f>IF(Summary_Exchange_Balances_00UTC!$B98="","",Summary_Exchange_Balances_00UTC!$E98)</f>
        <v>OWETHUSDC/WETH-25NOV22-1400C</v>
      </c>
      <c r="D98" t="str">
        <f>IF(OR(Summary_Exchange_Balances_00UTC!$B98="",Summary_Exchange_Balances_00UTC!$D98=""),"",Summary_Exchange_Balances_00UTC!$D98)</f>
        <v>wallet</v>
      </c>
      <c r="E98" s="54">
        <f>IF(Summary_Exchange_Balances_00UTC!$B98="","",Summary_Exchange_Balances_00UTC!$C98)</f>
        <v>2904</v>
      </c>
      <c r="F98" s="53" t="e">
        <f>IF(Summary_Exchange_Balances_00UTC!$B98="","",VLOOKUP(UPPER($A98&amp;$C98),$L:$T,7,FALSE))</f>
        <v>#N/A</v>
      </c>
      <c r="G98" s="53" t="e">
        <f>IF(Summary_Exchange_Balances_00UTC!$B98="","",VLOOKUP(IF(ISERROR(SEARCH(" ", $B98)),UPPER($B98&amp;$C98&amp;$D98),UPPER(LEFT($B98, SEARCH(" ",$B98)-1)&amp;$C98&amp;$D98)),$M:$T,6,FALSE))</f>
        <v>#N/A</v>
      </c>
      <c r="H98">
        <f>IF(Summary_Exchange_Balances_00UTC!$B98="","",IF(ISERROR($G98),$E98,$G98))</f>
        <v>2904</v>
      </c>
      <c r="I98" s="36" t="e">
        <f t="shared" si="3"/>
        <v>#N/A</v>
      </c>
      <c r="L98" t="str">
        <f t="shared" si="4"/>
        <v>FBLKBCH</v>
      </c>
      <c r="M98" t="str">
        <f t="shared" si="5"/>
        <v>FBLKBCH</v>
      </c>
      <c r="N98" t="s">
        <v>21</v>
      </c>
      <c r="O98" t="s">
        <v>189</v>
      </c>
      <c r="P98" t="s">
        <v>189</v>
      </c>
      <c r="R98" s="43">
        <v>1.7000000000000001E-4</v>
      </c>
      <c r="S98" t="s">
        <v>523</v>
      </c>
      <c r="T98">
        <v>1</v>
      </c>
      <c r="W98" t="s">
        <v>111</v>
      </c>
      <c r="X98" t="s">
        <v>39</v>
      </c>
      <c r="Y98" s="54">
        <v>1056694.79363042</v>
      </c>
      <c r="Z98">
        <v>0</v>
      </c>
      <c r="AB98" s="3" t="s">
        <v>164</v>
      </c>
      <c r="AC98" s="32">
        <v>0.20872535</v>
      </c>
      <c r="AD98" s="32">
        <v>0.20872535</v>
      </c>
      <c r="AS98" t="str">
        <f>IF(Summary_Exchange_Balances_00UTC!$B98="","","'"&amp;C98&amp;"',")</f>
        <v>'OWETHUSDC/WETH-25NOV22-1400C',</v>
      </c>
      <c r="AT98">
        <f>IF(Summary_Exchange_Balances_00UTC!$B98="","",IF(ISERROR(HLOOKUP($C98,$AW$1:$LL$2,2,FALSE)),Summary_Exchange_Balances_00UTC!$Q98,IF(OR(HLOOKUP($C98,$AW$1:$LL$2,2,FALSE)="",HLOOKUP($C98,$AW$1:$LL$2,2,FALSE)="null"),Summary_Exchange_Balances_00UTC!$Q98,HLOOKUP($C98,$AW$1:$LL$2,2,FALSE))))</f>
        <v>0</v>
      </c>
    </row>
    <row r="99" spans="1:46" x14ac:dyDescent="0.25">
      <c r="A99" t="str">
        <f>IF(Summary_Exchange_Balances_00UTC!$B99="","",Summary_Exchange_Balances_00UTC!$N99)</f>
        <v>DEFI</v>
      </c>
      <c r="B99" t="str">
        <f>IF(Summary_Exchange_Balances_00UTC!$B99="","",Summary_Exchange_Balances_00UTC!$B99)</f>
        <v>DEFI-STRAT-2</v>
      </c>
      <c r="C99" t="str">
        <f>IF(Summary_Exchange_Balances_00UTC!$B99="","",Summary_Exchange_Balances_00UTC!$E99)</f>
        <v>OWETHUSDC/WSTETH-02DEC22-1350C</v>
      </c>
      <c r="D99" t="str">
        <f>IF(OR(Summary_Exchange_Balances_00UTC!$B99="",Summary_Exchange_Balances_00UTC!$D99=""),"",Summary_Exchange_Balances_00UTC!$D99)</f>
        <v>wallet</v>
      </c>
      <c r="E99" s="53">
        <f>IF(Summary_Exchange_Balances_00UTC!$B99="","",Summary_Exchange_Balances_00UTC!$C99)</f>
        <v>9472.1338239899997</v>
      </c>
      <c r="F99" s="53" t="e">
        <f>IF(Summary_Exchange_Balances_00UTC!$B99="","",VLOOKUP(UPPER($A99&amp;$C99),$L:$T,7,FALSE))</f>
        <v>#N/A</v>
      </c>
      <c r="G99" s="53" t="e">
        <f>IF(Summary_Exchange_Balances_00UTC!$B99="","",VLOOKUP(IF(ISERROR(SEARCH(" ", $B99)),UPPER($B99&amp;$C99&amp;$D99),UPPER(LEFT($B99, SEARCH(" ",$B99)-1)&amp;$C99&amp;$D99)),$M:$T,6,FALSE))</f>
        <v>#N/A</v>
      </c>
      <c r="H99">
        <f>IF(Summary_Exchange_Balances_00UTC!$B99="","",IF(ISERROR($G99),$E99,$G99))</f>
        <v>9472.1338239899997</v>
      </c>
      <c r="I99" s="36" t="e">
        <f t="shared" si="3"/>
        <v>#N/A</v>
      </c>
      <c r="L99" t="str">
        <f t="shared" si="4"/>
        <v>FBLKBTC</v>
      </c>
      <c r="M99" t="str">
        <f t="shared" si="5"/>
        <v>FBLKBTC</v>
      </c>
      <c r="N99" t="s">
        <v>15</v>
      </c>
      <c r="O99" t="s">
        <v>189</v>
      </c>
      <c r="P99" t="s">
        <v>189</v>
      </c>
      <c r="R99" s="43">
        <v>295.97365636000001</v>
      </c>
      <c r="S99" t="s">
        <v>523</v>
      </c>
      <c r="T99">
        <v>1</v>
      </c>
      <c r="W99" t="s">
        <v>115</v>
      </c>
      <c r="X99" t="s">
        <v>87</v>
      </c>
      <c r="Y99" s="53">
        <v>1E-8</v>
      </c>
      <c r="Z99">
        <v>0</v>
      </c>
      <c r="AB99" s="3" t="s">
        <v>260</v>
      </c>
      <c r="AC99" s="32">
        <v>47.937388089999999</v>
      </c>
      <c r="AD99" s="32">
        <v>7.9373880867000004</v>
      </c>
      <c r="AS99" t="str">
        <f>IF(Summary_Exchange_Balances_00UTC!$B99="","","'"&amp;C99&amp;"',")</f>
        <v>'OWETHUSDC/WSTETH-02DEC22-1350C',</v>
      </c>
      <c r="AT99">
        <f>IF(Summary_Exchange_Balances_00UTC!$B99="","",IF(ISERROR(HLOOKUP($C99,$AW$1:$LL$2,2,FALSE)),Summary_Exchange_Balances_00UTC!$Q99,IF(OR(HLOOKUP($C99,$AW$1:$LL$2,2,FALSE)="",HLOOKUP($C99,$AW$1:$LL$2,2,FALSE)="null"),Summary_Exchange_Balances_00UTC!$Q99,HLOOKUP($C99,$AW$1:$LL$2,2,FALSE))))</f>
        <v>0</v>
      </c>
    </row>
    <row r="100" spans="1:46" x14ac:dyDescent="0.25">
      <c r="A100" t="str">
        <f>IF(Summary_Exchange_Balances_00UTC!$B100="","",Summary_Exchange_Balances_00UTC!$N100)</f>
        <v>DEFI</v>
      </c>
      <c r="B100" t="str">
        <f>IF(Summary_Exchange_Balances_00UTC!$B100="","",Summary_Exchange_Balances_00UTC!$B100)</f>
        <v>DEFI-STRAT-2</v>
      </c>
      <c r="C100" t="str">
        <f>IF(Summary_Exchange_Balances_00UTC!$B100="","",Summary_Exchange_Balances_00UTC!$E100)</f>
        <v>OWETHUSDC/WSTETH-04NOV22-1700C</v>
      </c>
      <c r="D100" t="str">
        <f>IF(OR(Summary_Exchange_Balances_00UTC!$B100="",Summary_Exchange_Balances_00UTC!$D100=""),"",Summary_Exchange_Balances_00UTC!$D100)</f>
        <v>wallet</v>
      </c>
      <c r="E100" s="53">
        <f>IF(Summary_Exchange_Balances_00UTC!$B100="","",Summary_Exchange_Balances_00UTC!$C100)</f>
        <v>5625.02729593</v>
      </c>
      <c r="F100" s="53" t="e">
        <f>IF(Summary_Exchange_Balances_00UTC!$B100="","",VLOOKUP(UPPER($A100&amp;$C100),$L:$T,7,FALSE))</f>
        <v>#N/A</v>
      </c>
      <c r="G100" s="53" t="e">
        <f>IF(Summary_Exchange_Balances_00UTC!$B100="","",VLOOKUP(IF(ISERROR(SEARCH(" ", $B100)),UPPER($B100&amp;$C100&amp;$D100),UPPER(LEFT($B100, SEARCH(" ",$B100)-1)&amp;$C100&amp;$D100)),$M:$T,6,FALSE))</f>
        <v>#N/A</v>
      </c>
      <c r="H100">
        <f>IF(Summary_Exchange_Balances_00UTC!$B100="","",IF(ISERROR($G100),$E100,$G100))</f>
        <v>5625.02729593</v>
      </c>
      <c r="I100" s="36" t="e">
        <f t="shared" si="3"/>
        <v>#N/A</v>
      </c>
      <c r="L100" t="str">
        <f t="shared" si="4"/>
        <v>FBLKCOMP</v>
      </c>
      <c r="M100" t="str">
        <f t="shared" si="5"/>
        <v>FBLKCOMP</v>
      </c>
      <c r="N100" t="s">
        <v>32</v>
      </c>
      <c r="O100" t="s">
        <v>189</v>
      </c>
      <c r="P100" t="s">
        <v>189</v>
      </c>
      <c r="R100" s="43">
        <v>2.9860000000000002</v>
      </c>
      <c r="S100" t="s">
        <v>523</v>
      </c>
      <c r="T100">
        <v>1</v>
      </c>
      <c r="W100" t="s">
        <v>115</v>
      </c>
      <c r="X100" t="s">
        <v>21</v>
      </c>
      <c r="Y100" s="53">
        <v>4.9999999999999998E-8</v>
      </c>
      <c r="Z100">
        <v>0</v>
      </c>
      <c r="AB100" s="3" t="s">
        <v>188</v>
      </c>
      <c r="AC100" s="32">
        <v>1644286.05309931</v>
      </c>
      <c r="AD100" s="32">
        <v>1644286.05309931</v>
      </c>
      <c r="AS100" t="str">
        <f>IF(Summary_Exchange_Balances_00UTC!$B100="","","'"&amp;C100&amp;"',")</f>
        <v>'OWETHUSDC/WSTETH-04NOV22-1700C',</v>
      </c>
      <c r="AT100">
        <f>IF(Summary_Exchange_Balances_00UTC!$B100="","",IF(ISERROR(HLOOKUP($C100,$AW$1:$LL$2,2,FALSE)),Summary_Exchange_Balances_00UTC!$Q100,IF(OR(HLOOKUP($C100,$AW$1:$LL$2,2,FALSE)="",HLOOKUP($C100,$AW$1:$LL$2,2,FALSE)="null"),Summary_Exchange_Balances_00UTC!$Q100,HLOOKUP($C100,$AW$1:$LL$2,2,FALSE))))</f>
        <v>0</v>
      </c>
    </row>
    <row r="101" spans="1:46" x14ac:dyDescent="0.25">
      <c r="A101" t="str">
        <f>IF(Summary_Exchange_Balances_00UTC!$B101="","",Summary_Exchange_Balances_00UTC!$N101)</f>
        <v>DEFI</v>
      </c>
      <c r="B101" t="str">
        <f>IF(Summary_Exchange_Balances_00UTC!$B101="","",Summary_Exchange_Balances_00UTC!$B101)</f>
        <v>DEFI-STRAT-2</v>
      </c>
      <c r="C101" t="str">
        <f>IF(Summary_Exchange_Balances_00UTC!$B101="","",Summary_Exchange_Balances_00UTC!$E101)</f>
        <v>OWETHUSDC/WSTETH-09SEP22-1900C</v>
      </c>
      <c r="D101" t="str">
        <f>IF(OR(Summary_Exchange_Balances_00UTC!$B101="",Summary_Exchange_Balances_00UTC!$D101=""),"",Summary_Exchange_Balances_00UTC!$D101)</f>
        <v>wallet</v>
      </c>
      <c r="E101" s="53">
        <f>IF(Summary_Exchange_Balances_00UTC!$B101="","",Summary_Exchange_Balances_00UTC!$C101)</f>
        <v>5968</v>
      </c>
      <c r="F101" s="53" t="e">
        <f>IF(Summary_Exchange_Balances_00UTC!$B101="","",VLOOKUP(UPPER($A101&amp;$C101),$L:$T,7,FALSE))</f>
        <v>#N/A</v>
      </c>
      <c r="G101" s="53" t="e">
        <f>IF(Summary_Exchange_Balances_00UTC!$B101="","",VLOOKUP(IF(ISERROR(SEARCH(" ", $B101)),UPPER($B101&amp;$C101&amp;$D101),UPPER(LEFT($B101, SEARCH(" ",$B101)-1)&amp;$C101&amp;$D101)),$M:$T,6,FALSE))</f>
        <v>#N/A</v>
      </c>
      <c r="H101">
        <f>IF(Summary_Exchange_Balances_00UTC!$B101="","",IF(ISERROR($G101),$E101,$G101))</f>
        <v>5968</v>
      </c>
      <c r="I101" s="36" t="e">
        <f t="shared" si="3"/>
        <v>#N/A</v>
      </c>
      <c r="L101" t="str">
        <f t="shared" si="4"/>
        <v>FBLKCRV</v>
      </c>
      <c r="M101" t="str">
        <f t="shared" si="5"/>
        <v>FBLKCRV</v>
      </c>
      <c r="N101" t="s">
        <v>191</v>
      </c>
      <c r="O101" t="s">
        <v>189</v>
      </c>
      <c r="P101" t="s">
        <v>189</v>
      </c>
      <c r="R101" s="43">
        <v>9.7777784334</v>
      </c>
      <c r="S101" t="s">
        <v>523</v>
      </c>
      <c r="T101">
        <v>1</v>
      </c>
      <c r="W101" t="s">
        <v>115</v>
      </c>
      <c r="X101" t="s">
        <v>116</v>
      </c>
      <c r="Y101" s="53">
        <v>0.47315189000000002</v>
      </c>
      <c r="Z101">
        <v>0</v>
      </c>
      <c r="AB101" s="3" t="s">
        <v>165</v>
      </c>
      <c r="AC101" s="32">
        <v>97856395.370000005</v>
      </c>
      <c r="AD101" s="32">
        <v>97856389.900000006</v>
      </c>
      <c r="AS101" t="str">
        <f>IF(Summary_Exchange_Balances_00UTC!$B101="","","'"&amp;C101&amp;"',")</f>
        <v>'OWETHUSDC/WSTETH-09SEP22-1900C',</v>
      </c>
      <c r="AT101">
        <f>IF(Summary_Exchange_Balances_00UTC!$B101="","",IF(ISERROR(HLOOKUP($C101,$AW$1:$LL$2,2,FALSE)),Summary_Exchange_Balances_00UTC!$Q101,IF(OR(HLOOKUP($C101,$AW$1:$LL$2,2,FALSE)="",HLOOKUP($C101,$AW$1:$LL$2,2,FALSE)="null"),Summary_Exchange_Balances_00UTC!$Q101,HLOOKUP($C101,$AW$1:$LL$2,2,FALSE))))</f>
        <v>0</v>
      </c>
    </row>
    <row r="102" spans="1:46" x14ac:dyDescent="0.25">
      <c r="A102" t="str">
        <f>IF(Summary_Exchange_Balances_00UTC!$B102="","",Summary_Exchange_Balances_00UTC!$N102)</f>
        <v>DEFI</v>
      </c>
      <c r="B102" t="str">
        <f>IF(Summary_Exchange_Balances_00UTC!$B102="","",Summary_Exchange_Balances_00UTC!$B102)</f>
        <v>DEFI-STRAT-2</v>
      </c>
      <c r="C102" t="str">
        <f>IF(Summary_Exchange_Balances_00UTC!$B102="","",Summary_Exchange_Balances_00UTC!$E102)</f>
        <v>USDC</v>
      </c>
      <c r="D102" t="str">
        <f>IF(OR(Summary_Exchange_Balances_00UTC!$B102="",Summary_Exchange_Balances_00UTC!$D102=""),"",Summary_Exchange_Balances_00UTC!$D102)</f>
        <v>wallet</v>
      </c>
      <c r="E102" s="53">
        <f>IF(Summary_Exchange_Balances_00UTC!$B102="","",Summary_Exchange_Balances_00UTC!$C102)</f>
        <v>60000</v>
      </c>
      <c r="F102" s="53" t="e">
        <f>IF(Summary_Exchange_Balances_00UTC!$B102="","",VLOOKUP(UPPER($A102&amp;$C102),$L:$T,7,FALSE))</f>
        <v>#N/A</v>
      </c>
      <c r="G102" s="53" t="e">
        <f>IF(Summary_Exchange_Balances_00UTC!$B102="","",VLOOKUP(IF(ISERROR(SEARCH(" ", $B102)),UPPER($B102&amp;$C102&amp;$D102),UPPER(LEFT($B102, SEARCH(" ",$B102)-1)&amp;$C102&amp;$D102)),$M:$T,6,FALSE))</f>
        <v>#N/A</v>
      </c>
      <c r="H102">
        <f>IF(Summary_Exchange_Balances_00UTC!$B102="","",IF(ISERROR($G102),$E102,$G102))</f>
        <v>60000</v>
      </c>
      <c r="I102" s="36" t="e">
        <f t="shared" si="3"/>
        <v>#N/A</v>
      </c>
      <c r="L102" t="str">
        <f t="shared" si="4"/>
        <v>FBLKDOT</v>
      </c>
      <c r="M102" t="str">
        <f t="shared" si="5"/>
        <v>FBLKDOT</v>
      </c>
      <c r="N102" t="s">
        <v>23</v>
      </c>
      <c r="O102" t="s">
        <v>189</v>
      </c>
      <c r="P102" t="s">
        <v>189</v>
      </c>
      <c r="R102" s="43">
        <v>2.0019999999999998</v>
      </c>
      <c r="S102" t="s">
        <v>523</v>
      </c>
      <c r="T102">
        <v>1</v>
      </c>
      <c r="W102" t="s">
        <v>115</v>
      </c>
      <c r="X102" t="s">
        <v>15</v>
      </c>
      <c r="Y102" s="53">
        <v>4.0000000000000001E-8</v>
      </c>
      <c r="Z102">
        <v>0</v>
      </c>
      <c r="AB102" s="3" t="s">
        <v>166</v>
      </c>
      <c r="AC102" s="32">
        <v>4.5994865699999998</v>
      </c>
      <c r="AD102" s="32">
        <v>4.5994864700000004</v>
      </c>
      <c r="AS102" t="str">
        <f>IF(Summary_Exchange_Balances_00UTC!$B102="","","'"&amp;C102&amp;"',")</f>
        <v>'USDC',</v>
      </c>
      <c r="AT102">
        <f>IF(Summary_Exchange_Balances_00UTC!$B102="","",IF(ISERROR(HLOOKUP($C102,$AW$1:$LL$2,2,FALSE)),Summary_Exchange_Balances_00UTC!$Q102,IF(OR(HLOOKUP($C102,$AW$1:$LL$2,2,FALSE)="",HLOOKUP($C102,$AW$1:$LL$2,2,FALSE)="null"),Summary_Exchange_Balances_00UTC!$Q102,HLOOKUP($C102,$AW$1:$LL$2,2,FALSE))))</f>
        <v>0.99997952530443501</v>
      </c>
    </row>
    <row r="103" spans="1:46" x14ac:dyDescent="0.25">
      <c r="A103" t="str">
        <f>IF(Summary_Exchange_Balances_00UTC!$B103="","",Summary_Exchange_Balances_00UTC!$N103)</f>
        <v>DEFI</v>
      </c>
      <c r="B103" t="str">
        <f>IF(Summary_Exchange_Balances_00UTC!$B103="","",Summary_Exchange_Balances_00UTC!$B103)</f>
        <v>DEFI-STRAT-2</v>
      </c>
      <c r="C103" t="str">
        <f>IF(Summary_Exchange_Balances_00UTC!$B103="","",Summary_Exchange_Balances_00UTC!$E103)</f>
        <v>WAVAX</v>
      </c>
      <c r="D103" t="str">
        <f>IF(OR(Summary_Exchange_Balances_00UTC!$B103="",Summary_Exchange_Balances_00UTC!$D103=""),"",Summary_Exchange_Balances_00UTC!$D103)</f>
        <v>wallet</v>
      </c>
      <c r="E103" s="53">
        <f>IF(Summary_Exchange_Balances_00UTC!$B103="","",Summary_Exchange_Balances_00UTC!$C103)</f>
        <v>188.04277877999999</v>
      </c>
      <c r="F103" s="53" t="e">
        <f>IF(Summary_Exchange_Balances_00UTC!$B103="","",VLOOKUP(UPPER($A103&amp;$C103),$L:$T,7,FALSE))</f>
        <v>#N/A</v>
      </c>
      <c r="G103" s="53" t="e">
        <f>IF(Summary_Exchange_Balances_00UTC!$B103="","",VLOOKUP(IF(ISERROR(SEARCH(" ", $B103)),UPPER($B103&amp;$C103&amp;$D103),UPPER(LEFT($B103, SEARCH(" ",$B103)-1)&amp;$C103&amp;$D103)),$M:$T,6,FALSE))</f>
        <v>#N/A</v>
      </c>
      <c r="H103">
        <f>IF(Summary_Exchange_Balances_00UTC!$B103="","",IF(ISERROR($G103),$E103,$G103))</f>
        <v>188.04277877999999</v>
      </c>
      <c r="I103" s="36" t="e">
        <f t="shared" si="3"/>
        <v>#N/A</v>
      </c>
      <c r="L103" t="str">
        <f t="shared" si="4"/>
        <v>FBLKENJ</v>
      </c>
      <c r="M103" t="str">
        <f t="shared" si="5"/>
        <v>FBLKENJ</v>
      </c>
      <c r="N103" t="s">
        <v>29</v>
      </c>
      <c r="O103" t="s">
        <v>189</v>
      </c>
      <c r="P103" t="s">
        <v>189</v>
      </c>
      <c r="R103" s="43">
        <v>119.1955</v>
      </c>
      <c r="S103" t="s">
        <v>523</v>
      </c>
      <c r="T103">
        <v>1</v>
      </c>
      <c r="W103" t="s">
        <v>115</v>
      </c>
      <c r="X103" t="s">
        <v>24</v>
      </c>
      <c r="Y103" s="53">
        <v>2.9999999999999997E-8</v>
      </c>
      <c r="Z103">
        <v>0</v>
      </c>
      <c r="AB103" s="3" t="s">
        <v>102</v>
      </c>
      <c r="AC103" s="32">
        <v>121173.85935973997</v>
      </c>
      <c r="AD103" s="32">
        <v>5911849.8314065095</v>
      </c>
      <c r="AS103" t="str">
        <f>IF(Summary_Exchange_Balances_00UTC!$B103="","","'"&amp;C103&amp;"',")</f>
        <v>'WAVAX',</v>
      </c>
      <c r="AT103">
        <f>IF(Summary_Exchange_Balances_00UTC!$B103="","",IF(ISERROR(HLOOKUP($C103,$AW$1:$LL$2,2,FALSE)),Summary_Exchange_Balances_00UTC!$Q103,IF(OR(HLOOKUP($C103,$AW$1:$LL$2,2,FALSE)="",HLOOKUP($C103,$AW$1:$LL$2,2,FALSE)="null"),Summary_Exchange_Balances_00UTC!$Q103,HLOOKUP($C103,$AW$1:$LL$2,2,FALSE))))</f>
        <v>13.716012471782937</v>
      </c>
    </row>
    <row r="104" spans="1:46" x14ac:dyDescent="0.25">
      <c r="A104" t="str">
        <f>IF(Summary_Exchange_Balances_00UTC!$B104="","",Summary_Exchange_Balances_00UTC!$N104)</f>
        <v>DEFI</v>
      </c>
      <c r="B104" t="str">
        <f>IF(Summary_Exchange_Balances_00UTC!$B104="","",Summary_Exchange_Balances_00UTC!$B104)</f>
        <v>DEFI-STRAT-2</v>
      </c>
      <c r="C104" t="str">
        <f>IF(Summary_Exchange_Balances_00UTC!$B104="","",Summary_Exchange_Balances_00UTC!$E104)</f>
        <v>WETH</v>
      </c>
      <c r="D104" t="str">
        <f>IF(OR(Summary_Exchange_Balances_00UTC!$B104="",Summary_Exchange_Balances_00UTC!$D104=""),"",Summary_Exchange_Balances_00UTC!$D104)</f>
        <v>wallet</v>
      </c>
      <c r="E104" s="53">
        <f>IF(Summary_Exchange_Balances_00UTC!$B104="","",Summary_Exchange_Balances_00UTC!$C104)</f>
        <v>154.70349367</v>
      </c>
      <c r="F104" s="53" t="e">
        <f>IF(Summary_Exchange_Balances_00UTC!$B104="","",VLOOKUP(UPPER($A104&amp;$C104),$L:$T,7,FALSE))</f>
        <v>#N/A</v>
      </c>
      <c r="G104" s="53" t="e">
        <f>IF(Summary_Exchange_Balances_00UTC!$B104="","",VLOOKUP(IF(ISERROR(SEARCH(" ", $B104)),UPPER($B104&amp;$C104&amp;$D104),UPPER(LEFT($B104, SEARCH(" ",$B104)-1)&amp;$C104&amp;$D104)),$M:$T,6,FALSE))</f>
        <v>#N/A</v>
      </c>
      <c r="H104">
        <f>IF(Summary_Exchange_Balances_00UTC!$B104="","",IF(ISERROR($G104),$E104,$G104))</f>
        <v>154.70349367</v>
      </c>
      <c r="I104" s="36" t="e">
        <f t="shared" si="3"/>
        <v>#N/A</v>
      </c>
      <c r="L104" t="str">
        <f t="shared" si="4"/>
        <v>FBLKEOS</v>
      </c>
      <c r="M104" t="str">
        <f t="shared" si="5"/>
        <v>FBLKEOS</v>
      </c>
      <c r="N104" t="s">
        <v>24</v>
      </c>
      <c r="O104" t="s">
        <v>189</v>
      </c>
      <c r="P104" t="s">
        <v>189</v>
      </c>
      <c r="R104" s="43">
        <v>3.5000000000000001E-3</v>
      </c>
      <c r="S104" t="s">
        <v>523</v>
      </c>
      <c r="T104">
        <v>1</v>
      </c>
      <c r="W104" t="s">
        <v>115</v>
      </c>
      <c r="X104" t="s">
        <v>30</v>
      </c>
      <c r="Y104" s="53">
        <v>1E-8</v>
      </c>
      <c r="Z104">
        <v>0</v>
      </c>
      <c r="AB104" s="3" t="s">
        <v>167</v>
      </c>
      <c r="AC104" s="32">
        <v>3.9304560899999998</v>
      </c>
      <c r="AD104" s="32">
        <v>3.9304560899999998</v>
      </c>
      <c r="AS104" t="str">
        <f>IF(Summary_Exchange_Balances_00UTC!$B104="","","'"&amp;C104&amp;"',")</f>
        <v>'WETH',</v>
      </c>
      <c r="AT104">
        <f>IF(Summary_Exchange_Balances_00UTC!$B104="","",IF(ISERROR(HLOOKUP($C104,$AW$1:$LL$2,2,FALSE)),Summary_Exchange_Balances_00UTC!$Q104,IF(OR(HLOOKUP($C104,$AW$1:$LL$2,2,FALSE)="",HLOOKUP($C104,$AW$1:$LL$2,2,FALSE)="null"),Summary_Exchange_Balances_00UTC!$Q104,HLOOKUP($C104,$AW$1:$LL$2,2,FALSE))))</f>
        <v>1307.5527369704037</v>
      </c>
    </row>
    <row r="105" spans="1:46" x14ac:dyDescent="0.25">
      <c r="A105" t="str">
        <f>IF(Summary_Exchange_Balances_00UTC!$B105="","",Summary_Exchange_Balances_00UTC!$N105)</f>
        <v>DEFI</v>
      </c>
      <c r="B105" t="str">
        <f>IF(Summary_Exchange_Balances_00UTC!$B105="","",Summary_Exchange_Balances_00UTC!$B105)</f>
        <v>DEFI-STRAT-3</v>
      </c>
      <c r="C105" t="str">
        <f>IF(Summary_Exchange_Balances_00UTC!$B105="","",Summary_Exchange_Balances_00UTC!$E105)</f>
        <v>CRV</v>
      </c>
      <c r="D105" t="str">
        <f>IF(OR(Summary_Exchange_Balances_00UTC!$B105="",Summary_Exchange_Balances_00UTC!$D105=""),"",Summary_Exchange_Balances_00UTC!$D105)</f>
        <v>reward_token</v>
      </c>
      <c r="E105" s="53">
        <f>IF(Summary_Exchange_Balances_00UTC!$B105="","",Summary_Exchange_Balances_00UTC!$C105)</f>
        <v>95.239435409999999</v>
      </c>
      <c r="F105" s="53" t="e">
        <f>IF(Summary_Exchange_Balances_00UTC!$B105="","",VLOOKUP(UPPER($A105&amp;$C105),$L:$T,7,FALSE))</f>
        <v>#N/A</v>
      </c>
      <c r="G105" s="53" t="e">
        <f>IF(Summary_Exchange_Balances_00UTC!$B105="","",VLOOKUP(IF(ISERROR(SEARCH(" ", $B105)),UPPER($B105&amp;$C105&amp;$D105),UPPER(LEFT($B105, SEARCH(" ",$B105)-1)&amp;$C105&amp;$D105)),$M:$T,6,FALSE))</f>
        <v>#N/A</v>
      </c>
      <c r="H105">
        <f>IF(Summary_Exchange_Balances_00UTC!$B105="","",IF(ISERROR($G105),$E105,$G105))</f>
        <v>95.239435409999999</v>
      </c>
      <c r="I105" s="36" t="e">
        <f t="shared" si="3"/>
        <v>#N/A</v>
      </c>
      <c r="L105" t="str">
        <f t="shared" si="4"/>
        <v>FBLKETC</v>
      </c>
      <c r="M105" t="str">
        <f t="shared" si="5"/>
        <v>FBLKETC</v>
      </c>
      <c r="N105" t="s">
        <v>30</v>
      </c>
      <c r="O105" t="s">
        <v>189</v>
      </c>
      <c r="P105" t="s">
        <v>189</v>
      </c>
      <c r="R105" s="43">
        <v>5.8799999999999999E-5</v>
      </c>
      <c r="S105" t="s">
        <v>523</v>
      </c>
      <c r="T105">
        <v>1</v>
      </c>
      <c r="W105" t="s">
        <v>115</v>
      </c>
      <c r="X105" t="s">
        <v>16</v>
      </c>
      <c r="Y105" s="53">
        <v>2.9999999999999997E-8</v>
      </c>
      <c r="Z105">
        <v>0</v>
      </c>
      <c r="AB105" s="3" t="s">
        <v>174</v>
      </c>
      <c r="AC105" s="32">
        <v>-3.9220344200000006</v>
      </c>
      <c r="AD105" s="32">
        <v>0.10989069999999999</v>
      </c>
      <c r="AS105" t="str">
        <f>IF(Summary_Exchange_Balances_00UTC!$B105="","","'"&amp;C105&amp;"',")</f>
        <v>'CRV',</v>
      </c>
      <c r="AT105">
        <f>IF(Summary_Exchange_Balances_00UTC!$B105="","",IF(ISERROR(HLOOKUP($C105,$AW$1:$LL$2,2,FALSE)),Summary_Exchange_Balances_00UTC!$Q105,IF(OR(HLOOKUP($C105,$AW$1:$LL$2,2,FALSE)="",HLOOKUP($C105,$AW$1:$LL$2,2,FALSE)="null"),Summary_Exchange_Balances_00UTC!$Q105,HLOOKUP($C105,$AW$1:$LL$2,2,FALSE))))</f>
        <v>0.55510000000000004</v>
      </c>
    </row>
    <row r="106" spans="1:46" x14ac:dyDescent="0.25">
      <c r="A106" t="str">
        <f>IF(Summary_Exchange_Balances_00UTC!$B106="","",Summary_Exchange_Balances_00UTC!$N106)</f>
        <v>DEFI</v>
      </c>
      <c r="B106" t="str">
        <f>IF(Summary_Exchange_Balances_00UTC!$B106="","",Summary_Exchange_Balances_00UTC!$B106)</f>
        <v>DEFI-STRAT-3</v>
      </c>
      <c r="C106" t="str">
        <f>IF(Summary_Exchange_Balances_00UTC!$B106="","",Summary_Exchange_Balances_00UTC!$E106)</f>
        <v>CVX</v>
      </c>
      <c r="D106" t="str">
        <f>IF(OR(Summary_Exchange_Balances_00UTC!$B106="",Summary_Exchange_Balances_00UTC!$D106=""),"",Summary_Exchange_Balances_00UTC!$D106)</f>
        <v>reward_token</v>
      </c>
      <c r="E106" s="53">
        <f>IF(Summary_Exchange_Balances_00UTC!$B106="","",Summary_Exchange_Balances_00UTC!$C106)</f>
        <v>3.4335947500000001</v>
      </c>
      <c r="F106" s="53" t="e">
        <f>IF(Summary_Exchange_Balances_00UTC!$B106="","",VLOOKUP(UPPER($A106&amp;$C106),$L:$T,7,FALSE))</f>
        <v>#N/A</v>
      </c>
      <c r="G106" s="53" t="e">
        <f>IF(Summary_Exchange_Balances_00UTC!$B106="","",VLOOKUP(IF(ISERROR(SEARCH(" ", $B106)),UPPER($B106&amp;$C106&amp;$D106),UPPER(LEFT($B106, SEARCH(" ",$B106)-1)&amp;$C106&amp;$D106)),$M:$T,6,FALSE))</f>
        <v>#N/A</v>
      </c>
      <c r="H106">
        <f>IF(Summary_Exchange_Balances_00UTC!$B106="","",IF(ISERROR($G106),$E106,$G106))</f>
        <v>3.4335947500000001</v>
      </c>
      <c r="I106" s="36" t="e">
        <f t="shared" si="3"/>
        <v>#N/A</v>
      </c>
      <c r="L106" t="str">
        <f t="shared" si="4"/>
        <v>FBLKETH</v>
      </c>
      <c r="M106" t="str">
        <f t="shared" si="5"/>
        <v>FBLKETH</v>
      </c>
      <c r="N106" t="s">
        <v>16</v>
      </c>
      <c r="O106" t="s">
        <v>189</v>
      </c>
      <c r="P106" t="s">
        <v>189</v>
      </c>
      <c r="R106" s="43">
        <v>456.85530205179998</v>
      </c>
      <c r="S106" t="s">
        <v>523</v>
      </c>
      <c r="T106">
        <v>1</v>
      </c>
      <c r="W106" t="s">
        <v>115</v>
      </c>
      <c r="X106" t="s">
        <v>25</v>
      </c>
      <c r="Y106" s="53">
        <v>1E-8</v>
      </c>
      <c r="Z106">
        <v>0</v>
      </c>
      <c r="AB106" s="3" t="s">
        <v>120</v>
      </c>
      <c r="AC106" s="32">
        <v>1.572583E-2</v>
      </c>
      <c r="AD106" s="32">
        <v>1.572583E-2</v>
      </c>
      <c r="AS106" t="str">
        <f>IF(Summary_Exchange_Balances_00UTC!$B106="","","'"&amp;C106&amp;"',")</f>
        <v>'CVX',</v>
      </c>
      <c r="AT106">
        <f>IF(Summary_Exchange_Balances_00UTC!$B106="","",IF(ISERROR(HLOOKUP($C106,$AW$1:$LL$2,2,FALSE)),Summary_Exchange_Balances_00UTC!$Q106,IF(OR(HLOOKUP($C106,$AW$1:$LL$2,2,FALSE)="",HLOOKUP($C106,$AW$1:$LL$2,2,FALSE)="null"),Summary_Exchange_Balances_00UTC!$Q106,HLOOKUP($C106,$AW$1:$LL$2,2,FALSE))))</f>
        <v>3.9590679999999998</v>
      </c>
    </row>
    <row r="107" spans="1:46" x14ac:dyDescent="0.25">
      <c r="A107" t="str">
        <f>IF(Summary_Exchange_Balances_00UTC!$B107="","",Summary_Exchange_Balances_00UTC!$N107)</f>
        <v>DEFI</v>
      </c>
      <c r="B107" t="str">
        <f>IF(Summary_Exchange_Balances_00UTC!$B107="","",Summary_Exchange_Balances_00UTC!$B107)</f>
        <v>DEFI-STRAT-3</v>
      </c>
      <c r="C107" t="str">
        <f>IF(Summary_Exchange_Balances_00UTC!$B107="","",Summary_Exchange_Balances_00UTC!$E107)</f>
        <v>DAI</v>
      </c>
      <c r="D107" t="str">
        <f>IF(OR(Summary_Exchange_Balances_00UTC!$B107="",Summary_Exchange_Balances_00UTC!$D107=""),"",Summary_Exchange_Balances_00UTC!$D107)</f>
        <v>supply_token</v>
      </c>
      <c r="E107" s="53">
        <f>IF(Summary_Exchange_Balances_00UTC!$B107="","",Summary_Exchange_Balances_00UTC!$C107)</f>
        <v>168347.15939687999</v>
      </c>
      <c r="F107" s="53" t="e">
        <f>IF(Summary_Exchange_Balances_00UTC!$B107="","",VLOOKUP(UPPER($A107&amp;$C107),$L:$T,7,FALSE))</f>
        <v>#N/A</v>
      </c>
      <c r="G107" s="53" t="e">
        <f>IF(Summary_Exchange_Balances_00UTC!$B107="","",VLOOKUP(IF(ISERROR(SEARCH(" ", $B107)),UPPER($B107&amp;$C107&amp;$D107),UPPER(LEFT($B107, SEARCH(" ",$B107)-1)&amp;$C107&amp;$D107)),$M:$T,6,FALSE))</f>
        <v>#N/A</v>
      </c>
      <c r="H107">
        <f>IF(Summary_Exchange_Balances_00UTC!$B107="","",IF(ISERROR($G107),$E107,$G107))</f>
        <v>168347.15939687999</v>
      </c>
      <c r="I107" s="36" t="e">
        <f t="shared" si="3"/>
        <v>#N/A</v>
      </c>
      <c r="L107" t="str">
        <f t="shared" si="4"/>
        <v>FBLKETHW</v>
      </c>
      <c r="M107" t="str">
        <f t="shared" si="5"/>
        <v>FBLKETHW</v>
      </c>
      <c r="N107" t="s">
        <v>275</v>
      </c>
      <c r="O107" t="s">
        <v>189</v>
      </c>
      <c r="P107" t="s">
        <v>189</v>
      </c>
      <c r="R107" s="43">
        <v>4.0610759158</v>
      </c>
      <c r="S107" t="s">
        <v>523</v>
      </c>
      <c r="T107">
        <v>1</v>
      </c>
      <c r="W107" t="s">
        <v>115</v>
      </c>
      <c r="X107" t="s">
        <v>26</v>
      </c>
      <c r="Y107" s="53">
        <v>1E-8</v>
      </c>
      <c r="Z107">
        <v>0</v>
      </c>
      <c r="AB107" s="3" t="s">
        <v>168</v>
      </c>
      <c r="AC107" s="32">
        <v>2.173E-4</v>
      </c>
      <c r="AD107" s="32">
        <v>2.173E-4</v>
      </c>
      <c r="AS107" t="str">
        <f>IF(Summary_Exchange_Balances_00UTC!$B107="","","'"&amp;C107&amp;"',")</f>
        <v>'DAI',</v>
      </c>
      <c r="AT107">
        <f>IF(Summary_Exchange_Balances_00UTC!$B107="","",IF(ISERROR(HLOOKUP($C107,$AW$1:$LL$2,2,FALSE)),Summary_Exchange_Balances_00UTC!$Q107,IF(OR(HLOOKUP($C107,$AW$1:$LL$2,2,FALSE)="",HLOOKUP($C107,$AW$1:$LL$2,2,FALSE)="null"),Summary_Exchange_Balances_00UTC!$Q107,HLOOKUP($C107,$AW$1:$LL$2,2,FALSE))))</f>
        <v>0.99957398624469274</v>
      </c>
    </row>
    <row r="108" spans="1:46" x14ac:dyDescent="0.25">
      <c r="A108" t="str">
        <f>IF(Summary_Exchange_Balances_00UTC!$B108="","",Summary_Exchange_Balances_00UTC!$N108)</f>
        <v>DEFI</v>
      </c>
      <c r="B108" t="str">
        <f>IF(Summary_Exchange_Balances_00UTC!$B108="","",Summary_Exchange_Balances_00UTC!$B108)</f>
        <v>DEFI-STRAT-3</v>
      </c>
      <c r="C108" t="str">
        <f>IF(Summary_Exchange_Balances_00UTC!$B108="","",Summary_Exchange_Balances_00UTC!$E108)</f>
        <v>ETH</v>
      </c>
      <c r="D108" t="str">
        <f>IF(OR(Summary_Exchange_Balances_00UTC!$B108="",Summary_Exchange_Balances_00UTC!$D108=""),"",Summary_Exchange_Balances_00UTC!$D108)</f>
        <v>wallet</v>
      </c>
      <c r="E108" s="53">
        <f>IF(Summary_Exchange_Balances_00UTC!$B108="","",Summary_Exchange_Balances_00UTC!$C108)</f>
        <v>0.56165878999999996</v>
      </c>
      <c r="F108" s="53" t="e">
        <f>IF(Summary_Exchange_Balances_00UTC!$B108="","",VLOOKUP(UPPER($A108&amp;$C108),$L:$T,7,FALSE))</f>
        <v>#N/A</v>
      </c>
      <c r="G108" s="53" t="e">
        <f>IF(Summary_Exchange_Balances_00UTC!$B108="","",VLOOKUP(IF(ISERROR(SEARCH(" ", $B108)),UPPER($B108&amp;$C108&amp;$D108),UPPER(LEFT($B108, SEARCH(" ",$B108)-1)&amp;$C108&amp;$D108)),$M:$T,6,FALSE))</f>
        <v>#N/A</v>
      </c>
      <c r="H108">
        <f>IF(Summary_Exchange_Balances_00UTC!$B108="","",IF(ISERROR($G108),$E108,$G108))</f>
        <v>0.56165878999999996</v>
      </c>
      <c r="I108" s="36" t="e">
        <f t="shared" si="3"/>
        <v>#N/A</v>
      </c>
      <c r="L108" t="str">
        <f t="shared" si="4"/>
        <v>FBLKEUROC_ETH_F5NG</v>
      </c>
      <c r="M108" t="str">
        <f t="shared" si="5"/>
        <v>FBLKEUROC_ETH_F5NG</v>
      </c>
      <c r="N108" t="s">
        <v>335</v>
      </c>
      <c r="O108" t="s">
        <v>189</v>
      </c>
      <c r="P108" t="s">
        <v>189</v>
      </c>
      <c r="R108" s="43">
        <v>5024</v>
      </c>
      <c r="S108" t="s">
        <v>523</v>
      </c>
      <c r="T108">
        <v>1</v>
      </c>
      <c r="W108" t="s">
        <v>115</v>
      </c>
      <c r="X108" t="s">
        <v>102</v>
      </c>
      <c r="Y108" s="53">
        <v>9.9999999999999995E-8</v>
      </c>
      <c r="Z108">
        <v>0</v>
      </c>
      <c r="AB108" s="3" t="s">
        <v>27</v>
      </c>
      <c r="AC108" s="32">
        <v>20728029.011589929</v>
      </c>
      <c r="AD108" s="32">
        <v>20815967.1558218</v>
      </c>
      <c r="AS108" t="str">
        <f>IF(Summary_Exchange_Balances_00UTC!$B108="","","'"&amp;C108&amp;"',")</f>
        <v>'ETH',</v>
      </c>
      <c r="AT108">
        <f>IF(Summary_Exchange_Balances_00UTC!$B108="","",IF(ISERROR(HLOOKUP($C108,$AW$1:$LL$2,2,FALSE)),Summary_Exchange_Balances_00UTC!$Q108,IF(OR(HLOOKUP($C108,$AW$1:$LL$2,2,FALSE)="",HLOOKUP($C108,$AW$1:$LL$2,2,FALSE)="null"),Summary_Exchange_Balances_00UTC!$Q108,HLOOKUP($C108,$AW$1:$LL$2,2,FALSE))))</f>
        <v>1208.73</v>
      </c>
    </row>
    <row r="109" spans="1:46" x14ac:dyDescent="0.25">
      <c r="A109" t="str">
        <f>IF(Summary_Exchange_Balances_00UTC!$B109="","",Summary_Exchange_Balances_00UTC!$N109)</f>
        <v>DEFI</v>
      </c>
      <c r="B109" t="str">
        <f>IF(Summary_Exchange_Balances_00UTC!$B109="","",Summary_Exchange_Balances_00UTC!$B109)</f>
        <v>DEFI-STRAT-3</v>
      </c>
      <c r="C109" t="str">
        <f>IF(Summary_Exchange_Balances_00UTC!$B109="","",Summary_Exchange_Balances_00UTC!$E109)</f>
        <v>MIM</v>
      </c>
      <c r="D109" t="str">
        <f>IF(OR(Summary_Exchange_Balances_00UTC!$B109="",Summary_Exchange_Balances_00UTC!$D109=""),"",Summary_Exchange_Balances_00UTC!$D109)</f>
        <v>supply_token</v>
      </c>
      <c r="E109" s="53">
        <f>IF(Summary_Exchange_Balances_00UTC!$B109="","",Summary_Exchange_Balances_00UTC!$C109)</f>
        <v>524889.41030044004</v>
      </c>
      <c r="F109" s="53" t="e">
        <f>IF(Summary_Exchange_Balances_00UTC!$B109="","",VLOOKUP(UPPER($A109&amp;$C109),$L:$T,7,FALSE))</f>
        <v>#N/A</v>
      </c>
      <c r="G109" s="53" t="e">
        <f>IF(Summary_Exchange_Balances_00UTC!$B109="","",VLOOKUP(IF(ISERROR(SEARCH(" ", $B109)),UPPER($B109&amp;$C109&amp;$D109),UPPER(LEFT($B109, SEARCH(" ",$B109)-1)&amp;$C109&amp;$D109)),$M:$T,6,FALSE))</f>
        <v>#N/A</v>
      </c>
      <c r="H109">
        <f>IF(Summary_Exchange_Balances_00UTC!$B109="","",IF(ISERROR($G109),$E109,$G109))</f>
        <v>524889.41030044004</v>
      </c>
      <c r="I109" s="36" t="e">
        <f t="shared" si="3"/>
        <v>#N/A</v>
      </c>
      <c r="L109" t="str">
        <f t="shared" si="4"/>
        <v>FBLKFTM_FANTOM</v>
      </c>
      <c r="M109" t="str">
        <f t="shared" si="5"/>
        <v>FBLKFTM_FANTOM</v>
      </c>
      <c r="N109" t="s">
        <v>336</v>
      </c>
      <c r="O109" t="s">
        <v>189</v>
      </c>
      <c r="P109" t="s">
        <v>189</v>
      </c>
      <c r="R109" s="43">
        <v>8.9826517890000002</v>
      </c>
      <c r="S109" t="s">
        <v>523</v>
      </c>
      <c r="T109">
        <v>1</v>
      </c>
      <c r="W109" t="s">
        <v>115</v>
      </c>
      <c r="X109" t="s">
        <v>87</v>
      </c>
      <c r="Y109" s="53">
        <v>5.7406599999999999E-3</v>
      </c>
      <c r="Z109">
        <v>0</v>
      </c>
      <c r="AB109" s="3" t="s">
        <v>284</v>
      </c>
      <c r="AC109" s="32"/>
      <c r="AD109" s="32"/>
      <c r="AS109" t="str">
        <f>IF(Summary_Exchange_Balances_00UTC!$B109="","","'"&amp;C109&amp;"',")</f>
        <v>'MIM',</v>
      </c>
      <c r="AT109">
        <f>IF(Summary_Exchange_Balances_00UTC!$B109="","",IF(ISERROR(HLOOKUP($C109,$AW$1:$LL$2,2,FALSE)),Summary_Exchange_Balances_00UTC!$Q109,IF(OR(HLOOKUP($C109,$AW$1:$LL$2,2,FALSE)="",HLOOKUP($C109,$AW$1:$LL$2,2,FALSE)="null"),Summary_Exchange_Balances_00UTC!$Q109,HLOOKUP($C109,$AW$1:$LL$2,2,FALSE))))</f>
        <v>0.99578006240177297</v>
      </c>
    </row>
    <row r="110" spans="1:46" x14ac:dyDescent="0.25">
      <c r="A110" t="str">
        <f>IF(Summary_Exchange_Balances_00UTC!$B110="","",Summary_Exchange_Balances_00UTC!$N110)</f>
        <v>DEFI</v>
      </c>
      <c r="B110" t="str">
        <f>IF(Summary_Exchange_Balances_00UTC!$B110="","",Summary_Exchange_Balances_00UTC!$B110)</f>
        <v>DEFI-STRAT-3</v>
      </c>
      <c r="C110" t="str">
        <f>IF(Summary_Exchange_Balances_00UTC!$B110="","",Summary_Exchange_Balances_00UTC!$E110)</f>
        <v>USDC</v>
      </c>
      <c r="D110" t="str">
        <f>IF(OR(Summary_Exchange_Balances_00UTC!$B110="",Summary_Exchange_Balances_00UTC!$D110=""),"",Summary_Exchange_Balances_00UTC!$D110)</f>
        <v>supply_token</v>
      </c>
      <c r="E110" s="53">
        <f>IF(Summary_Exchange_Balances_00UTC!$B110="","",Summary_Exchange_Balances_00UTC!$C110)</f>
        <v>160870.93304174001</v>
      </c>
      <c r="F110" s="53" t="e">
        <f>IF(Summary_Exchange_Balances_00UTC!$B110="","",VLOOKUP(UPPER($A110&amp;$C110),$L:$T,7,FALSE))</f>
        <v>#N/A</v>
      </c>
      <c r="G110" s="53" t="e">
        <f>IF(Summary_Exchange_Balances_00UTC!$B110="","",VLOOKUP(IF(ISERROR(SEARCH(" ", $B110)),UPPER($B110&amp;$C110&amp;$D110),UPPER(LEFT($B110, SEARCH(" ",$B110)-1)&amp;$C110&amp;$D110)),$M:$T,6,FALSE))</f>
        <v>#N/A</v>
      </c>
      <c r="H110">
        <f>IF(Summary_Exchange_Balances_00UTC!$B110="","",IF(ISERROR($G110),$E110,$G110))</f>
        <v>160870.93304174001</v>
      </c>
      <c r="I110" s="36" t="e">
        <f t="shared" si="3"/>
        <v>#N/A</v>
      </c>
      <c r="L110" t="str">
        <f t="shared" si="4"/>
        <v>FBLKFTT</v>
      </c>
      <c r="M110" t="str">
        <f t="shared" si="5"/>
        <v>FBLKFTT</v>
      </c>
      <c r="N110" t="s">
        <v>112</v>
      </c>
      <c r="O110" t="s">
        <v>189</v>
      </c>
      <c r="P110" t="s">
        <v>189</v>
      </c>
      <c r="R110" s="43">
        <v>2.53888889</v>
      </c>
      <c r="S110" t="s">
        <v>523</v>
      </c>
      <c r="T110">
        <v>1</v>
      </c>
      <c r="W110" t="s">
        <v>115</v>
      </c>
      <c r="X110" t="s">
        <v>21</v>
      </c>
      <c r="Y110" s="53">
        <v>0.72885027999999996</v>
      </c>
      <c r="Z110">
        <v>0</v>
      </c>
      <c r="AB110" s="3" t="s">
        <v>59</v>
      </c>
      <c r="AC110" s="32">
        <v>-6404318168.3842831</v>
      </c>
      <c r="AD110" s="32">
        <v>-6645215234.3684444</v>
      </c>
      <c r="AS110" t="str">
        <f>IF(Summary_Exchange_Balances_00UTC!$B110="","","'"&amp;C110&amp;"',")</f>
        <v>'USDC',</v>
      </c>
      <c r="AT110">
        <f>IF(Summary_Exchange_Balances_00UTC!$B110="","",IF(ISERROR(HLOOKUP($C110,$AW$1:$LL$2,2,FALSE)),Summary_Exchange_Balances_00UTC!$Q110,IF(OR(HLOOKUP($C110,$AW$1:$LL$2,2,FALSE)="",HLOOKUP($C110,$AW$1:$LL$2,2,FALSE)="null"),Summary_Exchange_Balances_00UTC!$Q110,HLOOKUP($C110,$AW$1:$LL$2,2,FALSE))))</f>
        <v>0.99997952530443046</v>
      </c>
    </row>
    <row r="111" spans="1:46" x14ac:dyDescent="0.25">
      <c r="A111" t="str">
        <f>IF(Summary_Exchange_Balances_00UTC!$B111="","",Summary_Exchange_Balances_00UTC!$N111)</f>
        <v>DEFI</v>
      </c>
      <c r="B111" t="str">
        <f>IF(Summary_Exchange_Balances_00UTC!$B111="","",Summary_Exchange_Balances_00UTC!$B111)</f>
        <v>DEFI-STRAT-3</v>
      </c>
      <c r="C111" t="str">
        <f>IF(Summary_Exchange_Balances_00UTC!$B111="","",Summary_Exchange_Balances_00UTC!$E111)</f>
        <v>USDC</v>
      </c>
      <c r="D111" t="str">
        <f>IF(OR(Summary_Exchange_Balances_00UTC!$B111="",Summary_Exchange_Balances_00UTC!$D111=""),"",Summary_Exchange_Balances_00UTC!$D111)</f>
        <v>wallet</v>
      </c>
      <c r="E111" s="53">
        <f>IF(Summary_Exchange_Balances_00UTC!$B111="","",Summary_Exchange_Balances_00UTC!$C111)</f>
        <v>1006533.600838</v>
      </c>
      <c r="F111" s="53" t="e">
        <f>IF(Summary_Exchange_Balances_00UTC!$B111="","",VLOOKUP(UPPER($A111&amp;$C111),$L:$T,7,FALSE))</f>
        <v>#N/A</v>
      </c>
      <c r="G111" s="53" t="e">
        <f>IF(Summary_Exchange_Balances_00UTC!$B111="","",VLOOKUP(IF(ISERROR(SEARCH(" ", $B111)),UPPER($B111&amp;$C111&amp;$D111),UPPER(LEFT($B111, SEARCH(" ",$B111)-1)&amp;$C111&amp;$D111)),$M:$T,6,FALSE))</f>
        <v>#N/A</v>
      </c>
      <c r="H111">
        <f>IF(Summary_Exchange_Balances_00UTC!$B111="","",IF(ISERROR($G111),$E111,$G111))</f>
        <v>1006533.600838</v>
      </c>
      <c r="I111" s="36" t="e">
        <f t="shared" si="3"/>
        <v>#N/A</v>
      </c>
      <c r="L111" t="str">
        <f t="shared" si="4"/>
        <v>FBLKHBAR</v>
      </c>
      <c r="M111" t="str">
        <f t="shared" si="5"/>
        <v>FBLKHBAR</v>
      </c>
      <c r="N111" t="s">
        <v>138</v>
      </c>
      <c r="O111" t="s">
        <v>189</v>
      </c>
      <c r="P111" t="s">
        <v>189</v>
      </c>
      <c r="R111" s="43">
        <v>79.65610461</v>
      </c>
      <c r="S111" t="s">
        <v>523</v>
      </c>
      <c r="T111">
        <v>1</v>
      </c>
      <c r="W111" t="s">
        <v>115</v>
      </c>
      <c r="X111" t="s">
        <v>116</v>
      </c>
      <c r="Y111" s="53">
        <v>0.11285791000000001</v>
      </c>
      <c r="Z111">
        <v>0</v>
      </c>
      <c r="AC111"/>
      <c r="AD111"/>
      <c r="AS111" t="str">
        <f>IF(Summary_Exchange_Balances_00UTC!$B111="","","'"&amp;C111&amp;"',")</f>
        <v>'USDC',</v>
      </c>
      <c r="AT111">
        <f>IF(Summary_Exchange_Balances_00UTC!$B111="","",IF(ISERROR(HLOOKUP($C111,$AW$1:$LL$2,2,FALSE)),Summary_Exchange_Balances_00UTC!$Q111,IF(OR(HLOOKUP($C111,$AW$1:$LL$2,2,FALSE)="",HLOOKUP($C111,$AW$1:$LL$2,2,FALSE)="null"),Summary_Exchange_Balances_00UTC!$Q111,HLOOKUP($C111,$AW$1:$LL$2,2,FALSE))))</f>
        <v>0.99997952530442824</v>
      </c>
    </row>
    <row r="112" spans="1:46" x14ac:dyDescent="0.25">
      <c r="A112" t="str">
        <f>IF(Summary_Exchange_Balances_00UTC!$B112="","",Summary_Exchange_Balances_00UTC!$N112)</f>
        <v>DEFI</v>
      </c>
      <c r="B112" t="str">
        <f>IF(Summary_Exchange_Balances_00UTC!$B112="","",Summary_Exchange_Balances_00UTC!$B112)</f>
        <v>DEFI-STRAT-3</v>
      </c>
      <c r="C112" t="str">
        <f>IF(Summary_Exchange_Balances_00UTC!$B112="","",Summary_Exchange_Balances_00UTC!$E112)</f>
        <v>USDT</v>
      </c>
      <c r="D112" t="str">
        <f>IF(OR(Summary_Exchange_Balances_00UTC!$B112="",Summary_Exchange_Balances_00UTC!$D112=""),"",Summary_Exchange_Balances_00UTC!$D112)</f>
        <v>supply_token</v>
      </c>
      <c r="E112" s="53">
        <f>IF(Summary_Exchange_Balances_00UTC!$B112="","",Summary_Exchange_Balances_00UTC!$C112)</f>
        <v>152185.53478941999</v>
      </c>
      <c r="F112" s="53" t="e">
        <f>IF(Summary_Exchange_Balances_00UTC!$B112="","",VLOOKUP(UPPER($A112&amp;$C112),$L:$T,7,FALSE))</f>
        <v>#N/A</v>
      </c>
      <c r="G112" s="53" t="e">
        <f>IF(Summary_Exchange_Balances_00UTC!$B112="","",VLOOKUP(IF(ISERROR(SEARCH(" ", $B112)),UPPER($B112&amp;$C112&amp;$D112),UPPER(LEFT($B112, SEARCH(" ",$B112)-1)&amp;$C112&amp;$D112)),$M:$T,6,FALSE))</f>
        <v>#N/A</v>
      </c>
      <c r="H112">
        <f>IF(Summary_Exchange_Balances_00UTC!$B112="","",IF(ISERROR($G112),$E112,$G112))</f>
        <v>152185.53478941999</v>
      </c>
      <c r="I112" s="36" t="e">
        <f t="shared" si="3"/>
        <v>#N/A</v>
      </c>
      <c r="L112" t="str">
        <f t="shared" si="4"/>
        <v>FBLKKSM</v>
      </c>
      <c r="M112" t="str">
        <f t="shared" si="5"/>
        <v>FBLKKSM</v>
      </c>
      <c r="N112" t="s">
        <v>44</v>
      </c>
      <c r="O112" t="s">
        <v>189</v>
      </c>
      <c r="P112" t="s">
        <v>189</v>
      </c>
      <c r="R112" s="43">
        <v>0.17254888430000001</v>
      </c>
      <c r="S112" t="s">
        <v>523</v>
      </c>
      <c r="T112">
        <v>1</v>
      </c>
      <c r="W112" t="s">
        <v>115</v>
      </c>
      <c r="X112" t="s">
        <v>15</v>
      </c>
      <c r="Y112" s="53">
        <v>481.98134828000002</v>
      </c>
      <c r="Z112">
        <v>0</v>
      </c>
      <c r="AC112"/>
      <c r="AD112"/>
      <c r="AS112" t="str">
        <f>IF(Summary_Exchange_Balances_00UTC!$B112="","","'"&amp;C112&amp;"',")</f>
        <v>'USDT',</v>
      </c>
      <c r="AT112">
        <f>IF(Summary_Exchange_Balances_00UTC!$B112="","",IF(ISERROR(HLOOKUP($C112,$AW$1:$LL$2,2,FALSE)),Summary_Exchange_Balances_00UTC!$Q112,IF(OR(HLOOKUP($C112,$AW$1:$LL$2,2,FALSE)="",HLOOKUP($C112,$AW$1:$LL$2,2,FALSE)="null"),Summary_Exchange_Balances_00UTC!$Q112,HLOOKUP($C112,$AW$1:$LL$2,2,FALSE))))</f>
        <v>1.000105410324537</v>
      </c>
    </row>
    <row r="113" spans="1:46" x14ac:dyDescent="0.25">
      <c r="A113" t="str">
        <f>IF(Summary_Exchange_Balances_00UTC!$B113="","",Summary_Exchange_Balances_00UTC!$N113)</f>
        <v>DEFI</v>
      </c>
      <c r="B113" t="str">
        <f>IF(Summary_Exchange_Balances_00UTC!$B113="","",Summary_Exchange_Balances_00UTC!$B113)</f>
        <v>DEFI-STRAT-4</v>
      </c>
      <c r="C113" t="str">
        <f>IF(Summary_Exchange_Balances_00UTC!$B113="","",Summary_Exchange_Balances_00UTC!$E113)</f>
        <v>AURA</v>
      </c>
      <c r="D113" t="str">
        <f>IF(OR(Summary_Exchange_Balances_00UTC!$B113="",Summary_Exchange_Balances_00UTC!$D113=""),"",Summary_Exchange_Balances_00UTC!$D113)</f>
        <v>reward_token</v>
      </c>
      <c r="E113" s="53">
        <f>IF(Summary_Exchange_Balances_00UTC!$B113="","",Summary_Exchange_Balances_00UTC!$C113)</f>
        <v>463.45655553</v>
      </c>
      <c r="F113" s="53" t="e">
        <f>IF(Summary_Exchange_Balances_00UTC!$B113="","",VLOOKUP(UPPER($A113&amp;$C113),$L:$T,7,FALSE))</f>
        <v>#N/A</v>
      </c>
      <c r="G113" s="53" t="e">
        <f>IF(Summary_Exchange_Balances_00UTC!$B113="","",VLOOKUP(IF(ISERROR(SEARCH(" ", $B113)),UPPER($B113&amp;$C113&amp;$D113),UPPER(LEFT($B113, SEARCH(" ",$B113)-1)&amp;$C113&amp;$D113)),$M:$T,6,FALSE))</f>
        <v>#N/A</v>
      </c>
      <c r="H113">
        <f>IF(Summary_Exchange_Balances_00UTC!$B113="","",IF(ISERROR($G113),$E113,$G113))</f>
        <v>463.45655553</v>
      </c>
      <c r="I113" s="36" t="e">
        <f t="shared" si="3"/>
        <v>#N/A</v>
      </c>
      <c r="L113" t="str">
        <f t="shared" si="4"/>
        <v>FBLKLINK</v>
      </c>
      <c r="M113" t="str">
        <f t="shared" si="5"/>
        <v>FBLKLINK</v>
      </c>
      <c r="N113" t="s">
        <v>28</v>
      </c>
      <c r="O113" t="s">
        <v>189</v>
      </c>
      <c r="P113" t="s">
        <v>189</v>
      </c>
      <c r="R113" s="43">
        <v>53.109719769999998</v>
      </c>
      <c r="S113" t="s">
        <v>523</v>
      </c>
      <c r="T113">
        <v>1</v>
      </c>
      <c r="W113" t="s">
        <v>115</v>
      </c>
      <c r="X113" t="s">
        <v>15</v>
      </c>
      <c r="Y113" s="53">
        <v>-14.7053476</v>
      </c>
      <c r="Z113">
        <v>0</v>
      </c>
      <c r="AC113"/>
      <c r="AD113"/>
      <c r="AS113" t="str">
        <f>IF(Summary_Exchange_Balances_00UTC!$B113="","","'"&amp;C113&amp;"',")</f>
        <v>'AURA',</v>
      </c>
      <c r="AT113">
        <f>IF(Summary_Exchange_Balances_00UTC!$B113="","",IF(ISERROR(HLOOKUP($C113,$AW$1:$LL$2,2,FALSE)),Summary_Exchange_Balances_00UTC!$Q113,IF(OR(HLOOKUP($C113,$AW$1:$LL$2,2,FALSE)="",HLOOKUP($C113,$AW$1:$LL$2,2,FALSE)="null"),Summary_Exchange_Balances_00UTC!$Q113,HLOOKUP($C113,$AW$1:$LL$2,2,FALSE))))</f>
        <v>5.7917758722179663E-2</v>
      </c>
    </row>
    <row r="114" spans="1:46" x14ac:dyDescent="0.25">
      <c r="A114" t="str">
        <f>IF(Summary_Exchange_Balances_00UTC!$B114="","",Summary_Exchange_Balances_00UTC!$N114)</f>
        <v>DEFI</v>
      </c>
      <c r="B114" t="str">
        <f>IF(Summary_Exchange_Balances_00UTC!$B114="","",Summary_Exchange_Balances_00UTC!$B114)</f>
        <v>DEFI-STRAT-4</v>
      </c>
      <c r="C114" t="str">
        <f>IF(Summary_Exchange_Balances_00UTC!$B114="","",Summary_Exchange_Balances_00UTC!$E114)</f>
        <v>BAL</v>
      </c>
      <c r="D114" t="str">
        <f>IF(OR(Summary_Exchange_Balances_00UTC!$B114="",Summary_Exchange_Balances_00UTC!$D114=""),"",Summary_Exchange_Balances_00UTC!$D114)</f>
        <v>reward_token</v>
      </c>
      <c r="E114" s="53">
        <f>IF(Summary_Exchange_Balances_00UTC!$B114="","",Summary_Exchange_Balances_00UTC!$C114)</f>
        <v>128.13018736000001</v>
      </c>
      <c r="F114" s="53" t="e">
        <f>IF(Summary_Exchange_Balances_00UTC!$B114="","",VLOOKUP(UPPER($A114&amp;$C114),$L:$T,7,FALSE))</f>
        <v>#N/A</v>
      </c>
      <c r="G114" s="53" t="e">
        <f>IF(Summary_Exchange_Balances_00UTC!$B114="","",VLOOKUP(IF(ISERROR(SEARCH(" ", $B114)),UPPER($B114&amp;$C114&amp;$D114),UPPER(LEFT($B114, SEARCH(" ",$B114)-1)&amp;$C114&amp;$D114)),$M:$T,6,FALSE))</f>
        <v>#N/A</v>
      </c>
      <c r="H114">
        <f>IF(Summary_Exchange_Balances_00UTC!$B114="","",IF(ISERROR($G114),$E114,$G114))</f>
        <v>128.13018736000001</v>
      </c>
      <c r="I114" s="36" t="e">
        <f t="shared" si="3"/>
        <v>#N/A</v>
      </c>
      <c r="L114" t="str">
        <f t="shared" si="4"/>
        <v>FBLKLTC</v>
      </c>
      <c r="M114" t="str">
        <f t="shared" si="5"/>
        <v>FBLKLTC</v>
      </c>
      <c r="N114" t="s">
        <v>25</v>
      </c>
      <c r="O114" t="s">
        <v>189</v>
      </c>
      <c r="P114" t="s">
        <v>189</v>
      </c>
      <c r="R114" s="43">
        <v>170.99492828999999</v>
      </c>
      <c r="S114" t="s">
        <v>523</v>
      </c>
      <c r="T114">
        <v>1</v>
      </c>
      <c r="W114" t="s">
        <v>115</v>
      </c>
      <c r="X114" t="s">
        <v>23</v>
      </c>
      <c r="Y114" s="53">
        <v>0.97764076</v>
      </c>
      <c r="Z114">
        <v>0</v>
      </c>
      <c r="AC114"/>
      <c r="AD114"/>
      <c r="AS114" t="str">
        <f>IF(Summary_Exchange_Balances_00UTC!$B114="","","'"&amp;C114&amp;"',")</f>
        <v>'BAL',</v>
      </c>
      <c r="AT114">
        <f>IF(Summary_Exchange_Balances_00UTC!$B114="","",IF(ISERROR(HLOOKUP($C114,$AW$1:$LL$2,2,FALSE)),Summary_Exchange_Balances_00UTC!$Q114,IF(OR(HLOOKUP($C114,$AW$1:$LL$2,2,FALSE)="",HLOOKUP($C114,$AW$1:$LL$2,2,FALSE)="null"),Summary_Exchange_Balances_00UTC!$Q114,HLOOKUP($C114,$AW$1:$LL$2,2,FALSE))))</f>
        <v>5.5705429999999998</v>
      </c>
    </row>
    <row r="115" spans="1:46" x14ac:dyDescent="0.25">
      <c r="A115" t="str">
        <f>IF(Summary_Exchange_Balances_00UTC!$B115="","",Summary_Exchange_Balances_00UTC!$N115)</f>
        <v>DEFI</v>
      </c>
      <c r="B115" t="str">
        <f>IF(Summary_Exchange_Balances_00UTC!$B115="","",Summary_Exchange_Balances_00UTC!$B115)</f>
        <v>DEFI-STRAT-4</v>
      </c>
      <c r="C115" t="str">
        <f>IF(Summary_Exchange_Balances_00UTC!$B115="","",Summary_Exchange_Balances_00UTC!$E115)</f>
        <v>ETH</v>
      </c>
      <c r="D115" t="str">
        <f>IF(OR(Summary_Exchange_Balances_00UTC!$B115="",Summary_Exchange_Balances_00UTC!$D115=""),"",Summary_Exchange_Balances_00UTC!$D115)</f>
        <v>supply_token</v>
      </c>
      <c r="E115" s="54">
        <f>IF(Summary_Exchange_Balances_00UTC!$B115="","",Summary_Exchange_Balances_00UTC!$C115)</f>
        <v>385.80857076000001</v>
      </c>
      <c r="F115" s="53" t="e">
        <f>IF(Summary_Exchange_Balances_00UTC!$B115="","",VLOOKUP(UPPER($A115&amp;$C115),$L:$T,7,FALSE))</f>
        <v>#N/A</v>
      </c>
      <c r="G115" s="53" t="e">
        <f>IF(Summary_Exchange_Balances_00UTC!$B115="","",VLOOKUP(IF(ISERROR(SEARCH(" ", $B115)),UPPER($B115&amp;$C115&amp;$D115),UPPER(LEFT($B115, SEARCH(" ",$B115)-1)&amp;$C115&amp;$D115)),$M:$T,6,FALSE))</f>
        <v>#N/A</v>
      </c>
      <c r="H115">
        <f>IF(Summary_Exchange_Balances_00UTC!$B115="","",IF(ISERROR($G115),$E115,$G115))</f>
        <v>385.80857076000001</v>
      </c>
      <c r="I115" s="36" t="e">
        <f t="shared" si="3"/>
        <v>#N/A</v>
      </c>
      <c r="L115" t="str">
        <f t="shared" si="4"/>
        <v>FBLKMANA</v>
      </c>
      <c r="M115" t="str">
        <f t="shared" si="5"/>
        <v>FBLKMANA</v>
      </c>
      <c r="N115" t="s">
        <v>195</v>
      </c>
      <c r="O115" t="s">
        <v>189</v>
      </c>
      <c r="P115" t="s">
        <v>189</v>
      </c>
      <c r="R115" s="43">
        <v>546.32089549</v>
      </c>
      <c r="S115" t="s">
        <v>523</v>
      </c>
      <c r="T115">
        <v>1</v>
      </c>
      <c r="W115" t="s">
        <v>115</v>
      </c>
      <c r="X115" t="s">
        <v>24</v>
      </c>
      <c r="Y115" s="54">
        <v>3.7085149999999997E-2</v>
      </c>
      <c r="Z115">
        <v>0</v>
      </c>
      <c r="AC115"/>
      <c r="AD115"/>
      <c r="AS115" t="str">
        <f>IF(Summary_Exchange_Balances_00UTC!$B115="","","'"&amp;C115&amp;"',")</f>
        <v>'ETH',</v>
      </c>
      <c r="AT115">
        <f>IF(Summary_Exchange_Balances_00UTC!$B115="","",IF(ISERROR(HLOOKUP($C115,$AW$1:$LL$2,2,FALSE)),Summary_Exchange_Balances_00UTC!$Q115,IF(OR(HLOOKUP($C115,$AW$1:$LL$2,2,FALSE)="",HLOOKUP($C115,$AW$1:$LL$2,2,FALSE)="null"),Summary_Exchange_Balances_00UTC!$Q115,HLOOKUP($C115,$AW$1:$LL$2,2,FALSE))))</f>
        <v>1208.73</v>
      </c>
    </row>
    <row r="116" spans="1:46" x14ac:dyDescent="0.25">
      <c r="A116" t="str">
        <f>IF(Summary_Exchange_Balances_00UTC!$B116="","",Summary_Exchange_Balances_00UTC!$N116)</f>
        <v>DEFI</v>
      </c>
      <c r="B116" t="str">
        <f>IF(Summary_Exchange_Balances_00UTC!$B116="","",Summary_Exchange_Balances_00UTC!$B116)</f>
        <v>DEFI-STRAT-4</v>
      </c>
      <c r="C116" t="str">
        <f>IF(Summary_Exchange_Balances_00UTC!$B116="","",Summary_Exchange_Balances_00UTC!$E116)</f>
        <v>ETH</v>
      </c>
      <c r="D116" t="str">
        <f>IF(OR(Summary_Exchange_Balances_00UTC!$B116="",Summary_Exchange_Balances_00UTC!$D116=""),"",Summary_Exchange_Balances_00UTC!$D116)</f>
        <v>wallet</v>
      </c>
      <c r="E116" s="53">
        <f>IF(Summary_Exchange_Balances_00UTC!$B116="","",Summary_Exchange_Balances_00UTC!$C116)</f>
        <v>2.5209147500000002</v>
      </c>
      <c r="F116" s="53" t="e">
        <f>IF(Summary_Exchange_Balances_00UTC!$B116="","",VLOOKUP(UPPER($A116&amp;$C116),$L:$T,7,FALSE))</f>
        <v>#N/A</v>
      </c>
      <c r="G116" s="53" t="e">
        <f>IF(Summary_Exchange_Balances_00UTC!$B116="","",VLOOKUP(IF(ISERROR(SEARCH(" ", $B116)),UPPER($B116&amp;$C116&amp;$D116),UPPER(LEFT($B116, SEARCH(" ",$B116)-1)&amp;$C116&amp;$D116)),$M:$T,6,FALSE))</f>
        <v>#N/A</v>
      </c>
      <c r="H116">
        <f>IF(Summary_Exchange_Balances_00UTC!$B116="","",IF(ISERROR($G116),$E116,$G116))</f>
        <v>2.5209147500000002</v>
      </c>
      <c r="I116" s="36" t="e">
        <f t="shared" si="3"/>
        <v>#N/A</v>
      </c>
      <c r="L116" t="str">
        <f t="shared" si="4"/>
        <v>FBLKMATIC</v>
      </c>
      <c r="M116" t="str">
        <f t="shared" si="5"/>
        <v>FBLKMATIC</v>
      </c>
      <c r="N116" t="s">
        <v>196</v>
      </c>
      <c r="O116" t="s">
        <v>189</v>
      </c>
      <c r="P116" t="s">
        <v>189</v>
      </c>
      <c r="R116" s="43">
        <v>5.6554146698999999</v>
      </c>
      <c r="S116" t="s">
        <v>523</v>
      </c>
      <c r="T116">
        <v>1</v>
      </c>
      <c r="W116" t="s">
        <v>115</v>
      </c>
      <c r="X116" t="s">
        <v>30</v>
      </c>
      <c r="Y116" s="53">
        <v>0.70701212999999996</v>
      </c>
      <c r="Z116">
        <v>0</v>
      </c>
      <c r="AC116"/>
      <c r="AD116"/>
      <c r="AS116" t="str">
        <f>IF(Summary_Exchange_Balances_00UTC!$B116="","","'"&amp;C116&amp;"',")</f>
        <v>'ETH',</v>
      </c>
      <c r="AT116">
        <f>IF(Summary_Exchange_Balances_00UTC!$B116="","",IF(ISERROR(HLOOKUP($C116,$AW$1:$LL$2,2,FALSE)),Summary_Exchange_Balances_00UTC!$Q116,IF(OR(HLOOKUP($C116,$AW$1:$LL$2,2,FALSE)="",HLOOKUP($C116,$AW$1:$LL$2,2,FALSE)="null"),Summary_Exchange_Balances_00UTC!$Q116,HLOOKUP($C116,$AW$1:$LL$2,2,FALSE))))</f>
        <v>1208.73</v>
      </c>
    </row>
    <row r="117" spans="1:46" x14ac:dyDescent="0.25">
      <c r="A117" t="str">
        <f>IF(Summary_Exchange_Balances_00UTC!$B117="","",Summary_Exchange_Balances_00UTC!$N117)</f>
        <v>DEFI</v>
      </c>
      <c r="B117" t="str">
        <f>IF(Summary_Exchange_Balances_00UTC!$B117="","",Summary_Exchange_Balances_00UTC!$B117)</f>
        <v>DEFI-STRAT-4</v>
      </c>
      <c r="C117" t="str">
        <f>IF(Summary_Exchange_Balances_00UTC!$B117="","",Summary_Exchange_Balances_00UTC!$E117)</f>
        <v>STETH</v>
      </c>
      <c r="D117" t="str">
        <f>IF(OR(Summary_Exchange_Balances_00UTC!$B117="",Summary_Exchange_Balances_00UTC!$D117=""),"",Summary_Exchange_Balances_00UTC!$D117)</f>
        <v>supply_token</v>
      </c>
      <c r="E117" s="54">
        <f>IF(Summary_Exchange_Balances_00UTC!$B117="","",Summary_Exchange_Balances_00UTC!$C117)</f>
        <v>623.41986664000001</v>
      </c>
      <c r="F117" s="53" t="e">
        <f>IF(Summary_Exchange_Balances_00UTC!$B117="","",VLOOKUP(UPPER($A117&amp;$C117),$L:$T,7,FALSE))</f>
        <v>#N/A</v>
      </c>
      <c r="G117" s="53" t="e">
        <f>IF(Summary_Exchange_Balances_00UTC!$B117="","",VLOOKUP(IF(ISERROR(SEARCH(" ", $B117)),UPPER($B117&amp;$C117&amp;$D117),UPPER(LEFT($B117, SEARCH(" ",$B117)-1)&amp;$C117&amp;$D117)),$M:$T,6,FALSE))</f>
        <v>#N/A</v>
      </c>
      <c r="H117">
        <f>IF(Summary_Exchange_Balances_00UTC!$B117="","",IF(ISERROR($G117),$E117,$G117))</f>
        <v>623.41986664000001</v>
      </c>
      <c r="I117" s="36" t="e">
        <f t="shared" si="3"/>
        <v>#N/A</v>
      </c>
      <c r="L117" t="str">
        <f t="shared" si="4"/>
        <v>FBLKOMG</v>
      </c>
      <c r="M117" t="str">
        <f t="shared" si="5"/>
        <v>FBLKOMG</v>
      </c>
      <c r="N117" t="s">
        <v>153</v>
      </c>
      <c r="O117" t="s">
        <v>189</v>
      </c>
      <c r="P117" t="s">
        <v>189</v>
      </c>
      <c r="R117" s="43">
        <v>4.7709999999999999</v>
      </c>
      <c r="S117" t="s">
        <v>523</v>
      </c>
      <c r="T117">
        <v>1</v>
      </c>
      <c r="W117" t="s">
        <v>115</v>
      </c>
      <c r="X117" t="s">
        <v>16</v>
      </c>
      <c r="Y117" s="54">
        <v>8832.5034865500002</v>
      </c>
      <c r="Z117">
        <v>0</v>
      </c>
      <c r="AC117"/>
      <c r="AD117"/>
      <c r="AS117" t="str">
        <f>IF(Summary_Exchange_Balances_00UTC!$B117="","","'"&amp;C117&amp;"',")</f>
        <v>'STETH',</v>
      </c>
      <c r="AT117">
        <f>IF(Summary_Exchange_Balances_00UTC!$B117="","",IF(ISERROR(HLOOKUP($C117,$AW$1:$LL$2,2,FALSE)),Summary_Exchange_Balances_00UTC!$Q117,IF(OR(HLOOKUP($C117,$AW$1:$LL$2,2,FALSE)="",HLOOKUP($C117,$AW$1:$LL$2,2,FALSE)="null"),Summary_Exchange_Balances_00UTC!$Q117,HLOOKUP($C117,$AW$1:$LL$2,2,FALSE))))</f>
        <v>1283.094389430456</v>
      </c>
    </row>
    <row r="118" spans="1:46" x14ac:dyDescent="0.25">
      <c r="A118" t="str">
        <f>IF(Summary_Exchange_Balances_00UTC!$B118="","",Summary_Exchange_Balances_00UTC!$N118)</f>
        <v>DEFI</v>
      </c>
      <c r="B118" t="str">
        <f>IF(Summary_Exchange_Balances_00UTC!$B118="","",Summary_Exchange_Balances_00UTC!$B118)</f>
        <v>DEFI-STRAT-5</v>
      </c>
      <c r="C118" t="str">
        <f>IF(Summary_Exchange_Balances_00UTC!$B118="","",Summary_Exchange_Balances_00UTC!$E118)</f>
        <v>ETH</v>
      </c>
      <c r="D118" t="str">
        <f>IF(OR(Summary_Exchange_Balances_00UTC!$B118="",Summary_Exchange_Balances_00UTC!$D118=""),"",Summary_Exchange_Balances_00UTC!$D118)</f>
        <v>wallet</v>
      </c>
      <c r="E118" s="54">
        <f>IF(Summary_Exchange_Balances_00UTC!$B118="","",Summary_Exchange_Balances_00UTC!$C118)</f>
        <v>9.8779060000000002E-2</v>
      </c>
      <c r="F118" s="53" t="e">
        <f>IF(Summary_Exchange_Balances_00UTC!$B118="","",VLOOKUP(UPPER($A118&amp;$C118),$L:$T,7,FALSE))</f>
        <v>#N/A</v>
      </c>
      <c r="G118" s="53" t="e">
        <f>IF(Summary_Exchange_Balances_00UTC!$B118="","",VLOOKUP(IF(ISERROR(SEARCH(" ", $B118)),UPPER($B118&amp;$C118&amp;$D118),UPPER(LEFT($B118, SEARCH(" ",$B118)-1)&amp;$C118&amp;$D118)),$M:$T,6,FALSE))</f>
        <v>#N/A</v>
      </c>
      <c r="H118">
        <f>IF(Summary_Exchange_Balances_00UTC!$B118="","",IF(ISERROR($G118),$E118,$G118))</f>
        <v>9.8779060000000002E-2</v>
      </c>
      <c r="I118" s="36" t="e">
        <f t="shared" si="3"/>
        <v>#N/A</v>
      </c>
      <c r="L118" t="str">
        <f t="shared" si="4"/>
        <v>FBLKOWETHUSDC_WSTETH-04NOV22-1700C_ETH_SWAA</v>
      </c>
      <c r="M118" t="str">
        <f t="shared" si="5"/>
        <v>FBLKOWETHUSDC_WSTETH-04NOV22-1700C_ETH_SWAA</v>
      </c>
      <c r="N118" t="s">
        <v>320</v>
      </c>
      <c r="O118" t="s">
        <v>189</v>
      </c>
      <c r="P118" t="s">
        <v>189</v>
      </c>
      <c r="R118" s="43">
        <v>5625.02729593</v>
      </c>
      <c r="S118" t="s">
        <v>523</v>
      </c>
      <c r="T118">
        <v>1</v>
      </c>
      <c r="W118" t="s">
        <v>115</v>
      </c>
      <c r="X118" t="s">
        <v>16</v>
      </c>
      <c r="Y118" s="54">
        <v>-82.81514387</v>
      </c>
      <c r="Z118">
        <v>0</v>
      </c>
      <c r="AC118"/>
      <c r="AD118"/>
      <c r="AS118" t="str">
        <f>IF(Summary_Exchange_Balances_00UTC!$B118="","","'"&amp;C118&amp;"',")</f>
        <v>'ETH',</v>
      </c>
      <c r="AT118">
        <f>IF(Summary_Exchange_Balances_00UTC!$B118="","",IF(ISERROR(HLOOKUP($C118,$AW$1:$LL$2,2,FALSE)),Summary_Exchange_Balances_00UTC!$Q118,IF(OR(HLOOKUP($C118,$AW$1:$LL$2,2,FALSE)="",HLOOKUP($C118,$AW$1:$LL$2,2,FALSE)="null"),Summary_Exchange_Balances_00UTC!$Q118,HLOOKUP($C118,$AW$1:$LL$2,2,FALSE))))</f>
        <v>1208.73</v>
      </c>
    </row>
    <row r="119" spans="1:46" x14ac:dyDescent="0.25">
      <c r="A119" t="str">
        <f>IF(Summary_Exchange_Balances_00UTC!$B119="","",Summary_Exchange_Balances_00UTC!$N119)</f>
        <v>DEFI</v>
      </c>
      <c r="B119" t="str">
        <f>IF(Summary_Exchange_Balances_00UTC!$B119="","",Summary_Exchange_Balances_00UTC!$B119)</f>
        <v>DEFI-STRAT-5</v>
      </c>
      <c r="C119" t="str">
        <f>IF(Summary_Exchange_Balances_00UTC!$B119="","",Summary_Exchange_Balances_00UTC!$E119)</f>
        <v>OBALUSDC/BAL-30DEC22-7.6C</v>
      </c>
      <c r="D119" t="str">
        <f>IF(OR(Summary_Exchange_Balances_00UTC!$B119="",Summary_Exchange_Balances_00UTC!$D119=""),"",Summary_Exchange_Balances_00UTC!$D119)</f>
        <v>wallet</v>
      </c>
      <c r="E119" s="53">
        <f>IF(Summary_Exchange_Balances_00UTC!$B119="","",Summary_Exchange_Balances_00UTC!$C119)</f>
        <v>196525.25441796001</v>
      </c>
      <c r="F119" s="53" t="e">
        <f>IF(Summary_Exchange_Balances_00UTC!$B119="","",VLOOKUP(UPPER($A119&amp;$C119),$L:$T,7,FALSE))</f>
        <v>#N/A</v>
      </c>
      <c r="G119" s="53" t="e">
        <f>IF(Summary_Exchange_Balances_00UTC!$B119="","",VLOOKUP(IF(ISERROR(SEARCH(" ", $B119)),UPPER($B119&amp;$C119&amp;$D119),UPPER(LEFT($B119, SEARCH(" ",$B119)-1)&amp;$C119&amp;$D119)),$M:$T,6,FALSE))</f>
        <v>#N/A</v>
      </c>
      <c r="H119">
        <f>IF(Summary_Exchange_Balances_00UTC!$B119="","",IF(ISERROR($G119),$E119,$G119))</f>
        <v>196525.25441796001</v>
      </c>
      <c r="I119" s="36" t="e">
        <f t="shared" si="3"/>
        <v>#N/A</v>
      </c>
      <c r="L119" t="str">
        <f t="shared" si="4"/>
        <v>FBLKOWETHUSDC_WSTETH-09SEP22-1900C_ETH_1Z8K</v>
      </c>
      <c r="M119" t="str">
        <f t="shared" si="5"/>
        <v>FBLKOWETHUSDC_WSTETH-09SEP22-1900C_ETH_1Z8K</v>
      </c>
      <c r="N119" t="s">
        <v>259</v>
      </c>
      <c r="O119" t="s">
        <v>189</v>
      </c>
      <c r="P119" t="s">
        <v>189</v>
      </c>
      <c r="R119" s="43">
        <v>5968</v>
      </c>
      <c r="S119" t="s">
        <v>523</v>
      </c>
      <c r="T119">
        <v>1</v>
      </c>
      <c r="W119" t="s">
        <v>115</v>
      </c>
      <c r="X119" t="s">
        <v>28</v>
      </c>
      <c r="Y119" s="53">
        <v>6.244243E-2</v>
      </c>
      <c r="Z119">
        <v>0</v>
      </c>
      <c r="AC119"/>
      <c r="AD119"/>
      <c r="AS119" t="str">
        <f>IF(Summary_Exchange_Balances_00UTC!$B119="","","'"&amp;C119&amp;"',")</f>
        <v>'OBALUSDC/BAL-30DEC22-7.6C',</v>
      </c>
      <c r="AT119">
        <f>IF(Summary_Exchange_Balances_00UTC!$B119="","",IF(ISERROR(HLOOKUP($C119,$AW$1:$LL$2,2,FALSE)),Summary_Exchange_Balances_00UTC!$Q119,IF(OR(HLOOKUP($C119,$AW$1:$LL$2,2,FALSE)="",HLOOKUP($C119,$AW$1:$LL$2,2,FALSE)="null"),Summary_Exchange_Balances_00UTC!$Q119,HLOOKUP($C119,$AW$1:$LL$2,2,FALSE))))</f>
        <v>0</v>
      </c>
    </row>
    <row r="120" spans="1:46" x14ac:dyDescent="0.25">
      <c r="A120" t="str">
        <f>IF(Summary_Exchange_Balances_00UTC!$B120="","",Summary_Exchange_Balances_00UTC!$N120)</f>
        <v>DEFI</v>
      </c>
      <c r="B120" t="str">
        <f>IF(Summary_Exchange_Balances_00UTC!$B120="","",Summary_Exchange_Balances_00UTC!$B120)</f>
        <v>DEFI-STRAT-5</v>
      </c>
      <c r="C120" t="str">
        <f>IF(Summary_Exchange_Balances_00UTC!$B120="","",Summary_Exchange_Balances_00UTC!$E120)</f>
        <v>OPERPUSDC/PERP-30DEC22-0.54C</v>
      </c>
      <c r="D120" t="str">
        <f>IF(OR(Summary_Exchange_Balances_00UTC!$B120="",Summary_Exchange_Balances_00UTC!$D120=""),"",Summary_Exchange_Balances_00UTC!$D120)</f>
        <v>wallet</v>
      </c>
      <c r="E120" s="53">
        <f>IF(Summary_Exchange_Balances_00UTC!$B120="","",Summary_Exchange_Balances_00UTC!$C120)</f>
        <v>201000.92417708001</v>
      </c>
      <c r="F120" s="53" t="e">
        <f>IF(Summary_Exchange_Balances_00UTC!$B120="","",VLOOKUP(UPPER($A120&amp;$C120),$L:$T,7,FALSE))</f>
        <v>#N/A</v>
      </c>
      <c r="G120" s="53" t="e">
        <f>IF(Summary_Exchange_Balances_00UTC!$B120="","",VLOOKUP(IF(ISERROR(SEARCH(" ", $B120)),UPPER($B120&amp;$C120&amp;$D120),UPPER(LEFT($B120, SEARCH(" ",$B120)-1)&amp;$C120&amp;$D120)),$M:$T,6,FALSE))</f>
        <v>#N/A</v>
      </c>
      <c r="H120">
        <f>IF(Summary_Exchange_Balances_00UTC!$B120="","",IF(ISERROR($G120),$E120,$G120))</f>
        <v>201000.92417708001</v>
      </c>
      <c r="I120" s="36" t="e">
        <f t="shared" si="3"/>
        <v>#N/A</v>
      </c>
      <c r="L120" t="str">
        <f t="shared" si="4"/>
        <v>FBLKOXT</v>
      </c>
      <c r="M120" t="str">
        <f t="shared" si="5"/>
        <v>FBLKOXT</v>
      </c>
      <c r="N120" t="s">
        <v>92</v>
      </c>
      <c r="O120" t="s">
        <v>189</v>
      </c>
      <c r="P120" t="s">
        <v>189</v>
      </c>
      <c r="R120" s="43">
        <v>76.700156329999999</v>
      </c>
      <c r="S120" t="s">
        <v>523</v>
      </c>
      <c r="T120">
        <v>1</v>
      </c>
      <c r="W120" t="s">
        <v>115</v>
      </c>
      <c r="X120" t="s">
        <v>25</v>
      </c>
      <c r="Y120" s="53">
        <v>7.1564416099999999</v>
      </c>
      <c r="Z120">
        <v>0</v>
      </c>
      <c r="AC120"/>
      <c r="AD120"/>
      <c r="AS120" t="str">
        <f>IF(Summary_Exchange_Balances_00UTC!$B120="","","'"&amp;C120&amp;"',")</f>
        <v>'OPERPUSDC/PERP-30DEC22-0.54C',</v>
      </c>
      <c r="AT120">
        <f>IF(Summary_Exchange_Balances_00UTC!$B120="","",IF(ISERROR(HLOOKUP($C120,$AW$1:$LL$2,2,FALSE)),Summary_Exchange_Balances_00UTC!$Q120,IF(OR(HLOOKUP($C120,$AW$1:$LL$2,2,FALSE)="",HLOOKUP($C120,$AW$1:$LL$2,2,FALSE)="null"),Summary_Exchange_Balances_00UTC!$Q120,HLOOKUP($C120,$AW$1:$LL$2,2,FALSE))))</f>
        <v>0</v>
      </c>
    </row>
    <row r="121" spans="1:46" x14ac:dyDescent="0.25">
      <c r="A121" t="str">
        <f>IF(Summary_Exchange_Balances_00UTC!$B121="","",Summary_Exchange_Balances_00UTC!$N121)</f>
        <v>DEFI</v>
      </c>
      <c r="B121" t="str">
        <f>IF(Summary_Exchange_Balances_00UTC!$B121="","",Summary_Exchange_Balances_00UTC!$B121)</f>
        <v>DEFI-STRAT-5</v>
      </c>
      <c r="C121" t="str">
        <f>IF(Summary_Exchange_Balances_00UTC!$B121="","",Summary_Exchange_Balances_00UTC!$E121)</f>
        <v>OSPELLUSDC/SPELL-30DEC22-0.00079C</v>
      </c>
      <c r="D121" t="str">
        <f>IF(OR(Summary_Exchange_Balances_00UTC!$B121="",Summary_Exchange_Balances_00UTC!$D121=""),"",Summary_Exchange_Balances_00UTC!$D121)</f>
        <v>wallet</v>
      </c>
      <c r="E121" s="53">
        <f>IF(Summary_Exchange_Balances_00UTC!$B121="","",Summary_Exchange_Balances_00UTC!$C121)</f>
        <v>100050250.667</v>
      </c>
      <c r="F121" s="53" t="e">
        <f>IF(Summary_Exchange_Balances_00UTC!$B121="","",VLOOKUP(UPPER($A121&amp;$C121),$L:$T,7,FALSE))</f>
        <v>#N/A</v>
      </c>
      <c r="G121" s="53" t="e">
        <f>IF(Summary_Exchange_Balances_00UTC!$B121="","",VLOOKUP(IF(ISERROR(SEARCH(" ", $B121)),UPPER($B121&amp;$C121&amp;$D121),UPPER(LEFT($B121, SEARCH(" ",$B121)-1)&amp;$C121&amp;$D121)),$M:$T,6,FALSE))</f>
        <v>#N/A</v>
      </c>
      <c r="H121">
        <f>IF(Summary_Exchange_Balances_00UTC!$B121="","",IF(ISERROR($G121),$E121,$G121))</f>
        <v>100050250.667</v>
      </c>
      <c r="I121" s="36" t="e">
        <f t="shared" si="3"/>
        <v>#N/A</v>
      </c>
      <c r="L121" t="str">
        <f t="shared" si="4"/>
        <v>FBLKSOL</v>
      </c>
      <c r="M121" t="str">
        <f t="shared" si="5"/>
        <v>FBLKSOL</v>
      </c>
      <c r="N121" t="s">
        <v>157</v>
      </c>
      <c r="O121" t="s">
        <v>189</v>
      </c>
      <c r="P121" t="s">
        <v>189</v>
      </c>
      <c r="R121" s="43">
        <v>2.8970426800000002</v>
      </c>
      <c r="S121" t="s">
        <v>523</v>
      </c>
      <c r="T121">
        <v>1</v>
      </c>
      <c r="W121" t="s">
        <v>115</v>
      </c>
      <c r="X121" t="s">
        <v>26</v>
      </c>
      <c r="Y121" s="53">
        <v>0.95766242000000001</v>
      </c>
      <c r="Z121">
        <v>0</v>
      </c>
      <c r="AC121"/>
      <c r="AD121"/>
      <c r="AS121" t="str">
        <f>IF(Summary_Exchange_Balances_00UTC!$B121="","","'"&amp;C121&amp;"',")</f>
        <v>'OSPELLUSDC/SPELL-30DEC22-0.00079C',</v>
      </c>
      <c r="AT121">
        <f>IF(Summary_Exchange_Balances_00UTC!$B121="","",IF(ISERROR(HLOOKUP($C121,$AW$1:$LL$2,2,FALSE)),Summary_Exchange_Balances_00UTC!$Q121,IF(OR(HLOOKUP($C121,$AW$1:$LL$2,2,FALSE)="",HLOOKUP($C121,$AW$1:$LL$2,2,FALSE)="null"),Summary_Exchange_Balances_00UTC!$Q121,HLOOKUP($C121,$AW$1:$LL$2,2,FALSE))))</f>
        <v>0</v>
      </c>
    </row>
    <row r="122" spans="1:46" x14ac:dyDescent="0.25">
      <c r="A122" t="str">
        <f>IF(Summary_Exchange_Balances_00UTC!$B122="","",Summary_Exchange_Balances_00UTC!$N122)</f>
        <v>DEFI</v>
      </c>
      <c r="B122" t="str">
        <f>IF(Summary_Exchange_Balances_00UTC!$B122="","",Summary_Exchange_Balances_00UTC!$B122)</f>
        <v>DEFI-STRAT-6</v>
      </c>
      <c r="C122" t="str">
        <f>IF(Summary_Exchange_Balances_00UTC!$B122="","",Summary_Exchange_Balances_00UTC!$E122)</f>
        <v>ETH</v>
      </c>
      <c r="D122" t="str">
        <f>IF(OR(Summary_Exchange_Balances_00UTC!$B122="",Summary_Exchange_Balances_00UTC!$D122=""),"",Summary_Exchange_Balances_00UTC!$D122)</f>
        <v>supply_token</v>
      </c>
      <c r="E122" s="53">
        <f>IF(Summary_Exchange_Balances_00UTC!$B122="","",Summary_Exchange_Balances_00UTC!$C122)</f>
        <v>498.76775994000002</v>
      </c>
      <c r="F122" s="53" t="e">
        <f>IF(Summary_Exchange_Balances_00UTC!$B122="","",VLOOKUP(UPPER($A122&amp;$C122),$L:$T,7,FALSE))</f>
        <v>#N/A</v>
      </c>
      <c r="G122" s="53" t="e">
        <f>IF(Summary_Exchange_Balances_00UTC!$B122="","",VLOOKUP(IF(ISERROR(SEARCH(" ", $B122)),UPPER($B122&amp;$C122&amp;$D122),UPPER(LEFT($B122, SEARCH(" ",$B122)-1)&amp;$C122&amp;$D122)),$M:$T,6,FALSE))</f>
        <v>#N/A</v>
      </c>
      <c r="H122">
        <f>IF(Summary_Exchange_Balances_00UTC!$B122="","",IF(ISERROR($G122),$E122,$G122))</f>
        <v>498.76775994000002</v>
      </c>
      <c r="I122" s="36" t="e">
        <f t="shared" si="3"/>
        <v>#N/A</v>
      </c>
      <c r="L122" t="str">
        <f t="shared" si="4"/>
        <v>FBLKUNI</v>
      </c>
      <c r="M122" t="str">
        <f t="shared" si="5"/>
        <v>FBLKUNI</v>
      </c>
      <c r="N122" t="s">
        <v>162</v>
      </c>
      <c r="O122" t="s">
        <v>189</v>
      </c>
      <c r="P122" t="s">
        <v>189</v>
      </c>
      <c r="R122" s="43">
        <v>0.82786806999999996</v>
      </c>
      <c r="S122" t="s">
        <v>523</v>
      </c>
      <c r="T122">
        <v>1</v>
      </c>
      <c r="W122" t="s">
        <v>115</v>
      </c>
      <c r="X122" t="s">
        <v>102</v>
      </c>
      <c r="Y122" s="53">
        <v>0.54364484000000002</v>
      </c>
      <c r="Z122">
        <v>0</v>
      </c>
      <c r="AC122"/>
      <c r="AD122"/>
      <c r="AS122" t="str">
        <f>IF(Summary_Exchange_Balances_00UTC!$B122="","","'"&amp;C122&amp;"',")</f>
        <v>'ETH',</v>
      </c>
      <c r="AT122">
        <f>IF(Summary_Exchange_Balances_00UTC!$B122="","",IF(ISERROR(HLOOKUP($C122,$AW$1:$LL$2,2,FALSE)),Summary_Exchange_Balances_00UTC!$Q122,IF(OR(HLOOKUP($C122,$AW$1:$LL$2,2,FALSE)="",HLOOKUP($C122,$AW$1:$LL$2,2,FALSE)="null"),Summary_Exchange_Balances_00UTC!$Q122,HLOOKUP($C122,$AW$1:$LL$2,2,FALSE))))</f>
        <v>1208.73</v>
      </c>
    </row>
    <row r="123" spans="1:46" x14ac:dyDescent="0.25">
      <c r="A123" t="str">
        <f>IF(Summary_Exchange_Balances_00UTC!$B123="","",Summary_Exchange_Balances_00UTC!$N123)</f>
        <v>DEFI</v>
      </c>
      <c r="B123" t="str">
        <f>IF(Summary_Exchange_Balances_00UTC!$B123="","",Summary_Exchange_Balances_00UTC!$B123)</f>
        <v>DEFI-STRAT-6</v>
      </c>
      <c r="C123" t="str">
        <f>IF(Summary_Exchange_Balances_00UTC!$B123="","",Summary_Exchange_Balances_00UTC!$E123)</f>
        <v>ETH</v>
      </c>
      <c r="D123" t="str">
        <f>IF(OR(Summary_Exchange_Balances_00UTC!$B123="",Summary_Exchange_Balances_00UTC!$D123=""),"",Summary_Exchange_Balances_00UTC!$D123)</f>
        <v>wallet</v>
      </c>
      <c r="E123" s="54">
        <f>IF(Summary_Exchange_Balances_00UTC!$B123="","",Summary_Exchange_Balances_00UTC!$C123)</f>
        <v>2.96051419</v>
      </c>
      <c r="F123" s="53" t="e">
        <f>IF(Summary_Exchange_Balances_00UTC!$B123="","",VLOOKUP(UPPER($A123&amp;$C123),$L:$T,7,FALSE))</f>
        <v>#N/A</v>
      </c>
      <c r="G123" s="53" t="e">
        <f>IF(Summary_Exchange_Balances_00UTC!$B123="","",VLOOKUP(IF(ISERROR(SEARCH(" ", $B123)),UPPER($B123&amp;$C123&amp;$D123),UPPER(LEFT($B123, SEARCH(" ",$B123)-1)&amp;$C123&amp;$D123)),$M:$T,6,FALSE))</f>
        <v>#N/A</v>
      </c>
      <c r="H123">
        <f>IF(Summary_Exchange_Balances_00UTC!$B123="","",IF(ISERROR($G123),$E123,$G123))</f>
        <v>2.96051419</v>
      </c>
      <c r="I123" s="36" t="e">
        <f t="shared" si="3"/>
        <v>#N/A</v>
      </c>
      <c r="L123" t="str">
        <f t="shared" si="4"/>
        <v>FBLKUSDC</v>
      </c>
      <c r="M123" t="str">
        <f t="shared" si="5"/>
        <v>FBLKUSDC</v>
      </c>
      <c r="N123" t="s">
        <v>95</v>
      </c>
      <c r="O123" t="s">
        <v>189</v>
      </c>
      <c r="P123" t="s">
        <v>189</v>
      </c>
      <c r="R123" s="43">
        <v>4380579.9452900002</v>
      </c>
      <c r="S123" t="s">
        <v>523</v>
      </c>
      <c r="T123">
        <v>1</v>
      </c>
      <c r="W123" t="s">
        <v>302</v>
      </c>
      <c r="X123" t="s">
        <v>15</v>
      </c>
      <c r="Y123" s="54">
        <v>1.899957E-2</v>
      </c>
      <c r="Z123">
        <v>0</v>
      </c>
      <c r="AC123"/>
      <c r="AD123"/>
      <c r="AS123" t="str">
        <f>IF(Summary_Exchange_Balances_00UTC!$B123="","","'"&amp;C123&amp;"',")</f>
        <v>'ETH',</v>
      </c>
      <c r="AT123">
        <f>IF(Summary_Exchange_Balances_00UTC!$B123="","",IF(ISERROR(HLOOKUP($C123,$AW$1:$LL$2,2,FALSE)),Summary_Exchange_Balances_00UTC!$Q123,IF(OR(HLOOKUP($C123,$AW$1:$LL$2,2,FALSE)="",HLOOKUP($C123,$AW$1:$LL$2,2,FALSE)="null"),Summary_Exchange_Balances_00UTC!$Q123,HLOOKUP($C123,$AW$1:$LL$2,2,FALSE))))</f>
        <v>1208.73</v>
      </c>
    </row>
    <row r="124" spans="1:46" x14ac:dyDescent="0.25">
      <c r="A124" t="str">
        <f>IF(Summary_Exchange_Balances_00UTC!$B124="","",Summary_Exchange_Balances_00UTC!$N124)</f>
        <v>DEFI</v>
      </c>
      <c r="B124" t="str">
        <f>IF(Summary_Exchange_Balances_00UTC!$B124="","",Summary_Exchange_Balances_00UTC!$B124)</f>
        <v>DEFI-STRAT-6</v>
      </c>
      <c r="C124" t="str">
        <f>IF(Summary_Exchange_Balances_00UTC!$B124="","",Summary_Exchange_Balances_00UTC!$E124)</f>
        <v>FRXETH</v>
      </c>
      <c r="D124" t="str">
        <f>IF(OR(Summary_Exchange_Balances_00UTC!$B124="",Summary_Exchange_Balances_00UTC!$D124=""),"",Summary_Exchange_Balances_00UTC!$D124)</f>
        <v>supply_token</v>
      </c>
      <c r="E124" s="54">
        <f>IF(Summary_Exchange_Balances_00UTC!$B124="","",Summary_Exchange_Balances_00UTC!$C124)</f>
        <v>498.37304568000002</v>
      </c>
      <c r="F124" s="53" t="e">
        <f>IF(Summary_Exchange_Balances_00UTC!$B124="","",VLOOKUP(UPPER($A124&amp;$C124),$L:$T,7,FALSE))</f>
        <v>#N/A</v>
      </c>
      <c r="G124" s="53" t="e">
        <f>IF(Summary_Exchange_Balances_00UTC!$B124="","",VLOOKUP(IF(ISERROR(SEARCH(" ", $B124)),UPPER($B124&amp;$C124&amp;$D124),UPPER(LEFT($B124, SEARCH(" ",$B124)-1)&amp;$C124&amp;$D124)),$M:$T,6,FALSE))</f>
        <v>#N/A</v>
      </c>
      <c r="H124">
        <f>IF(Summary_Exchange_Balances_00UTC!$B124="","",IF(ISERROR($G124),$E124,$G124))</f>
        <v>498.37304568000002</v>
      </c>
      <c r="I124" s="36" t="e">
        <f t="shared" si="3"/>
        <v>#N/A</v>
      </c>
      <c r="L124" t="str">
        <f t="shared" si="4"/>
        <v>FBLKUSDT_ERC20</v>
      </c>
      <c r="M124" t="str">
        <f t="shared" si="5"/>
        <v>FBLKUSDT_ERC20</v>
      </c>
      <c r="N124" t="s">
        <v>337</v>
      </c>
      <c r="O124" t="s">
        <v>189</v>
      </c>
      <c r="P124" t="s">
        <v>189</v>
      </c>
      <c r="R124" s="43">
        <v>3764215.0864200001</v>
      </c>
      <c r="S124" t="s">
        <v>523</v>
      </c>
      <c r="T124">
        <v>1</v>
      </c>
      <c r="W124" t="s">
        <v>302</v>
      </c>
      <c r="X124" t="s">
        <v>297</v>
      </c>
      <c r="Y124" s="54">
        <v>9.9825000000000001E-4</v>
      </c>
      <c r="Z124">
        <v>0</v>
      </c>
      <c r="AC124"/>
      <c r="AD124"/>
      <c r="AS124" t="str">
        <f>IF(Summary_Exchange_Balances_00UTC!$B124="","","'"&amp;C124&amp;"',")</f>
        <v>'FRXETH',</v>
      </c>
      <c r="AT124">
        <f>IF(Summary_Exchange_Balances_00UTC!$B124="","",IF(ISERROR(HLOOKUP($C124,$AW$1:$LL$2,2,FALSE)),Summary_Exchange_Balances_00UTC!$Q124,IF(OR(HLOOKUP($C124,$AW$1:$LL$2,2,FALSE)="",HLOOKUP($C124,$AW$1:$LL$2,2,FALSE)="null"),Summary_Exchange_Balances_00UTC!$Q124,HLOOKUP($C124,$AW$1:$LL$2,2,FALSE))))</f>
        <v>0</v>
      </c>
    </row>
    <row r="125" spans="1:46" x14ac:dyDescent="0.25">
      <c r="A125" t="str">
        <f>IF(Summary_Exchange_Balances_00UTC!$B125="","",Summary_Exchange_Balances_00UTC!$N125)</f>
        <v>DYDX</v>
      </c>
      <c r="B125" t="str">
        <f>IF(Summary_Exchange_Balances_00UTC!$B125="","",Summary_Exchange_Balances_00UTC!$B125)</f>
        <v>DYDX-1-M-P</v>
      </c>
      <c r="C125" t="str">
        <f>IF(Summary_Exchange_Balances_00UTC!$B125="","",Summary_Exchange_Balances_00UTC!$E125)</f>
        <v>USDC</v>
      </c>
      <c r="D125" t="str">
        <f>IF(OR(Summary_Exchange_Balances_00UTC!$B125="",Summary_Exchange_Balances_00UTC!$D125=""),"",Summary_Exchange_Balances_00UTC!$D125)</f>
        <v/>
      </c>
      <c r="E125" s="54">
        <f>IF(Summary_Exchange_Balances_00UTC!$B125="","",Summary_Exchange_Balances_00UTC!$C125)</f>
        <v>172499.35324299999</v>
      </c>
      <c r="F125" s="53" t="e">
        <f>IF(Summary_Exchange_Balances_00UTC!$B125="","",VLOOKUP(UPPER($A125&amp;$C125),$L:$T,7,FALSE))</f>
        <v>#N/A</v>
      </c>
      <c r="G125" s="53" t="e">
        <f>IF(Summary_Exchange_Balances_00UTC!$B125="","",VLOOKUP(IF(ISERROR(SEARCH(" ", $B125)),UPPER($B125&amp;$C125&amp;$D125),UPPER(LEFT($B125, SEARCH(" ",$B125)-1)&amp;$C125&amp;$D125)),$M:$T,6,FALSE))</f>
        <v>#N/A</v>
      </c>
      <c r="H125">
        <f>IF(Summary_Exchange_Balances_00UTC!$B125="","",IF(ISERROR($G125),$E125,$G125))</f>
        <v>172499.35324299999</v>
      </c>
      <c r="I125" s="36" t="e">
        <f t="shared" si="3"/>
        <v>#N/A</v>
      </c>
      <c r="L125" t="str">
        <f t="shared" si="4"/>
        <v>FBLKWETH</v>
      </c>
      <c r="M125" t="str">
        <f t="shared" si="5"/>
        <v>FBLKWETH</v>
      </c>
      <c r="N125" t="s">
        <v>260</v>
      </c>
      <c r="O125" t="s">
        <v>189</v>
      </c>
      <c r="P125" t="s">
        <v>189</v>
      </c>
      <c r="R125" s="43">
        <v>7.9373880867000004</v>
      </c>
      <c r="S125" t="s">
        <v>523</v>
      </c>
      <c r="T125">
        <v>1</v>
      </c>
      <c r="W125" t="s">
        <v>302</v>
      </c>
      <c r="X125" t="s">
        <v>275</v>
      </c>
      <c r="Y125" s="54">
        <v>9.9825000000000001E-4</v>
      </c>
      <c r="Z125">
        <v>0</v>
      </c>
      <c r="AC125"/>
      <c r="AD125"/>
      <c r="AS125" t="str">
        <f>IF(Summary_Exchange_Balances_00UTC!$B125="","","'"&amp;C125&amp;"',")</f>
        <v>'USDC',</v>
      </c>
      <c r="AT125">
        <f>IF(Summary_Exchange_Balances_00UTC!$B125="","",IF(ISERROR(HLOOKUP($C125,$AW$1:$LL$2,2,FALSE)),Summary_Exchange_Balances_00UTC!$Q125,IF(OR(HLOOKUP($C125,$AW$1:$LL$2,2,FALSE)="",HLOOKUP($C125,$AW$1:$LL$2,2,FALSE)="null"),Summary_Exchange_Balances_00UTC!$Q125,HLOOKUP($C125,$AW$1:$LL$2,2,FALSE))))</f>
        <v>0.99997952530443401</v>
      </c>
    </row>
    <row r="126" spans="1:46" x14ac:dyDescent="0.25">
      <c r="A126" t="str">
        <f>IF(Summary_Exchange_Balances_00UTC!$B126="","",Summary_Exchange_Balances_00UTC!$N126)</f>
        <v>HUBI</v>
      </c>
      <c r="B126" t="str">
        <f>IF(Summary_Exchange_Balances_00UTC!$B126="","",Summary_Exchange_Balances_00UTC!$B126)</f>
        <v>FUB2-M</v>
      </c>
      <c r="C126" t="str">
        <f>IF(Summary_Exchange_Balances_00UTC!$B126="","",Summary_Exchange_Balances_00UTC!$E126)</f>
        <v>ADA</v>
      </c>
      <c r="D126" t="str">
        <f>IF(OR(Summary_Exchange_Balances_00UTC!$B126="",Summary_Exchange_Balances_00UTC!$D126=""),"",Summary_Exchange_Balances_00UTC!$D126)</f>
        <v>Balance</v>
      </c>
      <c r="E126" s="54">
        <f>IF(Summary_Exchange_Balances_00UTC!$B126="","",Summary_Exchange_Balances_00UTC!$C126)</f>
        <v>1E-8</v>
      </c>
      <c r="F126" s="53">
        <f>IF(Summary_Exchange_Balances_00UTC!$B126="","",VLOOKUP(UPPER($A126&amp;$C126),$L:$T,7,FALSE))</f>
        <v>3.2091770000000001E-4</v>
      </c>
      <c r="G126" s="53">
        <f>IF(Summary_Exchange_Balances_00UTC!$B126="","",VLOOKUP(IF(ISERROR(SEARCH(" ", $B126)),UPPER($B126&amp;$C126&amp;$D126),UPPER(LEFT($B126, SEARCH(" ",$B126)-1)&amp;$C126&amp;$D126)),$M:$T,6,FALSE))</f>
        <v>9.6999999999999992E-9</v>
      </c>
      <c r="H126">
        <f>IF(Summary_Exchange_Balances_00UTC!$B126="","",IF(ISERROR($G126),$E126,$G126))</f>
        <v>9.6999999999999992E-9</v>
      </c>
      <c r="I126" s="36">
        <f t="shared" si="3"/>
        <v>-3.0000000000000103E-2</v>
      </c>
      <c r="L126" t="str">
        <f t="shared" si="4"/>
        <v>FBLKXLM</v>
      </c>
      <c r="M126" t="str">
        <f t="shared" si="5"/>
        <v>FBLKXLM</v>
      </c>
      <c r="N126" t="s">
        <v>166</v>
      </c>
      <c r="O126" t="s">
        <v>189</v>
      </c>
      <c r="P126" t="s">
        <v>189</v>
      </c>
      <c r="R126" s="43">
        <v>4.0349905000000001</v>
      </c>
      <c r="S126" t="s">
        <v>523</v>
      </c>
      <c r="T126">
        <v>1</v>
      </c>
      <c r="W126" t="s">
        <v>302</v>
      </c>
      <c r="X126" t="s">
        <v>298</v>
      </c>
      <c r="Y126" s="54">
        <v>9.5929999999999998E-5</v>
      </c>
      <c r="Z126">
        <v>0</v>
      </c>
      <c r="AC126"/>
      <c r="AD126"/>
      <c r="AS126" t="str">
        <f>IF(Summary_Exchange_Balances_00UTC!$B126="","","'"&amp;C126&amp;"',")</f>
        <v>'ADA',</v>
      </c>
      <c r="AT126">
        <f>IF(Summary_Exchange_Balances_00UTC!$B126="","",IF(ISERROR(HLOOKUP($C126,$AW$1:$LL$2,2,FALSE)),Summary_Exchange_Balances_00UTC!$Q126,IF(OR(HLOOKUP($C126,$AW$1:$LL$2,2,FALSE)="",HLOOKUP($C126,$AW$1:$LL$2,2,FALSE)="null"),Summary_Exchange_Balances_00UTC!$Q126,HLOOKUP($C126,$AW$1:$LL$2,2,FALSE))))</f>
        <v>0.32653653999999999</v>
      </c>
    </row>
    <row r="127" spans="1:46" x14ac:dyDescent="0.25">
      <c r="A127" t="str">
        <f>IF(Summary_Exchange_Balances_00UTC!$B127="","",Summary_Exchange_Balances_00UTC!$N127)</f>
        <v>HUBI</v>
      </c>
      <c r="B127" t="str">
        <f>IF(Summary_Exchange_Balances_00UTC!$B127="","",Summary_Exchange_Balances_00UTC!$B127)</f>
        <v>FUB2-M</v>
      </c>
      <c r="C127" t="str">
        <f>IF(Summary_Exchange_Balances_00UTC!$B127="","",Summary_Exchange_Balances_00UTC!$E127)</f>
        <v>BCH</v>
      </c>
      <c r="D127" t="str">
        <f>IF(OR(Summary_Exchange_Balances_00UTC!$B127="",Summary_Exchange_Balances_00UTC!$D127=""),"",Summary_Exchange_Balances_00UTC!$D127)</f>
        <v>Balance</v>
      </c>
      <c r="E127" s="54">
        <f>IF(Summary_Exchange_Balances_00UTC!$B127="","",Summary_Exchange_Balances_00UTC!$C127)</f>
        <v>4.9999999999999998E-8</v>
      </c>
      <c r="F127" s="53">
        <f>IF(Summary_Exchange_Balances_00UTC!$B127="","",VLOOKUP(UPPER($A127&amp;$C127),$L:$T,7,FALSE))</f>
        <v>5.3552099999999996E-4</v>
      </c>
      <c r="G127" s="53">
        <f>IF(Summary_Exchange_Balances_00UTC!$B127="","",VLOOKUP(IF(ISERROR(SEARCH(" ", $B127)),UPPER($B127&amp;$C127&amp;$D127),UPPER(LEFT($B127, SEARCH(" ",$B127)-1)&amp;$C127&amp;$D127)),$M:$T,6,FALSE))</f>
        <v>5.02E-8</v>
      </c>
      <c r="H127">
        <f>IF(Summary_Exchange_Balances_00UTC!$B127="","",IF(ISERROR($G127),$E127,$G127))</f>
        <v>5.02E-8</v>
      </c>
      <c r="I127" s="36">
        <f t="shared" si="3"/>
        <v>4.0000000000000356E-3</v>
      </c>
      <c r="L127" t="str">
        <f t="shared" si="4"/>
        <v>FBLKXRP</v>
      </c>
      <c r="M127" t="str">
        <f t="shared" si="5"/>
        <v>FBLKXRP</v>
      </c>
      <c r="N127" t="s">
        <v>102</v>
      </c>
      <c r="O127" t="s">
        <v>189</v>
      </c>
      <c r="P127" t="s">
        <v>189</v>
      </c>
      <c r="R127" s="43">
        <v>313.68989199999999</v>
      </c>
      <c r="S127" t="s">
        <v>523</v>
      </c>
      <c r="T127">
        <v>1</v>
      </c>
      <c r="W127" t="s">
        <v>302</v>
      </c>
      <c r="X127" t="s">
        <v>39</v>
      </c>
      <c r="Y127" s="54">
        <v>27.162898349999999</v>
      </c>
      <c r="Z127">
        <v>0</v>
      </c>
      <c r="AC127"/>
      <c r="AD127"/>
      <c r="AS127" t="str">
        <f>IF(Summary_Exchange_Balances_00UTC!$B127="","","'"&amp;C127&amp;"',")</f>
        <v>'BCH',</v>
      </c>
      <c r="AT127">
        <f>IF(Summary_Exchange_Balances_00UTC!$B127="","",IF(ISERROR(HLOOKUP($C127,$AW$1:$LL$2,2,FALSE)),Summary_Exchange_Balances_00UTC!$Q127,IF(OR(HLOOKUP($C127,$AW$1:$LL$2,2,FALSE)="",HLOOKUP($C127,$AW$1:$LL$2,2,FALSE)="null"),Summary_Exchange_Balances_00UTC!$Q127,HLOOKUP($C127,$AW$1:$LL$2,2,FALSE))))</f>
        <v>103.98</v>
      </c>
    </row>
    <row r="128" spans="1:46" x14ac:dyDescent="0.25">
      <c r="A128" t="str">
        <f>IF(Summary_Exchange_Balances_00UTC!$B128="","",Summary_Exchange_Balances_00UTC!$N128)</f>
        <v>HUBI</v>
      </c>
      <c r="B128" t="str">
        <f>IF(Summary_Exchange_Balances_00UTC!$B128="","",Summary_Exchange_Balances_00UTC!$B128)</f>
        <v>FUB2-M</v>
      </c>
      <c r="C128" t="str">
        <f>IF(Summary_Exchange_Balances_00UTC!$B128="","",Summary_Exchange_Balances_00UTC!$E128)</f>
        <v>BSV</v>
      </c>
      <c r="D128" t="str">
        <f>IF(OR(Summary_Exchange_Balances_00UTC!$B128="",Summary_Exchange_Balances_00UTC!$D128=""),"",Summary_Exchange_Balances_00UTC!$D128)</f>
        <v>Balance</v>
      </c>
      <c r="E128" s="54">
        <f>IF(Summary_Exchange_Balances_00UTC!$B128="","",Summary_Exchange_Balances_00UTC!$C128)</f>
        <v>0.47315189000000002</v>
      </c>
      <c r="F128" s="53">
        <f>IF(Summary_Exchange_Balances_00UTC!$B128="","",VLOOKUP(UPPER($A128&amp;$C128),$L:$T,7,FALSE))</f>
        <v>3.3400000000000001E-8</v>
      </c>
      <c r="G128" s="53">
        <f>IF(Summary_Exchange_Balances_00UTC!$B128="","",VLOOKUP(IF(ISERROR(SEARCH(" ", $B128)),UPPER($B128&amp;$C128&amp;$D128),UPPER(LEFT($B128, SEARCH(" ",$B128)-1)&amp;$C128&amp;$D128)),$M:$T,6,FALSE))</f>
        <v>0.47315189390000001</v>
      </c>
      <c r="H128">
        <f>IF(Summary_Exchange_Balances_00UTC!$B128="","",IF(ISERROR($G128),$E128,$G128))</f>
        <v>0.47315189390000001</v>
      </c>
      <c r="I128" s="36">
        <f t="shared" si="3"/>
        <v>8.2425962403331828E-9</v>
      </c>
      <c r="L128" t="str">
        <f t="shared" si="4"/>
        <v>FBLKYFI</v>
      </c>
      <c r="M128" t="str">
        <f t="shared" si="5"/>
        <v>FBLKYFI</v>
      </c>
      <c r="N128" t="s">
        <v>174</v>
      </c>
      <c r="O128" t="s">
        <v>189</v>
      </c>
      <c r="P128" t="s">
        <v>189</v>
      </c>
      <c r="R128" s="43">
        <v>7.0684900000000002E-3</v>
      </c>
      <c r="S128" t="s">
        <v>523</v>
      </c>
      <c r="T128">
        <v>1</v>
      </c>
      <c r="W128" t="s">
        <v>302</v>
      </c>
      <c r="X128" t="s">
        <v>15</v>
      </c>
      <c r="Y128" s="54">
        <v>1.995E-4</v>
      </c>
      <c r="Z128">
        <v>0</v>
      </c>
      <c r="AC128"/>
      <c r="AD128"/>
      <c r="AS128" t="str">
        <f>IF(Summary_Exchange_Balances_00UTC!$B128="","","'"&amp;C128&amp;"',")</f>
        <v>'BSV',</v>
      </c>
      <c r="AT128">
        <f>IF(Summary_Exchange_Balances_00UTC!$B128="","",IF(ISERROR(HLOOKUP($C128,$AW$1:$LL$2,2,FALSE)),Summary_Exchange_Balances_00UTC!$Q128,IF(OR(HLOOKUP($C128,$AW$1:$LL$2,2,FALSE)="",HLOOKUP($C128,$AW$1:$LL$2,2,FALSE)="null"),Summary_Exchange_Balances_00UTC!$Q128,HLOOKUP($C128,$AW$1:$LL$2,2,FALSE))))</f>
        <v>39.841106000000003</v>
      </c>
    </row>
    <row r="129" spans="1:46" x14ac:dyDescent="0.25">
      <c r="A129" t="str">
        <f>IF(Summary_Exchange_Balances_00UTC!$B129="","",Summary_Exchange_Balances_00UTC!$N129)</f>
        <v>HUBI</v>
      </c>
      <c r="B129" t="str">
        <f>IF(Summary_Exchange_Balances_00UTC!$B129="","",Summary_Exchange_Balances_00UTC!$B129)</f>
        <v>FUB2-M</v>
      </c>
      <c r="C129" t="str">
        <f>IF(Summary_Exchange_Balances_00UTC!$B129="","",Summary_Exchange_Balances_00UTC!$E129)</f>
        <v>BTC</v>
      </c>
      <c r="D129" t="str">
        <f>IF(OR(Summary_Exchange_Balances_00UTC!$B129="",Summary_Exchange_Balances_00UTC!$D129=""),"",Summary_Exchange_Balances_00UTC!$D129)</f>
        <v>Balance</v>
      </c>
      <c r="E129" s="54">
        <f>IF(Summary_Exchange_Balances_00UTC!$B129="","",Summary_Exchange_Balances_00UTC!$C129)</f>
        <v>4.0000000000000001E-8</v>
      </c>
      <c r="F129" s="53">
        <f>IF(Summary_Exchange_Balances_00UTC!$B129="","",VLOOKUP(UPPER($A129&amp;$C129),$L:$T,7,FALSE))</f>
        <v>-3.8731584897000002</v>
      </c>
      <c r="G129" s="53">
        <f>IF(Summary_Exchange_Balances_00UTC!$B129="","",VLOOKUP(IF(ISERROR(SEARCH(" ", $B129)),UPPER($B129&amp;$C129&amp;$D129),UPPER(LEFT($B129, SEARCH(" ",$B129)-1)&amp;$C129&amp;$D129)),$M:$T,6,FALSE))</f>
        <v>3.8600000000000002E-8</v>
      </c>
      <c r="H129">
        <f>IF(Summary_Exchange_Balances_00UTC!$B129="","",IF(ISERROR($G129),$E129,$G129))</f>
        <v>3.8600000000000002E-8</v>
      </c>
      <c r="I129" s="36">
        <f t="shared" si="3"/>
        <v>-3.4999999999999983E-2</v>
      </c>
      <c r="L129" t="str">
        <f t="shared" si="4"/>
        <v>FUBIADA</v>
      </c>
      <c r="M129" t="str">
        <f t="shared" si="5"/>
        <v>FUBI-MADABALANCE</v>
      </c>
      <c r="N129" t="s">
        <v>87</v>
      </c>
      <c r="O129" t="s">
        <v>218</v>
      </c>
      <c r="P129" t="s">
        <v>41</v>
      </c>
      <c r="Q129" t="s">
        <v>75</v>
      </c>
      <c r="R129" s="43">
        <v>5.7406593000000001E-3</v>
      </c>
      <c r="S129" t="s">
        <v>524</v>
      </c>
      <c r="T129">
        <v>1</v>
      </c>
      <c r="W129" t="s">
        <v>302</v>
      </c>
      <c r="X129" t="s">
        <v>16</v>
      </c>
      <c r="Y129" s="54">
        <v>9.9825000000000001E-4</v>
      </c>
      <c r="Z129">
        <v>0</v>
      </c>
      <c r="AC129"/>
      <c r="AD129"/>
      <c r="AS129" t="str">
        <f>IF(Summary_Exchange_Balances_00UTC!$B129="","","'"&amp;C129&amp;"',")</f>
        <v>'BTC',</v>
      </c>
      <c r="AT129">
        <f>IF(Summary_Exchange_Balances_00UTC!$B129="","",IF(ISERROR(HLOOKUP($C129,$AW$1:$LL$2,2,FALSE)),Summary_Exchange_Balances_00UTC!$Q129,IF(OR(HLOOKUP($C129,$AW$1:$LL$2,2,FALSE)="",HLOOKUP($C129,$AW$1:$LL$2,2,FALSE)="null"),Summary_Exchange_Balances_00UTC!$Q129,HLOOKUP($C129,$AW$1:$LL$2,2,FALSE))))</f>
        <v>16719.740000000002</v>
      </c>
    </row>
    <row r="130" spans="1:46" x14ac:dyDescent="0.25">
      <c r="A130" t="str">
        <f>IF(Summary_Exchange_Balances_00UTC!$B130="","",Summary_Exchange_Balances_00UTC!$N130)</f>
        <v>HUBI</v>
      </c>
      <c r="B130" t="str">
        <f>IF(Summary_Exchange_Balances_00UTC!$B130="","",Summary_Exchange_Balances_00UTC!$B130)</f>
        <v>FUB2-M</v>
      </c>
      <c r="C130" t="str">
        <f>IF(Summary_Exchange_Balances_00UTC!$B130="","",Summary_Exchange_Balances_00UTC!$E130)</f>
        <v>EOS</v>
      </c>
      <c r="D130" t="str">
        <f>IF(OR(Summary_Exchange_Balances_00UTC!$B130="",Summary_Exchange_Balances_00UTC!$D130=""),"",Summary_Exchange_Balances_00UTC!$D130)</f>
        <v>Balance</v>
      </c>
      <c r="E130" s="54">
        <f>IF(Summary_Exchange_Balances_00UTC!$B130="","",Summary_Exchange_Balances_00UTC!$C130)</f>
        <v>2.9999999999999997E-8</v>
      </c>
      <c r="F130" s="53">
        <f>IF(Summary_Exchange_Balances_00UTC!$B130="","",VLOOKUP(UPPER($A130&amp;$C130),$L:$T,7,FALSE))</f>
        <v>28617.428863770001</v>
      </c>
      <c r="G130" s="53">
        <f>IF(Summary_Exchange_Balances_00UTC!$B130="","",VLOOKUP(IF(ISERROR(SEARCH(" ", $B130)),UPPER($B130&amp;$C130&amp;$D130),UPPER(LEFT($B130, SEARCH(" ",$B130)-1)&amp;$C130&amp;$D130)),$M:$T,6,FALSE))</f>
        <v>3.1699999999999999E-8</v>
      </c>
      <c r="H130">
        <f>IF(Summary_Exchange_Balances_00UTC!$B130="","",IF(ISERROR($G130),$E130,$G130))</f>
        <v>3.1699999999999999E-8</v>
      </c>
      <c r="I130" s="36">
        <f t="shared" ref="I130:I193" si="6">(G130-E130)/E130</f>
        <v>5.666666666666674E-2</v>
      </c>
      <c r="L130" t="str">
        <f t="shared" ref="L130:L193" si="7">UPPER($O130&amp;$N130)</f>
        <v>FUBIADA</v>
      </c>
      <c r="M130" t="str">
        <f t="shared" ref="M130:M193" si="8">UPPER($P130&amp;$N130&amp;Q130)</f>
        <v>FUB2-MADABALANCE</v>
      </c>
      <c r="N130" t="s">
        <v>87</v>
      </c>
      <c r="O130" t="s">
        <v>218</v>
      </c>
      <c r="P130" t="s">
        <v>114</v>
      </c>
      <c r="Q130" t="s">
        <v>75</v>
      </c>
      <c r="R130" s="43">
        <v>9.6999999999999992E-9</v>
      </c>
      <c r="S130" t="s">
        <v>525</v>
      </c>
      <c r="T130">
        <v>1</v>
      </c>
      <c r="W130" t="s">
        <v>302</v>
      </c>
      <c r="X130" t="s">
        <v>39</v>
      </c>
      <c r="Y130" s="54">
        <v>59.393906000000001</v>
      </c>
      <c r="Z130">
        <v>0</v>
      </c>
      <c r="AC130"/>
      <c r="AD130"/>
      <c r="AS130" t="str">
        <f>IF(Summary_Exchange_Balances_00UTC!$B130="","","'"&amp;C130&amp;"',")</f>
        <v>'EOS',</v>
      </c>
      <c r="AT130">
        <f>IF(Summary_Exchange_Balances_00UTC!$B130="","",IF(ISERROR(HLOOKUP($C130,$AW$1:$LL$2,2,FALSE)),Summary_Exchange_Balances_00UTC!$Q130,IF(OR(HLOOKUP($C130,$AW$1:$LL$2,2,FALSE)="",HLOOKUP($C130,$AW$1:$LL$2,2,FALSE)="null"),Summary_Exchange_Balances_00UTC!$Q130,HLOOKUP($C130,$AW$1:$LL$2,2,FALSE))))</f>
        <v>0.90154135000000002</v>
      </c>
    </row>
    <row r="131" spans="1:46" x14ac:dyDescent="0.25">
      <c r="A131" t="str">
        <f>IF(Summary_Exchange_Balances_00UTC!$B131="","",Summary_Exchange_Balances_00UTC!$N131)</f>
        <v>HUBI</v>
      </c>
      <c r="B131" t="str">
        <f>IF(Summary_Exchange_Balances_00UTC!$B131="","",Summary_Exchange_Balances_00UTC!$B131)</f>
        <v>FUB2-M</v>
      </c>
      <c r="C131" t="str">
        <f>IF(Summary_Exchange_Balances_00UTC!$B131="","",Summary_Exchange_Balances_00UTC!$E131)</f>
        <v>ETC</v>
      </c>
      <c r="D131" t="str">
        <f>IF(OR(Summary_Exchange_Balances_00UTC!$B131="",Summary_Exchange_Balances_00UTC!$D131=""),"",Summary_Exchange_Balances_00UTC!$D131)</f>
        <v>Balance</v>
      </c>
      <c r="E131" s="53">
        <f>IF(Summary_Exchange_Balances_00UTC!$B131="","",Summary_Exchange_Balances_00UTC!$C131)</f>
        <v>1E-8</v>
      </c>
      <c r="F131" s="53">
        <f>IF(Summary_Exchange_Balances_00UTC!$B131="","",VLOOKUP(UPPER($A131&amp;$C131),$L:$T,7,FALSE))</f>
        <v>0.1010306031</v>
      </c>
      <c r="G131" s="53">
        <f>IF(Summary_Exchange_Balances_00UTC!$B131="","",VLOOKUP(IF(ISERROR(SEARCH(" ", $B131)),UPPER($B131&amp;$C131&amp;$D131),UPPER(LEFT($B131, SEARCH(" ",$B131)-1)&amp;$C131&amp;$D131)),$M:$T,6,FALSE))</f>
        <v>6.1E-9</v>
      </c>
      <c r="H131">
        <f>IF(Summary_Exchange_Balances_00UTC!$B131="","",IF(ISERROR($G131),$E131,$G131))</f>
        <v>6.1E-9</v>
      </c>
      <c r="I131" s="36">
        <f t="shared" si="6"/>
        <v>-0.39</v>
      </c>
      <c r="L131" t="str">
        <f t="shared" si="7"/>
        <v>FUBIBCH</v>
      </c>
      <c r="M131" t="str">
        <f t="shared" si="8"/>
        <v>FUBI-MBCHBALANCE</v>
      </c>
      <c r="N131" t="s">
        <v>21</v>
      </c>
      <c r="O131" t="s">
        <v>218</v>
      </c>
      <c r="P131" t="s">
        <v>41</v>
      </c>
      <c r="Q131" t="s">
        <v>75</v>
      </c>
      <c r="R131" s="43">
        <v>0.72885028029999999</v>
      </c>
      <c r="S131" t="s">
        <v>524</v>
      </c>
      <c r="T131">
        <v>1</v>
      </c>
      <c r="W131" t="s">
        <v>115</v>
      </c>
      <c r="X131" t="s">
        <v>39</v>
      </c>
      <c r="Y131" s="53">
        <v>1E-8</v>
      </c>
      <c r="Z131">
        <v>0</v>
      </c>
      <c r="AC131"/>
      <c r="AD131"/>
      <c r="AS131" t="str">
        <f>IF(Summary_Exchange_Balances_00UTC!$B131="","","'"&amp;C131&amp;"',")</f>
        <v>'ETC',</v>
      </c>
      <c r="AT131">
        <f>IF(Summary_Exchange_Balances_00UTC!$B131="","",IF(ISERROR(HLOOKUP($C131,$AW$1:$LL$2,2,FALSE)),Summary_Exchange_Balances_00UTC!$Q131,IF(OR(HLOOKUP($C131,$AW$1:$LL$2,2,FALSE)="",HLOOKUP($C131,$AW$1:$LL$2,2,FALSE)="null"),Summary_Exchange_Balances_00UTC!$Q131,HLOOKUP($C131,$AW$1:$LL$2,2,FALSE))))</f>
        <v>19.614688999999998</v>
      </c>
    </row>
    <row r="132" spans="1:46" x14ac:dyDescent="0.25">
      <c r="A132" t="str">
        <f>IF(Summary_Exchange_Balances_00UTC!$B132="","",Summary_Exchange_Balances_00UTC!$N132)</f>
        <v>HUBI</v>
      </c>
      <c r="B132" t="str">
        <f>IF(Summary_Exchange_Balances_00UTC!$B132="","",Summary_Exchange_Balances_00UTC!$B132)</f>
        <v>FUB2-M</v>
      </c>
      <c r="C132" t="str">
        <f>IF(Summary_Exchange_Balances_00UTC!$B132="","",Summary_Exchange_Balances_00UTC!$E132)</f>
        <v>ETH</v>
      </c>
      <c r="D132" t="str">
        <f>IF(OR(Summary_Exchange_Balances_00UTC!$B132="",Summary_Exchange_Balances_00UTC!$D132=""),"",Summary_Exchange_Balances_00UTC!$D132)</f>
        <v>Balance</v>
      </c>
      <c r="E132" s="53">
        <f>IF(Summary_Exchange_Balances_00UTC!$B132="","",Summary_Exchange_Balances_00UTC!$C132)</f>
        <v>2.9999999999999997E-8</v>
      </c>
      <c r="F132" s="53">
        <f>IF(Summary_Exchange_Balances_00UTC!$B132="","",VLOOKUP(UPPER($A132&amp;$C132),$L:$T,7,FALSE))</f>
        <v>-16.0087772937</v>
      </c>
      <c r="G132" s="53">
        <f>IF(Summary_Exchange_Balances_00UTC!$B132="","",VLOOKUP(IF(ISERROR(SEARCH(" ", $B132)),UPPER($B132&amp;$C132&amp;$D132),UPPER(LEFT($B132, SEARCH(" ",$B132)-1)&amp;$C132&amp;$D132)),$M:$T,6,FALSE))</f>
        <v>2.8600000000000001E-8</v>
      </c>
      <c r="H132">
        <f>IF(Summary_Exchange_Balances_00UTC!$B132="","",IF(ISERROR($G132),$E132,$G132))</f>
        <v>2.8600000000000001E-8</v>
      </c>
      <c r="I132" s="36">
        <f t="shared" si="6"/>
        <v>-4.6666666666666537E-2</v>
      </c>
      <c r="L132" t="str">
        <f t="shared" si="7"/>
        <v>FUBIBCH</v>
      </c>
      <c r="M132" t="str">
        <f t="shared" si="8"/>
        <v>FUB2-MBCHBALANCE</v>
      </c>
      <c r="N132" t="s">
        <v>21</v>
      </c>
      <c r="O132" t="s">
        <v>218</v>
      </c>
      <c r="P132" t="s">
        <v>114</v>
      </c>
      <c r="Q132" t="s">
        <v>75</v>
      </c>
      <c r="R132" s="43">
        <v>5.02E-8</v>
      </c>
      <c r="S132" t="s">
        <v>525</v>
      </c>
      <c r="T132">
        <v>1</v>
      </c>
      <c r="W132" t="s">
        <v>115</v>
      </c>
      <c r="X132" t="s">
        <v>102</v>
      </c>
      <c r="Y132" s="53">
        <v>7.4209999999999996E-5</v>
      </c>
      <c r="Z132">
        <v>0</v>
      </c>
      <c r="AC132"/>
      <c r="AD132"/>
      <c r="AS132" t="str">
        <f>IF(Summary_Exchange_Balances_00UTC!$B132="","","'"&amp;C132&amp;"',")</f>
        <v>'ETH',</v>
      </c>
      <c r="AT132">
        <f>IF(Summary_Exchange_Balances_00UTC!$B132="","",IF(ISERROR(HLOOKUP($C132,$AW$1:$LL$2,2,FALSE)),Summary_Exchange_Balances_00UTC!$Q132,IF(OR(HLOOKUP($C132,$AW$1:$LL$2,2,FALSE)="",HLOOKUP($C132,$AW$1:$LL$2,2,FALSE)="null"),Summary_Exchange_Balances_00UTC!$Q132,HLOOKUP($C132,$AW$1:$LL$2,2,FALSE))))</f>
        <v>1208.73</v>
      </c>
    </row>
    <row r="133" spans="1:46" x14ac:dyDescent="0.25">
      <c r="A133" t="str">
        <f>IF(Summary_Exchange_Balances_00UTC!$B133="","",Summary_Exchange_Balances_00UTC!$N133)</f>
        <v>HUBI</v>
      </c>
      <c r="B133" t="str">
        <f>IF(Summary_Exchange_Balances_00UTC!$B133="","",Summary_Exchange_Balances_00UTC!$B133)</f>
        <v>FUB2-M</v>
      </c>
      <c r="C133" t="str">
        <f>IF(Summary_Exchange_Balances_00UTC!$B133="","",Summary_Exchange_Balances_00UTC!$E133)</f>
        <v>LTC</v>
      </c>
      <c r="D133" t="str">
        <f>IF(OR(Summary_Exchange_Balances_00UTC!$B133="",Summary_Exchange_Balances_00UTC!$D133=""),"",Summary_Exchange_Balances_00UTC!$D133)</f>
        <v>Balance</v>
      </c>
      <c r="E133" s="53">
        <f>IF(Summary_Exchange_Balances_00UTC!$B133="","",Summary_Exchange_Balances_00UTC!$C133)</f>
        <v>1E-8</v>
      </c>
      <c r="F133" s="53">
        <f>IF(Summary_Exchange_Balances_00UTC!$B133="","",VLOOKUP(UPPER($A133&amp;$C133),$L:$T,7,FALSE))</f>
        <v>2.4771052999999999E-3</v>
      </c>
      <c r="G133" s="53">
        <f>IF(Summary_Exchange_Balances_00UTC!$B133="","",VLOOKUP(IF(ISERROR(SEARCH(" ", $B133)),UPPER($B133&amp;$C133&amp;$D133),UPPER(LEFT($B133, SEARCH(" ",$B133)-1)&amp;$C133&amp;$D133)),$M:$T,6,FALSE))</f>
        <v>9.3000000000000006E-9</v>
      </c>
      <c r="H133">
        <f>IF(Summary_Exchange_Balances_00UTC!$B133="","",IF(ISERROR($G133),$E133,$G133))</f>
        <v>9.3000000000000006E-9</v>
      </c>
      <c r="I133" s="36">
        <f t="shared" si="6"/>
        <v>-6.9999999999999965E-2</v>
      </c>
      <c r="L133" t="str">
        <f t="shared" si="7"/>
        <v>FUBIBSV</v>
      </c>
      <c r="M133" t="str">
        <f t="shared" si="8"/>
        <v>FUBI-MBSVBALANCE</v>
      </c>
      <c r="N133" t="s">
        <v>116</v>
      </c>
      <c r="O133" t="s">
        <v>218</v>
      </c>
      <c r="P133" t="s">
        <v>41</v>
      </c>
      <c r="Q133" t="s">
        <v>75</v>
      </c>
      <c r="R133" s="43">
        <v>0.11285791119999999</v>
      </c>
      <c r="S133" t="s">
        <v>524</v>
      </c>
      <c r="T133">
        <v>1</v>
      </c>
      <c r="W133" t="s">
        <v>115</v>
      </c>
      <c r="X133" t="s">
        <v>87</v>
      </c>
      <c r="Y133" s="53">
        <v>1E-8</v>
      </c>
      <c r="Z133">
        <v>0</v>
      </c>
      <c r="AC133"/>
      <c r="AD133"/>
      <c r="AS133" t="str">
        <f>IF(Summary_Exchange_Balances_00UTC!$B133="","","'"&amp;C133&amp;"',")</f>
        <v>'LTC',</v>
      </c>
      <c r="AT133">
        <f>IF(Summary_Exchange_Balances_00UTC!$B133="","",IF(ISERROR(HLOOKUP($C133,$AW$1:$LL$2,2,FALSE)),Summary_Exchange_Balances_00UTC!$Q133,IF(OR(HLOOKUP($C133,$AW$1:$LL$2,2,FALSE)="",HLOOKUP($C133,$AW$1:$LL$2,2,FALSE)="null"),Summary_Exchange_Balances_00UTC!$Q133,HLOOKUP($C133,$AW$1:$LL$2,2,FALSE))))</f>
        <v>62.35</v>
      </c>
    </row>
    <row r="134" spans="1:46" x14ac:dyDescent="0.25">
      <c r="A134" t="str">
        <f>IF(Summary_Exchange_Balances_00UTC!$B134="","",Summary_Exchange_Balances_00UTC!$N134)</f>
        <v>HUBI</v>
      </c>
      <c r="B134" t="str">
        <f>IF(Summary_Exchange_Balances_00UTC!$B134="","",Summary_Exchange_Balances_00UTC!$B134)</f>
        <v>FUB2-M</v>
      </c>
      <c r="C134" t="str">
        <f>IF(Summary_Exchange_Balances_00UTC!$B134="","",Summary_Exchange_Balances_00UTC!$E134)</f>
        <v>TRX</v>
      </c>
      <c r="D134" t="str">
        <f>IF(OR(Summary_Exchange_Balances_00UTC!$B134="",Summary_Exchange_Balances_00UTC!$D134=""),"",Summary_Exchange_Balances_00UTC!$D134)</f>
        <v>Balance</v>
      </c>
      <c r="E134" s="53">
        <f>IF(Summary_Exchange_Balances_00UTC!$B134="","",Summary_Exchange_Balances_00UTC!$C134)</f>
        <v>1E-8</v>
      </c>
      <c r="F134" s="53">
        <f>IF(Summary_Exchange_Balances_00UTC!$B134="","",VLOOKUP(UPPER($A134&amp;$C134),$L:$T,7,FALSE))</f>
        <v>4.8644820000000002E-4</v>
      </c>
      <c r="G134" s="53">
        <f>IF(Summary_Exchange_Balances_00UTC!$B134="","",VLOOKUP(IF(ISERROR(SEARCH(" ", $B134)),UPPER($B134&amp;$C134&amp;$D134),UPPER(LEFT($B134, SEARCH(" ",$B134)-1)&amp;$C134&amp;$D134)),$M:$T,6,FALSE))</f>
        <v>7.8999999999999996E-9</v>
      </c>
      <c r="H134">
        <f>IF(Summary_Exchange_Balances_00UTC!$B134="","",IF(ISERROR($G134),$E134,$G134))</f>
        <v>7.8999999999999996E-9</v>
      </c>
      <c r="I134" s="36">
        <f t="shared" si="6"/>
        <v>-0.21000000000000005</v>
      </c>
      <c r="L134" t="str">
        <f t="shared" si="7"/>
        <v>FUBIBSV</v>
      </c>
      <c r="M134" t="str">
        <f t="shared" si="8"/>
        <v>FUB2-MBSVBALANCE</v>
      </c>
      <c r="N134" t="s">
        <v>116</v>
      </c>
      <c r="O134" t="s">
        <v>218</v>
      </c>
      <c r="P134" t="s">
        <v>114</v>
      </c>
      <c r="Q134" t="s">
        <v>75</v>
      </c>
      <c r="R134" s="43">
        <v>0.47315189390000001</v>
      </c>
      <c r="S134" t="s">
        <v>525</v>
      </c>
      <c r="T134">
        <v>1</v>
      </c>
      <c r="W134" t="s">
        <v>115</v>
      </c>
      <c r="X134" t="s">
        <v>21</v>
      </c>
      <c r="Y134" s="53">
        <v>1E-8</v>
      </c>
      <c r="Z134">
        <v>0</v>
      </c>
      <c r="AC134"/>
      <c r="AD134"/>
      <c r="AS134" t="str">
        <f>IF(Summary_Exchange_Balances_00UTC!$B134="","","'"&amp;C134&amp;"',")</f>
        <v>'TRX',</v>
      </c>
      <c r="AT134">
        <f>IF(Summary_Exchange_Balances_00UTC!$B134="","",IF(ISERROR(HLOOKUP($C134,$AW$1:$LL$2,2,FALSE)),Summary_Exchange_Balances_00UTC!$Q134,IF(OR(HLOOKUP($C134,$AW$1:$LL$2,2,FALSE)="",HLOOKUP($C134,$AW$1:$LL$2,2,FALSE)="null"),Summary_Exchange_Balances_00UTC!$Q134,HLOOKUP($C134,$AW$1:$LL$2,2,FALSE))))</f>
        <v>5.0092902000000002E-2</v>
      </c>
    </row>
    <row r="135" spans="1:46" x14ac:dyDescent="0.25">
      <c r="A135" t="str">
        <f>IF(Summary_Exchange_Balances_00UTC!$B135="","",Summary_Exchange_Balances_00UTC!$N135)</f>
        <v>HUBI</v>
      </c>
      <c r="B135" t="str">
        <f>IF(Summary_Exchange_Balances_00UTC!$B135="","",Summary_Exchange_Balances_00UTC!$B135)</f>
        <v>FUB2-M</v>
      </c>
      <c r="C135" t="str">
        <f>IF(Summary_Exchange_Balances_00UTC!$B135="","",Summary_Exchange_Balances_00UTC!$E135)</f>
        <v>XRP</v>
      </c>
      <c r="D135" t="str">
        <f>IF(OR(Summary_Exchange_Balances_00UTC!$B135="",Summary_Exchange_Balances_00UTC!$D135=""),"",Summary_Exchange_Balances_00UTC!$D135)</f>
        <v>Balance</v>
      </c>
      <c r="E135" s="53">
        <f>IF(Summary_Exchange_Balances_00UTC!$B135="","",Summary_Exchange_Balances_00UTC!$C135)</f>
        <v>9.9999999999999995E-8</v>
      </c>
      <c r="F135" s="53">
        <f>IF(Summary_Exchange_Balances_00UTC!$B135="","",VLOOKUP(UPPER($A135&amp;$C135),$L:$T,7,FALSE))</f>
        <v>1.9184280000000001E-4</v>
      </c>
      <c r="G135" s="53">
        <f>IF(Summary_Exchange_Balances_00UTC!$B135="","",VLOOKUP(IF(ISERROR(SEARCH(" ", $B135)),UPPER($B135&amp;$C135&amp;$D135),UPPER(LEFT($B135, SEARCH(" ",$B135)-1)&amp;$C135&amp;$D135)),$M:$T,6,FALSE))</f>
        <v>9.7899999999999997E-8</v>
      </c>
      <c r="H135">
        <f>IF(Summary_Exchange_Balances_00UTC!$B135="","",IF(ISERROR($G135),$E135,$G135))</f>
        <v>9.7899999999999997E-8</v>
      </c>
      <c r="I135" s="36">
        <f t="shared" si="6"/>
        <v>-2.0999999999999991E-2</v>
      </c>
      <c r="L135" t="str">
        <f t="shared" si="7"/>
        <v>FUBIBTC</v>
      </c>
      <c r="M135" t="str">
        <f t="shared" si="8"/>
        <v>FUBI-MBTCUNREALIZED</v>
      </c>
      <c r="N135" t="s">
        <v>15</v>
      </c>
      <c r="O135" t="s">
        <v>218</v>
      </c>
      <c r="P135" t="s">
        <v>41</v>
      </c>
      <c r="Q135" t="s">
        <v>93</v>
      </c>
      <c r="R135" s="43">
        <v>2.6742325854</v>
      </c>
      <c r="S135" t="s">
        <v>524</v>
      </c>
      <c r="T135">
        <v>1</v>
      </c>
      <c r="W135" t="s">
        <v>115</v>
      </c>
      <c r="X135" t="s">
        <v>116</v>
      </c>
      <c r="Y135" s="53">
        <v>1E-8</v>
      </c>
      <c r="Z135">
        <v>0</v>
      </c>
      <c r="AC135"/>
      <c r="AD135"/>
      <c r="AS135" t="str">
        <f>IF(Summary_Exchange_Balances_00UTC!$B135="","","'"&amp;C135&amp;"',")</f>
        <v>'XRP',</v>
      </c>
      <c r="AT135">
        <f>IF(Summary_Exchange_Balances_00UTC!$B135="","",IF(ISERROR(HLOOKUP($C135,$AW$1:$LL$2,2,FALSE)),Summary_Exchange_Balances_00UTC!$Q135,IF(OR(HLOOKUP($C135,$AW$1:$LL$2,2,FALSE)="",HLOOKUP($C135,$AW$1:$LL$2,2,FALSE)="null"),Summary_Exchange_Balances_00UTC!$Q135,HLOOKUP($C135,$AW$1:$LL$2,2,FALSE))))</f>
        <v>0.38471588000000001</v>
      </c>
    </row>
    <row r="136" spans="1:46" x14ac:dyDescent="0.25">
      <c r="A136" t="str">
        <f>IF(Summary_Exchange_Balances_00UTC!$B136="","",Summary_Exchange_Balances_00UTC!$N136)</f>
        <v>HUBI</v>
      </c>
      <c r="B136" t="str">
        <f>IF(Summary_Exchange_Balances_00UTC!$B136="","",Summary_Exchange_Balances_00UTC!$B136)</f>
        <v>FUBI-M</v>
      </c>
      <c r="C136" t="str">
        <f>IF(Summary_Exchange_Balances_00UTC!$B136="","",Summary_Exchange_Balances_00UTC!$E136)</f>
        <v>ADA</v>
      </c>
      <c r="D136" t="str">
        <f>IF(OR(Summary_Exchange_Balances_00UTC!$B136="",Summary_Exchange_Balances_00UTC!$D136=""),"",Summary_Exchange_Balances_00UTC!$D136)</f>
        <v>Balance</v>
      </c>
      <c r="E136" s="54">
        <f>IF(Summary_Exchange_Balances_00UTC!$B136="","",Summary_Exchange_Balances_00UTC!$C136)</f>
        <v>5.7406599999999999E-3</v>
      </c>
      <c r="F136" s="53">
        <f>IF(Summary_Exchange_Balances_00UTC!$B136="","",VLOOKUP(UPPER($A136&amp;$C136),$L:$T,7,FALSE))</f>
        <v>3.2091770000000001E-4</v>
      </c>
      <c r="G136" s="53">
        <f>IF(Summary_Exchange_Balances_00UTC!$B136="","",VLOOKUP(IF(ISERROR(SEARCH(" ", $B136)),UPPER($B136&amp;$C136&amp;$D136),UPPER(LEFT($B136, SEARCH(" ",$B136)-1)&amp;$C136&amp;$D136)),$M:$T,6,FALSE))</f>
        <v>5.7406593000000001E-3</v>
      </c>
      <c r="H136">
        <f>IF(Summary_Exchange_Balances_00UTC!$B136="","",IF(ISERROR($G136),$E136,$G136))</f>
        <v>5.7406593000000001E-3</v>
      </c>
      <c r="I136" s="36">
        <f t="shared" si="6"/>
        <v>-1.2193719882470364E-7</v>
      </c>
      <c r="L136" t="str">
        <f t="shared" si="7"/>
        <v>FUBIBTC</v>
      </c>
      <c r="M136" t="str">
        <f t="shared" si="8"/>
        <v>FUBI-MBTCBALANCE</v>
      </c>
      <c r="N136" t="s">
        <v>15</v>
      </c>
      <c r="O136" t="s">
        <v>218</v>
      </c>
      <c r="P136" t="s">
        <v>41</v>
      </c>
      <c r="Q136" t="s">
        <v>75</v>
      </c>
      <c r="R136" s="43">
        <v>480.26952593969997</v>
      </c>
      <c r="S136" t="s">
        <v>524</v>
      </c>
      <c r="T136">
        <v>1</v>
      </c>
      <c r="W136" t="s">
        <v>115</v>
      </c>
      <c r="X136" t="s">
        <v>24</v>
      </c>
      <c r="Y136" s="54">
        <v>1E-8</v>
      </c>
      <c r="Z136">
        <v>0</v>
      </c>
      <c r="AC136"/>
      <c r="AD136"/>
      <c r="AS136" t="str">
        <f>IF(Summary_Exchange_Balances_00UTC!$B136="","","'"&amp;C136&amp;"',")</f>
        <v>'ADA',</v>
      </c>
      <c r="AT136">
        <f>IF(Summary_Exchange_Balances_00UTC!$B136="","",IF(ISERROR(HLOOKUP($C136,$AW$1:$LL$2,2,FALSE)),Summary_Exchange_Balances_00UTC!$Q136,IF(OR(HLOOKUP($C136,$AW$1:$LL$2,2,FALSE)="",HLOOKUP($C136,$AW$1:$LL$2,2,FALSE)="null"),Summary_Exchange_Balances_00UTC!$Q136,HLOOKUP($C136,$AW$1:$LL$2,2,FALSE))))</f>
        <v>0.32653653999999999</v>
      </c>
    </row>
    <row r="137" spans="1:46" x14ac:dyDescent="0.25">
      <c r="A137" t="str">
        <f>IF(Summary_Exchange_Balances_00UTC!$B137="","",Summary_Exchange_Balances_00UTC!$N137)</f>
        <v>HUBI</v>
      </c>
      <c r="B137" t="str">
        <f>IF(Summary_Exchange_Balances_00UTC!$B137="","",Summary_Exchange_Balances_00UTC!$B137)</f>
        <v>FUBI-M</v>
      </c>
      <c r="C137" t="str">
        <f>IF(Summary_Exchange_Balances_00UTC!$B137="","",Summary_Exchange_Balances_00UTC!$E137)</f>
        <v>BCH</v>
      </c>
      <c r="D137" t="str">
        <f>IF(OR(Summary_Exchange_Balances_00UTC!$B137="",Summary_Exchange_Balances_00UTC!$D137=""),"",Summary_Exchange_Balances_00UTC!$D137)</f>
        <v>Balance</v>
      </c>
      <c r="E137" s="53">
        <f>IF(Summary_Exchange_Balances_00UTC!$B137="","",Summary_Exchange_Balances_00UTC!$C137)</f>
        <v>0.72885027999999996</v>
      </c>
      <c r="F137" s="53">
        <f>IF(Summary_Exchange_Balances_00UTC!$B137="","",VLOOKUP(UPPER($A137&amp;$C137),$L:$T,7,FALSE))</f>
        <v>5.3552099999999996E-4</v>
      </c>
      <c r="G137" s="53">
        <f>IF(Summary_Exchange_Balances_00UTC!$B137="","",VLOOKUP(IF(ISERROR(SEARCH(" ", $B137)),UPPER($B137&amp;$C137&amp;$D137),UPPER(LEFT($B137, SEARCH(" ",$B137)-1)&amp;$C137&amp;$D137)),$M:$T,6,FALSE))</f>
        <v>0.72885028029999999</v>
      </c>
      <c r="H137">
        <f>IF(Summary_Exchange_Balances_00UTC!$B137="","",IF(ISERROR($G137),$E137,$G137))</f>
        <v>0.72885028029999999</v>
      </c>
      <c r="I137" s="36">
        <f t="shared" si="6"/>
        <v>4.1160720254111903E-10</v>
      </c>
      <c r="L137" t="str">
        <f t="shared" si="7"/>
        <v>FUBIBTC</v>
      </c>
      <c r="M137" t="str">
        <f t="shared" si="8"/>
        <v>FUB2-MBTCBALANCE</v>
      </c>
      <c r="N137" t="s">
        <v>15</v>
      </c>
      <c r="O137" t="s">
        <v>218</v>
      </c>
      <c r="P137" t="s">
        <v>114</v>
      </c>
      <c r="Q137" t="s">
        <v>75</v>
      </c>
      <c r="R137" s="43">
        <v>3.8600000000000002E-8</v>
      </c>
      <c r="S137" t="s">
        <v>525</v>
      </c>
      <c r="T137">
        <v>1</v>
      </c>
      <c r="W137" t="s">
        <v>115</v>
      </c>
      <c r="X137" t="s">
        <v>30</v>
      </c>
      <c r="Y137" s="53">
        <v>1E-8</v>
      </c>
      <c r="Z137">
        <v>0</v>
      </c>
      <c r="AC137"/>
      <c r="AD137"/>
      <c r="AS137" t="str">
        <f>IF(Summary_Exchange_Balances_00UTC!$B137="","","'"&amp;C137&amp;"',")</f>
        <v>'BCH',</v>
      </c>
      <c r="AT137">
        <f>IF(Summary_Exchange_Balances_00UTC!$B137="","",IF(ISERROR(HLOOKUP($C137,$AW$1:$LL$2,2,FALSE)),Summary_Exchange_Balances_00UTC!$Q137,IF(OR(HLOOKUP($C137,$AW$1:$LL$2,2,FALSE)="",HLOOKUP($C137,$AW$1:$LL$2,2,FALSE)="null"),Summary_Exchange_Balances_00UTC!$Q137,HLOOKUP($C137,$AW$1:$LL$2,2,FALSE))))</f>
        <v>103.98</v>
      </c>
    </row>
    <row r="138" spans="1:46" x14ac:dyDescent="0.25">
      <c r="A138" t="str">
        <f>IF(Summary_Exchange_Balances_00UTC!$B138="","",Summary_Exchange_Balances_00UTC!$N138)</f>
        <v>HUBI</v>
      </c>
      <c r="B138" t="str">
        <f>IF(Summary_Exchange_Balances_00UTC!$B138="","",Summary_Exchange_Balances_00UTC!$B138)</f>
        <v>FUBI-M</v>
      </c>
      <c r="C138" t="str">
        <f>IF(Summary_Exchange_Balances_00UTC!$B138="","",Summary_Exchange_Balances_00UTC!$E138)</f>
        <v>BSV</v>
      </c>
      <c r="D138" t="str">
        <f>IF(OR(Summary_Exchange_Balances_00UTC!$B138="",Summary_Exchange_Balances_00UTC!$D138=""),"",Summary_Exchange_Balances_00UTC!$D138)</f>
        <v>Balance</v>
      </c>
      <c r="E138" s="54">
        <f>IF(Summary_Exchange_Balances_00UTC!$B138="","",Summary_Exchange_Balances_00UTC!$C138)</f>
        <v>0.11285791000000001</v>
      </c>
      <c r="F138" s="53">
        <f>IF(Summary_Exchange_Balances_00UTC!$B138="","",VLOOKUP(UPPER($A138&amp;$C138),$L:$T,7,FALSE))</f>
        <v>3.3400000000000001E-8</v>
      </c>
      <c r="G138" s="53">
        <f>IF(Summary_Exchange_Balances_00UTC!$B138="","",VLOOKUP(IF(ISERROR(SEARCH(" ", $B138)),UPPER($B138&amp;$C138&amp;$D138),UPPER(LEFT($B138, SEARCH(" ",$B138)-1)&amp;$C138&amp;$D138)),$M:$T,6,FALSE))</f>
        <v>0.11285791119999999</v>
      </c>
      <c r="H138">
        <f>IF(Summary_Exchange_Balances_00UTC!$B138="","",IF(ISERROR($G138),$E138,$G138))</f>
        <v>0.11285791119999999</v>
      </c>
      <c r="I138" s="36">
        <f t="shared" si="6"/>
        <v>1.0632839012047474E-8</v>
      </c>
      <c r="L138" t="str">
        <f t="shared" si="7"/>
        <v>FUBIDOT</v>
      </c>
      <c r="M138" t="str">
        <f t="shared" si="8"/>
        <v>FUBI-MDOTBALANCE</v>
      </c>
      <c r="N138" t="s">
        <v>23</v>
      </c>
      <c r="O138" t="s">
        <v>218</v>
      </c>
      <c r="P138" t="s">
        <v>41</v>
      </c>
      <c r="Q138" t="s">
        <v>75</v>
      </c>
      <c r="R138" s="43">
        <v>0.97764076359999996</v>
      </c>
      <c r="S138" t="s">
        <v>524</v>
      </c>
      <c r="T138">
        <v>1</v>
      </c>
      <c r="W138" t="s">
        <v>115</v>
      </c>
      <c r="X138" t="s">
        <v>16</v>
      </c>
      <c r="Y138" s="54">
        <v>1E-8</v>
      </c>
      <c r="Z138">
        <v>0</v>
      </c>
      <c r="AC138"/>
      <c r="AD138"/>
      <c r="AS138" t="str">
        <f>IF(Summary_Exchange_Balances_00UTC!$B138="","","'"&amp;C138&amp;"',")</f>
        <v>'BSV',</v>
      </c>
      <c r="AT138">
        <f>IF(Summary_Exchange_Balances_00UTC!$B138="","",IF(ISERROR(HLOOKUP($C138,$AW$1:$LL$2,2,FALSE)),Summary_Exchange_Balances_00UTC!$Q138,IF(OR(HLOOKUP($C138,$AW$1:$LL$2,2,FALSE)="",HLOOKUP($C138,$AW$1:$LL$2,2,FALSE)="null"),Summary_Exchange_Balances_00UTC!$Q138,HLOOKUP($C138,$AW$1:$LL$2,2,FALSE))))</f>
        <v>39.841106000000003</v>
      </c>
    </row>
    <row r="139" spans="1:46" x14ac:dyDescent="0.25">
      <c r="A139" t="str">
        <f>IF(Summary_Exchange_Balances_00UTC!$B139="","",Summary_Exchange_Balances_00UTC!$N139)</f>
        <v>HUBI</v>
      </c>
      <c r="B139" t="str">
        <f>IF(Summary_Exchange_Balances_00UTC!$B139="","",Summary_Exchange_Balances_00UTC!$B139)</f>
        <v>FUBI-M</v>
      </c>
      <c r="C139" t="str">
        <f>IF(Summary_Exchange_Balances_00UTC!$B139="","",Summary_Exchange_Balances_00UTC!$E139)</f>
        <v>BTC</v>
      </c>
      <c r="D139" t="str">
        <f>IF(OR(Summary_Exchange_Balances_00UTC!$B139="",Summary_Exchange_Balances_00UTC!$D139=""),"",Summary_Exchange_Balances_00UTC!$D139)</f>
        <v>Balance</v>
      </c>
      <c r="E139" s="53">
        <f>IF(Summary_Exchange_Balances_00UTC!$B139="","",Summary_Exchange_Balances_00UTC!$C139)</f>
        <v>32.481357639999999</v>
      </c>
      <c r="F139" s="53">
        <f>IF(Summary_Exchange_Balances_00UTC!$B139="","",VLOOKUP(UPPER($A139&amp;$C139),$L:$T,7,FALSE))</f>
        <v>-3.8731584897000002</v>
      </c>
      <c r="G139" s="53">
        <f>IF(Summary_Exchange_Balances_00UTC!$B139="","",VLOOKUP(IF(ISERROR(SEARCH(" ", $B139)),UPPER($B139&amp;$C139&amp;$D139),UPPER(LEFT($B139, SEARCH(" ",$B139)-1)&amp;$C139&amp;$D139)),$M:$T,6,FALSE))</f>
        <v>480.26952593969997</v>
      </c>
      <c r="H139">
        <f>IF(Summary_Exchange_Balances_00UTC!$B139="","",IF(ISERROR($G139),$E139,$G139))</f>
        <v>480.26952593969997</v>
      </c>
      <c r="I139" s="36">
        <f t="shared" si="6"/>
        <v>13.786005291486331</v>
      </c>
      <c r="L139" t="str">
        <f t="shared" si="7"/>
        <v>FUBIEOS</v>
      </c>
      <c r="M139" t="str">
        <f t="shared" si="8"/>
        <v>FUB2-MEOSBALANCE</v>
      </c>
      <c r="N139" t="s">
        <v>24</v>
      </c>
      <c r="O139" t="s">
        <v>218</v>
      </c>
      <c r="P139" t="s">
        <v>114</v>
      </c>
      <c r="Q139" t="s">
        <v>75</v>
      </c>
      <c r="R139" s="43">
        <v>3.1699999999999999E-8</v>
      </c>
      <c r="S139" t="s">
        <v>525</v>
      </c>
      <c r="T139">
        <v>1</v>
      </c>
      <c r="W139" t="s">
        <v>115</v>
      </c>
      <c r="X139" t="s">
        <v>28</v>
      </c>
      <c r="Y139" s="53">
        <v>1E-8</v>
      </c>
      <c r="Z139">
        <v>0</v>
      </c>
      <c r="AC139"/>
      <c r="AD139"/>
      <c r="AS139" t="str">
        <f>IF(Summary_Exchange_Balances_00UTC!$B139="","","'"&amp;C139&amp;"',")</f>
        <v>'BTC',</v>
      </c>
      <c r="AT139">
        <f>IF(Summary_Exchange_Balances_00UTC!$B139="","",IF(ISERROR(HLOOKUP($C139,$AW$1:$LL$2,2,FALSE)),Summary_Exchange_Balances_00UTC!$Q139,IF(OR(HLOOKUP($C139,$AW$1:$LL$2,2,FALSE)="",HLOOKUP($C139,$AW$1:$LL$2,2,FALSE)="null"),Summary_Exchange_Balances_00UTC!$Q139,HLOOKUP($C139,$AW$1:$LL$2,2,FALSE))))</f>
        <v>16719.740000000002</v>
      </c>
    </row>
    <row r="140" spans="1:46" x14ac:dyDescent="0.25">
      <c r="A140" t="str">
        <f>IF(Summary_Exchange_Balances_00UTC!$B140="","",Summary_Exchange_Balances_00UTC!$N140)</f>
        <v>HUBI</v>
      </c>
      <c r="B140" t="str">
        <f>IF(Summary_Exchange_Balances_00UTC!$B140="","",Summary_Exchange_Balances_00UTC!$B140)</f>
        <v>FUBI-M</v>
      </c>
      <c r="C140" t="str">
        <f>IF(Summary_Exchange_Balances_00UTC!$B140="","",Summary_Exchange_Balances_00UTC!$E140)</f>
        <v>BTC</v>
      </c>
      <c r="D140" t="str">
        <f>IF(OR(Summary_Exchange_Balances_00UTC!$B140="",Summary_Exchange_Balances_00UTC!$D140=""),"",Summary_Exchange_Balances_00UTC!$D140)</f>
        <v>Unrealized</v>
      </c>
      <c r="E140" s="53">
        <f>IF(Summary_Exchange_Balances_00UTC!$B140="","",Summary_Exchange_Balances_00UTC!$C140)</f>
        <v>2.2719860000000001E-2</v>
      </c>
      <c r="F140" s="53">
        <f>IF(Summary_Exchange_Balances_00UTC!$B140="","",VLOOKUP(UPPER($A140&amp;$C140),$L:$T,7,FALSE))</f>
        <v>-3.8731584897000002</v>
      </c>
      <c r="G140" s="53">
        <f>IF(Summary_Exchange_Balances_00UTC!$B140="","",VLOOKUP(IF(ISERROR(SEARCH(" ", $B140)),UPPER($B140&amp;$C140&amp;$D140),UPPER(LEFT($B140, SEARCH(" ",$B140)-1)&amp;$C140&amp;$D140)),$M:$T,6,FALSE))</f>
        <v>2.6742325854</v>
      </c>
      <c r="H140">
        <f>IF(Summary_Exchange_Balances_00UTC!$B140="","",IF(ISERROR($G140),$E140,$G140))</f>
        <v>2.6742325854</v>
      </c>
      <c r="I140" s="36">
        <f t="shared" si="6"/>
        <v>116.70462429786097</v>
      </c>
      <c r="L140" t="str">
        <f t="shared" si="7"/>
        <v>FUBIEOS</v>
      </c>
      <c r="M140" t="str">
        <f t="shared" si="8"/>
        <v>FUBI-MEOSBALANCE</v>
      </c>
      <c r="N140" t="s">
        <v>24</v>
      </c>
      <c r="O140" t="s">
        <v>218</v>
      </c>
      <c r="P140" t="s">
        <v>41</v>
      </c>
      <c r="Q140" t="s">
        <v>75</v>
      </c>
      <c r="R140" s="43">
        <v>3.7085151300000001E-2</v>
      </c>
      <c r="S140" t="s">
        <v>524</v>
      </c>
      <c r="T140">
        <v>1</v>
      </c>
      <c r="W140" t="s">
        <v>115</v>
      </c>
      <c r="X140" t="s">
        <v>25</v>
      </c>
      <c r="Y140" s="53">
        <v>1E-8</v>
      </c>
      <c r="Z140">
        <v>0</v>
      </c>
      <c r="AC140"/>
      <c r="AD140"/>
      <c r="AS140" t="str">
        <f>IF(Summary_Exchange_Balances_00UTC!$B140="","","'"&amp;C140&amp;"',")</f>
        <v>'BTC',</v>
      </c>
      <c r="AT140">
        <f>IF(Summary_Exchange_Balances_00UTC!$B140="","",IF(ISERROR(HLOOKUP($C140,$AW$1:$LL$2,2,FALSE)),Summary_Exchange_Balances_00UTC!$Q140,IF(OR(HLOOKUP($C140,$AW$1:$LL$2,2,FALSE)="",HLOOKUP($C140,$AW$1:$LL$2,2,FALSE)="null"),Summary_Exchange_Balances_00UTC!$Q140,HLOOKUP($C140,$AW$1:$LL$2,2,FALSE))))</f>
        <v>16719.740000000002</v>
      </c>
    </row>
    <row r="141" spans="1:46" x14ac:dyDescent="0.25">
      <c r="A141" t="str">
        <f>IF(Summary_Exchange_Balances_00UTC!$B141="","",Summary_Exchange_Balances_00UTC!$N141)</f>
        <v>HUBI</v>
      </c>
      <c r="B141" t="str">
        <f>IF(Summary_Exchange_Balances_00UTC!$B141="","",Summary_Exchange_Balances_00UTC!$B141)</f>
        <v>FUBI-M</v>
      </c>
      <c r="C141" t="str">
        <f>IF(Summary_Exchange_Balances_00UTC!$B141="","",Summary_Exchange_Balances_00UTC!$E141)</f>
        <v>DOT</v>
      </c>
      <c r="D141" t="str">
        <f>IF(OR(Summary_Exchange_Balances_00UTC!$B141="",Summary_Exchange_Balances_00UTC!$D141=""),"",Summary_Exchange_Balances_00UTC!$D141)</f>
        <v>Balance</v>
      </c>
      <c r="E141" s="54">
        <f>IF(Summary_Exchange_Balances_00UTC!$B141="","",Summary_Exchange_Balances_00UTC!$C141)</f>
        <v>0.97764076</v>
      </c>
      <c r="F141" s="53">
        <f>IF(Summary_Exchange_Balances_00UTC!$B141="","",VLOOKUP(UPPER($A141&amp;$C141),$L:$T,7,FALSE))</f>
        <v>3.8972870000000001E-3</v>
      </c>
      <c r="G141" s="53">
        <f>IF(Summary_Exchange_Balances_00UTC!$B141="","",VLOOKUP(IF(ISERROR(SEARCH(" ", $B141)),UPPER($B141&amp;$C141&amp;$D141),UPPER(LEFT($B141, SEARCH(" ",$B141)-1)&amp;$C141&amp;$D141)),$M:$T,6,FALSE))</f>
        <v>0.97764076359999996</v>
      </c>
      <c r="H141">
        <f>IF(Summary_Exchange_Balances_00UTC!$B141="","",IF(ISERROR($G141),$E141,$G141))</f>
        <v>0.97764076359999996</v>
      </c>
      <c r="I141" s="36">
        <f t="shared" si="6"/>
        <v>3.6823341579972873E-9</v>
      </c>
      <c r="L141" t="str">
        <f t="shared" si="7"/>
        <v>FUBIETC</v>
      </c>
      <c r="M141" t="str">
        <f t="shared" si="8"/>
        <v>FUBI-METCBALANCE</v>
      </c>
      <c r="N141" t="s">
        <v>30</v>
      </c>
      <c r="O141" s="29" t="s">
        <v>218</v>
      </c>
      <c r="P141" t="s">
        <v>41</v>
      </c>
      <c r="Q141" t="s">
        <v>75</v>
      </c>
      <c r="R141" s="43">
        <v>0.70701212930000001</v>
      </c>
      <c r="S141" t="s">
        <v>524</v>
      </c>
      <c r="T141">
        <v>1</v>
      </c>
      <c r="W141" t="s">
        <v>115</v>
      </c>
      <c r="X141" t="s">
        <v>39</v>
      </c>
      <c r="Y141" s="54">
        <v>3.2621029500000001</v>
      </c>
      <c r="Z141">
        <v>0</v>
      </c>
      <c r="AC141"/>
      <c r="AD141"/>
      <c r="AS141" t="str">
        <f>IF(Summary_Exchange_Balances_00UTC!$B141="","","'"&amp;C141&amp;"',")</f>
        <v>'DOT',</v>
      </c>
      <c r="AT141">
        <f>IF(Summary_Exchange_Balances_00UTC!$B141="","",IF(ISERROR(HLOOKUP($C141,$AW$1:$LL$2,2,FALSE)),Summary_Exchange_Balances_00UTC!$Q141,IF(OR(HLOOKUP($C141,$AW$1:$LL$2,2,FALSE)="",HLOOKUP($C141,$AW$1:$LL$2,2,FALSE)="null"),Summary_Exchange_Balances_00UTC!$Q141,HLOOKUP($C141,$AW$1:$LL$2,2,FALSE))))</f>
        <v>5.6989999999999998</v>
      </c>
    </row>
    <row r="142" spans="1:46" x14ac:dyDescent="0.25">
      <c r="A142" t="str">
        <f>IF(Summary_Exchange_Balances_00UTC!$B142="","",Summary_Exchange_Balances_00UTC!$N142)</f>
        <v>HUBI</v>
      </c>
      <c r="B142" t="str">
        <f>IF(Summary_Exchange_Balances_00UTC!$B142="","",Summary_Exchange_Balances_00UTC!$B142)</f>
        <v>FUBI-M</v>
      </c>
      <c r="C142" t="str">
        <f>IF(Summary_Exchange_Balances_00UTC!$B142="","",Summary_Exchange_Balances_00UTC!$E142)</f>
        <v>EOS</v>
      </c>
      <c r="D142" t="str">
        <f>IF(OR(Summary_Exchange_Balances_00UTC!$B142="",Summary_Exchange_Balances_00UTC!$D142=""),"",Summary_Exchange_Balances_00UTC!$D142)</f>
        <v>Balance</v>
      </c>
      <c r="E142" s="53">
        <f>IF(Summary_Exchange_Balances_00UTC!$B142="","",Summary_Exchange_Balances_00UTC!$C142)</f>
        <v>3.7085149999999997E-2</v>
      </c>
      <c r="F142" s="53">
        <f>IF(Summary_Exchange_Balances_00UTC!$B142="","",VLOOKUP(UPPER($A142&amp;$C142),$L:$T,7,FALSE))</f>
        <v>28617.428863770001</v>
      </c>
      <c r="G142" s="53">
        <f>IF(Summary_Exchange_Balances_00UTC!$B142="","",VLOOKUP(IF(ISERROR(SEARCH(" ", $B142)),UPPER($B142&amp;$C142&amp;$D142),UPPER(LEFT($B142, SEARCH(" ",$B142)-1)&amp;$C142&amp;$D142)),$M:$T,6,FALSE))</f>
        <v>3.7085151300000001E-2</v>
      </c>
      <c r="H142">
        <f>IF(Summary_Exchange_Balances_00UTC!$B142="","",IF(ISERROR($G142),$E142,$G142))</f>
        <v>3.7085151300000001E-2</v>
      </c>
      <c r="I142" s="36">
        <f t="shared" si="6"/>
        <v>3.5054462594301866E-8</v>
      </c>
      <c r="L142" t="str">
        <f t="shared" si="7"/>
        <v>FUBIETC</v>
      </c>
      <c r="M142" t="str">
        <f t="shared" si="8"/>
        <v>FUB2-METCBALANCE</v>
      </c>
      <c r="N142" t="s">
        <v>30</v>
      </c>
      <c r="O142" t="s">
        <v>218</v>
      </c>
      <c r="P142" t="s">
        <v>114</v>
      </c>
      <c r="Q142" t="s">
        <v>75</v>
      </c>
      <c r="R142" s="43">
        <v>6.1E-9</v>
      </c>
      <c r="S142" t="s">
        <v>525</v>
      </c>
      <c r="T142">
        <v>1</v>
      </c>
      <c r="W142" t="s">
        <v>115</v>
      </c>
      <c r="X142" t="s">
        <v>102</v>
      </c>
      <c r="Y142" s="53">
        <v>6.4869999999999994E-5</v>
      </c>
      <c r="Z142">
        <v>0</v>
      </c>
      <c r="AC142"/>
      <c r="AD142"/>
      <c r="AS142" t="str">
        <f>IF(Summary_Exchange_Balances_00UTC!$B142="","","'"&amp;C142&amp;"',")</f>
        <v>'EOS',</v>
      </c>
      <c r="AT142">
        <f>IF(Summary_Exchange_Balances_00UTC!$B142="","",IF(ISERROR(HLOOKUP($C142,$AW$1:$LL$2,2,FALSE)),Summary_Exchange_Balances_00UTC!$Q142,IF(OR(HLOOKUP($C142,$AW$1:$LL$2,2,FALSE)="",HLOOKUP($C142,$AW$1:$LL$2,2,FALSE)="null"),Summary_Exchange_Balances_00UTC!$Q142,HLOOKUP($C142,$AW$1:$LL$2,2,FALSE))))</f>
        <v>0.90154135000000002</v>
      </c>
    </row>
    <row r="143" spans="1:46" x14ac:dyDescent="0.25">
      <c r="A143" t="str">
        <f>IF(Summary_Exchange_Balances_00UTC!$B143="","",Summary_Exchange_Balances_00UTC!$N143)</f>
        <v>HUBI</v>
      </c>
      <c r="B143" t="str">
        <f>IF(Summary_Exchange_Balances_00UTC!$B143="","",Summary_Exchange_Balances_00UTC!$B143)</f>
        <v>FUBI-M</v>
      </c>
      <c r="C143" t="str">
        <f>IF(Summary_Exchange_Balances_00UTC!$B143="","",Summary_Exchange_Balances_00UTC!$E143)</f>
        <v>ETC</v>
      </c>
      <c r="D143" t="str">
        <f>IF(OR(Summary_Exchange_Balances_00UTC!$B143="",Summary_Exchange_Balances_00UTC!$D143=""),"",Summary_Exchange_Balances_00UTC!$D143)</f>
        <v>Balance</v>
      </c>
      <c r="E143" s="53">
        <f>IF(Summary_Exchange_Balances_00UTC!$B143="","",Summary_Exchange_Balances_00UTC!$C143)</f>
        <v>0.70701212999999996</v>
      </c>
      <c r="F143" s="53">
        <f>IF(Summary_Exchange_Balances_00UTC!$B143="","",VLOOKUP(UPPER($A143&amp;$C143),$L:$T,7,FALSE))</f>
        <v>0.1010306031</v>
      </c>
      <c r="G143" s="53">
        <f>IF(Summary_Exchange_Balances_00UTC!$B143="","",VLOOKUP(IF(ISERROR(SEARCH(" ", $B143)),UPPER($B143&amp;$C143&amp;$D143),UPPER(LEFT($B143, SEARCH(" ",$B143)-1)&amp;$C143&amp;$D143)),$M:$T,6,FALSE))</f>
        <v>0.70701212930000001</v>
      </c>
      <c r="H143">
        <f>IF(Summary_Exchange_Balances_00UTC!$B143="","",IF(ISERROR($G143),$E143,$G143))</f>
        <v>0.70701212930000001</v>
      </c>
      <c r="I143" s="36">
        <f t="shared" si="6"/>
        <v>-9.9008194795180853E-10</v>
      </c>
      <c r="L143" t="str">
        <f t="shared" si="7"/>
        <v>FUBIETH</v>
      </c>
      <c r="M143" t="str">
        <f t="shared" si="8"/>
        <v>FUBI-METHUNREALIZED</v>
      </c>
      <c r="N143" t="s">
        <v>16</v>
      </c>
      <c r="O143" t="s">
        <v>218</v>
      </c>
      <c r="P143" t="s">
        <v>41</v>
      </c>
      <c r="Q143" t="s">
        <v>93</v>
      </c>
      <c r="R143" s="43">
        <v>13.609608141900001</v>
      </c>
      <c r="S143" t="s">
        <v>524</v>
      </c>
      <c r="T143">
        <v>1</v>
      </c>
      <c r="W143" t="s">
        <v>115</v>
      </c>
      <c r="X143" t="s">
        <v>119</v>
      </c>
      <c r="Y143" s="53">
        <v>0.10014646000000001</v>
      </c>
      <c r="Z143">
        <v>0</v>
      </c>
      <c r="AC143"/>
      <c r="AD143"/>
      <c r="AS143" t="str">
        <f>IF(Summary_Exchange_Balances_00UTC!$B143="","","'"&amp;C143&amp;"',")</f>
        <v>'ETC',</v>
      </c>
      <c r="AT143">
        <f>IF(Summary_Exchange_Balances_00UTC!$B143="","",IF(ISERROR(HLOOKUP($C143,$AW$1:$LL$2,2,FALSE)),Summary_Exchange_Balances_00UTC!$Q143,IF(OR(HLOOKUP($C143,$AW$1:$LL$2,2,FALSE)="",HLOOKUP($C143,$AW$1:$LL$2,2,FALSE)="null"),Summary_Exchange_Balances_00UTC!$Q143,HLOOKUP($C143,$AW$1:$LL$2,2,FALSE))))</f>
        <v>19.614688999999998</v>
      </c>
    </row>
    <row r="144" spans="1:46" x14ac:dyDescent="0.25">
      <c r="A144" t="str">
        <f>IF(Summary_Exchange_Balances_00UTC!$B144="","",Summary_Exchange_Balances_00UTC!$N144)</f>
        <v>HUBI</v>
      </c>
      <c r="B144" t="str">
        <f>IF(Summary_Exchange_Balances_00UTC!$B144="","",Summary_Exchange_Balances_00UTC!$B144)</f>
        <v>FUBI-M</v>
      </c>
      <c r="C144" t="str">
        <f>IF(Summary_Exchange_Balances_00UTC!$B144="","",Summary_Exchange_Balances_00UTC!$E144)</f>
        <v>ETH</v>
      </c>
      <c r="D144" t="str">
        <f>IF(OR(Summary_Exchange_Balances_00UTC!$B144="",Summary_Exchange_Balances_00UTC!$D144=""),"",Summary_Exchange_Balances_00UTC!$D144)</f>
        <v>Balance</v>
      </c>
      <c r="E144" s="53">
        <f>IF(Summary_Exchange_Balances_00UTC!$B144="","",Summary_Exchange_Balances_00UTC!$C144)</f>
        <v>535.83104949000005</v>
      </c>
      <c r="F144" s="53">
        <f>IF(Summary_Exchange_Balances_00UTC!$B144="","",VLOOKUP(UPPER($A144&amp;$C144),$L:$T,7,FALSE))</f>
        <v>-16.0087772937</v>
      </c>
      <c r="G144" s="53">
        <f>IF(Summary_Exchange_Balances_00UTC!$B144="","",VLOOKUP(IF(ISERROR(SEARCH(" ", $B144)),UPPER($B144&amp;$C144&amp;$D144),UPPER(LEFT($B144, SEARCH(" ",$B144)-1)&amp;$C144&amp;$D144)),$M:$T,6,FALSE))</f>
        <v>3287.8862114691001</v>
      </c>
      <c r="H144">
        <f>IF(Summary_Exchange_Balances_00UTC!$B144="","",IF(ISERROR($G144),$E144,$G144))</f>
        <v>3287.8862114691001</v>
      </c>
      <c r="I144" s="36">
        <f t="shared" si="6"/>
        <v>5.1360501870850621</v>
      </c>
      <c r="L144" t="str">
        <f t="shared" si="7"/>
        <v>FUBIETH</v>
      </c>
      <c r="M144" t="str">
        <f t="shared" si="8"/>
        <v>FUBI-METHBALANCE</v>
      </c>
      <c r="N144" t="s">
        <v>16</v>
      </c>
      <c r="O144" t="s">
        <v>218</v>
      </c>
      <c r="P144" t="s">
        <v>41</v>
      </c>
      <c r="Q144" t="s">
        <v>75</v>
      </c>
      <c r="R144" s="43">
        <v>3287.8862114691001</v>
      </c>
      <c r="S144" t="s">
        <v>524</v>
      </c>
      <c r="T144">
        <v>1</v>
      </c>
      <c r="W144" t="s">
        <v>115</v>
      </c>
      <c r="X144" t="s">
        <v>87</v>
      </c>
      <c r="Y144" s="53">
        <v>3.2091999999999998E-4</v>
      </c>
      <c r="Z144">
        <v>0</v>
      </c>
      <c r="AC144"/>
      <c r="AD144"/>
      <c r="AS144" t="str">
        <f>IF(Summary_Exchange_Balances_00UTC!$B144="","","'"&amp;C144&amp;"',")</f>
        <v>'ETH',</v>
      </c>
      <c r="AT144">
        <f>IF(Summary_Exchange_Balances_00UTC!$B144="","",IF(ISERROR(HLOOKUP($C144,$AW$1:$LL$2,2,FALSE)),Summary_Exchange_Balances_00UTC!$Q144,IF(OR(HLOOKUP($C144,$AW$1:$LL$2,2,FALSE)="",HLOOKUP($C144,$AW$1:$LL$2,2,FALSE)="null"),Summary_Exchange_Balances_00UTC!$Q144,HLOOKUP($C144,$AW$1:$LL$2,2,FALSE))))</f>
        <v>1208.73</v>
      </c>
    </row>
    <row r="145" spans="1:46" x14ac:dyDescent="0.25">
      <c r="A145" t="str">
        <f>IF(Summary_Exchange_Balances_00UTC!$B145="","",Summary_Exchange_Balances_00UTC!$N145)</f>
        <v>HUBI</v>
      </c>
      <c r="B145" t="str">
        <f>IF(Summary_Exchange_Balances_00UTC!$B145="","",Summary_Exchange_Balances_00UTC!$B145)</f>
        <v>FUBI-M</v>
      </c>
      <c r="C145" t="str">
        <f>IF(Summary_Exchange_Balances_00UTC!$B145="","",Summary_Exchange_Balances_00UTC!$E145)</f>
        <v>ETH</v>
      </c>
      <c r="D145" t="str">
        <f>IF(OR(Summary_Exchange_Balances_00UTC!$B145="",Summary_Exchange_Balances_00UTC!$D145=""),"",Summary_Exchange_Balances_00UTC!$D145)</f>
        <v>Unrealized</v>
      </c>
      <c r="E145" s="53">
        <f>IF(Summary_Exchange_Balances_00UTC!$B145="","",Summary_Exchange_Balances_00UTC!$C145)</f>
        <v>-3.7039113700000001</v>
      </c>
      <c r="F145" s="53">
        <f>IF(Summary_Exchange_Balances_00UTC!$B145="","",VLOOKUP(UPPER($A145&amp;$C145),$L:$T,7,FALSE))</f>
        <v>-16.0087772937</v>
      </c>
      <c r="G145" s="53">
        <f>IF(Summary_Exchange_Balances_00UTC!$B145="","",VLOOKUP(IF(ISERROR(SEARCH(" ", $B145)),UPPER($B145&amp;$C145&amp;$D145),UPPER(LEFT($B145, SEARCH(" ",$B145)-1)&amp;$C145&amp;$D145)),$M:$T,6,FALSE))</f>
        <v>13.609608141900001</v>
      </c>
      <c r="H145">
        <f>IF(Summary_Exchange_Balances_00UTC!$B145="","",IF(ISERROR($G145),$E145,$G145))</f>
        <v>13.609608141900001</v>
      </c>
      <c r="I145" s="36">
        <f t="shared" si="6"/>
        <v>-4.6743881757354258</v>
      </c>
      <c r="L145" t="str">
        <f t="shared" si="7"/>
        <v>FUBIETH</v>
      </c>
      <c r="M145" t="str">
        <f t="shared" si="8"/>
        <v>FUB2-METHBALANCE</v>
      </c>
      <c r="N145" t="s">
        <v>16</v>
      </c>
      <c r="O145" t="s">
        <v>218</v>
      </c>
      <c r="P145" t="s">
        <v>114</v>
      </c>
      <c r="Q145" t="s">
        <v>75</v>
      </c>
      <c r="R145" s="43">
        <v>2.8600000000000001E-8</v>
      </c>
      <c r="S145" t="s">
        <v>525</v>
      </c>
      <c r="T145">
        <v>1</v>
      </c>
      <c r="W145" t="s">
        <v>115</v>
      </c>
      <c r="X145" t="s">
        <v>21</v>
      </c>
      <c r="Y145" s="53">
        <v>5.3552000000000005E-4</v>
      </c>
      <c r="Z145">
        <v>0</v>
      </c>
      <c r="AC145"/>
      <c r="AD145"/>
      <c r="AS145" t="str">
        <f>IF(Summary_Exchange_Balances_00UTC!$B145="","","'"&amp;C145&amp;"',")</f>
        <v>'ETH',</v>
      </c>
      <c r="AT145">
        <f>IF(Summary_Exchange_Balances_00UTC!$B145="","",IF(ISERROR(HLOOKUP($C145,$AW$1:$LL$2,2,FALSE)),Summary_Exchange_Balances_00UTC!$Q145,IF(OR(HLOOKUP($C145,$AW$1:$LL$2,2,FALSE)="",HLOOKUP($C145,$AW$1:$LL$2,2,FALSE)="null"),Summary_Exchange_Balances_00UTC!$Q145,HLOOKUP($C145,$AW$1:$LL$2,2,FALSE))))</f>
        <v>1208.73</v>
      </c>
    </row>
    <row r="146" spans="1:46" x14ac:dyDescent="0.25">
      <c r="A146" t="str">
        <f>IF(Summary_Exchange_Balances_00UTC!$B146="","",Summary_Exchange_Balances_00UTC!$N146)</f>
        <v>HUBI</v>
      </c>
      <c r="B146" t="str">
        <f>IF(Summary_Exchange_Balances_00UTC!$B146="","",Summary_Exchange_Balances_00UTC!$B146)</f>
        <v>FUBI-M</v>
      </c>
      <c r="C146" t="str">
        <f>IF(Summary_Exchange_Balances_00UTC!$B146="","",Summary_Exchange_Balances_00UTC!$E146)</f>
        <v>LINK</v>
      </c>
      <c r="D146" t="str">
        <f>IF(OR(Summary_Exchange_Balances_00UTC!$B146="",Summary_Exchange_Balances_00UTC!$D146=""),"",Summary_Exchange_Balances_00UTC!$D146)</f>
        <v>Balance</v>
      </c>
      <c r="E146" s="53">
        <f>IF(Summary_Exchange_Balances_00UTC!$B146="","",Summary_Exchange_Balances_00UTC!$C146)</f>
        <v>6.244243E-2</v>
      </c>
      <c r="F146" s="53">
        <f>IF(Summary_Exchange_Balances_00UTC!$B146="","",VLOOKUP(UPPER($A146&amp;$C146),$L:$T,7,FALSE))</f>
        <v>9.5620959999999995E-4</v>
      </c>
      <c r="G146" s="53">
        <f>IF(Summary_Exchange_Balances_00UTC!$B146="","",VLOOKUP(IF(ISERROR(SEARCH(" ", $B146)),UPPER($B146&amp;$C146&amp;$D146),UPPER(LEFT($B146, SEARCH(" ",$B146)-1)&amp;$C146&amp;$D146)),$M:$T,6,FALSE))</f>
        <v>6.2442432399999998E-2</v>
      </c>
      <c r="H146">
        <f>IF(Summary_Exchange_Balances_00UTC!$B146="","",IF(ISERROR($G146),$E146,$G146))</f>
        <v>6.2442432399999998E-2</v>
      </c>
      <c r="I146" s="36">
        <f t="shared" si="6"/>
        <v>3.8435403576525887E-8</v>
      </c>
      <c r="L146" t="str">
        <f t="shared" si="7"/>
        <v>FUBILINK</v>
      </c>
      <c r="M146" t="str">
        <f t="shared" si="8"/>
        <v>FUBI-MLINKBALANCE</v>
      </c>
      <c r="N146" t="s">
        <v>28</v>
      </c>
      <c r="O146" t="s">
        <v>218</v>
      </c>
      <c r="P146" t="s">
        <v>41</v>
      </c>
      <c r="Q146" t="s">
        <v>75</v>
      </c>
      <c r="R146" s="43">
        <v>6.2442432399999998E-2</v>
      </c>
      <c r="S146" t="s">
        <v>524</v>
      </c>
      <c r="T146">
        <v>1</v>
      </c>
      <c r="W146" t="s">
        <v>115</v>
      </c>
      <c r="X146" t="s">
        <v>116</v>
      </c>
      <c r="Y146" s="53">
        <v>2.9999999999999997E-8</v>
      </c>
      <c r="Z146">
        <v>0</v>
      </c>
      <c r="AC146"/>
      <c r="AD146"/>
      <c r="AS146" t="str">
        <f>IF(Summary_Exchange_Balances_00UTC!$B146="","","'"&amp;C146&amp;"',")</f>
        <v>'LINK',</v>
      </c>
      <c r="AT146">
        <f>IF(Summary_Exchange_Balances_00UTC!$B146="","",IF(ISERROR(HLOOKUP($C146,$AW$1:$LL$2,2,FALSE)),Summary_Exchange_Balances_00UTC!$Q146,IF(OR(HLOOKUP($C146,$AW$1:$LL$2,2,FALSE)="",HLOOKUP($C146,$AW$1:$LL$2,2,FALSE)="null"),Summary_Exchange_Balances_00UTC!$Q146,HLOOKUP($C146,$AW$1:$LL$2,2,FALSE))))</f>
        <v>6.2919999999999998</v>
      </c>
    </row>
    <row r="147" spans="1:46" x14ac:dyDescent="0.25">
      <c r="A147" t="str">
        <f>IF(Summary_Exchange_Balances_00UTC!$B147="","",Summary_Exchange_Balances_00UTC!$N147)</f>
        <v>HUBI</v>
      </c>
      <c r="B147" t="str">
        <f>IF(Summary_Exchange_Balances_00UTC!$B147="","",Summary_Exchange_Balances_00UTC!$B147)</f>
        <v>FUBI-M</v>
      </c>
      <c r="C147" t="str">
        <f>IF(Summary_Exchange_Balances_00UTC!$B147="","",Summary_Exchange_Balances_00UTC!$E147)</f>
        <v>LTC</v>
      </c>
      <c r="D147" t="str">
        <f>IF(OR(Summary_Exchange_Balances_00UTC!$B147="",Summary_Exchange_Balances_00UTC!$D147=""),"",Summary_Exchange_Balances_00UTC!$D147)</f>
        <v>Balance</v>
      </c>
      <c r="E147" s="53">
        <f>IF(Summary_Exchange_Balances_00UTC!$B147="","",Summary_Exchange_Balances_00UTC!$C147)</f>
        <v>7.1564416099999999</v>
      </c>
      <c r="F147" s="53">
        <f>IF(Summary_Exchange_Balances_00UTC!$B147="","",VLOOKUP(UPPER($A147&amp;$C147),$L:$T,7,FALSE))</f>
        <v>2.4771052999999999E-3</v>
      </c>
      <c r="G147" s="53">
        <f>IF(Summary_Exchange_Balances_00UTC!$B147="","",VLOOKUP(IF(ISERROR(SEARCH(" ", $B147)),UPPER($B147&amp;$C147&amp;$D147),UPPER(LEFT($B147, SEARCH(" ",$B147)-1)&amp;$C147&amp;$D147)),$M:$T,6,FALSE))</f>
        <v>7.1564416123000001</v>
      </c>
      <c r="H147">
        <f>IF(Summary_Exchange_Balances_00UTC!$B147="","",IF(ISERROR($G147),$E147,$G147))</f>
        <v>7.1564416123000001</v>
      </c>
      <c r="I147" s="36">
        <f t="shared" si="6"/>
        <v>3.2138880125689354E-10</v>
      </c>
      <c r="L147" t="str">
        <f t="shared" si="7"/>
        <v>FUBILINK</v>
      </c>
      <c r="M147" t="str">
        <f t="shared" si="8"/>
        <v>FUB2-MLINKBALANCE</v>
      </c>
      <c r="N147" t="s">
        <v>28</v>
      </c>
      <c r="O147" s="29" t="s">
        <v>218</v>
      </c>
      <c r="P147" t="s">
        <v>114</v>
      </c>
      <c r="Q147" t="s">
        <v>75</v>
      </c>
      <c r="R147" s="43">
        <v>4.6999999999999999E-9</v>
      </c>
      <c r="S147" t="s">
        <v>525</v>
      </c>
      <c r="T147">
        <v>1</v>
      </c>
      <c r="W147" t="s">
        <v>115</v>
      </c>
      <c r="X147" t="s">
        <v>15</v>
      </c>
      <c r="Y147" s="53">
        <v>294.72611441999999</v>
      </c>
      <c r="Z147">
        <v>0</v>
      </c>
      <c r="AC147"/>
      <c r="AD147"/>
      <c r="AS147" t="str">
        <f>IF(Summary_Exchange_Balances_00UTC!$B147="","","'"&amp;C147&amp;"',")</f>
        <v>'LTC',</v>
      </c>
      <c r="AT147">
        <f>IF(Summary_Exchange_Balances_00UTC!$B147="","",IF(ISERROR(HLOOKUP($C147,$AW$1:$LL$2,2,FALSE)),Summary_Exchange_Balances_00UTC!$Q147,IF(OR(HLOOKUP($C147,$AW$1:$LL$2,2,FALSE)="",HLOOKUP($C147,$AW$1:$LL$2,2,FALSE)="null"),Summary_Exchange_Balances_00UTC!$Q147,HLOOKUP($C147,$AW$1:$LL$2,2,FALSE))))</f>
        <v>62.35</v>
      </c>
    </row>
    <row r="148" spans="1:46" x14ac:dyDescent="0.25">
      <c r="A148" t="str">
        <f>IF(Summary_Exchange_Balances_00UTC!$B148="","",Summary_Exchange_Balances_00UTC!$N148)</f>
        <v>HUBI</v>
      </c>
      <c r="B148" t="str">
        <f>IF(Summary_Exchange_Balances_00UTC!$B148="","",Summary_Exchange_Balances_00UTC!$B148)</f>
        <v>FUBI-M</v>
      </c>
      <c r="C148" t="str">
        <f>IF(Summary_Exchange_Balances_00UTC!$B148="","",Summary_Exchange_Balances_00UTC!$E148)</f>
        <v>TRX</v>
      </c>
      <c r="D148" t="str">
        <f>IF(OR(Summary_Exchange_Balances_00UTC!$B148="",Summary_Exchange_Balances_00UTC!$D148=""),"",Summary_Exchange_Balances_00UTC!$D148)</f>
        <v>Balance</v>
      </c>
      <c r="E148" s="54">
        <f>IF(Summary_Exchange_Balances_00UTC!$B148="","",Summary_Exchange_Balances_00UTC!$C148)</f>
        <v>0.95766242000000001</v>
      </c>
      <c r="F148" s="53">
        <f>IF(Summary_Exchange_Balances_00UTC!$B148="","",VLOOKUP(UPPER($A148&amp;$C148),$L:$T,7,FALSE))</f>
        <v>4.8644820000000002E-4</v>
      </c>
      <c r="G148" s="53">
        <f>IF(Summary_Exchange_Balances_00UTC!$B148="","",VLOOKUP(IF(ISERROR(SEARCH(" ", $B148)),UPPER($B148&amp;$C148&amp;$D148),UPPER(LEFT($B148, SEARCH(" ",$B148)-1)&amp;$C148&amp;$D148)),$M:$T,6,FALSE))</f>
        <v>0.95766241559999998</v>
      </c>
      <c r="H148">
        <f>IF(Summary_Exchange_Balances_00UTC!$B148="","",IF(ISERROR($G148),$E148,$G148))</f>
        <v>0.95766241559999998</v>
      </c>
      <c r="I148" s="36">
        <f t="shared" si="6"/>
        <v>-4.5945209283567013E-9</v>
      </c>
      <c r="L148" t="str">
        <f t="shared" si="7"/>
        <v>FUBILTC</v>
      </c>
      <c r="M148" t="str">
        <f t="shared" si="8"/>
        <v>FUB2-MLTCBALANCE</v>
      </c>
      <c r="N148" t="s">
        <v>25</v>
      </c>
      <c r="O148" t="s">
        <v>218</v>
      </c>
      <c r="P148" t="s">
        <v>114</v>
      </c>
      <c r="Q148" t="s">
        <v>75</v>
      </c>
      <c r="R148" s="43">
        <v>9.3000000000000006E-9</v>
      </c>
      <c r="S148" t="s">
        <v>525</v>
      </c>
      <c r="T148">
        <v>1</v>
      </c>
      <c r="W148" t="s">
        <v>115</v>
      </c>
      <c r="X148" t="s">
        <v>15</v>
      </c>
      <c r="Y148" s="54">
        <v>9.6204563400000005</v>
      </c>
      <c r="Z148">
        <v>0</v>
      </c>
      <c r="AC148"/>
      <c r="AD148"/>
      <c r="AS148" t="str">
        <f>IF(Summary_Exchange_Balances_00UTC!$B148="","","'"&amp;C148&amp;"',")</f>
        <v>'TRX',</v>
      </c>
      <c r="AT148">
        <f>IF(Summary_Exchange_Balances_00UTC!$B148="","",IF(ISERROR(HLOOKUP($C148,$AW$1:$LL$2,2,FALSE)),Summary_Exchange_Balances_00UTC!$Q148,IF(OR(HLOOKUP($C148,$AW$1:$LL$2,2,FALSE)="",HLOOKUP($C148,$AW$1:$LL$2,2,FALSE)="null"),Summary_Exchange_Balances_00UTC!$Q148,HLOOKUP($C148,$AW$1:$LL$2,2,FALSE))))</f>
        <v>5.0092902000000002E-2</v>
      </c>
    </row>
    <row r="149" spans="1:46" x14ac:dyDescent="0.25">
      <c r="A149" t="str">
        <f>IF(Summary_Exchange_Balances_00UTC!$B149="","",Summary_Exchange_Balances_00UTC!$N149)</f>
        <v>HUBI</v>
      </c>
      <c r="B149" t="str">
        <f>IF(Summary_Exchange_Balances_00UTC!$B149="","",Summary_Exchange_Balances_00UTC!$B149)</f>
        <v>FUBI-M</v>
      </c>
      <c r="C149" t="str">
        <f>IF(Summary_Exchange_Balances_00UTC!$B149="","",Summary_Exchange_Balances_00UTC!$E149)</f>
        <v>XRP</v>
      </c>
      <c r="D149" t="str">
        <f>IF(OR(Summary_Exchange_Balances_00UTC!$B149="",Summary_Exchange_Balances_00UTC!$D149=""),"",Summary_Exchange_Balances_00UTC!$D149)</f>
        <v>Balance</v>
      </c>
      <c r="E149" s="53">
        <f>IF(Summary_Exchange_Balances_00UTC!$B149="","",Summary_Exchange_Balances_00UTC!$C149)</f>
        <v>0.54364484000000002</v>
      </c>
      <c r="F149" s="53">
        <f>IF(Summary_Exchange_Balances_00UTC!$B149="","",VLOOKUP(UPPER($A149&amp;$C149),$L:$T,7,FALSE))</f>
        <v>1.9184280000000001E-4</v>
      </c>
      <c r="G149" s="53">
        <f>IF(Summary_Exchange_Balances_00UTC!$B149="","",VLOOKUP(IF(ISERROR(SEARCH(" ", $B149)),UPPER($B149&amp;$C149&amp;$D149),UPPER(LEFT($B149, SEARCH(" ",$B149)-1)&amp;$C149&amp;$D149)),$M:$T,6,FALSE))</f>
        <v>0.54364484400000002</v>
      </c>
      <c r="H149">
        <f>IF(Summary_Exchange_Balances_00UTC!$B149="","",IF(ISERROR($G149),$E149,$G149))</f>
        <v>0.54364484400000002</v>
      </c>
      <c r="I149" s="36">
        <f t="shared" si="6"/>
        <v>7.3577448061395679E-9</v>
      </c>
      <c r="L149" t="str">
        <f t="shared" si="7"/>
        <v>FUBILTC</v>
      </c>
      <c r="M149" t="str">
        <f t="shared" si="8"/>
        <v>FUBI-MLTCBALANCE</v>
      </c>
      <c r="N149" t="s">
        <v>25</v>
      </c>
      <c r="O149" t="s">
        <v>218</v>
      </c>
      <c r="P149" t="s">
        <v>41</v>
      </c>
      <c r="Q149" t="s">
        <v>75</v>
      </c>
      <c r="R149" s="43">
        <v>7.1564416123000001</v>
      </c>
      <c r="S149" t="s">
        <v>524</v>
      </c>
      <c r="T149">
        <v>1</v>
      </c>
      <c r="W149" t="s">
        <v>115</v>
      </c>
      <c r="X149" t="s">
        <v>23</v>
      </c>
      <c r="Y149" s="53">
        <v>3.8972899999999999E-3</v>
      </c>
      <c r="Z149">
        <v>0</v>
      </c>
      <c r="AC149"/>
      <c r="AD149"/>
      <c r="AS149" t="str">
        <f>IF(Summary_Exchange_Balances_00UTC!$B149="","","'"&amp;C149&amp;"',")</f>
        <v>'XRP',</v>
      </c>
      <c r="AT149">
        <f>IF(Summary_Exchange_Balances_00UTC!$B149="","",IF(ISERROR(HLOOKUP($C149,$AW$1:$LL$2,2,FALSE)),Summary_Exchange_Balances_00UTC!$Q149,IF(OR(HLOOKUP($C149,$AW$1:$LL$2,2,FALSE)="",HLOOKUP($C149,$AW$1:$LL$2,2,FALSE)="null"),Summary_Exchange_Balances_00UTC!$Q149,HLOOKUP($C149,$AW$1:$LL$2,2,FALSE))))</f>
        <v>0.38471588000000001</v>
      </c>
    </row>
    <row r="150" spans="1:46" x14ac:dyDescent="0.25">
      <c r="A150" t="str">
        <f>IF(Summary_Exchange_Balances_00UTC!$B150="","",Summary_Exchange_Balances_00UTC!$N150)</f>
        <v>GATE</v>
      </c>
      <c r="B150" t="str">
        <f>IF(Summary_Exchange_Balances_00UTC!$B150="","",Summary_Exchange_Balances_00UTC!$B150)</f>
        <v>GATE-1-M-C</v>
      </c>
      <c r="C150" t="str">
        <f>IF(Summary_Exchange_Balances_00UTC!$B150="","",Summary_Exchange_Balances_00UTC!$E150)</f>
        <v>BTC</v>
      </c>
      <c r="D150" t="str">
        <f>IF(OR(Summary_Exchange_Balances_00UTC!$B150="",Summary_Exchange_Balances_00UTC!$D150=""),"",Summary_Exchange_Balances_00UTC!$D150)</f>
        <v/>
      </c>
      <c r="E150" s="53">
        <f>IF(Summary_Exchange_Balances_00UTC!$B150="","",Summary_Exchange_Balances_00UTC!$C150)</f>
        <v>9.9829999999999998E-5</v>
      </c>
      <c r="F150" s="53" t="e">
        <f>IF(Summary_Exchange_Balances_00UTC!$B150="","",VLOOKUP(UPPER($A150&amp;$C150),$L:$T,7,FALSE))</f>
        <v>#N/A</v>
      </c>
      <c r="G150" s="53" t="e">
        <f>IF(Summary_Exchange_Balances_00UTC!$B150="","",VLOOKUP(IF(ISERROR(SEARCH(" ", $B150)),UPPER($B150&amp;$C150&amp;$D150),UPPER(LEFT($B150, SEARCH(" ",$B150)-1)&amp;$C150&amp;$D150)),$M:$T,6,FALSE))</f>
        <v>#N/A</v>
      </c>
      <c r="H150">
        <f>IF(Summary_Exchange_Balances_00UTC!$B150="","",IF(ISERROR($G150),$E150,$G150))</f>
        <v>9.9829999999999998E-5</v>
      </c>
      <c r="I150" s="36" t="e">
        <f t="shared" si="6"/>
        <v>#N/A</v>
      </c>
      <c r="L150" t="str">
        <f t="shared" si="7"/>
        <v>FUBITRX</v>
      </c>
      <c r="M150" t="str">
        <f t="shared" si="8"/>
        <v>FUBI-MTRXBALANCE</v>
      </c>
      <c r="N150" t="s">
        <v>26</v>
      </c>
      <c r="O150" t="s">
        <v>218</v>
      </c>
      <c r="P150" t="s">
        <v>41</v>
      </c>
      <c r="Q150" t="s">
        <v>75</v>
      </c>
      <c r="R150" s="43">
        <v>0.95766241559999998</v>
      </c>
      <c r="S150" t="s">
        <v>524</v>
      </c>
      <c r="T150">
        <v>1</v>
      </c>
      <c r="W150" t="s">
        <v>115</v>
      </c>
      <c r="X150" t="s">
        <v>30</v>
      </c>
      <c r="Y150" s="53">
        <v>0.1010306</v>
      </c>
      <c r="Z150">
        <v>0</v>
      </c>
      <c r="AC150"/>
      <c r="AD150"/>
      <c r="AS150" t="str">
        <f>IF(Summary_Exchange_Balances_00UTC!$B150="","","'"&amp;C150&amp;"',")</f>
        <v>'BTC',</v>
      </c>
      <c r="AT150">
        <f>IF(Summary_Exchange_Balances_00UTC!$B150="","",IF(ISERROR(HLOOKUP($C150,$AW$1:$LL$2,2,FALSE)),Summary_Exchange_Balances_00UTC!$Q150,IF(OR(HLOOKUP($C150,$AW$1:$LL$2,2,FALSE)="",HLOOKUP($C150,$AW$1:$LL$2,2,FALSE)="null"),Summary_Exchange_Balances_00UTC!$Q150,HLOOKUP($C150,$AW$1:$LL$2,2,FALSE))))</f>
        <v>16719.740000000002</v>
      </c>
    </row>
    <row r="151" spans="1:46" x14ac:dyDescent="0.25">
      <c r="A151" t="str">
        <f>IF(Summary_Exchange_Balances_00UTC!$B151="","",Summary_Exchange_Balances_00UTC!$N151)</f>
        <v>GATE</v>
      </c>
      <c r="B151" t="str">
        <f>IF(Summary_Exchange_Balances_00UTC!$B151="","",Summary_Exchange_Balances_00UTC!$B151)</f>
        <v>GATE-1-M-C</v>
      </c>
      <c r="C151" t="str">
        <f>IF(Summary_Exchange_Balances_00UTC!$B151="","",Summary_Exchange_Balances_00UTC!$E151)</f>
        <v>USDT</v>
      </c>
      <c r="D151" t="str">
        <f>IF(OR(Summary_Exchange_Balances_00UTC!$B151="",Summary_Exchange_Balances_00UTC!$D151=""),"",Summary_Exchange_Balances_00UTC!$D151)</f>
        <v/>
      </c>
      <c r="E151" s="53">
        <f>IF(Summary_Exchange_Balances_00UTC!$B151="","",Summary_Exchange_Balances_00UTC!$C151)</f>
        <v>10195.084654329999</v>
      </c>
      <c r="F151" s="53" t="e">
        <f>IF(Summary_Exchange_Balances_00UTC!$B151="","",VLOOKUP(UPPER($A151&amp;$C151),$L:$T,7,FALSE))</f>
        <v>#N/A</v>
      </c>
      <c r="G151" s="53" t="e">
        <f>IF(Summary_Exchange_Balances_00UTC!$B151="","",VLOOKUP(IF(ISERROR(SEARCH(" ", $B151)),UPPER($B151&amp;$C151&amp;$D151),UPPER(LEFT($B151, SEARCH(" ",$B151)-1)&amp;$C151&amp;$D151)),$M:$T,6,FALSE))</f>
        <v>#N/A</v>
      </c>
      <c r="H151">
        <f>IF(Summary_Exchange_Balances_00UTC!$B151="","",IF(ISERROR($G151),$E151,$G151))</f>
        <v>10195.084654329999</v>
      </c>
      <c r="I151" s="36" t="e">
        <f t="shared" si="6"/>
        <v>#N/A</v>
      </c>
      <c r="L151" t="str">
        <f t="shared" si="7"/>
        <v>FUBITRX</v>
      </c>
      <c r="M151" t="str">
        <f t="shared" si="8"/>
        <v>FUB2-MTRXBALANCE</v>
      </c>
      <c r="N151" t="s">
        <v>26</v>
      </c>
      <c r="O151" t="s">
        <v>218</v>
      </c>
      <c r="P151" t="s">
        <v>114</v>
      </c>
      <c r="Q151" t="s">
        <v>75</v>
      </c>
      <c r="R151" s="43">
        <v>7.8999999999999996E-9</v>
      </c>
      <c r="S151" t="s">
        <v>525</v>
      </c>
      <c r="T151">
        <v>1</v>
      </c>
      <c r="W151" t="s">
        <v>115</v>
      </c>
      <c r="X151" t="s">
        <v>16</v>
      </c>
      <c r="Y151" s="53">
        <v>1570.3074606499999</v>
      </c>
      <c r="Z151">
        <v>0</v>
      </c>
      <c r="AC151"/>
      <c r="AD151"/>
      <c r="AS151" t="str">
        <f>IF(Summary_Exchange_Balances_00UTC!$B151="","","'"&amp;C151&amp;"',")</f>
        <v>'USDT',</v>
      </c>
      <c r="AT151">
        <f>IF(Summary_Exchange_Balances_00UTC!$B151="","",IF(ISERROR(HLOOKUP($C151,$AW$1:$LL$2,2,FALSE)),Summary_Exchange_Balances_00UTC!$Q151,IF(OR(HLOOKUP($C151,$AW$1:$LL$2,2,FALSE)="",HLOOKUP($C151,$AW$1:$LL$2,2,FALSE)="null"),Summary_Exchange_Balances_00UTC!$Q151,HLOOKUP($C151,$AW$1:$LL$2,2,FALSE))))</f>
        <v>1.0001054103245375</v>
      </c>
    </row>
    <row r="152" spans="1:46" x14ac:dyDescent="0.25">
      <c r="A152" t="str">
        <f>IF(Summary_Exchange_Balances_00UTC!$B152="","",Summary_Exchange_Balances_00UTC!$N152)</f>
        <v>GATE</v>
      </c>
      <c r="B152" t="str">
        <f>IF(Summary_Exchange_Balances_00UTC!$B152="","",Summary_Exchange_Balances_00UTC!$B152)</f>
        <v>GATE-1-M-E</v>
      </c>
      <c r="C152" t="str">
        <f>IF(Summary_Exchange_Balances_00UTC!$B152="","",Summary_Exchange_Balances_00UTC!$E152)</f>
        <v>BTC</v>
      </c>
      <c r="D152" t="str">
        <f>IF(OR(Summary_Exchange_Balances_00UTC!$B152="",Summary_Exchange_Balances_00UTC!$D152=""),"",Summary_Exchange_Balances_00UTC!$D152)</f>
        <v/>
      </c>
      <c r="E152" s="54">
        <f>IF(Summary_Exchange_Balances_00UTC!$B152="","",Summary_Exchange_Balances_00UTC!$C152)</f>
        <v>1.899957E-2</v>
      </c>
      <c r="F152" s="53" t="e">
        <f>IF(Summary_Exchange_Balances_00UTC!$B152="","",VLOOKUP(UPPER($A152&amp;$C152),$L:$T,7,FALSE))</f>
        <v>#N/A</v>
      </c>
      <c r="G152" s="53" t="e">
        <f>IF(Summary_Exchange_Balances_00UTC!$B152="","",VLOOKUP(IF(ISERROR(SEARCH(" ", $B152)),UPPER($B152&amp;$C152&amp;$D152),UPPER(LEFT($B152, SEARCH(" ",$B152)-1)&amp;$C152&amp;$D152)),$M:$T,6,FALSE))</f>
        <v>#N/A</v>
      </c>
      <c r="H152">
        <f>IF(Summary_Exchange_Balances_00UTC!$B152="","",IF(ISERROR($G152),$E152,$G152))</f>
        <v>1.899957E-2</v>
      </c>
      <c r="I152" s="36" t="e">
        <f t="shared" si="6"/>
        <v>#N/A</v>
      </c>
      <c r="L152" t="str">
        <f t="shared" si="7"/>
        <v>FUBIXRP</v>
      </c>
      <c r="M152" t="str">
        <f t="shared" si="8"/>
        <v>FUBI-MXRPBALANCE</v>
      </c>
      <c r="N152" t="s">
        <v>102</v>
      </c>
      <c r="O152" s="29" t="s">
        <v>218</v>
      </c>
      <c r="P152" t="s">
        <v>41</v>
      </c>
      <c r="Q152" t="s">
        <v>75</v>
      </c>
      <c r="R152" s="43">
        <v>0.54364484400000002</v>
      </c>
      <c r="S152" t="s">
        <v>524</v>
      </c>
      <c r="T152">
        <v>1</v>
      </c>
      <c r="W152" t="s">
        <v>115</v>
      </c>
      <c r="X152" t="s">
        <v>16</v>
      </c>
      <c r="Y152" s="54">
        <v>8.6570029500000008</v>
      </c>
      <c r="Z152">
        <v>0</v>
      </c>
      <c r="AC152"/>
      <c r="AD152"/>
      <c r="AS152" t="str">
        <f>IF(Summary_Exchange_Balances_00UTC!$B152="","","'"&amp;C152&amp;"',")</f>
        <v>'BTC',</v>
      </c>
      <c r="AT152">
        <f>IF(Summary_Exchange_Balances_00UTC!$B152="","",IF(ISERROR(HLOOKUP($C152,$AW$1:$LL$2,2,FALSE)),Summary_Exchange_Balances_00UTC!$Q152,IF(OR(HLOOKUP($C152,$AW$1:$LL$2,2,FALSE)="",HLOOKUP($C152,$AW$1:$LL$2,2,FALSE)="null"),Summary_Exchange_Balances_00UTC!$Q152,HLOOKUP($C152,$AW$1:$LL$2,2,FALSE))))</f>
        <v>16719.740000000002</v>
      </c>
    </row>
    <row r="153" spans="1:46" x14ac:dyDescent="0.25">
      <c r="A153" t="str">
        <f>IF(Summary_Exchange_Balances_00UTC!$B153="","",Summary_Exchange_Balances_00UTC!$N153)</f>
        <v>GATE</v>
      </c>
      <c r="B153" t="str">
        <f>IF(Summary_Exchange_Balances_00UTC!$B153="","",Summary_Exchange_Balances_00UTC!$B153)</f>
        <v>GATE-1-M-E</v>
      </c>
      <c r="C153" t="str">
        <f>IF(Summary_Exchange_Balances_00UTC!$B153="","",Summary_Exchange_Balances_00UTC!$E153)</f>
        <v>ETHF</v>
      </c>
      <c r="D153" t="str">
        <f>IF(OR(Summary_Exchange_Balances_00UTC!$B153="",Summary_Exchange_Balances_00UTC!$D153=""),"",Summary_Exchange_Balances_00UTC!$D153)</f>
        <v/>
      </c>
      <c r="E153" s="53">
        <f>IF(Summary_Exchange_Balances_00UTC!$B153="","",Summary_Exchange_Balances_00UTC!$C153)</f>
        <v>9.9825000000000001E-4</v>
      </c>
      <c r="F153" s="53" t="e">
        <f>IF(Summary_Exchange_Balances_00UTC!$B153="","",VLOOKUP(UPPER($A153&amp;$C153),$L:$T,7,FALSE))</f>
        <v>#N/A</v>
      </c>
      <c r="G153" s="53" t="e">
        <f>IF(Summary_Exchange_Balances_00UTC!$B153="","",VLOOKUP(IF(ISERROR(SEARCH(" ", $B153)),UPPER($B153&amp;$C153&amp;$D153),UPPER(LEFT($B153, SEARCH(" ",$B153)-1)&amp;$C153&amp;$D153)),$M:$T,6,FALSE))</f>
        <v>#N/A</v>
      </c>
      <c r="H153">
        <f>IF(Summary_Exchange_Balances_00UTC!$B153="","",IF(ISERROR($G153),$E153,$G153))</f>
        <v>9.9825000000000001E-4</v>
      </c>
      <c r="I153" s="36" t="e">
        <f t="shared" si="6"/>
        <v>#N/A</v>
      </c>
      <c r="L153" t="str">
        <f t="shared" si="7"/>
        <v>FUBIXRP</v>
      </c>
      <c r="M153" t="str">
        <f t="shared" si="8"/>
        <v>FUB2-MXRPBALANCE</v>
      </c>
      <c r="N153" t="s">
        <v>102</v>
      </c>
      <c r="O153" t="s">
        <v>218</v>
      </c>
      <c r="P153" t="s">
        <v>114</v>
      </c>
      <c r="Q153" t="s">
        <v>75</v>
      </c>
      <c r="R153" s="43">
        <v>9.7899999999999997E-8</v>
      </c>
      <c r="S153" t="s">
        <v>525</v>
      </c>
      <c r="T153">
        <v>1</v>
      </c>
      <c r="W153" t="s">
        <v>115</v>
      </c>
      <c r="X153" t="s">
        <v>28</v>
      </c>
      <c r="Y153" s="53">
        <v>9.5620999999999998E-4</v>
      </c>
      <c r="Z153">
        <v>0</v>
      </c>
      <c r="AC153"/>
      <c r="AD153"/>
      <c r="AS153" t="str">
        <f>IF(Summary_Exchange_Balances_00UTC!$B153="","","'"&amp;C153&amp;"',")</f>
        <v>'ETHF',</v>
      </c>
      <c r="AT153">
        <f>IF(Summary_Exchange_Balances_00UTC!$B153="","",IF(ISERROR(HLOOKUP($C153,$AW$1:$LL$2,2,FALSE)),Summary_Exchange_Balances_00UTC!$Q153,IF(OR(HLOOKUP($C153,$AW$1:$LL$2,2,FALSE)="",HLOOKUP($C153,$AW$1:$LL$2,2,FALSE)="null"),Summary_Exchange_Balances_00UTC!$Q153,HLOOKUP($C153,$AW$1:$LL$2,2,FALSE))))</f>
        <v>0.2300166487532061</v>
      </c>
    </row>
    <row r="154" spans="1:46" x14ac:dyDescent="0.25">
      <c r="A154" t="str">
        <f>IF(Summary_Exchange_Balances_00UTC!$B154="","",Summary_Exchange_Balances_00UTC!$N154)</f>
        <v>GATE</v>
      </c>
      <c r="B154" t="str">
        <f>IF(Summary_Exchange_Balances_00UTC!$B154="","",Summary_Exchange_Balances_00UTC!$B154)</f>
        <v>GATE-1-M-E</v>
      </c>
      <c r="C154" t="str">
        <f>IF(Summary_Exchange_Balances_00UTC!$B154="","",Summary_Exchange_Balances_00UTC!$E154)</f>
        <v>ETHW</v>
      </c>
      <c r="D154" t="str">
        <f>IF(OR(Summary_Exchange_Balances_00UTC!$B154="",Summary_Exchange_Balances_00UTC!$D154=""),"",Summary_Exchange_Balances_00UTC!$D154)</f>
        <v/>
      </c>
      <c r="E154" s="53">
        <f>IF(Summary_Exchange_Balances_00UTC!$B154="","",Summary_Exchange_Balances_00UTC!$C154)</f>
        <v>9.9825000000000001E-4</v>
      </c>
      <c r="F154" s="53" t="e">
        <f>IF(Summary_Exchange_Balances_00UTC!$B154="","",VLOOKUP(UPPER($A154&amp;$C154),$L:$T,7,FALSE))</f>
        <v>#N/A</v>
      </c>
      <c r="G154" s="53" t="e">
        <f>IF(Summary_Exchange_Balances_00UTC!$B154="","",VLOOKUP(IF(ISERROR(SEARCH(" ", $B154)),UPPER($B154&amp;$C154&amp;$D154),UPPER(LEFT($B154, SEARCH(" ",$B154)-1)&amp;$C154&amp;$D154)),$M:$T,6,FALSE))</f>
        <v>#N/A</v>
      </c>
      <c r="H154">
        <f>IF(Summary_Exchange_Balances_00UTC!$B154="","",IF(ISERROR($G154),$E154,$G154))</f>
        <v>9.9825000000000001E-4</v>
      </c>
      <c r="I154" s="36" t="e">
        <f t="shared" si="6"/>
        <v>#N/A</v>
      </c>
      <c r="L154" t="str">
        <f t="shared" si="7"/>
        <v>HUBIAAVE</v>
      </c>
      <c r="M154" t="str">
        <f t="shared" si="8"/>
        <v>HUBI-1-M-PAAVEBALANCE</v>
      </c>
      <c r="N154" t="s">
        <v>119</v>
      </c>
      <c r="O154" s="29" t="s">
        <v>115</v>
      </c>
      <c r="P154" t="s">
        <v>42</v>
      </c>
      <c r="Q154" t="s">
        <v>75</v>
      </c>
      <c r="R154" s="43">
        <v>0.10014646000000001</v>
      </c>
      <c r="S154" t="s">
        <v>526</v>
      </c>
      <c r="T154">
        <v>1</v>
      </c>
      <c r="W154" t="s">
        <v>115</v>
      </c>
      <c r="X154" t="s">
        <v>25</v>
      </c>
      <c r="Y154" s="53">
        <v>2.4771099999999998E-3</v>
      </c>
      <c r="Z154">
        <v>0</v>
      </c>
      <c r="AC154"/>
      <c r="AD154"/>
      <c r="AS154" t="str">
        <f>IF(Summary_Exchange_Balances_00UTC!$B154="","","'"&amp;C154&amp;"',")</f>
        <v>'ETHW',</v>
      </c>
      <c r="AT154">
        <f>IF(Summary_Exchange_Balances_00UTC!$B154="","",IF(ISERROR(HLOOKUP($C154,$AW$1:$LL$2,2,FALSE)),Summary_Exchange_Balances_00UTC!$Q154,IF(OR(HLOOKUP($C154,$AW$1:$LL$2,2,FALSE)="",HLOOKUP($C154,$AW$1:$LL$2,2,FALSE)="null"),Summary_Exchange_Balances_00UTC!$Q154,HLOOKUP($C154,$AW$1:$LL$2,2,FALSE))))</f>
        <v>3.5405121692480641</v>
      </c>
    </row>
    <row r="155" spans="1:46" x14ac:dyDescent="0.25">
      <c r="A155" t="str">
        <f>IF(Summary_Exchange_Balances_00UTC!$B155="","",Summary_Exchange_Balances_00UTC!$N155)</f>
        <v>GATE</v>
      </c>
      <c r="B155" t="str">
        <f>IF(Summary_Exchange_Balances_00UTC!$B155="","",Summary_Exchange_Balances_00UTC!$B155)</f>
        <v>GATE-1-M-E</v>
      </c>
      <c r="C155" t="str">
        <f>IF(Summary_Exchange_Balances_00UTC!$B155="","",Summary_Exchange_Balances_00UTC!$E155)</f>
        <v>ROSE</v>
      </c>
      <c r="D155" t="str">
        <f>IF(OR(Summary_Exchange_Balances_00UTC!$B155="",Summary_Exchange_Balances_00UTC!$D155=""),"",Summary_Exchange_Balances_00UTC!$D155)</f>
        <v/>
      </c>
      <c r="E155" s="53">
        <f>IF(Summary_Exchange_Balances_00UTC!$B155="","",Summary_Exchange_Balances_00UTC!$C155)</f>
        <v>9.5929999999999998E-5</v>
      </c>
      <c r="F155" s="53" t="e">
        <f>IF(Summary_Exchange_Balances_00UTC!$B155="","",VLOOKUP(UPPER($A155&amp;$C155),$L:$T,7,FALSE))</f>
        <v>#N/A</v>
      </c>
      <c r="G155" s="53" t="e">
        <f>IF(Summary_Exchange_Balances_00UTC!$B155="","",VLOOKUP(IF(ISERROR(SEARCH(" ", $B155)),UPPER($B155&amp;$C155&amp;$D155),UPPER(LEFT($B155, SEARCH(" ",$B155)-1)&amp;$C155&amp;$D155)),$M:$T,6,FALSE))</f>
        <v>#N/A</v>
      </c>
      <c r="H155">
        <f>IF(Summary_Exchange_Balances_00UTC!$B155="","",IF(ISERROR($G155),$E155,$G155))</f>
        <v>9.5929999999999998E-5</v>
      </c>
      <c r="I155" s="36" t="e">
        <f t="shared" si="6"/>
        <v>#N/A</v>
      </c>
      <c r="L155" t="str">
        <f t="shared" si="7"/>
        <v>HUBIADA</v>
      </c>
      <c r="M155" t="str">
        <f t="shared" si="8"/>
        <v>HUBI-1-M-PADABALANCE</v>
      </c>
      <c r="N155" t="s">
        <v>87</v>
      </c>
      <c r="O155" t="s">
        <v>115</v>
      </c>
      <c r="P155" t="s">
        <v>42</v>
      </c>
      <c r="Q155" t="s">
        <v>75</v>
      </c>
      <c r="R155" s="43">
        <v>3.2091770000000001E-4</v>
      </c>
      <c r="S155" t="s">
        <v>526</v>
      </c>
      <c r="T155">
        <v>1</v>
      </c>
      <c r="W155" t="s">
        <v>115</v>
      </c>
      <c r="X155" t="s">
        <v>38</v>
      </c>
      <c r="Y155" s="53">
        <v>71073.205401560001</v>
      </c>
      <c r="Z155">
        <v>0</v>
      </c>
      <c r="AC155"/>
      <c r="AD155"/>
      <c r="AS155" t="str">
        <f>IF(Summary_Exchange_Balances_00UTC!$B155="","","'"&amp;C155&amp;"',")</f>
        <v>'ROSE',</v>
      </c>
      <c r="AT155">
        <f>IF(Summary_Exchange_Balances_00UTC!$B155="","",IF(ISERROR(HLOOKUP($C155,$AW$1:$LL$2,2,FALSE)),Summary_Exchange_Balances_00UTC!$Q155,IF(OR(HLOOKUP($C155,$AW$1:$LL$2,2,FALSE)="",HLOOKUP($C155,$AW$1:$LL$2,2,FALSE)="null"),Summary_Exchange_Balances_00UTC!$Q155,HLOOKUP($C155,$AW$1:$LL$2,2,FALSE))))</f>
        <v>4.7021920000000002E-2</v>
      </c>
    </row>
    <row r="156" spans="1:46" x14ac:dyDescent="0.25">
      <c r="A156" t="str">
        <f>IF(Summary_Exchange_Balances_00UTC!$B156="","",Summary_Exchange_Balances_00UTC!$N156)</f>
        <v>GATE</v>
      </c>
      <c r="B156" t="str">
        <f>IF(Summary_Exchange_Balances_00UTC!$B156="","",Summary_Exchange_Balances_00UTC!$B156)</f>
        <v>GATE-1-M-E</v>
      </c>
      <c r="C156" t="str">
        <f>IF(Summary_Exchange_Balances_00UTC!$B156="","",Summary_Exchange_Balances_00UTC!$E156)</f>
        <v>USDT</v>
      </c>
      <c r="D156" t="str">
        <f>IF(OR(Summary_Exchange_Balances_00UTC!$B156="",Summary_Exchange_Balances_00UTC!$D156=""),"",Summary_Exchange_Balances_00UTC!$D156)</f>
        <v/>
      </c>
      <c r="E156" s="53">
        <f>IF(Summary_Exchange_Balances_00UTC!$B156="","",Summary_Exchange_Balances_00UTC!$C156)</f>
        <v>27.162898349999999</v>
      </c>
      <c r="F156" s="53" t="e">
        <f>IF(Summary_Exchange_Balances_00UTC!$B156="","",VLOOKUP(UPPER($A156&amp;$C156),$L:$T,7,FALSE))</f>
        <v>#N/A</v>
      </c>
      <c r="G156" s="53" t="e">
        <f>IF(Summary_Exchange_Balances_00UTC!$B156="","",VLOOKUP(IF(ISERROR(SEARCH(" ", $B156)),UPPER($B156&amp;$C156&amp;$D156),UPPER(LEFT($B156, SEARCH(" ",$B156)-1)&amp;$C156&amp;$D156)),$M:$T,6,FALSE))</f>
        <v>#N/A</v>
      </c>
      <c r="H156">
        <f>IF(Summary_Exchange_Balances_00UTC!$B156="","",IF(ISERROR($G156),$E156,$G156))</f>
        <v>27.162898349999999</v>
      </c>
      <c r="I156" s="36" t="e">
        <f t="shared" si="6"/>
        <v>#N/A</v>
      </c>
      <c r="L156" t="str">
        <f t="shared" si="7"/>
        <v>HUBIBCH</v>
      </c>
      <c r="M156" t="str">
        <f t="shared" si="8"/>
        <v>HUBI-1-M-PBCHBALANCE</v>
      </c>
      <c r="N156" t="s">
        <v>21</v>
      </c>
      <c r="O156" t="s">
        <v>115</v>
      </c>
      <c r="P156" t="s">
        <v>42</v>
      </c>
      <c r="Q156" t="s">
        <v>75</v>
      </c>
      <c r="R156" s="43">
        <v>5.3552099999999996E-4</v>
      </c>
      <c r="S156" t="s">
        <v>526</v>
      </c>
      <c r="T156">
        <v>1</v>
      </c>
      <c r="W156" t="s">
        <v>115</v>
      </c>
      <c r="X156" t="s">
        <v>26</v>
      </c>
      <c r="Y156" s="53">
        <v>4.8644999999999998E-4</v>
      </c>
      <c r="Z156">
        <v>0</v>
      </c>
      <c r="AC156"/>
      <c r="AD156"/>
      <c r="AS156" t="str">
        <f>IF(Summary_Exchange_Balances_00UTC!$B156="","","'"&amp;C156&amp;"',")</f>
        <v>'USDT',</v>
      </c>
      <c r="AT156">
        <f>IF(Summary_Exchange_Balances_00UTC!$B156="","",IF(ISERROR(HLOOKUP($C156,$AW$1:$LL$2,2,FALSE)),Summary_Exchange_Balances_00UTC!$Q156,IF(OR(HLOOKUP($C156,$AW$1:$LL$2,2,FALSE)="",HLOOKUP($C156,$AW$1:$LL$2,2,FALSE)="null"),Summary_Exchange_Balances_00UTC!$Q156,HLOOKUP($C156,$AW$1:$LL$2,2,FALSE))))</f>
        <v>1.0001054103245355</v>
      </c>
    </row>
    <row r="157" spans="1:46" x14ac:dyDescent="0.25">
      <c r="A157" t="str">
        <f>IF(Summary_Exchange_Balances_00UTC!$B157="","",Summary_Exchange_Balances_00UTC!$N157)</f>
        <v>GATE</v>
      </c>
      <c r="B157" t="str">
        <f>IF(Summary_Exchange_Balances_00UTC!$B157="","",Summary_Exchange_Balances_00UTC!$B157)</f>
        <v>GATE-1-M-M</v>
      </c>
      <c r="C157" t="str">
        <f>IF(Summary_Exchange_Balances_00UTC!$B157="","",Summary_Exchange_Balances_00UTC!$E157)</f>
        <v>BTC</v>
      </c>
      <c r="D157" t="str">
        <f>IF(OR(Summary_Exchange_Balances_00UTC!$B157="",Summary_Exchange_Balances_00UTC!$D157=""),"",Summary_Exchange_Balances_00UTC!$D157)</f>
        <v/>
      </c>
      <c r="E157" s="53">
        <f>IF(Summary_Exchange_Balances_00UTC!$B157="","",Summary_Exchange_Balances_00UTC!$C157)</f>
        <v>1.995E-4</v>
      </c>
      <c r="F157" s="53" t="e">
        <f>IF(Summary_Exchange_Balances_00UTC!$B157="","",VLOOKUP(UPPER($A157&amp;$C157),$L:$T,7,FALSE))</f>
        <v>#N/A</v>
      </c>
      <c r="G157" s="53" t="e">
        <f>IF(Summary_Exchange_Balances_00UTC!$B157="","",VLOOKUP(IF(ISERROR(SEARCH(" ", $B157)),UPPER($B157&amp;$C157&amp;$D157),UPPER(LEFT($B157, SEARCH(" ",$B157)-1)&amp;$C157&amp;$D157)),$M:$T,6,FALSE))</f>
        <v>#N/A</v>
      </c>
      <c r="H157">
        <f>IF(Summary_Exchange_Balances_00UTC!$B157="","",IF(ISERROR($G157),$E157,$G157))</f>
        <v>1.995E-4</v>
      </c>
      <c r="I157" s="36" t="e">
        <f t="shared" si="6"/>
        <v>#N/A</v>
      </c>
      <c r="L157" t="str">
        <f t="shared" si="7"/>
        <v>HUBIBSV</v>
      </c>
      <c r="M157" t="str">
        <f t="shared" si="8"/>
        <v>HUBI-1-M-PBSVBALANCE</v>
      </c>
      <c r="N157" t="s">
        <v>116</v>
      </c>
      <c r="O157" s="29" t="s">
        <v>115</v>
      </c>
      <c r="P157" t="s">
        <v>42</v>
      </c>
      <c r="Q157" t="s">
        <v>75</v>
      </c>
      <c r="R157" s="43">
        <v>3.3400000000000001E-8</v>
      </c>
      <c r="S157" t="s">
        <v>526</v>
      </c>
      <c r="T157">
        <v>1</v>
      </c>
      <c r="W157" t="s">
        <v>115</v>
      </c>
      <c r="X157" t="s">
        <v>102</v>
      </c>
      <c r="Y157" s="53">
        <v>1.9184000000000001E-4</v>
      </c>
      <c r="Z157">
        <v>0</v>
      </c>
      <c r="AC157"/>
      <c r="AD157"/>
      <c r="AS157" t="str">
        <f>IF(Summary_Exchange_Balances_00UTC!$B157="","","'"&amp;C157&amp;"',")</f>
        <v>'BTC',</v>
      </c>
      <c r="AT157">
        <f>IF(Summary_Exchange_Balances_00UTC!$B157="","",IF(ISERROR(HLOOKUP($C157,$AW$1:$LL$2,2,FALSE)),Summary_Exchange_Balances_00UTC!$Q157,IF(OR(HLOOKUP($C157,$AW$1:$LL$2,2,FALSE)="",HLOOKUP($C157,$AW$1:$LL$2,2,FALSE)="null"),Summary_Exchange_Balances_00UTC!$Q157,HLOOKUP($C157,$AW$1:$LL$2,2,FALSE))))</f>
        <v>16719.740000000002</v>
      </c>
    </row>
    <row r="158" spans="1:46" x14ac:dyDescent="0.25">
      <c r="A158" t="str">
        <f>IF(Summary_Exchange_Balances_00UTC!$B158="","",Summary_Exchange_Balances_00UTC!$N158)</f>
        <v>GATE</v>
      </c>
      <c r="B158" t="str">
        <f>IF(Summary_Exchange_Balances_00UTC!$B158="","",Summary_Exchange_Balances_00UTC!$B158)</f>
        <v>GATE-1-M-M</v>
      </c>
      <c r="C158" t="str">
        <f>IF(Summary_Exchange_Balances_00UTC!$B158="","",Summary_Exchange_Balances_00UTC!$E158)</f>
        <v>ETH</v>
      </c>
      <c r="D158" t="str">
        <f>IF(OR(Summary_Exchange_Balances_00UTC!$B158="",Summary_Exchange_Balances_00UTC!$D158=""),"",Summary_Exchange_Balances_00UTC!$D158)</f>
        <v/>
      </c>
      <c r="E158" s="53">
        <f>IF(Summary_Exchange_Balances_00UTC!$B158="","",Summary_Exchange_Balances_00UTC!$C158)</f>
        <v>9.9825000000000001E-4</v>
      </c>
      <c r="F158" s="53" t="e">
        <f>IF(Summary_Exchange_Balances_00UTC!$B158="","",VLOOKUP(UPPER($A158&amp;$C158),$L:$T,7,FALSE))</f>
        <v>#N/A</v>
      </c>
      <c r="G158" s="53" t="e">
        <f>IF(Summary_Exchange_Balances_00UTC!$B158="","",VLOOKUP(IF(ISERROR(SEARCH(" ", $B158)),UPPER($B158&amp;$C158&amp;$D158),UPPER(LEFT($B158, SEARCH(" ",$B158)-1)&amp;$C158&amp;$D158)),$M:$T,6,FALSE))</f>
        <v>#N/A</v>
      </c>
      <c r="H158">
        <f>IF(Summary_Exchange_Balances_00UTC!$B158="","",IF(ISERROR($G158),$E158,$G158))</f>
        <v>9.9825000000000001E-4</v>
      </c>
      <c r="I158" s="36" t="e">
        <f t="shared" si="6"/>
        <v>#N/A</v>
      </c>
      <c r="L158" t="str">
        <f t="shared" si="7"/>
        <v>HUBIBTC</v>
      </c>
      <c r="M158" t="str">
        <f t="shared" si="8"/>
        <v>HUBI-1-M-PBTCUNREALIZED</v>
      </c>
      <c r="N158" t="s">
        <v>15</v>
      </c>
      <c r="O158" s="29" t="s">
        <v>115</v>
      </c>
      <c r="P158" t="s">
        <v>42</v>
      </c>
      <c r="Q158" t="s">
        <v>93</v>
      </c>
      <c r="R158" s="43">
        <v>-3.8731584897000002</v>
      </c>
      <c r="S158" t="s">
        <v>526</v>
      </c>
      <c r="T158">
        <v>1</v>
      </c>
      <c r="W158" t="s">
        <v>115</v>
      </c>
      <c r="X158" t="s">
        <v>120</v>
      </c>
      <c r="Y158" s="53">
        <v>2.4299999999999999E-3</v>
      </c>
      <c r="Z158">
        <v>0</v>
      </c>
      <c r="AC158"/>
      <c r="AD158"/>
      <c r="AS158" t="str">
        <f>IF(Summary_Exchange_Balances_00UTC!$B158="","","'"&amp;C158&amp;"',")</f>
        <v>'ETH',</v>
      </c>
      <c r="AT158">
        <f>IF(Summary_Exchange_Balances_00UTC!$B158="","",IF(ISERROR(HLOOKUP($C158,$AW$1:$LL$2,2,FALSE)),Summary_Exchange_Balances_00UTC!$Q158,IF(OR(HLOOKUP($C158,$AW$1:$LL$2,2,FALSE)="",HLOOKUP($C158,$AW$1:$LL$2,2,FALSE)="null"),Summary_Exchange_Balances_00UTC!$Q158,HLOOKUP($C158,$AW$1:$LL$2,2,FALSE))))</f>
        <v>1208.73</v>
      </c>
    </row>
    <row r="159" spans="1:46" x14ac:dyDescent="0.25">
      <c r="A159" t="str">
        <f>IF(Summary_Exchange_Balances_00UTC!$B159="","",Summary_Exchange_Balances_00UTC!$N159)</f>
        <v>GATE</v>
      </c>
      <c r="B159" t="str">
        <f>IF(Summary_Exchange_Balances_00UTC!$B159="","",Summary_Exchange_Balances_00UTC!$B159)</f>
        <v>GATE-1-M-M</v>
      </c>
      <c r="C159" t="str">
        <f>IF(Summary_Exchange_Balances_00UTC!$B159="","",Summary_Exchange_Balances_00UTC!$E159)</f>
        <v>USDT</v>
      </c>
      <c r="D159" t="str">
        <f>IF(OR(Summary_Exchange_Balances_00UTC!$B159="",Summary_Exchange_Balances_00UTC!$D159=""),"",Summary_Exchange_Balances_00UTC!$D159)</f>
        <v/>
      </c>
      <c r="E159" s="54">
        <f>IF(Summary_Exchange_Balances_00UTC!$B159="","",Summary_Exchange_Balances_00UTC!$C159)</f>
        <v>59.393906000000001</v>
      </c>
      <c r="F159" s="53" t="e">
        <f>IF(Summary_Exchange_Balances_00UTC!$B159="","",VLOOKUP(UPPER($A159&amp;$C159),$L:$T,7,FALSE))</f>
        <v>#N/A</v>
      </c>
      <c r="G159" s="53" t="e">
        <f>IF(Summary_Exchange_Balances_00UTC!$B159="","",VLOOKUP(IF(ISERROR(SEARCH(" ", $B159)),UPPER($B159&amp;$C159&amp;$D159),UPPER(LEFT($B159, SEARCH(" ",$B159)-1)&amp;$C159&amp;$D159)),$M:$T,6,FALSE))</f>
        <v>#N/A</v>
      </c>
      <c r="H159">
        <f>IF(Summary_Exchange_Balances_00UTC!$B159="","",IF(ISERROR($G159),$E159,$G159))</f>
        <v>59.393906000000001</v>
      </c>
      <c r="I159" s="36" t="e">
        <f t="shared" si="6"/>
        <v>#N/A</v>
      </c>
      <c r="L159" t="str">
        <f t="shared" si="7"/>
        <v>HUBIBTC</v>
      </c>
      <c r="M159" t="str">
        <f t="shared" si="8"/>
        <v>HUBI-3-S3 CAIBTCBALANCE</v>
      </c>
      <c r="N159" t="s">
        <v>15</v>
      </c>
      <c r="O159" t="s">
        <v>115</v>
      </c>
      <c r="P159" t="s">
        <v>499</v>
      </c>
      <c r="Q159" t="s">
        <v>75</v>
      </c>
      <c r="R159" s="43">
        <v>1.3000000000000001E-9</v>
      </c>
      <c r="S159" t="s">
        <v>527</v>
      </c>
      <c r="T159">
        <v>1</v>
      </c>
      <c r="W159" t="s">
        <v>115</v>
      </c>
      <c r="X159" t="s">
        <v>39</v>
      </c>
      <c r="Y159" s="54">
        <v>4422816.4880867004</v>
      </c>
      <c r="Z159">
        <v>0</v>
      </c>
      <c r="AC159"/>
      <c r="AD159"/>
      <c r="AS159" t="str">
        <f>IF(Summary_Exchange_Balances_00UTC!$B159="","","'"&amp;C159&amp;"',")</f>
        <v>'USDT',</v>
      </c>
      <c r="AT159">
        <f>IF(Summary_Exchange_Balances_00UTC!$B159="","",IF(ISERROR(HLOOKUP($C159,$AW$1:$LL$2,2,FALSE)),Summary_Exchange_Balances_00UTC!$Q159,IF(OR(HLOOKUP($C159,$AW$1:$LL$2,2,FALSE)="",HLOOKUP($C159,$AW$1:$LL$2,2,FALSE)="null"),Summary_Exchange_Balances_00UTC!$Q159,HLOOKUP($C159,$AW$1:$LL$2,2,FALSE))))</f>
        <v>1.0001054103245373</v>
      </c>
    </row>
    <row r="160" spans="1:46" x14ac:dyDescent="0.25">
      <c r="A160" t="str">
        <f>IF(Summary_Exchange_Balances_00UTC!$B160="","",Summary_Exchange_Balances_00UTC!$N160)</f>
        <v>GATE</v>
      </c>
      <c r="B160" t="str">
        <f>IF(Summary_Exchange_Balances_00UTC!$B160="","",Summary_Exchange_Balances_00UTC!$B160)</f>
        <v>GATE-1-M-PT</v>
      </c>
      <c r="C160" t="str">
        <f>IF(Summary_Exchange_Balances_00UTC!$B160="","",Summary_Exchange_Balances_00UTC!$E160)</f>
        <v>USDT</v>
      </c>
      <c r="D160" t="str">
        <f>IF(OR(Summary_Exchange_Balances_00UTC!$B160="",Summary_Exchange_Balances_00UTC!$D160=""),"",Summary_Exchange_Balances_00UTC!$D160)</f>
        <v/>
      </c>
      <c r="E160" s="54">
        <f>IF(Summary_Exchange_Balances_00UTC!$B160="","",Summary_Exchange_Balances_00UTC!$C160)</f>
        <v>10045.593615</v>
      </c>
      <c r="F160" s="53" t="e">
        <f>IF(Summary_Exchange_Balances_00UTC!$B160="","",VLOOKUP(UPPER($A160&amp;$C160),$L:$T,7,FALSE))</f>
        <v>#N/A</v>
      </c>
      <c r="G160" s="53" t="e">
        <f>IF(Summary_Exchange_Balances_00UTC!$B160="","",VLOOKUP(IF(ISERROR(SEARCH(" ", $B160)),UPPER($B160&amp;$C160&amp;$D160),UPPER(LEFT($B160, SEARCH(" ",$B160)-1)&amp;$C160&amp;$D160)),$M:$T,6,FALSE))</f>
        <v>#N/A</v>
      </c>
      <c r="H160">
        <f>IF(Summary_Exchange_Balances_00UTC!$B160="","",IF(ISERROR($G160),$E160,$G160))</f>
        <v>10045.593615</v>
      </c>
      <c r="I160" s="36" t="e">
        <f t="shared" si="6"/>
        <v>#N/A</v>
      </c>
      <c r="L160" t="str">
        <f t="shared" si="7"/>
        <v>HUBIBTC</v>
      </c>
      <c r="M160" t="str">
        <f t="shared" si="8"/>
        <v>HUBI-1-M-PBTCBALANCE</v>
      </c>
      <c r="N160" t="s">
        <v>15</v>
      </c>
      <c r="O160" s="29" t="s">
        <v>115</v>
      </c>
      <c r="P160" t="s">
        <v>42</v>
      </c>
      <c r="Q160" t="s">
        <v>75</v>
      </c>
      <c r="R160" s="43">
        <v>291.14770170460002</v>
      </c>
      <c r="S160" t="s">
        <v>526</v>
      </c>
      <c r="T160">
        <v>1</v>
      </c>
      <c r="W160" t="s">
        <v>115</v>
      </c>
      <c r="X160" t="s">
        <v>39</v>
      </c>
      <c r="Y160" s="54">
        <v>171440.16190000001</v>
      </c>
      <c r="Z160">
        <v>0</v>
      </c>
      <c r="AC160"/>
      <c r="AD160"/>
      <c r="AS160" t="str">
        <f>IF(Summary_Exchange_Balances_00UTC!$B160="","","'"&amp;C160&amp;"',")</f>
        <v>'USDT',</v>
      </c>
      <c r="AT160">
        <f>IF(Summary_Exchange_Balances_00UTC!$B160="","",IF(ISERROR(HLOOKUP($C160,$AW$1:$LL$2,2,FALSE)),Summary_Exchange_Balances_00UTC!$Q160,IF(OR(HLOOKUP($C160,$AW$1:$LL$2,2,FALSE)="",HLOOKUP($C160,$AW$1:$LL$2,2,FALSE)="null"),Summary_Exchange_Balances_00UTC!$Q160,HLOOKUP($C160,$AW$1:$LL$2,2,FALSE))))</f>
        <v>1.0001054103245346</v>
      </c>
    </row>
    <row r="161" spans="1:46" x14ac:dyDescent="0.25">
      <c r="A161" t="str">
        <f>IF(Summary_Exchange_Balances_00UTC!$B161="","",Summary_Exchange_Balances_00UTC!$N161)</f>
        <v>HUBI</v>
      </c>
      <c r="B161" t="str">
        <f>IF(Summary_Exchange_Balances_00UTC!$B161="","",Summary_Exchange_Balances_00UTC!$B161)</f>
        <v>HUB2-E</v>
      </c>
      <c r="C161" t="str">
        <f>IF(Summary_Exchange_Balances_00UTC!$B161="","",Summary_Exchange_Balances_00UTC!$E161)</f>
        <v>USDT</v>
      </c>
      <c r="D161" t="str">
        <f>IF(OR(Summary_Exchange_Balances_00UTC!$B161="",Summary_Exchange_Balances_00UTC!$D161=""),"",Summary_Exchange_Balances_00UTC!$D161)</f>
        <v/>
      </c>
      <c r="E161" s="54">
        <f>IF(Summary_Exchange_Balances_00UTC!$B161="","",Summary_Exchange_Balances_00UTC!$C161)</f>
        <v>1E-8</v>
      </c>
      <c r="F161" s="53">
        <f>IF(Summary_Exchange_Balances_00UTC!$B161="","",VLOOKUP(UPPER($A161&amp;$C161),$L:$T,7,FALSE))</f>
        <v>-29544130.0141466</v>
      </c>
      <c r="G161" s="53" t="e">
        <f>IF(Summary_Exchange_Balances_00UTC!$B161="","",VLOOKUP(IF(ISERROR(SEARCH(" ", $B161)),UPPER($B161&amp;$C161&amp;$D161),UPPER(LEFT($B161, SEARCH(" ",$B161)-1)&amp;$C161&amp;$D161)),$M:$T,6,FALSE))</f>
        <v>#N/A</v>
      </c>
      <c r="H161">
        <f>IF(Summary_Exchange_Balances_00UTC!$B161="","",IF(ISERROR($G161),$E161,$G161))</f>
        <v>1E-8</v>
      </c>
      <c r="I161" s="36" t="e">
        <f t="shared" si="6"/>
        <v>#N/A</v>
      </c>
      <c r="L161" t="str">
        <f t="shared" si="7"/>
        <v>HUBIDOT</v>
      </c>
      <c r="M161" t="str">
        <f t="shared" si="8"/>
        <v>HUBI-1-M-PDOTBALANCE</v>
      </c>
      <c r="N161" t="s">
        <v>23</v>
      </c>
      <c r="O161" t="s">
        <v>115</v>
      </c>
      <c r="P161" t="s">
        <v>42</v>
      </c>
      <c r="Q161" t="s">
        <v>75</v>
      </c>
      <c r="R161" s="43">
        <v>3.8972870000000001E-3</v>
      </c>
      <c r="S161" t="s">
        <v>526</v>
      </c>
      <c r="T161">
        <v>1</v>
      </c>
      <c r="W161" t="s">
        <v>121</v>
      </c>
      <c r="X161" t="s">
        <v>15</v>
      </c>
      <c r="Y161" s="54">
        <v>259.63940638000003</v>
      </c>
      <c r="Z161">
        <v>0</v>
      </c>
      <c r="AC161"/>
      <c r="AD161"/>
      <c r="AS161" t="str">
        <f>IF(Summary_Exchange_Balances_00UTC!$B161="","","'"&amp;C161&amp;"',")</f>
        <v>'USDT',</v>
      </c>
      <c r="AT161">
        <f>IF(Summary_Exchange_Balances_00UTC!$B161="","",IF(ISERROR(HLOOKUP($C161,$AW$1:$LL$2,2,FALSE)),Summary_Exchange_Balances_00UTC!$Q161,IF(OR(HLOOKUP($C161,$AW$1:$LL$2,2,FALSE)="",HLOOKUP($C161,$AW$1:$LL$2,2,FALSE)="null"),Summary_Exchange_Balances_00UTC!$Q161,HLOOKUP($C161,$AW$1:$LL$2,2,FALSE))))</f>
        <v>1.0001054103245299</v>
      </c>
    </row>
    <row r="162" spans="1:46" x14ac:dyDescent="0.25">
      <c r="A162" t="str">
        <f>IF(Summary_Exchange_Balances_00UTC!$B162="","",Summary_Exchange_Balances_00UTC!$N162)</f>
        <v>HUBI</v>
      </c>
      <c r="B162" t="str">
        <f>IF(Summary_Exchange_Balances_00UTC!$B162="","",Summary_Exchange_Balances_00UTC!$B162)</f>
        <v>HUB2-E</v>
      </c>
      <c r="C162" t="str">
        <f>IF(Summary_Exchange_Balances_00UTC!$B162="","",Summary_Exchange_Balances_00UTC!$E162)</f>
        <v>XRP</v>
      </c>
      <c r="D162" t="str">
        <f>IF(OR(Summary_Exchange_Balances_00UTC!$B162="",Summary_Exchange_Balances_00UTC!$D162=""),"",Summary_Exchange_Balances_00UTC!$D162)</f>
        <v/>
      </c>
      <c r="E162" s="54">
        <f>IF(Summary_Exchange_Balances_00UTC!$B162="","",Summary_Exchange_Balances_00UTC!$C162)</f>
        <v>7.4209999999999996E-5</v>
      </c>
      <c r="F162" s="53">
        <f>IF(Summary_Exchange_Balances_00UTC!$B162="","",VLOOKUP(UPPER($A162&amp;$C162),$L:$T,7,FALSE))</f>
        <v>1.9184280000000001E-4</v>
      </c>
      <c r="G162" s="53" t="e">
        <f>IF(Summary_Exchange_Balances_00UTC!$B162="","",VLOOKUP(IF(ISERROR(SEARCH(" ", $B162)),UPPER($B162&amp;$C162&amp;$D162),UPPER(LEFT($B162, SEARCH(" ",$B162)-1)&amp;$C162&amp;$D162)),$M:$T,6,FALSE))</f>
        <v>#N/A</v>
      </c>
      <c r="H162">
        <f>IF(Summary_Exchange_Balances_00UTC!$B162="","",IF(ISERROR($G162),$E162,$G162))</f>
        <v>7.4209999999999996E-5</v>
      </c>
      <c r="I162" s="36" t="e">
        <f t="shared" si="6"/>
        <v>#N/A</v>
      </c>
      <c r="L162" t="str">
        <f t="shared" si="7"/>
        <v>HUBIETC</v>
      </c>
      <c r="M162" t="str">
        <f t="shared" si="8"/>
        <v>HUBI-1-M-PETCBALANCE</v>
      </c>
      <c r="N162" t="s">
        <v>30</v>
      </c>
      <c r="O162" t="s">
        <v>115</v>
      </c>
      <c r="P162" t="s">
        <v>42</v>
      </c>
      <c r="Q162" t="s">
        <v>75</v>
      </c>
      <c r="R162" s="43">
        <v>0.1010306031</v>
      </c>
      <c r="S162" t="s">
        <v>526</v>
      </c>
      <c r="T162">
        <v>1</v>
      </c>
      <c r="W162" t="s">
        <v>121</v>
      </c>
      <c r="X162" t="s">
        <v>15</v>
      </c>
      <c r="Y162" s="54">
        <v>-2.54193164</v>
      </c>
      <c r="Z162">
        <v>0</v>
      </c>
      <c r="AC162"/>
      <c r="AD162"/>
      <c r="AS162" t="str">
        <f>IF(Summary_Exchange_Balances_00UTC!$B162="","","'"&amp;C162&amp;"',")</f>
        <v>'XRP',</v>
      </c>
      <c r="AT162">
        <f>IF(Summary_Exchange_Balances_00UTC!$B162="","",IF(ISERROR(HLOOKUP($C162,$AW$1:$LL$2,2,FALSE)),Summary_Exchange_Balances_00UTC!$Q162,IF(OR(HLOOKUP($C162,$AW$1:$LL$2,2,FALSE)="",HLOOKUP($C162,$AW$1:$LL$2,2,FALSE)="null"),Summary_Exchange_Balances_00UTC!$Q162,HLOOKUP($C162,$AW$1:$LL$2,2,FALSE))))</f>
        <v>0.38471588000000001</v>
      </c>
    </row>
    <row r="163" spans="1:46" x14ac:dyDescent="0.25">
      <c r="A163" t="str">
        <f>IF(Summary_Exchange_Balances_00UTC!$B163="","",Summary_Exchange_Balances_00UTC!$N163)</f>
        <v>HUBI</v>
      </c>
      <c r="B163" t="str">
        <f>IF(Summary_Exchange_Balances_00UTC!$B163="","",Summary_Exchange_Balances_00UTC!$B163)</f>
        <v>HUB2-M</v>
      </c>
      <c r="C163" t="str">
        <f>IF(Summary_Exchange_Balances_00UTC!$B163="","",Summary_Exchange_Balances_00UTC!$E163)</f>
        <v>ADA</v>
      </c>
      <c r="D163" t="str">
        <f>IF(OR(Summary_Exchange_Balances_00UTC!$B163="",Summary_Exchange_Balances_00UTC!$D163=""),"",Summary_Exchange_Balances_00UTC!$D163)</f>
        <v/>
      </c>
      <c r="E163" s="54">
        <f>IF(Summary_Exchange_Balances_00UTC!$B163="","",Summary_Exchange_Balances_00UTC!$C163)</f>
        <v>1E-8</v>
      </c>
      <c r="F163" s="53">
        <f>IF(Summary_Exchange_Balances_00UTC!$B163="","",VLOOKUP(UPPER($A163&amp;$C163),$L:$T,7,FALSE))</f>
        <v>3.2091770000000001E-4</v>
      </c>
      <c r="G163" s="53" t="e">
        <f>IF(Summary_Exchange_Balances_00UTC!$B163="","",VLOOKUP(IF(ISERROR(SEARCH(" ", $B163)),UPPER($B163&amp;$C163&amp;$D163),UPPER(LEFT($B163, SEARCH(" ",$B163)-1)&amp;$C163&amp;$D163)),$M:$T,6,FALSE))</f>
        <v>#N/A</v>
      </c>
      <c r="H163">
        <f>IF(Summary_Exchange_Balances_00UTC!$B163="","",IF(ISERROR($G163),$E163,$G163))</f>
        <v>1E-8</v>
      </c>
      <c r="I163" s="36" t="e">
        <f t="shared" si="6"/>
        <v>#N/A</v>
      </c>
      <c r="L163" t="str">
        <f t="shared" si="7"/>
        <v>HUBIETH</v>
      </c>
      <c r="M163" t="str">
        <f t="shared" si="8"/>
        <v>HUBI-1-M-PETHUNREALIZED</v>
      </c>
      <c r="N163" t="s">
        <v>16</v>
      </c>
      <c r="O163" s="29" t="s">
        <v>115</v>
      </c>
      <c r="P163" t="s">
        <v>42</v>
      </c>
      <c r="Q163" t="s">
        <v>93</v>
      </c>
      <c r="R163" s="43">
        <v>-16.0087772937</v>
      </c>
      <c r="S163" t="s">
        <v>526</v>
      </c>
      <c r="T163">
        <v>1</v>
      </c>
      <c r="W163" t="s">
        <v>121</v>
      </c>
      <c r="X163" t="s">
        <v>15</v>
      </c>
      <c r="Y163" s="54">
        <v>262.02443707999998</v>
      </c>
      <c r="Z163">
        <v>0</v>
      </c>
      <c r="AC163"/>
      <c r="AD163"/>
      <c r="AS163" t="str">
        <f>IF(Summary_Exchange_Balances_00UTC!$B163="","","'"&amp;C163&amp;"',")</f>
        <v>'ADA',</v>
      </c>
      <c r="AT163">
        <f>IF(Summary_Exchange_Balances_00UTC!$B163="","",IF(ISERROR(HLOOKUP($C163,$AW$1:$LL$2,2,FALSE)),Summary_Exchange_Balances_00UTC!$Q163,IF(OR(HLOOKUP($C163,$AW$1:$LL$2,2,FALSE)="",HLOOKUP($C163,$AW$1:$LL$2,2,FALSE)="null"),Summary_Exchange_Balances_00UTC!$Q163,HLOOKUP($C163,$AW$1:$LL$2,2,FALSE))))</f>
        <v>0.32653653999999999</v>
      </c>
    </row>
    <row r="164" spans="1:46" x14ac:dyDescent="0.25">
      <c r="A164" t="str">
        <f>IF(Summary_Exchange_Balances_00UTC!$B164="","",Summary_Exchange_Balances_00UTC!$N164)</f>
        <v>HUBI</v>
      </c>
      <c r="B164" t="str">
        <f>IF(Summary_Exchange_Balances_00UTC!$B164="","",Summary_Exchange_Balances_00UTC!$B164)</f>
        <v>HUB2-M</v>
      </c>
      <c r="C164" t="str">
        <f>IF(Summary_Exchange_Balances_00UTC!$B164="","",Summary_Exchange_Balances_00UTC!$E164)</f>
        <v>BCH</v>
      </c>
      <c r="D164" t="str">
        <f>IF(OR(Summary_Exchange_Balances_00UTC!$B164="",Summary_Exchange_Balances_00UTC!$D164=""),"",Summary_Exchange_Balances_00UTC!$D164)</f>
        <v/>
      </c>
      <c r="E164" s="54">
        <f>IF(Summary_Exchange_Balances_00UTC!$B164="","",Summary_Exchange_Balances_00UTC!$C164)</f>
        <v>1E-8</v>
      </c>
      <c r="F164" s="53">
        <f>IF(Summary_Exchange_Balances_00UTC!$B164="","",VLOOKUP(UPPER($A164&amp;$C164),$L:$T,7,FALSE))</f>
        <v>5.3552099999999996E-4</v>
      </c>
      <c r="G164" s="53" t="e">
        <f>IF(Summary_Exchange_Balances_00UTC!$B164="","",VLOOKUP(IF(ISERROR(SEARCH(" ", $B164)),UPPER($B164&amp;$C164&amp;$D164),UPPER(LEFT($B164, SEARCH(" ",$B164)-1)&amp;$C164&amp;$D164)),$M:$T,6,FALSE))</f>
        <v>#N/A</v>
      </c>
      <c r="H164">
        <f>IF(Summary_Exchange_Balances_00UTC!$B164="","",IF(ISERROR($G164),$E164,$G164))</f>
        <v>1E-8</v>
      </c>
      <c r="I164" s="36" t="e">
        <f t="shared" si="6"/>
        <v>#N/A</v>
      </c>
      <c r="L164" t="str">
        <f t="shared" si="7"/>
        <v>HUBIETH</v>
      </c>
      <c r="M164" t="str">
        <f t="shared" si="8"/>
        <v>HUBI-1-M-PETHBALANCE</v>
      </c>
      <c r="N164" t="s">
        <v>16</v>
      </c>
      <c r="O164" t="s">
        <v>115</v>
      </c>
      <c r="P164" t="s">
        <v>42</v>
      </c>
      <c r="Q164" t="s">
        <v>75</v>
      </c>
      <c r="R164" s="43">
        <v>1547.2148015144001</v>
      </c>
      <c r="S164" t="s">
        <v>526</v>
      </c>
      <c r="T164">
        <v>1</v>
      </c>
      <c r="W164" t="s">
        <v>121</v>
      </c>
      <c r="X164" t="s">
        <v>39</v>
      </c>
      <c r="Y164" s="54">
        <v>10186046.830971619</v>
      </c>
      <c r="Z164">
        <v>0</v>
      </c>
      <c r="AC164"/>
      <c r="AD164"/>
      <c r="AS164" t="str">
        <f>IF(Summary_Exchange_Balances_00UTC!$B164="","","'"&amp;C164&amp;"',")</f>
        <v>'BCH',</v>
      </c>
      <c r="AT164">
        <f>IF(Summary_Exchange_Balances_00UTC!$B164="","",IF(ISERROR(HLOOKUP($C164,$AW$1:$LL$2,2,FALSE)),Summary_Exchange_Balances_00UTC!$Q164,IF(OR(HLOOKUP($C164,$AW$1:$LL$2,2,FALSE)="",HLOOKUP($C164,$AW$1:$LL$2,2,FALSE)="null"),Summary_Exchange_Balances_00UTC!$Q164,HLOOKUP($C164,$AW$1:$LL$2,2,FALSE))))</f>
        <v>103.98</v>
      </c>
    </row>
    <row r="165" spans="1:46" x14ac:dyDescent="0.25">
      <c r="A165" t="str">
        <f>IF(Summary_Exchange_Balances_00UTC!$B165="","",Summary_Exchange_Balances_00UTC!$N165)</f>
        <v>HUBI</v>
      </c>
      <c r="B165" t="str">
        <f>IF(Summary_Exchange_Balances_00UTC!$B165="","",Summary_Exchange_Balances_00UTC!$B165)</f>
        <v>HUB2-M</v>
      </c>
      <c r="C165" t="str">
        <f>IF(Summary_Exchange_Balances_00UTC!$B165="","",Summary_Exchange_Balances_00UTC!$E165)</f>
        <v>BSV</v>
      </c>
      <c r="D165" t="str">
        <f>IF(OR(Summary_Exchange_Balances_00UTC!$B165="",Summary_Exchange_Balances_00UTC!$D165=""),"",Summary_Exchange_Balances_00UTC!$D165)</f>
        <v/>
      </c>
      <c r="E165" s="53">
        <f>IF(Summary_Exchange_Balances_00UTC!$B165="","",Summary_Exchange_Balances_00UTC!$C165)</f>
        <v>1E-8</v>
      </c>
      <c r="F165" s="53">
        <f>IF(Summary_Exchange_Balances_00UTC!$B165="","",VLOOKUP(UPPER($A165&amp;$C165),$L:$T,7,FALSE))</f>
        <v>3.3400000000000001E-8</v>
      </c>
      <c r="G165" s="53" t="e">
        <f>IF(Summary_Exchange_Balances_00UTC!$B165="","",VLOOKUP(IF(ISERROR(SEARCH(" ", $B165)),UPPER($B165&amp;$C165&amp;$D165),UPPER(LEFT($B165, SEARCH(" ",$B165)-1)&amp;$C165&amp;$D165)),$M:$T,6,FALSE))</f>
        <v>#N/A</v>
      </c>
      <c r="H165">
        <f>IF(Summary_Exchange_Balances_00UTC!$B165="","",IF(ISERROR($G165),$E165,$G165))</f>
        <v>1E-8</v>
      </c>
      <c r="I165" s="36" t="e">
        <f t="shared" si="6"/>
        <v>#N/A</v>
      </c>
      <c r="L165" t="str">
        <f t="shared" si="7"/>
        <v>HUBILINK</v>
      </c>
      <c r="M165" t="str">
        <f t="shared" si="8"/>
        <v>HUBI-1-M-PLINKBALANCE</v>
      </c>
      <c r="N165" t="s">
        <v>28</v>
      </c>
      <c r="O165" t="s">
        <v>115</v>
      </c>
      <c r="P165" t="s">
        <v>42</v>
      </c>
      <c r="Q165" t="s">
        <v>75</v>
      </c>
      <c r="R165" s="43">
        <v>9.5620959999999995E-4</v>
      </c>
      <c r="S165" t="s">
        <v>526</v>
      </c>
      <c r="T165">
        <v>1</v>
      </c>
      <c r="W165" t="s">
        <v>115</v>
      </c>
      <c r="X165" t="s">
        <v>124</v>
      </c>
      <c r="Y165" s="53">
        <v>377.09760540000002</v>
      </c>
      <c r="Z165">
        <v>0</v>
      </c>
      <c r="AC165"/>
      <c r="AD165"/>
      <c r="AS165" t="str">
        <f>IF(Summary_Exchange_Balances_00UTC!$B165="","","'"&amp;C165&amp;"',")</f>
        <v>'BSV',</v>
      </c>
      <c r="AT165">
        <f>IF(Summary_Exchange_Balances_00UTC!$B165="","",IF(ISERROR(HLOOKUP($C165,$AW$1:$LL$2,2,FALSE)),Summary_Exchange_Balances_00UTC!$Q165,IF(OR(HLOOKUP($C165,$AW$1:$LL$2,2,FALSE)="",HLOOKUP($C165,$AW$1:$LL$2,2,FALSE)="null"),Summary_Exchange_Balances_00UTC!$Q165,HLOOKUP($C165,$AW$1:$LL$2,2,FALSE))))</f>
        <v>39.841106000000003</v>
      </c>
    </row>
    <row r="166" spans="1:46" x14ac:dyDescent="0.25">
      <c r="A166" t="str">
        <f>IF(Summary_Exchange_Balances_00UTC!$B166="","",Summary_Exchange_Balances_00UTC!$N166)</f>
        <v>HUBI</v>
      </c>
      <c r="B166" t="str">
        <f>IF(Summary_Exchange_Balances_00UTC!$B166="","",Summary_Exchange_Balances_00UTC!$B166)</f>
        <v>HUB2-M</v>
      </c>
      <c r="C166" t="str">
        <f>IF(Summary_Exchange_Balances_00UTC!$B166="","",Summary_Exchange_Balances_00UTC!$E166)</f>
        <v>EOS</v>
      </c>
      <c r="D166" t="str">
        <f>IF(OR(Summary_Exchange_Balances_00UTC!$B166="",Summary_Exchange_Balances_00UTC!$D166=""),"",Summary_Exchange_Balances_00UTC!$D166)</f>
        <v/>
      </c>
      <c r="E166" s="53">
        <f>IF(Summary_Exchange_Balances_00UTC!$B166="","",Summary_Exchange_Balances_00UTC!$C166)</f>
        <v>1E-8</v>
      </c>
      <c r="F166" s="53">
        <f>IF(Summary_Exchange_Balances_00UTC!$B166="","",VLOOKUP(UPPER($A166&amp;$C166),$L:$T,7,FALSE))</f>
        <v>28617.428863770001</v>
      </c>
      <c r="G166" s="53" t="e">
        <f>IF(Summary_Exchange_Balances_00UTC!$B166="","",VLOOKUP(IF(ISERROR(SEARCH(" ", $B166)),UPPER($B166&amp;$C166&amp;$D166),UPPER(LEFT($B166, SEARCH(" ",$B166)-1)&amp;$C166&amp;$D166)),$M:$T,6,FALSE))</f>
        <v>#N/A</v>
      </c>
      <c r="H166">
        <f>IF(Summary_Exchange_Balances_00UTC!$B166="","",IF(ISERROR($G166),$E166,$G166))</f>
        <v>1E-8</v>
      </c>
      <c r="I166" s="36" t="e">
        <f t="shared" si="6"/>
        <v>#N/A</v>
      </c>
      <c r="L166" t="str">
        <f t="shared" si="7"/>
        <v>HUBILTC</v>
      </c>
      <c r="M166" t="str">
        <f t="shared" si="8"/>
        <v>HUBI-1-M-PLTCBALANCE</v>
      </c>
      <c r="N166" t="s">
        <v>25</v>
      </c>
      <c r="O166" s="29" t="s">
        <v>115</v>
      </c>
      <c r="P166" t="s">
        <v>42</v>
      </c>
      <c r="Q166" t="s">
        <v>75</v>
      </c>
      <c r="R166" s="43">
        <v>2.4771052999999999E-3</v>
      </c>
      <c r="S166" t="s">
        <v>526</v>
      </c>
      <c r="T166">
        <v>1</v>
      </c>
      <c r="W166" t="s">
        <v>115</v>
      </c>
      <c r="X166" t="s">
        <v>87</v>
      </c>
      <c r="Y166" s="53">
        <v>1.1000000000000001E-7</v>
      </c>
      <c r="Z166">
        <v>0</v>
      </c>
      <c r="AC166"/>
      <c r="AD166"/>
      <c r="AS166" t="str">
        <f>IF(Summary_Exchange_Balances_00UTC!$B166="","","'"&amp;C166&amp;"',")</f>
        <v>'EOS',</v>
      </c>
      <c r="AT166">
        <f>IF(Summary_Exchange_Balances_00UTC!$B166="","",IF(ISERROR(HLOOKUP($C166,$AW$1:$LL$2,2,FALSE)),Summary_Exchange_Balances_00UTC!$Q166,IF(OR(HLOOKUP($C166,$AW$1:$LL$2,2,FALSE)="",HLOOKUP($C166,$AW$1:$LL$2,2,FALSE)="null"),Summary_Exchange_Balances_00UTC!$Q166,HLOOKUP($C166,$AW$1:$LL$2,2,FALSE))))</f>
        <v>0.90154135000000002</v>
      </c>
    </row>
    <row r="167" spans="1:46" x14ac:dyDescent="0.25">
      <c r="A167" t="str">
        <f>IF(Summary_Exchange_Balances_00UTC!$B167="","",Summary_Exchange_Balances_00UTC!$N167)</f>
        <v>HUBI</v>
      </c>
      <c r="B167" t="str">
        <f>IF(Summary_Exchange_Balances_00UTC!$B167="","",Summary_Exchange_Balances_00UTC!$B167)</f>
        <v>HUB2-M</v>
      </c>
      <c r="C167" t="str">
        <f>IF(Summary_Exchange_Balances_00UTC!$B167="","",Summary_Exchange_Balances_00UTC!$E167)</f>
        <v>ETC</v>
      </c>
      <c r="D167" t="str">
        <f>IF(OR(Summary_Exchange_Balances_00UTC!$B167="",Summary_Exchange_Balances_00UTC!$D167=""),"",Summary_Exchange_Balances_00UTC!$D167)</f>
        <v/>
      </c>
      <c r="E167" s="53">
        <f>IF(Summary_Exchange_Balances_00UTC!$B167="","",Summary_Exchange_Balances_00UTC!$C167)</f>
        <v>1E-8</v>
      </c>
      <c r="F167" s="53">
        <f>IF(Summary_Exchange_Balances_00UTC!$B167="","",VLOOKUP(UPPER($A167&amp;$C167),$L:$T,7,FALSE))</f>
        <v>0.1010306031</v>
      </c>
      <c r="G167" s="53" t="e">
        <f>IF(Summary_Exchange_Balances_00UTC!$B167="","",VLOOKUP(IF(ISERROR(SEARCH(" ", $B167)),UPPER($B167&amp;$C167&amp;$D167),UPPER(LEFT($B167, SEARCH(" ",$B167)-1)&amp;$C167&amp;$D167)),$M:$T,6,FALSE))</f>
        <v>#N/A</v>
      </c>
      <c r="H167">
        <f>IF(Summary_Exchange_Balances_00UTC!$B167="","",IF(ISERROR($G167),$E167,$G167))</f>
        <v>1E-8</v>
      </c>
      <c r="I167" s="36" t="e">
        <f t="shared" si="6"/>
        <v>#N/A</v>
      </c>
      <c r="L167" t="str">
        <f t="shared" si="7"/>
        <v>HUBISHIB</v>
      </c>
      <c r="M167" t="str">
        <f t="shared" si="8"/>
        <v>HUBI-1-M-PSHIBBALANCE</v>
      </c>
      <c r="N167" t="s">
        <v>38</v>
      </c>
      <c r="O167" t="s">
        <v>115</v>
      </c>
      <c r="P167" t="s">
        <v>42</v>
      </c>
      <c r="Q167" t="s">
        <v>75</v>
      </c>
      <c r="R167" s="43">
        <v>71073.205401560001</v>
      </c>
      <c r="S167" t="s">
        <v>526</v>
      </c>
      <c r="T167">
        <v>1</v>
      </c>
      <c r="W167" t="s">
        <v>115</v>
      </c>
      <c r="X167" t="s">
        <v>125</v>
      </c>
      <c r="Y167" s="53">
        <v>3587.9402382600001</v>
      </c>
      <c r="Z167">
        <v>0</v>
      </c>
      <c r="AC167"/>
      <c r="AD167"/>
      <c r="AS167" t="str">
        <f>IF(Summary_Exchange_Balances_00UTC!$B167="","","'"&amp;C167&amp;"',")</f>
        <v>'ETC',</v>
      </c>
      <c r="AT167">
        <f>IF(Summary_Exchange_Balances_00UTC!$B167="","",IF(ISERROR(HLOOKUP($C167,$AW$1:$LL$2,2,FALSE)),Summary_Exchange_Balances_00UTC!$Q167,IF(OR(HLOOKUP($C167,$AW$1:$LL$2,2,FALSE)="",HLOOKUP($C167,$AW$1:$LL$2,2,FALSE)="null"),Summary_Exchange_Balances_00UTC!$Q167,HLOOKUP($C167,$AW$1:$LL$2,2,FALSE))))</f>
        <v>19.614688999999998</v>
      </c>
    </row>
    <row r="168" spans="1:46" x14ac:dyDescent="0.25">
      <c r="A168" t="str">
        <f>IF(Summary_Exchange_Balances_00UTC!$B168="","",Summary_Exchange_Balances_00UTC!$N168)</f>
        <v>HUBI</v>
      </c>
      <c r="B168" t="str">
        <f>IF(Summary_Exchange_Balances_00UTC!$B168="","",Summary_Exchange_Balances_00UTC!$B168)</f>
        <v>HUB2-M</v>
      </c>
      <c r="C168" t="str">
        <f>IF(Summary_Exchange_Balances_00UTC!$B168="","",Summary_Exchange_Balances_00UTC!$E168)</f>
        <v>ETH</v>
      </c>
      <c r="D168" t="str">
        <f>IF(OR(Summary_Exchange_Balances_00UTC!$B168="",Summary_Exchange_Balances_00UTC!$D168=""),"",Summary_Exchange_Balances_00UTC!$D168)</f>
        <v/>
      </c>
      <c r="E168" s="53">
        <f>IF(Summary_Exchange_Balances_00UTC!$B168="","",Summary_Exchange_Balances_00UTC!$C168)</f>
        <v>1E-8</v>
      </c>
      <c r="F168" s="53">
        <f>IF(Summary_Exchange_Balances_00UTC!$B168="","",VLOOKUP(UPPER($A168&amp;$C168),$L:$T,7,FALSE))</f>
        <v>-16.0087772937</v>
      </c>
      <c r="G168" s="53" t="e">
        <f>IF(Summary_Exchange_Balances_00UTC!$B168="","",VLOOKUP(IF(ISERROR(SEARCH(" ", $B168)),UPPER($B168&amp;$C168&amp;$D168),UPPER(LEFT($B168, SEARCH(" ",$B168)-1)&amp;$C168&amp;$D168)),$M:$T,6,FALSE))</f>
        <v>#N/A</v>
      </c>
      <c r="H168">
        <f>IF(Summary_Exchange_Balances_00UTC!$B168="","",IF(ISERROR($G168),$E168,$G168))</f>
        <v>1E-8</v>
      </c>
      <c r="I168" s="36" t="e">
        <f t="shared" si="6"/>
        <v>#N/A</v>
      </c>
      <c r="L168" t="str">
        <f t="shared" si="7"/>
        <v>HUBITRX</v>
      </c>
      <c r="M168" t="str">
        <f t="shared" si="8"/>
        <v>HUBI-1-M-PTRXBALANCE</v>
      </c>
      <c r="N168" t="s">
        <v>26</v>
      </c>
      <c r="O168" t="s">
        <v>115</v>
      </c>
      <c r="P168" t="s">
        <v>42</v>
      </c>
      <c r="Q168" t="s">
        <v>75</v>
      </c>
      <c r="R168" s="43">
        <v>4.8644820000000002E-4</v>
      </c>
      <c r="S168" t="s">
        <v>526</v>
      </c>
      <c r="T168">
        <v>1</v>
      </c>
      <c r="W168" t="s">
        <v>115</v>
      </c>
      <c r="X168" t="s">
        <v>126</v>
      </c>
      <c r="Y168" s="53">
        <v>0.53247394999999997</v>
      </c>
      <c r="Z168">
        <v>0</v>
      </c>
      <c r="AC168"/>
      <c r="AD168"/>
      <c r="AS168" t="str">
        <f>IF(Summary_Exchange_Balances_00UTC!$B168="","","'"&amp;C168&amp;"',")</f>
        <v>'ETH',</v>
      </c>
      <c r="AT168">
        <f>IF(Summary_Exchange_Balances_00UTC!$B168="","",IF(ISERROR(HLOOKUP($C168,$AW$1:$LL$2,2,FALSE)),Summary_Exchange_Balances_00UTC!$Q168,IF(OR(HLOOKUP($C168,$AW$1:$LL$2,2,FALSE)="",HLOOKUP($C168,$AW$1:$LL$2,2,FALSE)="null"),Summary_Exchange_Balances_00UTC!$Q168,HLOOKUP($C168,$AW$1:$LL$2,2,FALSE))))</f>
        <v>1208.73</v>
      </c>
    </row>
    <row r="169" spans="1:46" x14ac:dyDescent="0.25">
      <c r="A169" t="str">
        <f>IF(Summary_Exchange_Balances_00UTC!$B169="","",Summary_Exchange_Balances_00UTC!$N169)</f>
        <v>HUBI</v>
      </c>
      <c r="B169" t="str">
        <f>IF(Summary_Exchange_Balances_00UTC!$B169="","",Summary_Exchange_Balances_00UTC!$B169)</f>
        <v>HUB2-M</v>
      </c>
      <c r="C169" t="str">
        <f>IF(Summary_Exchange_Balances_00UTC!$B169="","",Summary_Exchange_Balances_00UTC!$E169)</f>
        <v>LINK</v>
      </c>
      <c r="D169" t="str">
        <f>IF(OR(Summary_Exchange_Balances_00UTC!$B169="",Summary_Exchange_Balances_00UTC!$D169=""),"",Summary_Exchange_Balances_00UTC!$D169)</f>
        <v/>
      </c>
      <c r="E169" s="53">
        <f>IF(Summary_Exchange_Balances_00UTC!$B169="","",Summary_Exchange_Balances_00UTC!$C169)</f>
        <v>1E-8</v>
      </c>
      <c r="F169" s="53">
        <f>IF(Summary_Exchange_Balances_00UTC!$B169="","",VLOOKUP(UPPER($A169&amp;$C169),$L:$T,7,FALSE))</f>
        <v>9.5620959999999995E-4</v>
      </c>
      <c r="G169" s="53" t="e">
        <f>IF(Summary_Exchange_Balances_00UTC!$B169="","",VLOOKUP(IF(ISERROR(SEARCH(" ", $B169)),UPPER($B169&amp;$C169&amp;$D169),UPPER(LEFT($B169, SEARCH(" ",$B169)-1)&amp;$C169&amp;$D169)),$M:$T,6,FALSE))</f>
        <v>#N/A</v>
      </c>
      <c r="H169">
        <f>IF(Summary_Exchange_Balances_00UTC!$B169="","",IF(ISERROR($G169),$E169,$G169))</f>
        <v>1E-8</v>
      </c>
      <c r="I169" s="36" t="e">
        <f t="shared" si="6"/>
        <v>#N/A</v>
      </c>
      <c r="L169" t="str">
        <f t="shared" si="7"/>
        <v>HUBIUSDT</v>
      </c>
      <c r="M169" t="str">
        <f t="shared" si="8"/>
        <v>HUBIUSDTMARGIN LOAN</v>
      </c>
      <c r="N169" t="s">
        <v>39</v>
      </c>
      <c r="O169" t="s">
        <v>115</v>
      </c>
      <c r="P169" t="s">
        <v>115</v>
      </c>
      <c r="Q169" t="s">
        <v>203</v>
      </c>
      <c r="R169" s="43">
        <v>-29544130.0141466</v>
      </c>
      <c r="S169" t="s">
        <v>521</v>
      </c>
      <c r="T169">
        <v>1</v>
      </c>
      <c r="W169" t="s">
        <v>115</v>
      </c>
      <c r="X169" t="s">
        <v>36</v>
      </c>
      <c r="Y169" s="53">
        <v>5.2478028200000004</v>
      </c>
      <c r="Z169">
        <v>0</v>
      </c>
      <c r="AC169"/>
      <c r="AD169"/>
      <c r="AS169" t="str">
        <f>IF(Summary_Exchange_Balances_00UTC!$B169="","","'"&amp;C169&amp;"',")</f>
        <v>'LINK',</v>
      </c>
      <c r="AT169">
        <f>IF(Summary_Exchange_Balances_00UTC!$B169="","",IF(ISERROR(HLOOKUP($C169,$AW$1:$LL$2,2,FALSE)),Summary_Exchange_Balances_00UTC!$Q169,IF(OR(HLOOKUP($C169,$AW$1:$LL$2,2,FALSE)="",HLOOKUP($C169,$AW$1:$LL$2,2,FALSE)="null"),Summary_Exchange_Balances_00UTC!$Q169,HLOOKUP($C169,$AW$1:$LL$2,2,FALSE))))</f>
        <v>6.2919999999999998</v>
      </c>
    </row>
    <row r="170" spans="1:46" x14ac:dyDescent="0.25">
      <c r="A170" t="str">
        <f>IF(Summary_Exchange_Balances_00UTC!$B170="","",Summary_Exchange_Balances_00UTC!$N170)</f>
        <v>HUBI</v>
      </c>
      <c r="B170" t="str">
        <f>IF(Summary_Exchange_Balances_00UTC!$B170="","",Summary_Exchange_Balances_00UTC!$B170)</f>
        <v>HUB2-M</v>
      </c>
      <c r="C170" t="str">
        <f>IF(Summary_Exchange_Balances_00UTC!$B170="","",Summary_Exchange_Balances_00UTC!$E170)</f>
        <v>LTC</v>
      </c>
      <c r="D170" t="str">
        <f>IF(OR(Summary_Exchange_Balances_00UTC!$B170="",Summary_Exchange_Balances_00UTC!$D170=""),"",Summary_Exchange_Balances_00UTC!$D170)</f>
        <v/>
      </c>
      <c r="E170" s="53">
        <f>IF(Summary_Exchange_Balances_00UTC!$B170="","",Summary_Exchange_Balances_00UTC!$C170)</f>
        <v>1E-8</v>
      </c>
      <c r="F170" s="53">
        <f>IF(Summary_Exchange_Balances_00UTC!$B170="","",VLOOKUP(UPPER($A170&amp;$C170),$L:$T,7,FALSE))</f>
        <v>2.4771052999999999E-3</v>
      </c>
      <c r="G170" s="53" t="e">
        <f>IF(Summary_Exchange_Balances_00UTC!$B170="","",VLOOKUP(IF(ISERROR(SEARCH(" ", $B170)),UPPER($B170&amp;$C170&amp;$D170),UPPER(LEFT($B170, SEARCH(" ",$B170)-1)&amp;$C170&amp;$D170)),$M:$T,6,FALSE))</f>
        <v>#N/A</v>
      </c>
      <c r="H170">
        <f>IF(Summary_Exchange_Balances_00UTC!$B170="","",IF(ISERROR($G170),$E170,$G170))</f>
        <v>1E-8</v>
      </c>
      <c r="I170" s="36" t="e">
        <f t="shared" si="6"/>
        <v>#N/A</v>
      </c>
      <c r="L170" t="str">
        <f t="shared" si="7"/>
        <v>HUBIXRP</v>
      </c>
      <c r="M170" t="str">
        <f t="shared" si="8"/>
        <v>HUBI-1-M-PXRPBALANCE</v>
      </c>
      <c r="N170" t="s">
        <v>102</v>
      </c>
      <c r="O170" t="s">
        <v>115</v>
      </c>
      <c r="P170" t="s">
        <v>42</v>
      </c>
      <c r="Q170" t="s">
        <v>75</v>
      </c>
      <c r="R170" s="43">
        <v>1.9184280000000001E-4</v>
      </c>
      <c r="S170" t="s">
        <v>526</v>
      </c>
      <c r="T170">
        <v>1</v>
      </c>
      <c r="W170" t="s">
        <v>115</v>
      </c>
      <c r="X170" t="s">
        <v>190</v>
      </c>
      <c r="Y170" s="53">
        <v>1.5389969999999999E-2</v>
      </c>
      <c r="Z170">
        <v>0</v>
      </c>
      <c r="AC170"/>
      <c r="AD170"/>
      <c r="AS170" t="str">
        <f>IF(Summary_Exchange_Balances_00UTC!$B170="","","'"&amp;C170&amp;"',")</f>
        <v>'LTC',</v>
      </c>
      <c r="AT170">
        <f>IF(Summary_Exchange_Balances_00UTC!$B170="","",IF(ISERROR(HLOOKUP($C170,$AW$1:$LL$2,2,FALSE)),Summary_Exchange_Balances_00UTC!$Q170,IF(OR(HLOOKUP($C170,$AW$1:$LL$2,2,FALSE)="",HLOOKUP($C170,$AW$1:$LL$2,2,FALSE)="null"),Summary_Exchange_Balances_00UTC!$Q170,HLOOKUP($C170,$AW$1:$LL$2,2,FALSE))))</f>
        <v>62.35</v>
      </c>
    </row>
    <row r="171" spans="1:46" x14ac:dyDescent="0.25">
      <c r="A171" t="str">
        <f>IF(Summary_Exchange_Balances_00UTC!$B171="","",Summary_Exchange_Balances_00UTC!$N171)</f>
        <v>HUBI</v>
      </c>
      <c r="B171" t="str">
        <f>IF(Summary_Exchange_Balances_00UTC!$B171="","",Summary_Exchange_Balances_00UTC!$B171)</f>
        <v>HUB2-M</v>
      </c>
      <c r="C171" t="str">
        <f>IF(Summary_Exchange_Balances_00UTC!$B171="","",Summary_Exchange_Balances_00UTC!$E171)</f>
        <v>USDT</v>
      </c>
      <c r="D171" t="str">
        <f>IF(OR(Summary_Exchange_Balances_00UTC!$B171="",Summary_Exchange_Balances_00UTC!$D171=""),"",Summary_Exchange_Balances_00UTC!$D171)</f>
        <v/>
      </c>
      <c r="E171" s="53">
        <f>IF(Summary_Exchange_Balances_00UTC!$B171="","",Summary_Exchange_Balances_00UTC!$C171)</f>
        <v>3.2621029500000001</v>
      </c>
      <c r="F171" s="53">
        <f>IF(Summary_Exchange_Balances_00UTC!$B171="","",VLOOKUP(UPPER($A171&amp;$C171),$L:$T,7,FALSE))</f>
        <v>-29544130.0141466</v>
      </c>
      <c r="G171" s="53" t="e">
        <f>IF(Summary_Exchange_Balances_00UTC!$B171="","",VLOOKUP(IF(ISERROR(SEARCH(" ", $B171)),UPPER($B171&amp;$C171&amp;$D171),UPPER(LEFT($B171, SEARCH(" ",$B171)-1)&amp;$C171&amp;$D171)),$M:$T,6,FALSE))</f>
        <v>#N/A</v>
      </c>
      <c r="H171">
        <f>IF(Summary_Exchange_Balances_00UTC!$B171="","",IF(ISERROR($G171),$E171,$G171))</f>
        <v>3.2621029500000001</v>
      </c>
      <c r="I171" s="36" t="e">
        <f t="shared" si="6"/>
        <v>#N/A</v>
      </c>
      <c r="L171" t="str">
        <f t="shared" si="7"/>
        <v>HUBIYFII</v>
      </c>
      <c r="M171" t="str">
        <f t="shared" si="8"/>
        <v>HUBI-1-M-PYFIIBALANCE</v>
      </c>
      <c r="N171" t="s">
        <v>120</v>
      </c>
      <c r="O171" t="s">
        <v>115</v>
      </c>
      <c r="P171" t="s">
        <v>42</v>
      </c>
      <c r="Q171" t="s">
        <v>75</v>
      </c>
      <c r="R171" s="43">
        <v>2.4299999999999999E-3</v>
      </c>
      <c r="S171" t="s">
        <v>526</v>
      </c>
      <c r="T171">
        <v>1</v>
      </c>
      <c r="W171" t="s">
        <v>115</v>
      </c>
      <c r="X171" t="s">
        <v>127</v>
      </c>
      <c r="Y171" s="53">
        <v>152.41521331999999</v>
      </c>
      <c r="Z171">
        <v>0</v>
      </c>
      <c r="AC171"/>
      <c r="AD171"/>
      <c r="AS171" t="str">
        <f>IF(Summary_Exchange_Balances_00UTC!$B171="","","'"&amp;C171&amp;"',")</f>
        <v>'USDT',</v>
      </c>
      <c r="AT171">
        <f>IF(Summary_Exchange_Balances_00UTC!$B171="","",IF(ISERROR(HLOOKUP($C171,$AW$1:$LL$2,2,FALSE)),Summary_Exchange_Balances_00UTC!$Q171,IF(OR(HLOOKUP($C171,$AW$1:$LL$2,2,FALSE)="",HLOOKUP($C171,$AW$1:$LL$2,2,FALSE)="null"),Summary_Exchange_Balances_00UTC!$Q171,HLOOKUP($C171,$AW$1:$LL$2,2,FALSE))))</f>
        <v>1.0001054103245361</v>
      </c>
    </row>
    <row r="172" spans="1:46" x14ac:dyDescent="0.25">
      <c r="A172" t="str">
        <f>IF(Summary_Exchange_Balances_00UTC!$B172="","",Summary_Exchange_Balances_00UTC!$N172)</f>
        <v>HUBI</v>
      </c>
      <c r="B172" t="str">
        <f>IF(Summary_Exchange_Balances_00UTC!$B172="","",Summary_Exchange_Balances_00UTC!$B172)</f>
        <v>HUB2-M</v>
      </c>
      <c r="C172" t="str">
        <f>IF(Summary_Exchange_Balances_00UTC!$B172="","",Summary_Exchange_Balances_00UTC!$E172)</f>
        <v>XRP</v>
      </c>
      <c r="D172" t="str">
        <f>IF(OR(Summary_Exchange_Balances_00UTC!$B172="",Summary_Exchange_Balances_00UTC!$D172=""),"",Summary_Exchange_Balances_00UTC!$D172)</f>
        <v/>
      </c>
      <c r="E172" s="53">
        <f>IF(Summary_Exchange_Balances_00UTC!$B172="","",Summary_Exchange_Balances_00UTC!$C172)</f>
        <v>6.4869999999999994E-5</v>
      </c>
      <c r="F172" s="53">
        <f>IF(Summary_Exchange_Balances_00UTC!$B172="","",VLOOKUP(UPPER($A172&amp;$C172),$L:$T,7,FALSE))</f>
        <v>1.9184280000000001E-4</v>
      </c>
      <c r="G172" s="53" t="e">
        <f>IF(Summary_Exchange_Balances_00UTC!$B172="","",VLOOKUP(IF(ISERROR(SEARCH(" ", $B172)),UPPER($B172&amp;$C172&amp;$D172),UPPER(LEFT($B172, SEARCH(" ",$B172)-1)&amp;$C172&amp;$D172)),$M:$T,6,FALSE))</f>
        <v>#N/A</v>
      </c>
      <c r="H172">
        <f>IF(Summary_Exchange_Balances_00UTC!$B172="","",IF(ISERROR($G172),$E172,$G172))</f>
        <v>6.4869999999999994E-5</v>
      </c>
      <c r="I172" s="36" t="e">
        <f t="shared" si="6"/>
        <v>#N/A</v>
      </c>
      <c r="L172" t="str">
        <f t="shared" si="7"/>
        <v>HUBIAAC</v>
      </c>
      <c r="M172" t="str">
        <f t="shared" si="8"/>
        <v>HUBIAACTRADE</v>
      </c>
      <c r="N172" t="s">
        <v>338</v>
      </c>
      <c r="O172" t="s">
        <v>115</v>
      </c>
      <c r="P172" t="s">
        <v>425</v>
      </c>
      <c r="Q172" t="s">
        <v>426</v>
      </c>
      <c r="R172" s="43">
        <v>377.09760540000002</v>
      </c>
      <c r="S172" t="s">
        <v>528</v>
      </c>
      <c r="T172">
        <v>1</v>
      </c>
      <c r="W172" t="s">
        <v>115</v>
      </c>
      <c r="X172" t="s">
        <v>21</v>
      </c>
      <c r="Y172" s="53">
        <v>64.011424020000007</v>
      </c>
      <c r="Z172">
        <v>0</v>
      </c>
      <c r="AC172"/>
      <c r="AD172"/>
      <c r="AS172" t="str">
        <f>IF(Summary_Exchange_Balances_00UTC!$B172="","","'"&amp;C172&amp;"',")</f>
        <v>'XRP',</v>
      </c>
      <c r="AT172">
        <f>IF(Summary_Exchange_Balances_00UTC!$B172="","",IF(ISERROR(HLOOKUP($C172,$AW$1:$LL$2,2,FALSE)),Summary_Exchange_Balances_00UTC!$Q172,IF(OR(HLOOKUP($C172,$AW$1:$LL$2,2,FALSE)="",HLOOKUP($C172,$AW$1:$LL$2,2,FALSE)="null"),Summary_Exchange_Balances_00UTC!$Q172,HLOOKUP($C172,$AW$1:$LL$2,2,FALSE))))</f>
        <v>0.38471588000000001</v>
      </c>
    </row>
    <row r="173" spans="1:46" x14ac:dyDescent="0.25">
      <c r="A173" t="str">
        <f>IF(Summary_Exchange_Balances_00UTC!$B173="","",Summary_Exchange_Balances_00UTC!$N173)</f>
        <v>HUBI</v>
      </c>
      <c r="B173" t="str">
        <f>IF(Summary_Exchange_Balances_00UTC!$B173="","",Summary_Exchange_Balances_00UTC!$B173)</f>
        <v>HUBI-1-M-P</v>
      </c>
      <c r="C173" t="str">
        <f>IF(Summary_Exchange_Balances_00UTC!$B173="","",Summary_Exchange_Balances_00UTC!$E173)</f>
        <v>AAVE</v>
      </c>
      <c r="D173" t="str">
        <f>IF(OR(Summary_Exchange_Balances_00UTC!$B173="",Summary_Exchange_Balances_00UTC!$D173=""),"",Summary_Exchange_Balances_00UTC!$D173)</f>
        <v>Balance</v>
      </c>
      <c r="E173" s="53">
        <f>IF(Summary_Exchange_Balances_00UTC!$B173="","",Summary_Exchange_Balances_00UTC!$C173)</f>
        <v>0.10014646000000001</v>
      </c>
      <c r="F173" s="53">
        <f>IF(Summary_Exchange_Balances_00UTC!$B173="","",VLOOKUP(UPPER($A173&amp;$C173),$L:$T,7,FALSE))</f>
        <v>0.10014646000000001</v>
      </c>
      <c r="G173" s="53">
        <f>IF(Summary_Exchange_Balances_00UTC!$B173="","",VLOOKUP(IF(ISERROR(SEARCH(" ", $B173)),UPPER($B173&amp;$C173&amp;$D173),UPPER(LEFT($B173, SEARCH(" ",$B173)-1)&amp;$C173&amp;$D173)),$M:$T,6,FALSE))</f>
        <v>0.10014646000000001</v>
      </c>
      <c r="H173">
        <f>IF(Summary_Exchange_Balances_00UTC!$B173="","",IF(ISERROR($G173),$E173,$G173))</f>
        <v>0.10014646000000001</v>
      </c>
      <c r="I173" s="36">
        <f t="shared" si="6"/>
        <v>0</v>
      </c>
      <c r="L173" t="str">
        <f t="shared" si="7"/>
        <v>HUBIADA</v>
      </c>
      <c r="M173" t="str">
        <f t="shared" si="8"/>
        <v>HUB2ADATRADE</v>
      </c>
      <c r="N173" t="s">
        <v>339</v>
      </c>
      <c r="O173" t="s">
        <v>115</v>
      </c>
      <c r="P173" t="s">
        <v>427</v>
      </c>
      <c r="Q173" t="s">
        <v>426</v>
      </c>
      <c r="R173" s="43">
        <v>1E-8</v>
      </c>
      <c r="S173" t="s">
        <v>529</v>
      </c>
      <c r="T173">
        <v>1</v>
      </c>
      <c r="W173" t="s">
        <v>115</v>
      </c>
      <c r="X173" t="s">
        <v>128</v>
      </c>
      <c r="Y173" s="53">
        <v>2.5033500000000001E-3</v>
      </c>
      <c r="Z173">
        <v>0</v>
      </c>
      <c r="AC173"/>
      <c r="AD173"/>
      <c r="AS173" t="str">
        <f>IF(Summary_Exchange_Balances_00UTC!$B173="","","'"&amp;C173&amp;"',")</f>
        <v>'AAVE',</v>
      </c>
      <c r="AT173">
        <f>IF(Summary_Exchange_Balances_00UTC!$B173="","",IF(ISERROR(HLOOKUP($C173,$AW$1:$LL$2,2,FALSE)),Summary_Exchange_Balances_00UTC!$Q173,IF(OR(HLOOKUP($C173,$AW$1:$LL$2,2,FALSE)="",HLOOKUP($C173,$AW$1:$LL$2,2,FALSE)="null"),Summary_Exchange_Balances_00UTC!$Q173,HLOOKUP($C173,$AW$1:$LL$2,2,FALSE))))</f>
        <v>59.23</v>
      </c>
    </row>
    <row r="174" spans="1:46" x14ac:dyDescent="0.25">
      <c r="A174" t="str">
        <f>IF(Summary_Exchange_Balances_00UTC!$B174="","",Summary_Exchange_Balances_00UTC!$N174)</f>
        <v>HUBI</v>
      </c>
      <c r="B174" t="str">
        <f>IF(Summary_Exchange_Balances_00UTC!$B174="","",Summary_Exchange_Balances_00UTC!$B174)</f>
        <v>HUBI-1-M-P</v>
      </c>
      <c r="C174" t="str">
        <f>IF(Summary_Exchange_Balances_00UTC!$B174="","",Summary_Exchange_Balances_00UTC!$E174)</f>
        <v>ADA</v>
      </c>
      <c r="D174" t="str">
        <f>IF(OR(Summary_Exchange_Balances_00UTC!$B174="",Summary_Exchange_Balances_00UTC!$D174=""),"",Summary_Exchange_Balances_00UTC!$D174)</f>
        <v>Balance</v>
      </c>
      <c r="E174" s="53">
        <f>IF(Summary_Exchange_Balances_00UTC!$B174="","",Summary_Exchange_Balances_00UTC!$C174)</f>
        <v>3.2091999999999998E-4</v>
      </c>
      <c r="F174" s="53">
        <f>IF(Summary_Exchange_Balances_00UTC!$B174="","",VLOOKUP(UPPER($A174&amp;$C174),$L:$T,7,FALSE))</f>
        <v>3.2091770000000001E-4</v>
      </c>
      <c r="G174" s="53">
        <f>IF(Summary_Exchange_Balances_00UTC!$B174="","",VLOOKUP(IF(ISERROR(SEARCH(" ", $B174)),UPPER($B174&amp;$C174&amp;$D174),UPPER(LEFT($B174, SEARCH(" ",$B174)-1)&amp;$C174&amp;$D174)),$M:$T,6,FALSE))</f>
        <v>3.2091770000000001E-4</v>
      </c>
      <c r="H174">
        <f>IF(Summary_Exchange_Balances_00UTC!$B174="","",IF(ISERROR($G174),$E174,$G174))</f>
        <v>3.2091770000000001E-4</v>
      </c>
      <c r="I174" s="36">
        <f t="shared" si="6"/>
        <v>-7.166895176278082E-6</v>
      </c>
      <c r="L174" t="str">
        <f t="shared" si="7"/>
        <v>HUBIADA</v>
      </c>
      <c r="M174" t="str">
        <f t="shared" si="8"/>
        <v>HUBIADATRADE</v>
      </c>
      <c r="N174" t="s">
        <v>339</v>
      </c>
      <c r="O174" t="s">
        <v>115</v>
      </c>
      <c r="P174" t="s">
        <v>425</v>
      </c>
      <c r="Q174" t="s">
        <v>426</v>
      </c>
      <c r="R174" s="43">
        <v>1.1000000000000001E-7</v>
      </c>
      <c r="S174" t="s">
        <v>528</v>
      </c>
      <c r="T174">
        <v>1</v>
      </c>
      <c r="W174" t="s">
        <v>115</v>
      </c>
      <c r="X174" t="s">
        <v>129</v>
      </c>
      <c r="Y174" s="53">
        <v>115.29838952</v>
      </c>
      <c r="Z174">
        <v>0</v>
      </c>
      <c r="AC174"/>
      <c r="AD174"/>
      <c r="AS174" t="str">
        <f>IF(Summary_Exchange_Balances_00UTC!$B174="","","'"&amp;C174&amp;"',")</f>
        <v>'ADA',</v>
      </c>
      <c r="AT174">
        <f>IF(Summary_Exchange_Balances_00UTC!$B174="","",IF(ISERROR(HLOOKUP($C174,$AW$1:$LL$2,2,FALSE)),Summary_Exchange_Balances_00UTC!$Q174,IF(OR(HLOOKUP($C174,$AW$1:$LL$2,2,FALSE)="",HLOOKUP($C174,$AW$1:$LL$2,2,FALSE)="null"),Summary_Exchange_Balances_00UTC!$Q174,HLOOKUP($C174,$AW$1:$LL$2,2,FALSE))))</f>
        <v>0.32653653999999999</v>
      </c>
    </row>
    <row r="175" spans="1:46" x14ac:dyDescent="0.25">
      <c r="A175" t="str">
        <f>IF(Summary_Exchange_Balances_00UTC!$B175="","",Summary_Exchange_Balances_00UTC!$N175)</f>
        <v>HUBI</v>
      </c>
      <c r="B175" t="str">
        <f>IF(Summary_Exchange_Balances_00UTC!$B175="","",Summary_Exchange_Balances_00UTC!$B175)</f>
        <v>HUBI-1-M-P</v>
      </c>
      <c r="C175" t="str">
        <f>IF(Summary_Exchange_Balances_00UTC!$B175="","",Summary_Exchange_Balances_00UTC!$E175)</f>
        <v>BCH</v>
      </c>
      <c r="D175" t="str">
        <f>IF(OR(Summary_Exchange_Balances_00UTC!$B175="",Summary_Exchange_Balances_00UTC!$D175=""),"",Summary_Exchange_Balances_00UTC!$D175)</f>
        <v>Balance</v>
      </c>
      <c r="E175" s="53">
        <f>IF(Summary_Exchange_Balances_00UTC!$B175="","",Summary_Exchange_Balances_00UTC!$C175)</f>
        <v>5.3552000000000005E-4</v>
      </c>
      <c r="F175" s="53">
        <f>IF(Summary_Exchange_Balances_00UTC!$B175="","",VLOOKUP(UPPER($A175&amp;$C175),$L:$T,7,FALSE))</f>
        <v>5.3552099999999996E-4</v>
      </c>
      <c r="G175" s="53">
        <f>IF(Summary_Exchange_Balances_00UTC!$B175="","",VLOOKUP(IF(ISERROR(SEARCH(" ", $B175)),UPPER($B175&amp;$C175&amp;$D175),UPPER(LEFT($B175, SEARCH(" ",$B175)-1)&amp;$C175&amp;$D175)),$M:$T,6,FALSE))</f>
        <v>5.3552099999999996E-4</v>
      </c>
      <c r="H175">
        <f>IF(Summary_Exchange_Balances_00UTC!$B175="","",IF(ISERROR($G175),$E175,$G175))</f>
        <v>5.3552099999999996E-4</v>
      </c>
      <c r="I175" s="36">
        <f t="shared" si="6"/>
        <v>1.8673438898777355E-6</v>
      </c>
      <c r="L175" t="str">
        <f t="shared" si="7"/>
        <v>HUBIALGO</v>
      </c>
      <c r="M175" t="str">
        <f t="shared" si="8"/>
        <v>HUBIALGOTRADE</v>
      </c>
      <c r="N175" t="s">
        <v>340</v>
      </c>
      <c r="O175" t="s">
        <v>115</v>
      </c>
      <c r="P175" t="s">
        <v>425</v>
      </c>
      <c r="Q175" t="s">
        <v>426</v>
      </c>
      <c r="R175" s="43">
        <v>3587.9402382600001</v>
      </c>
      <c r="S175" t="s">
        <v>528</v>
      </c>
      <c r="T175">
        <v>1</v>
      </c>
      <c r="W175" t="s">
        <v>115</v>
      </c>
      <c r="X175" t="s">
        <v>130</v>
      </c>
      <c r="Y175" s="53">
        <v>14.7502</v>
      </c>
      <c r="Z175">
        <v>0</v>
      </c>
      <c r="AC175"/>
      <c r="AD175"/>
      <c r="AS175" t="str">
        <f>IF(Summary_Exchange_Balances_00UTC!$B175="","","'"&amp;C175&amp;"',")</f>
        <v>'BCH',</v>
      </c>
      <c r="AT175">
        <f>IF(Summary_Exchange_Balances_00UTC!$B175="","",IF(ISERROR(HLOOKUP($C175,$AW$1:$LL$2,2,FALSE)),Summary_Exchange_Balances_00UTC!$Q175,IF(OR(HLOOKUP($C175,$AW$1:$LL$2,2,FALSE)="",HLOOKUP($C175,$AW$1:$LL$2,2,FALSE)="null"),Summary_Exchange_Balances_00UTC!$Q175,HLOOKUP($C175,$AW$1:$LL$2,2,FALSE))))</f>
        <v>103.98</v>
      </c>
    </row>
    <row r="176" spans="1:46" x14ac:dyDescent="0.25">
      <c r="A176" t="str">
        <f>IF(Summary_Exchange_Balances_00UTC!$B176="","",Summary_Exchange_Balances_00UTC!$N176)</f>
        <v>HUBI</v>
      </c>
      <c r="B176" t="str">
        <f>IF(Summary_Exchange_Balances_00UTC!$B176="","",Summary_Exchange_Balances_00UTC!$B176)</f>
        <v>HUBI-1-M-P</v>
      </c>
      <c r="C176" t="str">
        <f>IF(Summary_Exchange_Balances_00UTC!$B176="","",Summary_Exchange_Balances_00UTC!$E176)</f>
        <v>BSV</v>
      </c>
      <c r="D176" t="str">
        <f>IF(OR(Summary_Exchange_Balances_00UTC!$B176="",Summary_Exchange_Balances_00UTC!$D176=""),"",Summary_Exchange_Balances_00UTC!$D176)</f>
        <v>Balance</v>
      </c>
      <c r="E176" s="53">
        <f>IF(Summary_Exchange_Balances_00UTC!$B176="","",Summary_Exchange_Balances_00UTC!$C176)</f>
        <v>2.9999999999999997E-8</v>
      </c>
      <c r="F176" s="53">
        <f>IF(Summary_Exchange_Balances_00UTC!$B176="","",VLOOKUP(UPPER($A176&amp;$C176),$L:$T,7,FALSE))</f>
        <v>3.3400000000000001E-8</v>
      </c>
      <c r="G176" s="53">
        <f>IF(Summary_Exchange_Balances_00UTC!$B176="","",VLOOKUP(IF(ISERROR(SEARCH(" ", $B176)),UPPER($B176&amp;$C176&amp;$D176),UPPER(LEFT($B176, SEARCH(" ",$B176)-1)&amp;$C176&amp;$D176)),$M:$T,6,FALSE))</f>
        <v>3.3400000000000001E-8</v>
      </c>
      <c r="H176">
        <f>IF(Summary_Exchange_Balances_00UTC!$B176="","",IF(ISERROR($G176),$E176,$G176))</f>
        <v>3.3400000000000001E-8</v>
      </c>
      <c r="I176" s="36">
        <f t="shared" si="6"/>
        <v>0.11333333333333348</v>
      </c>
      <c r="L176" t="str">
        <f t="shared" si="7"/>
        <v>HUBIARPA</v>
      </c>
      <c r="M176" t="str">
        <f t="shared" si="8"/>
        <v>HUBIARPATRADE</v>
      </c>
      <c r="N176" t="s">
        <v>341</v>
      </c>
      <c r="O176" t="s">
        <v>115</v>
      </c>
      <c r="P176" t="s">
        <v>425</v>
      </c>
      <c r="Q176" t="s">
        <v>426</v>
      </c>
      <c r="R176" s="43">
        <v>0.53247394999999997</v>
      </c>
      <c r="S176" t="s">
        <v>528</v>
      </c>
      <c r="T176">
        <v>1</v>
      </c>
      <c r="W176" t="s">
        <v>115</v>
      </c>
      <c r="X176" t="s">
        <v>116</v>
      </c>
      <c r="Y176" s="53">
        <v>2604.8644934200001</v>
      </c>
      <c r="Z176">
        <v>0</v>
      </c>
      <c r="AC176"/>
      <c r="AD176"/>
      <c r="AS176" t="str">
        <f>IF(Summary_Exchange_Balances_00UTC!$B176="","","'"&amp;C176&amp;"',")</f>
        <v>'BSV',</v>
      </c>
      <c r="AT176">
        <f>IF(Summary_Exchange_Balances_00UTC!$B176="","",IF(ISERROR(HLOOKUP($C176,$AW$1:$LL$2,2,FALSE)),Summary_Exchange_Balances_00UTC!$Q176,IF(OR(HLOOKUP($C176,$AW$1:$LL$2,2,FALSE)="",HLOOKUP($C176,$AW$1:$LL$2,2,FALSE)="null"),Summary_Exchange_Balances_00UTC!$Q176,HLOOKUP($C176,$AW$1:$LL$2,2,FALSE))))</f>
        <v>39.841106000000003</v>
      </c>
    </row>
    <row r="177" spans="1:46" x14ac:dyDescent="0.25">
      <c r="A177" t="str">
        <f>IF(Summary_Exchange_Balances_00UTC!$B177="","",Summary_Exchange_Balances_00UTC!$N177)</f>
        <v>HUBI</v>
      </c>
      <c r="B177" t="str">
        <f>IF(Summary_Exchange_Balances_00UTC!$B177="","",Summary_Exchange_Balances_00UTC!$B177)</f>
        <v>HUBI-1-M-P</v>
      </c>
      <c r="C177" t="str">
        <f>IF(Summary_Exchange_Balances_00UTC!$B177="","",Summary_Exchange_Balances_00UTC!$E177)</f>
        <v>BTC</v>
      </c>
      <c r="D177" t="str">
        <f>IF(OR(Summary_Exchange_Balances_00UTC!$B177="",Summary_Exchange_Balances_00UTC!$D177=""),"",Summary_Exchange_Balances_00UTC!$D177)</f>
        <v>Balance</v>
      </c>
      <c r="E177" s="54">
        <f>IF(Summary_Exchange_Balances_00UTC!$B177="","",Summary_Exchange_Balances_00UTC!$C177)</f>
        <v>144.50993141000001</v>
      </c>
      <c r="F177" s="53">
        <f>IF(Summary_Exchange_Balances_00UTC!$B177="","",VLOOKUP(UPPER($A177&amp;$C177),$L:$T,7,FALSE))</f>
        <v>-3.8731584897000002</v>
      </c>
      <c r="G177" s="53">
        <f>IF(Summary_Exchange_Balances_00UTC!$B177="","",VLOOKUP(IF(ISERROR(SEARCH(" ", $B177)),UPPER($B177&amp;$C177&amp;$D177),UPPER(LEFT($B177, SEARCH(" ",$B177)-1)&amp;$C177&amp;$D177)),$M:$T,6,FALSE))</f>
        <v>291.14770170460002</v>
      </c>
      <c r="H177">
        <f>IF(Summary_Exchange_Balances_00UTC!$B177="","",IF(ISERROR($G177),$E177,$G177))</f>
        <v>291.14770170460002</v>
      </c>
      <c r="I177" s="36">
        <f t="shared" si="6"/>
        <v>1.0147245166047651</v>
      </c>
      <c r="L177" t="str">
        <f t="shared" si="7"/>
        <v>HUBIATOM</v>
      </c>
      <c r="M177" t="str">
        <f t="shared" si="8"/>
        <v>HUBIATOMTRADE</v>
      </c>
      <c r="N177" t="s">
        <v>342</v>
      </c>
      <c r="O177" t="s">
        <v>115</v>
      </c>
      <c r="P177" t="s">
        <v>425</v>
      </c>
      <c r="Q177" t="s">
        <v>426</v>
      </c>
      <c r="R177" s="43">
        <v>435.59609782000001</v>
      </c>
      <c r="S177" t="s">
        <v>528</v>
      </c>
      <c r="T177">
        <v>1</v>
      </c>
      <c r="W177" t="s">
        <v>115</v>
      </c>
      <c r="X177" t="s">
        <v>15</v>
      </c>
      <c r="Y177" s="54">
        <v>1399.1161519899999</v>
      </c>
      <c r="Z177">
        <v>0</v>
      </c>
      <c r="AC177"/>
      <c r="AD177"/>
      <c r="AS177" t="str">
        <f>IF(Summary_Exchange_Balances_00UTC!$B177="","","'"&amp;C177&amp;"',")</f>
        <v>'BTC',</v>
      </c>
      <c r="AT177">
        <f>IF(Summary_Exchange_Balances_00UTC!$B177="","",IF(ISERROR(HLOOKUP($C177,$AW$1:$LL$2,2,FALSE)),Summary_Exchange_Balances_00UTC!$Q177,IF(OR(HLOOKUP($C177,$AW$1:$LL$2,2,FALSE)="",HLOOKUP($C177,$AW$1:$LL$2,2,FALSE)="null"),Summary_Exchange_Balances_00UTC!$Q177,HLOOKUP($C177,$AW$1:$LL$2,2,FALSE))))</f>
        <v>16719.740000000002</v>
      </c>
    </row>
    <row r="178" spans="1:46" x14ac:dyDescent="0.25">
      <c r="A178" t="str">
        <f>IF(Summary_Exchange_Balances_00UTC!$B178="","",Summary_Exchange_Balances_00UTC!$N178)</f>
        <v>HUBI</v>
      </c>
      <c r="B178" t="str">
        <f>IF(Summary_Exchange_Balances_00UTC!$B178="","",Summary_Exchange_Balances_00UTC!$B178)</f>
        <v>HUBI-1-M-P</v>
      </c>
      <c r="C178" t="str">
        <f>IF(Summary_Exchange_Balances_00UTC!$B178="","",Summary_Exchange_Balances_00UTC!$E178)</f>
        <v>BTC</v>
      </c>
      <c r="D178" t="str">
        <f>IF(OR(Summary_Exchange_Balances_00UTC!$B178="",Summary_Exchange_Balances_00UTC!$D178=""),"",Summary_Exchange_Balances_00UTC!$D178)</f>
        <v>Unrealized</v>
      </c>
      <c r="E178" s="53">
        <f>IF(Summary_Exchange_Balances_00UTC!$B178="","",Summary_Exchange_Balances_00UTC!$C178)</f>
        <v>-1.6966316299999999</v>
      </c>
      <c r="F178" s="53">
        <f>IF(Summary_Exchange_Balances_00UTC!$B178="","",VLOOKUP(UPPER($A178&amp;$C178),$L:$T,7,FALSE))</f>
        <v>-3.8731584897000002</v>
      </c>
      <c r="G178" s="53">
        <f>IF(Summary_Exchange_Balances_00UTC!$B178="","",VLOOKUP(IF(ISERROR(SEARCH(" ", $B178)),UPPER($B178&amp;$C178&amp;$D178),UPPER(LEFT($B178, SEARCH(" ",$B178)-1)&amp;$C178&amp;$D178)),$M:$T,6,FALSE))</f>
        <v>-3.8731584897000002</v>
      </c>
      <c r="H178">
        <f>IF(Summary_Exchange_Balances_00UTC!$B178="","",IF(ISERROR($G178),$E178,$G178))</f>
        <v>-3.8731584897000002</v>
      </c>
      <c r="I178" s="36">
        <f t="shared" si="6"/>
        <v>1.2828517523865803</v>
      </c>
      <c r="L178" t="str">
        <f t="shared" si="7"/>
        <v>HUBIAVAX</v>
      </c>
      <c r="M178" t="str">
        <f t="shared" si="8"/>
        <v>HUBIAVAXTRADE</v>
      </c>
      <c r="N178" t="s">
        <v>343</v>
      </c>
      <c r="O178" t="s">
        <v>115</v>
      </c>
      <c r="P178" t="s">
        <v>425</v>
      </c>
      <c r="Q178" t="s">
        <v>426</v>
      </c>
      <c r="R178" s="43">
        <v>1.5389969999999999E-2</v>
      </c>
      <c r="S178" t="s">
        <v>528</v>
      </c>
      <c r="T178">
        <v>1</v>
      </c>
      <c r="W178" t="s">
        <v>115</v>
      </c>
      <c r="X178" t="s">
        <v>131</v>
      </c>
      <c r="Y178" s="53">
        <v>0.33565571999999999</v>
      </c>
      <c r="Z178">
        <v>0</v>
      </c>
      <c r="AC178"/>
      <c r="AD178"/>
      <c r="AS178" t="str">
        <f>IF(Summary_Exchange_Balances_00UTC!$B178="","","'"&amp;C178&amp;"',")</f>
        <v>'BTC',</v>
      </c>
      <c r="AT178">
        <f>IF(Summary_Exchange_Balances_00UTC!$B178="","",IF(ISERROR(HLOOKUP($C178,$AW$1:$LL$2,2,FALSE)),Summary_Exchange_Balances_00UTC!$Q178,IF(OR(HLOOKUP($C178,$AW$1:$LL$2,2,FALSE)="",HLOOKUP($C178,$AW$1:$LL$2,2,FALSE)="null"),Summary_Exchange_Balances_00UTC!$Q178,HLOOKUP($C178,$AW$1:$LL$2,2,FALSE))))</f>
        <v>16719.740000000002</v>
      </c>
    </row>
    <row r="179" spans="1:46" x14ac:dyDescent="0.25">
      <c r="A179" t="str">
        <f>IF(Summary_Exchange_Balances_00UTC!$B179="","",Summary_Exchange_Balances_00UTC!$N179)</f>
        <v>HUBI</v>
      </c>
      <c r="B179" t="str">
        <f>IF(Summary_Exchange_Balances_00UTC!$B179="","",Summary_Exchange_Balances_00UTC!$B179)</f>
        <v>HUBI-1-M-P</v>
      </c>
      <c r="C179" t="str">
        <f>IF(Summary_Exchange_Balances_00UTC!$B179="","",Summary_Exchange_Balances_00UTC!$E179)</f>
        <v>DOT</v>
      </c>
      <c r="D179" t="str">
        <f>IF(OR(Summary_Exchange_Balances_00UTC!$B179="",Summary_Exchange_Balances_00UTC!$D179=""),"",Summary_Exchange_Balances_00UTC!$D179)</f>
        <v>Balance</v>
      </c>
      <c r="E179" s="53">
        <f>IF(Summary_Exchange_Balances_00UTC!$B179="","",Summary_Exchange_Balances_00UTC!$C179)</f>
        <v>3.8972899999999999E-3</v>
      </c>
      <c r="F179" s="53">
        <f>IF(Summary_Exchange_Balances_00UTC!$B179="","",VLOOKUP(UPPER($A179&amp;$C179),$L:$T,7,FALSE))</f>
        <v>3.8972870000000001E-3</v>
      </c>
      <c r="G179" s="53">
        <f>IF(Summary_Exchange_Balances_00UTC!$B179="","",VLOOKUP(IF(ISERROR(SEARCH(" ", $B179)),UPPER($B179&amp;$C179&amp;$D179),UPPER(LEFT($B179, SEARCH(" ",$B179)-1)&amp;$C179&amp;$D179)),$M:$T,6,FALSE))</f>
        <v>3.8972870000000001E-3</v>
      </c>
      <c r="H179">
        <f>IF(Summary_Exchange_Balances_00UTC!$B179="","",IF(ISERROR($G179),$E179,$G179))</f>
        <v>3.8972870000000001E-3</v>
      </c>
      <c r="I179" s="36">
        <f t="shared" si="6"/>
        <v>-7.6976565760361046E-7</v>
      </c>
      <c r="L179" t="str">
        <f t="shared" si="7"/>
        <v>HUBIBAT</v>
      </c>
      <c r="M179" t="str">
        <f t="shared" si="8"/>
        <v>HUBIBATTRADE</v>
      </c>
      <c r="N179" t="s">
        <v>344</v>
      </c>
      <c r="O179" t="s">
        <v>115</v>
      </c>
      <c r="P179" t="s">
        <v>425</v>
      </c>
      <c r="Q179" t="s">
        <v>426</v>
      </c>
      <c r="R179" s="43">
        <v>152.41521331999999</v>
      </c>
      <c r="S179" t="s">
        <v>528</v>
      </c>
      <c r="T179">
        <v>1</v>
      </c>
      <c r="W179" t="s">
        <v>115</v>
      </c>
      <c r="X179" t="s">
        <v>132</v>
      </c>
      <c r="Y179" s="53">
        <v>1367501156.8785999</v>
      </c>
      <c r="Z179">
        <v>0</v>
      </c>
      <c r="AC179"/>
      <c r="AD179"/>
      <c r="AS179" t="str">
        <f>IF(Summary_Exchange_Balances_00UTC!$B179="","","'"&amp;C179&amp;"',")</f>
        <v>'DOT',</v>
      </c>
      <c r="AT179">
        <f>IF(Summary_Exchange_Balances_00UTC!$B179="","",IF(ISERROR(HLOOKUP($C179,$AW$1:$LL$2,2,FALSE)),Summary_Exchange_Balances_00UTC!$Q179,IF(OR(HLOOKUP($C179,$AW$1:$LL$2,2,FALSE)="",HLOOKUP($C179,$AW$1:$LL$2,2,FALSE)="null"),Summary_Exchange_Balances_00UTC!$Q179,HLOOKUP($C179,$AW$1:$LL$2,2,FALSE))))</f>
        <v>5.6989999999999998</v>
      </c>
    </row>
    <row r="180" spans="1:46" x14ac:dyDescent="0.25">
      <c r="A180" t="str">
        <f>IF(Summary_Exchange_Balances_00UTC!$B180="","",Summary_Exchange_Balances_00UTC!$N180)</f>
        <v>HUBI</v>
      </c>
      <c r="B180" t="str">
        <f>IF(Summary_Exchange_Balances_00UTC!$B180="","",Summary_Exchange_Balances_00UTC!$B180)</f>
        <v>HUBI-1-M-P</v>
      </c>
      <c r="C180" t="str">
        <f>IF(Summary_Exchange_Balances_00UTC!$B180="","",Summary_Exchange_Balances_00UTC!$E180)</f>
        <v>ETC</v>
      </c>
      <c r="D180" t="str">
        <f>IF(OR(Summary_Exchange_Balances_00UTC!$B180="",Summary_Exchange_Balances_00UTC!$D180=""),"",Summary_Exchange_Balances_00UTC!$D180)</f>
        <v>Balance</v>
      </c>
      <c r="E180" s="53">
        <f>IF(Summary_Exchange_Balances_00UTC!$B180="","",Summary_Exchange_Balances_00UTC!$C180)</f>
        <v>0.1010306</v>
      </c>
      <c r="F180" s="53">
        <f>IF(Summary_Exchange_Balances_00UTC!$B180="","",VLOOKUP(UPPER($A180&amp;$C180),$L:$T,7,FALSE))</f>
        <v>0.1010306031</v>
      </c>
      <c r="G180" s="53">
        <f>IF(Summary_Exchange_Balances_00UTC!$B180="","",VLOOKUP(IF(ISERROR(SEARCH(" ", $B180)),UPPER($B180&amp;$C180&amp;$D180),UPPER(LEFT($B180, SEARCH(" ",$B180)-1)&amp;$C180&amp;$D180)),$M:$T,6,FALSE))</f>
        <v>0.1010306031</v>
      </c>
      <c r="H180">
        <f>IF(Summary_Exchange_Balances_00UTC!$B180="","",IF(ISERROR($G180),$E180,$G180))</f>
        <v>0.1010306031</v>
      </c>
      <c r="I180" s="36">
        <f t="shared" si="6"/>
        <v>3.0683773101367009E-8</v>
      </c>
      <c r="L180" t="str">
        <f t="shared" si="7"/>
        <v>HUBIBCH</v>
      </c>
      <c r="M180" t="str">
        <f t="shared" si="8"/>
        <v>HUBIBCHTRADE</v>
      </c>
      <c r="N180" t="s">
        <v>345</v>
      </c>
      <c r="O180" s="29" t="s">
        <v>115</v>
      </c>
      <c r="P180" t="s">
        <v>425</v>
      </c>
      <c r="Q180" t="s">
        <v>426</v>
      </c>
      <c r="R180" s="43">
        <v>1681.40002938</v>
      </c>
      <c r="S180" t="s">
        <v>528</v>
      </c>
      <c r="T180">
        <v>1</v>
      </c>
      <c r="W180" t="s">
        <v>115</v>
      </c>
      <c r="X180" t="s">
        <v>133</v>
      </c>
      <c r="Y180" s="53">
        <v>1.7855998900000001</v>
      </c>
      <c r="Z180">
        <v>0</v>
      </c>
      <c r="AC180"/>
      <c r="AD180"/>
      <c r="AS180" t="str">
        <f>IF(Summary_Exchange_Balances_00UTC!$B180="","","'"&amp;C180&amp;"',")</f>
        <v>'ETC',</v>
      </c>
      <c r="AT180">
        <f>IF(Summary_Exchange_Balances_00UTC!$B180="","",IF(ISERROR(HLOOKUP($C180,$AW$1:$LL$2,2,FALSE)),Summary_Exchange_Balances_00UTC!$Q180,IF(OR(HLOOKUP($C180,$AW$1:$LL$2,2,FALSE)="",HLOOKUP($C180,$AW$1:$LL$2,2,FALSE)="null"),Summary_Exchange_Balances_00UTC!$Q180,HLOOKUP($C180,$AW$1:$LL$2,2,FALSE))))</f>
        <v>19.614688999999998</v>
      </c>
    </row>
    <row r="181" spans="1:46" x14ac:dyDescent="0.25">
      <c r="A181" t="str">
        <f>IF(Summary_Exchange_Balances_00UTC!$B181="","",Summary_Exchange_Balances_00UTC!$N181)</f>
        <v>HUBI</v>
      </c>
      <c r="B181" t="str">
        <f>IF(Summary_Exchange_Balances_00UTC!$B181="","",Summary_Exchange_Balances_00UTC!$B181)</f>
        <v>HUBI-1-M-P</v>
      </c>
      <c r="C181" t="str">
        <f>IF(Summary_Exchange_Balances_00UTC!$B181="","",Summary_Exchange_Balances_00UTC!$E181)</f>
        <v>ETH</v>
      </c>
      <c r="D181" t="str">
        <f>IF(OR(Summary_Exchange_Balances_00UTC!$B181="",Summary_Exchange_Balances_00UTC!$D181=""),"",Summary_Exchange_Balances_00UTC!$D181)</f>
        <v>Balance</v>
      </c>
      <c r="E181" s="53">
        <f>IF(Summary_Exchange_Balances_00UTC!$B181="","",Summary_Exchange_Balances_00UTC!$C181)</f>
        <v>1440.6756141000001</v>
      </c>
      <c r="F181" s="53">
        <f>IF(Summary_Exchange_Balances_00UTC!$B181="","",VLOOKUP(UPPER($A181&amp;$C181),$L:$T,7,FALSE))</f>
        <v>-16.0087772937</v>
      </c>
      <c r="G181" s="53">
        <f>IF(Summary_Exchange_Balances_00UTC!$B181="","",VLOOKUP(IF(ISERROR(SEARCH(" ", $B181)),UPPER($B181&amp;$C181&amp;$D181),UPPER(LEFT($B181, SEARCH(" ",$B181)-1)&amp;$C181&amp;$D181)),$M:$T,6,FALSE))</f>
        <v>1547.2148015144001</v>
      </c>
      <c r="H181">
        <f>IF(Summary_Exchange_Balances_00UTC!$B181="","",IF(ISERROR($G181),$E181,$G181))</f>
        <v>1547.2148015144001</v>
      </c>
      <c r="I181" s="36">
        <f t="shared" si="6"/>
        <v>7.3950850817278341E-2</v>
      </c>
      <c r="L181" t="str">
        <f t="shared" si="7"/>
        <v>HUBIBCH</v>
      </c>
      <c r="M181" t="str">
        <f t="shared" si="8"/>
        <v>HUBIBCHLOAN</v>
      </c>
      <c r="N181" t="s">
        <v>345</v>
      </c>
      <c r="O181" s="29" t="s">
        <v>115</v>
      </c>
      <c r="P181" t="s">
        <v>425</v>
      </c>
      <c r="Q181" t="s">
        <v>428</v>
      </c>
      <c r="R181" s="43">
        <v>-29.37</v>
      </c>
      <c r="S181" t="s">
        <v>528</v>
      </c>
      <c r="T181">
        <v>1</v>
      </c>
      <c r="W181" t="s">
        <v>115</v>
      </c>
      <c r="X181" t="s">
        <v>32</v>
      </c>
      <c r="Y181" s="53">
        <v>43.072197150000001</v>
      </c>
      <c r="Z181">
        <v>0</v>
      </c>
      <c r="AC181"/>
      <c r="AD181"/>
      <c r="AS181" t="str">
        <f>IF(Summary_Exchange_Balances_00UTC!$B181="","","'"&amp;C181&amp;"',")</f>
        <v>'ETH',</v>
      </c>
      <c r="AT181">
        <f>IF(Summary_Exchange_Balances_00UTC!$B181="","",IF(ISERROR(HLOOKUP($C181,$AW$1:$LL$2,2,FALSE)),Summary_Exchange_Balances_00UTC!$Q181,IF(OR(HLOOKUP($C181,$AW$1:$LL$2,2,FALSE)="",HLOOKUP($C181,$AW$1:$LL$2,2,FALSE)="null"),Summary_Exchange_Balances_00UTC!$Q181,HLOOKUP($C181,$AW$1:$LL$2,2,FALSE))))</f>
        <v>1208.73</v>
      </c>
    </row>
    <row r="182" spans="1:46" x14ac:dyDescent="0.25">
      <c r="A182" t="str">
        <f>IF(Summary_Exchange_Balances_00UTC!$B182="","",Summary_Exchange_Balances_00UTC!$N182)</f>
        <v>HUBI</v>
      </c>
      <c r="B182" t="str">
        <f>IF(Summary_Exchange_Balances_00UTC!$B182="","",Summary_Exchange_Balances_00UTC!$B182)</f>
        <v>HUBI-1-M-P</v>
      </c>
      <c r="C182" t="str">
        <f>IF(Summary_Exchange_Balances_00UTC!$B182="","",Summary_Exchange_Balances_00UTC!$E182)</f>
        <v>ETH</v>
      </c>
      <c r="D182" t="str">
        <f>IF(OR(Summary_Exchange_Balances_00UTC!$B182="",Summary_Exchange_Balances_00UTC!$D182=""),"",Summary_Exchange_Balances_00UTC!$D182)</f>
        <v>Unrealized</v>
      </c>
      <c r="E182" s="53">
        <f>IF(Summary_Exchange_Balances_00UTC!$B182="","",Summary_Exchange_Balances_00UTC!$C182)</f>
        <v>0.47374295999999999</v>
      </c>
      <c r="F182" s="53">
        <f>IF(Summary_Exchange_Balances_00UTC!$B182="","",VLOOKUP(UPPER($A182&amp;$C182),$L:$T,7,FALSE))</f>
        <v>-16.0087772937</v>
      </c>
      <c r="G182" s="53">
        <f>IF(Summary_Exchange_Balances_00UTC!$B182="","",VLOOKUP(IF(ISERROR(SEARCH(" ", $B182)),UPPER($B182&amp;$C182&amp;$D182),UPPER(LEFT($B182, SEARCH(" ",$B182)-1)&amp;$C182&amp;$D182)),$M:$T,6,FALSE))</f>
        <v>-16.0087772937</v>
      </c>
      <c r="H182">
        <f>IF(Summary_Exchange_Balances_00UTC!$B182="","",IF(ISERROR($G182),$E182,$G182))</f>
        <v>-16.0087772937</v>
      </c>
      <c r="I182" s="36">
        <f t="shared" si="6"/>
        <v>-34.792116496464665</v>
      </c>
      <c r="L182" t="str">
        <f t="shared" si="7"/>
        <v>HUBIBCH</v>
      </c>
      <c r="M182" t="str">
        <f t="shared" si="8"/>
        <v>HUBIBCHFROZEN</v>
      </c>
      <c r="N182" t="s">
        <v>345</v>
      </c>
      <c r="O182" t="s">
        <v>115</v>
      </c>
      <c r="P182" t="s">
        <v>425</v>
      </c>
      <c r="Q182" t="s">
        <v>429</v>
      </c>
      <c r="R182" s="43">
        <v>2.5</v>
      </c>
      <c r="S182" t="s">
        <v>528</v>
      </c>
      <c r="T182">
        <v>1</v>
      </c>
      <c r="W182" t="s">
        <v>115</v>
      </c>
      <c r="X182" t="s">
        <v>134</v>
      </c>
      <c r="Y182" s="53">
        <v>0.30791584</v>
      </c>
      <c r="Z182">
        <v>0</v>
      </c>
      <c r="AC182"/>
      <c r="AD182"/>
      <c r="AS182" t="str">
        <f>IF(Summary_Exchange_Balances_00UTC!$B182="","","'"&amp;C182&amp;"',")</f>
        <v>'ETH',</v>
      </c>
      <c r="AT182">
        <f>IF(Summary_Exchange_Balances_00UTC!$B182="","",IF(ISERROR(HLOOKUP($C182,$AW$1:$LL$2,2,FALSE)),Summary_Exchange_Balances_00UTC!$Q182,IF(OR(HLOOKUP($C182,$AW$1:$LL$2,2,FALSE)="",HLOOKUP($C182,$AW$1:$LL$2,2,FALSE)="null"),Summary_Exchange_Balances_00UTC!$Q182,HLOOKUP($C182,$AW$1:$LL$2,2,FALSE))))</f>
        <v>1208.73</v>
      </c>
    </row>
    <row r="183" spans="1:46" x14ac:dyDescent="0.25">
      <c r="A183" t="str">
        <f>IF(Summary_Exchange_Balances_00UTC!$B183="","",Summary_Exchange_Balances_00UTC!$N183)</f>
        <v>HUBI</v>
      </c>
      <c r="B183" t="str">
        <f>IF(Summary_Exchange_Balances_00UTC!$B183="","",Summary_Exchange_Balances_00UTC!$B183)</f>
        <v>HUBI-1-M-P</v>
      </c>
      <c r="C183" t="str">
        <f>IF(Summary_Exchange_Balances_00UTC!$B183="","",Summary_Exchange_Balances_00UTC!$E183)</f>
        <v>LINK</v>
      </c>
      <c r="D183" t="str">
        <f>IF(OR(Summary_Exchange_Balances_00UTC!$B183="",Summary_Exchange_Balances_00UTC!$D183=""),"",Summary_Exchange_Balances_00UTC!$D183)</f>
        <v>Balance</v>
      </c>
      <c r="E183" s="53">
        <f>IF(Summary_Exchange_Balances_00UTC!$B183="","",Summary_Exchange_Balances_00UTC!$C183)</f>
        <v>9.5620999999999998E-4</v>
      </c>
      <c r="F183" s="53">
        <f>IF(Summary_Exchange_Balances_00UTC!$B183="","",VLOOKUP(UPPER($A183&amp;$C183),$L:$T,7,FALSE))</f>
        <v>9.5620959999999995E-4</v>
      </c>
      <c r="G183" s="53">
        <f>IF(Summary_Exchange_Balances_00UTC!$B183="","",VLOOKUP(IF(ISERROR(SEARCH(" ", $B183)),UPPER($B183&amp;$C183&amp;$D183),UPPER(LEFT($B183, SEARCH(" ",$B183)-1)&amp;$C183&amp;$D183)),$M:$T,6,FALSE))</f>
        <v>9.5620959999999995E-4</v>
      </c>
      <c r="H183">
        <f>IF(Summary_Exchange_Balances_00UTC!$B183="","",IF(ISERROR($G183),$E183,$G183))</f>
        <v>9.5620959999999995E-4</v>
      </c>
      <c r="I183" s="36">
        <f t="shared" si="6"/>
        <v>-4.1831815189966865E-7</v>
      </c>
      <c r="L183" t="str">
        <f t="shared" si="7"/>
        <v>HUBIBCH</v>
      </c>
      <c r="M183" t="str">
        <f t="shared" si="8"/>
        <v>HUB2BCHTRADE</v>
      </c>
      <c r="N183" t="s">
        <v>345</v>
      </c>
      <c r="O183" t="s">
        <v>115</v>
      </c>
      <c r="P183" t="s">
        <v>427</v>
      </c>
      <c r="Q183" t="s">
        <v>426</v>
      </c>
      <c r="R183" s="43">
        <v>1E-8</v>
      </c>
      <c r="S183" t="s">
        <v>529</v>
      </c>
      <c r="T183">
        <v>1</v>
      </c>
      <c r="W183" t="s">
        <v>115</v>
      </c>
      <c r="X183" t="s">
        <v>135</v>
      </c>
      <c r="Y183" s="53">
        <v>5.6119999999999998E-5</v>
      </c>
      <c r="Z183">
        <v>0</v>
      </c>
      <c r="AC183"/>
      <c r="AD183"/>
      <c r="AS183" t="str">
        <f>IF(Summary_Exchange_Balances_00UTC!$B183="","","'"&amp;C183&amp;"',")</f>
        <v>'LINK',</v>
      </c>
      <c r="AT183">
        <f>IF(Summary_Exchange_Balances_00UTC!$B183="","",IF(ISERROR(HLOOKUP($C183,$AW$1:$LL$2,2,FALSE)),Summary_Exchange_Balances_00UTC!$Q183,IF(OR(HLOOKUP($C183,$AW$1:$LL$2,2,FALSE)="",HLOOKUP($C183,$AW$1:$LL$2,2,FALSE)="null"),Summary_Exchange_Balances_00UTC!$Q183,HLOOKUP($C183,$AW$1:$LL$2,2,FALSE))))</f>
        <v>6.2919999999999998</v>
      </c>
    </row>
    <row r="184" spans="1:46" x14ac:dyDescent="0.25">
      <c r="A184" t="str">
        <f>IF(Summary_Exchange_Balances_00UTC!$B184="","",Summary_Exchange_Balances_00UTC!$N184)</f>
        <v>HUBI</v>
      </c>
      <c r="B184" t="str">
        <f>IF(Summary_Exchange_Balances_00UTC!$B184="","",Summary_Exchange_Balances_00UTC!$B184)</f>
        <v>HUBI-1-M-P</v>
      </c>
      <c r="C184" t="str">
        <f>IF(Summary_Exchange_Balances_00UTC!$B184="","",Summary_Exchange_Balances_00UTC!$E184)</f>
        <v>LTC</v>
      </c>
      <c r="D184" t="str">
        <f>IF(OR(Summary_Exchange_Balances_00UTC!$B184="",Summary_Exchange_Balances_00UTC!$D184=""),"",Summary_Exchange_Balances_00UTC!$D184)</f>
        <v>Balance</v>
      </c>
      <c r="E184" s="53">
        <f>IF(Summary_Exchange_Balances_00UTC!$B184="","",Summary_Exchange_Balances_00UTC!$C184)</f>
        <v>2.4771099999999998E-3</v>
      </c>
      <c r="F184" s="53">
        <f>IF(Summary_Exchange_Balances_00UTC!$B184="","",VLOOKUP(UPPER($A184&amp;$C184),$L:$T,7,FALSE))</f>
        <v>2.4771052999999999E-3</v>
      </c>
      <c r="G184" s="53">
        <f>IF(Summary_Exchange_Balances_00UTC!$B184="","",VLOOKUP(IF(ISERROR(SEARCH(" ", $B184)),UPPER($B184&amp;$C184&amp;$D184),UPPER(LEFT($B184, SEARCH(" ",$B184)-1)&amp;$C184&amp;$D184)),$M:$T,6,FALSE))</f>
        <v>2.4771052999999999E-3</v>
      </c>
      <c r="H184">
        <f>IF(Summary_Exchange_Balances_00UTC!$B184="","",IF(ISERROR($G184),$E184,$G184))</f>
        <v>2.4771052999999999E-3</v>
      </c>
      <c r="I184" s="36">
        <f t="shared" si="6"/>
        <v>-1.8973723411023349E-6</v>
      </c>
      <c r="L184" t="str">
        <f t="shared" si="7"/>
        <v>HUBIBCH</v>
      </c>
      <c r="M184" t="str">
        <f t="shared" si="8"/>
        <v>HUBIBCHTRADE</v>
      </c>
      <c r="N184" t="s">
        <v>345</v>
      </c>
      <c r="O184" t="s">
        <v>115</v>
      </c>
      <c r="P184" t="s">
        <v>425</v>
      </c>
      <c r="Q184" t="s">
        <v>426</v>
      </c>
      <c r="R184" s="43">
        <v>234.94762009999999</v>
      </c>
      <c r="S184" t="s">
        <v>528</v>
      </c>
      <c r="T184">
        <v>1</v>
      </c>
      <c r="W184" t="s">
        <v>115</v>
      </c>
      <c r="X184" t="s">
        <v>136</v>
      </c>
      <c r="Y184" s="53">
        <v>5.9800000000000001E-4</v>
      </c>
      <c r="Z184">
        <v>0</v>
      </c>
      <c r="AC184"/>
      <c r="AD184"/>
      <c r="AS184" t="str">
        <f>IF(Summary_Exchange_Balances_00UTC!$B184="","","'"&amp;C184&amp;"',")</f>
        <v>'LTC',</v>
      </c>
      <c r="AT184">
        <f>IF(Summary_Exchange_Balances_00UTC!$B184="","",IF(ISERROR(HLOOKUP($C184,$AW$1:$LL$2,2,FALSE)),Summary_Exchange_Balances_00UTC!$Q184,IF(OR(HLOOKUP($C184,$AW$1:$LL$2,2,FALSE)="",HLOOKUP($C184,$AW$1:$LL$2,2,FALSE)="null"),Summary_Exchange_Balances_00UTC!$Q184,HLOOKUP($C184,$AW$1:$LL$2,2,FALSE))))</f>
        <v>62.35</v>
      </c>
    </row>
    <row r="185" spans="1:46" x14ac:dyDescent="0.25">
      <c r="A185" t="str">
        <f>IF(Summary_Exchange_Balances_00UTC!$B185="","",Summary_Exchange_Balances_00UTC!$N185)</f>
        <v>HUBI</v>
      </c>
      <c r="B185" t="str">
        <f>IF(Summary_Exchange_Balances_00UTC!$B185="","",Summary_Exchange_Balances_00UTC!$B185)</f>
        <v>HUBI-1-M-P</v>
      </c>
      <c r="C185" t="str">
        <f>IF(Summary_Exchange_Balances_00UTC!$B185="","",Summary_Exchange_Balances_00UTC!$E185)</f>
        <v>SHIB</v>
      </c>
      <c r="D185" t="str">
        <f>IF(OR(Summary_Exchange_Balances_00UTC!$B185="",Summary_Exchange_Balances_00UTC!$D185=""),"",Summary_Exchange_Balances_00UTC!$D185)</f>
        <v>Balance</v>
      </c>
      <c r="E185" s="53">
        <f>IF(Summary_Exchange_Balances_00UTC!$B185="","",Summary_Exchange_Balances_00UTC!$C185)</f>
        <v>71073.205401560001</v>
      </c>
      <c r="F185" s="53">
        <f>IF(Summary_Exchange_Balances_00UTC!$B185="","",VLOOKUP(UPPER($A185&amp;$C185),$L:$T,7,FALSE))</f>
        <v>71073.205401560001</v>
      </c>
      <c r="G185" s="53">
        <f>IF(Summary_Exchange_Balances_00UTC!$B185="","",VLOOKUP(IF(ISERROR(SEARCH(" ", $B185)),UPPER($B185&amp;$C185&amp;$D185),UPPER(LEFT($B185, SEARCH(" ",$B185)-1)&amp;$C185&amp;$D185)),$M:$T,6,FALSE))</f>
        <v>71073.205401560001</v>
      </c>
      <c r="H185">
        <f>IF(Summary_Exchange_Balances_00UTC!$B185="","",IF(ISERROR($G185),$E185,$G185))</f>
        <v>71073.205401560001</v>
      </c>
      <c r="I185" s="36">
        <f t="shared" si="6"/>
        <v>0</v>
      </c>
      <c r="L185" t="str">
        <f t="shared" si="7"/>
        <v>HUBIBHD</v>
      </c>
      <c r="M185" t="str">
        <f t="shared" si="8"/>
        <v>HUBIBHDTRADE</v>
      </c>
      <c r="N185" t="s">
        <v>346</v>
      </c>
      <c r="O185" t="s">
        <v>115</v>
      </c>
      <c r="P185" t="s">
        <v>425</v>
      </c>
      <c r="Q185" t="s">
        <v>426</v>
      </c>
      <c r="R185" s="43">
        <v>2.5033500000000001E-3</v>
      </c>
      <c r="S185" t="s">
        <v>528</v>
      </c>
      <c r="T185">
        <v>1</v>
      </c>
      <c r="W185" t="s">
        <v>115</v>
      </c>
      <c r="X185" t="s">
        <v>23</v>
      </c>
      <c r="Y185" s="53">
        <v>19049.75822756</v>
      </c>
      <c r="Z185">
        <v>0</v>
      </c>
      <c r="AC185"/>
      <c r="AD185"/>
      <c r="AS185" t="str">
        <f>IF(Summary_Exchange_Balances_00UTC!$B185="","","'"&amp;C185&amp;"',")</f>
        <v>'SHIB',</v>
      </c>
      <c r="AT185">
        <f>IF(Summary_Exchange_Balances_00UTC!$B185="","",IF(ISERROR(HLOOKUP($C185,$AW$1:$LL$2,2,FALSE)),Summary_Exchange_Balances_00UTC!$Q185,IF(OR(HLOOKUP($C185,$AW$1:$LL$2,2,FALSE)="",HLOOKUP($C185,$AW$1:$LL$2,2,FALSE)="null"),Summary_Exchange_Balances_00UTC!$Q185,HLOOKUP($C185,$AW$1:$LL$2,2,FALSE))))</f>
        <v>9.1027119999999996E-6</v>
      </c>
    </row>
    <row r="186" spans="1:46" x14ac:dyDescent="0.25">
      <c r="A186" t="str">
        <f>IF(Summary_Exchange_Balances_00UTC!$B186="","",Summary_Exchange_Balances_00UTC!$N186)</f>
        <v>HUBI</v>
      </c>
      <c r="B186" t="str">
        <f>IF(Summary_Exchange_Balances_00UTC!$B186="","",Summary_Exchange_Balances_00UTC!$B186)</f>
        <v>HUBI-1-M-P</v>
      </c>
      <c r="C186" t="str">
        <f>IF(Summary_Exchange_Balances_00UTC!$B186="","",Summary_Exchange_Balances_00UTC!$E186)</f>
        <v>TRX</v>
      </c>
      <c r="D186" t="str">
        <f>IF(OR(Summary_Exchange_Balances_00UTC!$B186="",Summary_Exchange_Balances_00UTC!$D186=""),"",Summary_Exchange_Balances_00UTC!$D186)</f>
        <v>Balance</v>
      </c>
      <c r="E186" s="53">
        <f>IF(Summary_Exchange_Balances_00UTC!$B186="","",Summary_Exchange_Balances_00UTC!$C186)</f>
        <v>4.8644999999999998E-4</v>
      </c>
      <c r="F186" s="53">
        <f>IF(Summary_Exchange_Balances_00UTC!$B186="","",VLOOKUP(UPPER($A186&amp;$C186),$L:$T,7,FALSE))</f>
        <v>4.8644820000000002E-4</v>
      </c>
      <c r="G186" s="53">
        <f>IF(Summary_Exchange_Balances_00UTC!$B186="","",VLOOKUP(IF(ISERROR(SEARCH(" ", $B186)),UPPER($B186&amp;$C186&amp;$D186),UPPER(LEFT($B186, SEARCH(" ",$B186)-1)&amp;$C186&amp;$D186)),$M:$T,6,FALSE))</f>
        <v>4.8644820000000002E-4</v>
      </c>
      <c r="H186">
        <f>IF(Summary_Exchange_Balances_00UTC!$B186="","",IF(ISERROR($G186),$E186,$G186))</f>
        <v>4.8644820000000002E-4</v>
      </c>
      <c r="I186" s="36">
        <f t="shared" si="6"/>
        <v>-3.7002775207385947E-6</v>
      </c>
      <c r="L186" t="str">
        <f t="shared" si="7"/>
        <v>HUBIBLZ</v>
      </c>
      <c r="M186" t="str">
        <f t="shared" si="8"/>
        <v>HUBIBLZTRADE</v>
      </c>
      <c r="N186" t="s">
        <v>347</v>
      </c>
      <c r="O186" s="29" t="s">
        <v>115</v>
      </c>
      <c r="P186" t="s">
        <v>425</v>
      </c>
      <c r="Q186" t="s">
        <v>426</v>
      </c>
      <c r="R186" s="43">
        <v>115.29838952</v>
      </c>
      <c r="S186" t="s">
        <v>528</v>
      </c>
      <c r="T186">
        <v>1</v>
      </c>
      <c r="W186" t="s">
        <v>115</v>
      </c>
      <c r="X186" t="s">
        <v>29</v>
      </c>
      <c r="Y186" s="53">
        <v>241319.15317850999</v>
      </c>
      <c r="Z186">
        <v>0</v>
      </c>
      <c r="AC186"/>
      <c r="AD186"/>
      <c r="AS186" t="str">
        <f>IF(Summary_Exchange_Balances_00UTC!$B186="","","'"&amp;C186&amp;"',")</f>
        <v>'TRX',</v>
      </c>
      <c r="AT186">
        <f>IF(Summary_Exchange_Balances_00UTC!$B186="","",IF(ISERROR(HLOOKUP($C186,$AW$1:$LL$2,2,FALSE)),Summary_Exchange_Balances_00UTC!$Q186,IF(OR(HLOOKUP($C186,$AW$1:$LL$2,2,FALSE)="",HLOOKUP($C186,$AW$1:$LL$2,2,FALSE)="null"),Summary_Exchange_Balances_00UTC!$Q186,HLOOKUP($C186,$AW$1:$LL$2,2,FALSE))))</f>
        <v>5.0092902000000002E-2</v>
      </c>
    </row>
    <row r="187" spans="1:46" x14ac:dyDescent="0.25">
      <c r="A187" t="str">
        <f>IF(Summary_Exchange_Balances_00UTC!$B187="","",Summary_Exchange_Balances_00UTC!$N187)</f>
        <v>HUBI</v>
      </c>
      <c r="B187" t="str">
        <f>IF(Summary_Exchange_Balances_00UTC!$B187="","",Summary_Exchange_Balances_00UTC!$B187)</f>
        <v>HUBI-1-M-P</v>
      </c>
      <c r="C187" t="str">
        <f>IF(Summary_Exchange_Balances_00UTC!$B187="","",Summary_Exchange_Balances_00UTC!$E187)</f>
        <v>XRP</v>
      </c>
      <c r="D187" t="str">
        <f>IF(OR(Summary_Exchange_Balances_00UTC!$B187="",Summary_Exchange_Balances_00UTC!$D187=""),"",Summary_Exchange_Balances_00UTC!$D187)</f>
        <v>Balance</v>
      </c>
      <c r="E187" s="53">
        <f>IF(Summary_Exchange_Balances_00UTC!$B187="","",Summary_Exchange_Balances_00UTC!$C187)</f>
        <v>1.9184000000000001E-4</v>
      </c>
      <c r="F187" s="53">
        <f>IF(Summary_Exchange_Balances_00UTC!$B187="","",VLOOKUP(UPPER($A187&amp;$C187),$L:$T,7,FALSE))</f>
        <v>1.9184280000000001E-4</v>
      </c>
      <c r="G187" s="53">
        <f>IF(Summary_Exchange_Balances_00UTC!$B187="","",VLOOKUP(IF(ISERROR(SEARCH(" ", $B187)),UPPER($B187&amp;$C187&amp;$D187),UPPER(LEFT($B187, SEARCH(" ",$B187)-1)&amp;$C187&amp;$D187)),$M:$T,6,FALSE))</f>
        <v>1.9184280000000001E-4</v>
      </c>
      <c r="H187">
        <f>IF(Summary_Exchange_Balances_00UTC!$B187="","",IF(ISERROR($G187),$E187,$G187))</f>
        <v>1.9184280000000001E-4</v>
      </c>
      <c r="I187" s="36">
        <f t="shared" si="6"/>
        <v>1.4595496246904397E-5</v>
      </c>
      <c r="L187" t="str">
        <f t="shared" si="7"/>
        <v>HUBIBOBA</v>
      </c>
      <c r="M187" t="str">
        <f t="shared" si="8"/>
        <v>HUBIBOBATRADE</v>
      </c>
      <c r="N187" t="s">
        <v>348</v>
      </c>
      <c r="O187" t="s">
        <v>115</v>
      </c>
      <c r="P187" t="s">
        <v>425</v>
      </c>
      <c r="Q187" t="s">
        <v>426</v>
      </c>
      <c r="R187" s="43">
        <v>14.7502</v>
      </c>
      <c r="S187" t="s">
        <v>528</v>
      </c>
      <c r="T187">
        <v>1</v>
      </c>
      <c r="W187" t="s">
        <v>115</v>
      </c>
      <c r="X187" t="s">
        <v>24</v>
      </c>
      <c r="Y187" s="53">
        <v>24161.616036769999</v>
      </c>
      <c r="Z187">
        <v>0</v>
      </c>
      <c r="AC187"/>
      <c r="AD187"/>
      <c r="AS187" t="str">
        <f>IF(Summary_Exchange_Balances_00UTC!$B187="","","'"&amp;C187&amp;"',")</f>
        <v>'XRP',</v>
      </c>
      <c r="AT187">
        <f>IF(Summary_Exchange_Balances_00UTC!$B187="","",IF(ISERROR(HLOOKUP($C187,$AW$1:$LL$2,2,FALSE)),Summary_Exchange_Balances_00UTC!$Q187,IF(OR(HLOOKUP($C187,$AW$1:$LL$2,2,FALSE)="",HLOOKUP($C187,$AW$1:$LL$2,2,FALSE)="null"),Summary_Exchange_Balances_00UTC!$Q187,HLOOKUP($C187,$AW$1:$LL$2,2,FALSE))))</f>
        <v>0.38471588000000001</v>
      </c>
    </row>
    <row r="188" spans="1:46" x14ac:dyDescent="0.25">
      <c r="A188" t="str">
        <f>IF(Summary_Exchange_Balances_00UTC!$B188="","",Summary_Exchange_Balances_00UTC!$N188)</f>
        <v>HUBI</v>
      </c>
      <c r="B188" t="str">
        <f>IF(Summary_Exchange_Balances_00UTC!$B188="","",Summary_Exchange_Balances_00UTC!$B188)</f>
        <v>HUBI-1-M-P</v>
      </c>
      <c r="C188" t="str">
        <f>IF(Summary_Exchange_Balances_00UTC!$B188="","",Summary_Exchange_Balances_00UTC!$E188)</f>
        <v>YFII</v>
      </c>
      <c r="D188" t="str">
        <f>IF(OR(Summary_Exchange_Balances_00UTC!$B188="",Summary_Exchange_Balances_00UTC!$D188=""),"",Summary_Exchange_Balances_00UTC!$D188)</f>
        <v>Balance</v>
      </c>
      <c r="E188" s="53">
        <f>IF(Summary_Exchange_Balances_00UTC!$B188="","",Summary_Exchange_Balances_00UTC!$C188)</f>
        <v>2.4299999999999999E-3</v>
      </c>
      <c r="F188" s="53">
        <f>IF(Summary_Exchange_Balances_00UTC!$B188="","",VLOOKUP(UPPER($A188&amp;$C188),$L:$T,7,FALSE))</f>
        <v>2.4299999999999999E-3</v>
      </c>
      <c r="G188" s="53">
        <f>IF(Summary_Exchange_Balances_00UTC!$B188="","",VLOOKUP(IF(ISERROR(SEARCH(" ", $B188)),UPPER($B188&amp;$C188&amp;$D188),UPPER(LEFT($B188, SEARCH(" ",$B188)-1)&amp;$C188&amp;$D188)),$M:$T,6,FALSE))</f>
        <v>2.4299999999999999E-3</v>
      </c>
      <c r="H188">
        <f>IF(Summary_Exchange_Balances_00UTC!$B188="","",IF(ISERROR($G188),$E188,$G188))</f>
        <v>2.4299999999999999E-3</v>
      </c>
      <c r="I188" s="36">
        <f t="shared" si="6"/>
        <v>0</v>
      </c>
      <c r="L188" t="str">
        <f t="shared" si="7"/>
        <v>HUBIBSV</v>
      </c>
      <c r="M188" t="str">
        <f t="shared" si="8"/>
        <v>HUBIBSVLOAN</v>
      </c>
      <c r="N188" t="s">
        <v>349</v>
      </c>
      <c r="O188" t="s">
        <v>115</v>
      </c>
      <c r="P188" t="s">
        <v>425</v>
      </c>
      <c r="Q188" t="s">
        <v>428</v>
      </c>
      <c r="R188" s="43">
        <v>-546.37</v>
      </c>
      <c r="S188" t="s">
        <v>528</v>
      </c>
      <c r="T188">
        <v>1</v>
      </c>
      <c r="W188" t="s">
        <v>115</v>
      </c>
      <c r="X188" t="s">
        <v>30</v>
      </c>
      <c r="Y188" s="53">
        <v>9676.7341443799996</v>
      </c>
      <c r="Z188">
        <v>0</v>
      </c>
      <c r="AC188"/>
      <c r="AD188"/>
      <c r="AS188" t="str">
        <f>IF(Summary_Exchange_Balances_00UTC!$B188="","","'"&amp;C188&amp;"',")</f>
        <v>'YFII',</v>
      </c>
      <c r="AT188">
        <f>IF(Summary_Exchange_Balances_00UTC!$B188="","",IF(ISERROR(HLOOKUP($C188,$AW$1:$LL$2,2,FALSE)),Summary_Exchange_Balances_00UTC!$Q188,IF(OR(HLOOKUP($C188,$AW$1:$LL$2,2,FALSE)="",HLOOKUP($C188,$AW$1:$LL$2,2,FALSE)="null"),Summary_Exchange_Balances_00UTC!$Q188,HLOOKUP($C188,$AW$1:$LL$2,2,FALSE))))</f>
        <v>1343.3976264953417</v>
      </c>
    </row>
    <row r="189" spans="1:46" x14ac:dyDescent="0.25">
      <c r="A189" t="str">
        <f>IF(Summary_Exchange_Balances_00UTC!$B189="","",Summary_Exchange_Balances_00UTC!$N189)</f>
        <v>HUBI</v>
      </c>
      <c r="B189" t="str">
        <f>IF(Summary_Exchange_Balances_00UTC!$B189="","",Summary_Exchange_Balances_00UTC!$B189)</f>
        <v>HUBI-1-M-PT</v>
      </c>
      <c r="C189" t="str">
        <f>IF(Summary_Exchange_Balances_00UTC!$B189="","",Summary_Exchange_Balances_00UTC!$E189)</f>
        <v>USDT</v>
      </c>
      <c r="D189" t="str">
        <f>IF(OR(Summary_Exchange_Balances_00UTC!$B189="",Summary_Exchange_Balances_00UTC!$D189=""),"",Summary_Exchange_Balances_00UTC!$D189)</f>
        <v>Balance</v>
      </c>
      <c r="E189" s="53">
        <f>IF(Summary_Exchange_Balances_00UTC!$B189="","",Summary_Exchange_Balances_00UTC!$C189)</f>
        <v>644486.57262072002</v>
      </c>
      <c r="F189" s="53">
        <f>IF(Summary_Exchange_Balances_00UTC!$B189="","",VLOOKUP(UPPER($A189&amp;$C189),$L:$T,7,FALSE))</f>
        <v>-29544130.0141466</v>
      </c>
      <c r="G189" s="53" t="e">
        <f>IF(Summary_Exchange_Balances_00UTC!$B189="","",VLOOKUP(IF(ISERROR(SEARCH(" ", $B189)),UPPER($B189&amp;$C189&amp;$D189),UPPER(LEFT($B189, SEARCH(" ",$B189)-1)&amp;$C189&amp;$D189)),$M:$T,6,FALSE))</f>
        <v>#N/A</v>
      </c>
      <c r="H189">
        <f>IF(Summary_Exchange_Balances_00UTC!$B189="","",IF(ISERROR($G189),$E189,$G189))</f>
        <v>644486.57262072002</v>
      </c>
      <c r="I189" s="36" t="e">
        <f t="shared" si="6"/>
        <v>#N/A</v>
      </c>
      <c r="L189" t="str">
        <f t="shared" si="7"/>
        <v>HUBIBSV</v>
      </c>
      <c r="M189" t="str">
        <f t="shared" si="8"/>
        <v>HUBIBSVTRADE</v>
      </c>
      <c r="N189" t="s">
        <v>349</v>
      </c>
      <c r="O189" t="s">
        <v>115</v>
      </c>
      <c r="P189" t="s">
        <v>425</v>
      </c>
      <c r="Q189" t="s">
        <v>426</v>
      </c>
      <c r="R189" s="43">
        <v>1625.6897381399999</v>
      </c>
      <c r="S189" t="s">
        <v>528</v>
      </c>
      <c r="T189">
        <v>1</v>
      </c>
      <c r="W189" t="s">
        <v>115</v>
      </c>
      <c r="X189" t="s">
        <v>16</v>
      </c>
      <c r="Y189" s="53">
        <v>631.29057675000001</v>
      </c>
      <c r="Z189">
        <v>0</v>
      </c>
      <c r="AC189"/>
      <c r="AD189"/>
      <c r="AS189" t="str">
        <f>IF(Summary_Exchange_Balances_00UTC!$B189="","","'"&amp;C189&amp;"',")</f>
        <v>'USDT',</v>
      </c>
      <c r="AT189">
        <f>IF(Summary_Exchange_Balances_00UTC!$B189="","",IF(ISERROR(HLOOKUP($C189,$AW$1:$LL$2,2,FALSE)),Summary_Exchange_Balances_00UTC!$Q189,IF(OR(HLOOKUP($C189,$AW$1:$LL$2,2,FALSE)="",HLOOKUP($C189,$AW$1:$LL$2,2,FALSE)="null"),Summary_Exchange_Balances_00UTC!$Q189,HLOOKUP($C189,$AW$1:$LL$2,2,FALSE))))</f>
        <v>1.0001054103245375</v>
      </c>
    </row>
    <row r="190" spans="1:46" x14ac:dyDescent="0.25">
      <c r="A190" t="str">
        <f>IF(Summary_Exchange_Balances_00UTC!$B190="","",Summary_Exchange_Balances_00UTC!$N190)</f>
        <v>HUBI</v>
      </c>
      <c r="B190" t="str">
        <f>IF(Summary_Exchange_Balances_00UTC!$B190="","",Summary_Exchange_Balances_00UTC!$B190)</f>
        <v>HUBI-1-M-PT</v>
      </c>
      <c r="C190" t="str">
        <f>IF(Summary_Exchange_Balances_00UTC!$B190="","",Summary_Exchange_Balances_00UTC!$E190)</f>
        <v>USDT</v>
      </c>
      <c r="D190" t="str">
        <f>IF(OR(Summary_Exchange_Balances_00UTC!$B190="",Summary_Exchange_Balances_00UTC!$D190=""),"",Summary_Exchange_Balances_00UTC!$D190)</f>
        <v>Unrealized</v>
      </c>
      <c r="E190" s="53">
        <f>IF(Summary_Exchange_Balances_00UTC!$B190="","",Summary_Exchange_Balances_00UTC!$C190)</f>
        <v>44.808952169999998</v>
      </c>
      <c r="F190" s="53">
        <f>IF(Summary_Exchange_Balances_00UTC!$B190="","",VLOOKUP(UPPER($A190&amp;$C190),$L:$T,7,FALSE))</f>
        <v>-29544130.0141466</v>
      </c>
      <c r="G190" s="53" t="e">
        <f>IF(Summary_Exchange_Balances_00UTC!$B190="","",VLOOKUP(IF(ISERROR(SEARCH(" ", $B190)),UPPER($B190&amp;$C190&amp;$D190),UPPER(LEFT($B190, SEARCH(" ",$B190)-1)&amp;$C190&amp;$D190)),$M:$T,6,FALSE))</f>
        <v>#N/A</v>
      </c>
      <c r="H190">
        <f>IF(Summary_Exchange_Balances_00UTC!$B190="","",IF(ISERROR($G190),$E190,$G190))</f>
        <v>44.808952169999998</v>
      </c>
      <c r="I190" s="36" t="e">
        <f t="shared" si="6"/>
        <v>#N/A</v>
      </c>
      <c r="L190" t="str">
        <f t="shared" si="7"/>
        <v>HUBIBSV</v>
      </c>
      <c r="M190" t="str">
        <f t="shared" si="8"/>
        <v>HUBIBSVTRADE</v>
      </c>
      <c r="N190" t="s">
        <v>349</v>
      </c>
      <c r="O190" t="s">
        <v>115</v>
      </c>
      <c r="P190" t="s">
        <v>425</v>
      </c>
      <c r="Q190" t="s">
        <v>426</v>
      </c>
      <c r="R190" s="43">
        <v>2605.9444934200001</v>
      </c>
      <c r="S190" t="s">
        <v>528</v>
      </c>
      <c r="T190">
        <v>1</v>
      </c>
      <c r="W190" t="s">
        <v>115</v>
      </c>
      <c r="X190" t="s">
        <v>297</v>
      </c>
      <c r="Y190" s="53">
        <v>9823.8364263999993</v>
      </c>
      <c r="Z190">
        <v>0</v>
      </c>
      <c r="AC190"/>
      <c r="AD190"/>
      <c r="AS190" t="str">
        <f>IF(Summary_Exchange_Balances_00UTC!$B190="","","'"&amp;C190&amp;"',")</f>
        <v>'USDT',</v>
      </c>
      <c r="AT190">
        <f>IF(Summary_Exchange_Balances_00UTC!$B190="","",IF(ISERROR(HLOOKUP($C190,$AW$1:$LL$2,2,FALSE)),Summary_Exchange_Balances_00UTC!$Q190,IF(OR(HLOOKUP($C190,$AW$1:$LL$2,2,FALSE)="",HLOOKUP($C190,$AW$1:$LL$2,2,FALSE)="null"),Summary_Exchange_Balances_00UTC!$Q190,HLOOKUP($C190,$AW$1:$LL$2,2,FALSE))))</f>
        <v>1.000105410324537</v>
      </c>
    </row>
    <row r="191" spans="1:46" x14ac:dyDescent="0.25">
      <c r="A191" t="str">
        <f>IF(Summary_Exchange_Balances_00UTC!$B191="","",Summary_Exchange_Balances_00UTC!$N191)</f>
        <v>HUBI</v>
      </c>
      <c r="B191" t="str">
        <f>IF(Summary_Exchange_Balances_00UTC!$B191="","",Summary_Exchange_Balances_00UTC!$B191)</f>
        <v>HUBI-E</v>
      </c>
      <c r="C191" t="str">
        <f>IF(Summary_Exchange_Balances_00UTC!$B191="","",Summary_Exchange_Balances_00UTC!$E191)</f>
        <v>AAC</v>
      </c>
      <c r="D191" t="str">
        <f>IF(OR(Summary_Exchange_Balances_00UTC!$B191="",Summary_Exchange_Balances_00UTC!$D191=""),"",Summary_Exchange_Balances_00UTC!$D191)</f>
        <v/>
      </c>
      <c r="E191" s="53">
        <f>IF(Summary_Exchange_Balances_00UTC!$B191="","",Summary_Exchange_Balances_00UTC!$C191)</f>
        <v>377.09760540000002</v>
      </c>
      <c r="F191" s="53">
        <f>IF(Summary_Exchange_Balances_00UTC!$B191="","",VLOOKUP(UPPER($A191&amp;$C191),$L:$T,7,FALSE))</f>
        <v>377.09760540000002</v>
      </c>
      <c r="G191" s="53" t="e">
        <f>IF(Summary_Exchange_Balances_00UTC!$B191="","",VLOOKUP(IF(ISERROR(SEARCH(" ", $B191)),UPPER($B191&amp;$C191&amp;$D191),UPPER(LEFT($B191, SEARCH(" ",$B191)-1)&amp;$C191&amp;$D191)),$M:$T,6,FALSE))</f>
        <v>#N/A</v>
      </c>
      <c r="H191">
        <f>IF(Summary_Exchange_Balances_00UTC!$B191="","",IF(ISERROR($G191),$E191,$G191))</f>
        <v>377.09760540000002</v>
      </c>
      <c r="I191" s="36" t="e">
        <f t="shared" si="6"/>
        <v>#N/A</v>
      </c>
      <c r="L191" t="str">
        <f t="shared" si="7"/>
        <v>HUBIBSV</v>
      </c>
      <c r="M191" t="str">
        <f t="shared" si="8"/>
        <v>HUB2BSVTRADE</v>
      </c>
      <c r="N191" t="s">
        <v>349</v>
      </c>
      <c r="O191" t="s">
        <v>115</v>
      </c>
      <c r="P191" t="s">
        <v>427</v>
      </c>
      <c r="Q191" t="s">
        <v>426</v>
      </c>
      <c r="R191" s="43">
        <v>1E-8</v>
      </c>
      <c r="S191" t="s">
        <v>529</v>
      </c>
      <c r="T191">
        <v>1</v>
      </c>
      <c r="W191" t="s">
        <v>115</v>
      </c>
      <c r="X191" t="s">
        <v>275</v>
      </c>
      <c r="Y191" s="53">
        <v>3460.93190667</v>
      </c>
      <c r="Z191">
        <v>0</v>
      </c>
      <c r="AC191"/>
      <c r="AD191"/>
      <c r="AS191" t="str">
        <f>IF(Summary_Exchange_Balances_00UTC!$B191="","","'"&amp;C191&amp;"',")</f>
        <v>'AAC',</v>
      </c>
      <c r="AT191">
        <f>IF(Summary_Exchange_Balances_00UTC!$B191="","",IF(ISERROR(HLOOKUP($C191,$AW$1:$LL$2,2,FALSE)),Summary_Exchange_Balances_00UTC!$Q191,IF(OR(HLOOKUP($C191,$AW$1:$LL$2,2,FALSE)="",HLOOKUP($C191,$AW$1:$LL$2,2,FALSE)="null"),Summary_Exchange_Balances_00UTC!$Q191,HLOOKUP($C191,$AW$1:$LL$2,2,FALSE))))</f>
        <v>2.9503109604573746E-4</v>
      </c>
    </row>
    <row r="192" spans="1:46" x14ac:dyDescent="0.25">
      <c r="A192" t="str">
        <f>IF(Summary_Exchange_Balances_00UTC!$B192="","",Summary_Exchange_Balances_00UTC!$N192)</f>
        <v>HUBI</v>
      </c>
      <c r="B192" t="str">
        <f>IF(Summary_Exchange_Balances_00UTC!$B192="","",Summary_Exchange_Balances_00UTC!$B192)</f>
        <v>HUBI-E</v>
      </c>
      <c r="C192" t="str">
        <f>IF(Summary_Exchange_Balances_00UTC!$B192="","",Summary_Exchange_Balances_00UTC!$E192)</f>
        <v>ADA</v>
      </c>
      <c r="D192" t="str">
        <f>IF(OR(Summary_Exchange_Balances_00UTC!$B192="",Summary_Exchange_Balances_00UTC!$D192=""),"",Summary_Exchange_Balances_00UTC!$D192)</f>
        <v/>
      </c>
      <c r="E192" s="53">
        <f>IF(Summary_Exchange_Balances_00UTC!$B192="","",Summary_Exchange_Balances_00UTC!$C192)</f>
        <v>1.1000000000000001E-7</v>
      </c>
      <c r="F192" s="53">
        <f>IF(Summary_Exchange_Balances_00UTC!$B192="","",VLOOKUP(UPPER($A192&amp;$C192),$L:$T,7,FALSE))</f>
        <v>3.2091770000000001E-4</v>
      </c>
      <c r="G192" s="53" t="e">
        <f>IF(Summary_Exchange_Balances_00UTC!$B192="","",VLOOKUP(IF(ISERROR(SEARCH(" ", $B192)),UPPER($B192&amp;$C192&amp;$D192),UPPER(LEFT($B192, SEARCH(" ",$B192)-1)&amp;$C192&amp;$D192)),$M:$T,6,FALSE))</f>
        <v>#N/A</v>
      </c>
      <c r="H192">
        <f>IF(Summary_Exchange_Balances_00UTC!$B192="","",IF(ISERROR($G192),$E192,$G192))</f>
        <v>1.1000000000000001E-7</v>
      </c>
      <c r="I192" s="36" t="e">
        <f t="shared" si="6"/>
        <v>#N/A</v>
      </c>
      <c r="L192" t="str">
        <f t="shared" si="7"/>
        <v>HUBIBTC</v>
      </c>
      <c r="M192" t="str">
        <f t="shared" si="8"/>
        <v>HUBIBTCFROZEN</v>
      </c>
      <c r="N192" t="s">
        <v>350</v>
      </c>
      <c r="O192" s="29" t="s">
        <v>115</v>
      </c>
      <c r="P192" t="s">
        <v>425</v>
      </c>
      <c r="Q192" t="s">
        <v>429</v>
      </c>
      <c r="R192" s="43">
        <v>1.9328559999999999</v>
      </c>
      <c r="S192" t="s">
        <v>528</v>
      </c>
      <c r="T192">
        <v>1</v>
      </c>
      <c r="W192" t="s">
        <v>115</v>
      </c>
      <c r="X192" t="s">
        <v>261</v>
      </c>
      <c r="Y192" s="53">
        <v>339630.03834208002</v>
      </c>
      <c r="Z192">
        <v>0</v>
      </c>
      <c r="AC192"/>
      <c r="AD192"/>
      <c r="AS192" t="str">
        <f>IF(Summary_Exchange_Balances_00UTC!$B192="","","'"&amp;C192&amp;"',")</f>
        <v>'ADA',</v>
      </c>
      <c r="AT192">
        <f>IF(Summary_Exchange_Balances_00UTC!$B192="","",IF(ISERROR(HLOOKUP($C192,$AW$1:$LL$2,2,FALSE)),Summary_Exchange_Balances_00UTC!$Q192,IF(OR(HLOOKUP($C192,$AW$1:$LL$2,2,FALSE)="",HLOOKUP($C192,$AW$1:$LL$2,2,FALSE)="null"),Summary_Exchange_Balances_00UTC!$Q192,HLOOKUP($C192,$AW$1:$LL$2,2,FALSE))))</f>
        <v>0.32653653999999999</v>
      </c>
    </row>
    <row r="193" spans="1:46" x14ac:dyDescent="0.25">
      <c r="A193" t="str">
        <f>IF(Summary_Exchange_Balances_00UTC!$B193="","",Summary_Exchange_Balances_00UTC!$N193)</f>
        <v>HUBI</v>
      </c>
      <c r="B193" t="str">
        <f>IF(Summary_Exchange_Balances_00UTC!$B193="","",Summary_Exchange_Balances_00UTC!$B193)</f>
        <v>HUBI-E</v>
      </c>
      <c r="C193" t="str">
        <f>IF(Summary_Exchange_Balances_00UTC!$B193="","",Summary_Exchange_Balances_00UTC!$E193)</f>
        <v>ALGO</v>
      </c>
      <c r="D193" t="str">
        <f>IF(OR(Summary_Exchange_Balances_00UTC!$B193="",Summary_Exchange_Balances_00UTC!$D193=""),"",Summary_Exchange_Balances_00UTC!$D193)</f>
        <v/>
      </c>
      <c r="E193" s="53">
        <f>IF(Summary_Exchange_Balances_00UTC!$B193="","",Summary_Exchange_Balances_00UTC!$C193)</f>
        <v>2.6E-7</v>
      </c>
      <c r="F193" s="53">
        <f>IF(Summary_Exchange_Balances_00UTC!$B193="","",VLOOKUP(UPPER($A193&amp;$C193),$L:$T,7,FALSE))</f>
        <v>3587.9402382600001</v>
      </c>
      <c r="G193" s="53" t="e">
        <f>IF(Summary_Exchange_Balances_00UTC!$B193="","",VLOOKUP(IF(ISERROR(SEARCH(" ", $B193)),UPPER($B193&amp;$C193&amp;$D193),UPPER(LEFT($B193, SEARCH(" ",$B193)-1)&amp;$C193&amp;$D193)),$M:$T,6,FALSE))</f>
        <v>#N/A</v>
      </c>
      <c r="H193">
        <f>IF(Summary_Exchange_Balances_00UTC!$B193="","",IF(ISERROR($G193),$E193,$G193))</f>
        <v>2.6E-7</v>
      </c>
      <c r="I193" s="36" t="e">
        <f t="shared" si="6"/>
        <v>#N/A</v>
      </c>
      <c r="L193" t="str">
        <f t="shared" si="7"/>
        <v>HUBIBTC</v>
      </c>
      <c r="M193" t="str">
        <f t="shared" si="8"/>
        <v>HUBI-3-S3-MBTCTRADE</v>
      </c>
      <c r="N193" t="s">
        <v>350</v>
      </c>
      <c r="O193" t="s">
        <v>115</v>
      </c>
      <c r="P193" t="s">
        <v>122</v>
      </c>
      <c r="Q193" t="s">
        <v>426</v>
      </c>
      <c r="R193" s="43">
        <v>4.354E-5</v>
      </c>
      <c r="S193" t="s">
        <v>530</v>
      </c>
      <c r="T193">
        <v>1</v>
      </c>
      <c r="W193" t="s">
        <v>115</v>
      </c>
      <c r="X193" t="s">
        <v>31</v>
      </c>
      <c r="Y193" s="53">
        <v>2339.8611111199998</v>
      </c>
      <c r="Z193">
        <v>0</v>
      </c>
      <c r="AC193"/>
      <c r="AD193"/>
      <c r="AS193" t="str">
        <f>IF(Summary_Exchange_Balances_00UTC!$B193="","","'"&amp;C193&amp;"',")</f>
        <v>'ALGO',</v>
      </c>
      <c r="AT193">
        <f>IF(Summary_Exchange_Balances_00UTC!$B193="","",IF(ISERROR(HLOOKUP($C193,$AW$1:$LL$2,2,FALSE)),Summary_Exchange_Balances_00UTC!$Q193,IF(OR(HLOOKUP($C193,$AW$1:$LL$2,2,FALSE)="",HLOOKUP($C193,$AW$1:$LL$2,2,FALSE)="null"),Summary_Exchange_Balances_00UTC!$Q193,HLOOKUP($C193,$AW$1:$LL$2,2,FALSE))))</f>
        <v>0.26910000000000001</v>
      </c>
    </row>
    <row r="194" spans="1:46" x14ac:dyDescent="0.25">
      <c r="A194" t="str">
        <f>IF(Summary_Exchange_Balances_00UTC!$B194="","",Summary_Exchange_Balances_00UTC!$N194)</f>
        <v>HUBI</v>
      </c>
      <c r="B194" t="str">
        <f>IF(Summary_Exchange_Balances_00UTC!$B194="","",Summary_Exchange_Balances_00UTC!$B194)</f>
        <v>HUBI-E</v>
      </c>
      <c r="C194" t="str">
        <f>IF(Summary_Exchange_Balances_00UTC!$B194="","",Summary_Exchange_Balances_00UTC!$E194)</f>
        <v>ARPA</v>
      </c>
      <c r="D194" t="str">
        <f>IF(OR(Summary_Exchange_Balances_00UTC!$B194="",Summary_Exchange_Balances_00UTC!$D194=""),"",Summary_Exchange_Balances_00UTC!$D194)</f>
        <v/>
      </c>
      <c r="E194" s="53">
        <f>IF(Summary_Exchange_Balances_00UTC!$B194="","",Summary_Exchange_Balances_00UTC!$C194)</f>
        <v>0.53247394999999997</v>
      </c>
      <c r="F194" s="53">
        <f>IF(Summary_Exchange_Balances_00UTC!$B194="","",VLOOKUP(UPPER($A194&amp;$C194),$L:$T,7,FALSE))</f>
        <v>0.53247394999999997</v>
      </c>
      <c r="G194" s="53" t="e">
        <f>IF(Summary_Exchange_Balances_00UTC!$B194="","",VLOOKUP(IF(ISERROR(SEARCH(" ", $B194)),UPPER($B194&amp;$C194&amp;$D194),UPPER(LEFT($B194, SEARCH(" ",$B194)-1)&amp;$C194&amp;$D194)),$M:$T,6,FALSE))</f>
        <v>#N/A</v>
      </c>
      <c r="H194">
        <f>IF(Summary_Exchange_Balances_00UTC!$B194="","",IF(ISERROR($G194),$E194,$G194))</f>
        <v>0.53247394999999997</v>
      </c>
      <c r="I194" s="36" t="e">
        <f t="shared" ref="I194:I257" si="9">(G194-E194)/E194</f>
        <v>#N/A</v>
      </c>
      <c r="L194" t="str">
        <f t="shared" ref="L194:L257" si="10">UPPER($O194&amp;$N194)</f>
        <v>HUBIBTC</v>
      </c>
      <c r="M194" t="str">
        <f t="shared" ref="M194:M257" si="11">UPPER($P194&amp;$N194&amp;Q194)</f>
        <v>HUBIBTCTRADE</v>
      </c>
      <c r="N194" t="s">
        <v>350</v>
      </c>
      <c r="O194" t="s">
        <v>115</v>
      </c>
      <c r="P194" t="s">
        <v>425</v>
      </c>
      <c r="Q194" t="s">
        <v>426</v>
      </c>
      <c r="R194" s="43">
        <v>332.01300204</v>
      </c>
      <c r="S194" t="s">
        <v>528</v>
      </c>
      <c r="T194">
        <v>1</v>
      </c>
      <c r="W194" t="s">
        <v>115</v>
      </c>
      <c r="X194" t="s">
        <v>112</v>
      </c>
      <c r="Y194" s="53">
        <v>0.68557060000000003</v>
      </c>
      <c r="Z194">
        <v>0</v>
      </c>
      <c r="AC194"/>
      <c r="AD194"/>
      <c r="AS194" t="str">
        <f>IF(Summary_Exchange_Balances_00UTC!$B194="","","'"&amp;C194&amp;"',")</f>
        <v>'ARPA',</v>
      </c>
      <c r="AT194">
        <f>IF(Summary_Exchange_Balances_00UTC!$B194="","",IF(ISERROR(HLOOKUP($C194,$AW$1:$LL$2,2,FALSE)),Summary_Exchange_Balances_00UTC!$Q194,IF(OR(HLOOKUP($C194,$AW$1:$LL$2,2,FALSE)="",HLOOKUP($C194,$AW$1:$LL$2,2,FALSE)="null"),Summary_Exchange_Balances_00UTC!$Q194,HLOOKUP($C194,$AW$1:$LL$2,2,FALSE))))</f>
        <v>2.9292471050082543E-2</v>
      </c>
    </row>
    <row r="195" spans="1:46" x14ac:dyDescent="0.25">
      <c r="A195" t="str">
        <f>IF(Summary_Exchange_Balances_00UTC!$B195="","",Summary_Exchange_Balances_00UTC!$N195)</f>
        <v>HUBI</v>
      </c>
      <c r="B195" t="str">
        <f>IF(Summary_Exchange_Balances_00UTC!$B195="","",Summary_Exchange_Balances_00UTC!$B195)</f>
        <v>HUBI-E</v>
      </c>
      <c r="C195" t="str">
        <f>IF(Summary_Exchange_Balances_00UTC!$B195="","",Summary_Exchange_Balances_00UTC!$E195)</f>
        <v>ATOM</v>
      </c>
      <c r="D195" t="str">
        <f>IF(OR(Summary_Exchange_Balances_00UTC!$B195="",Summary_Exchange_Balances_00UTC!$D195=""),"",Summary_Exchange_Balances_00UTC!$D195)</f>
        <v/>
      </c>
      <c r="E195" s="53">
        <f>IF(Summary_Exchange_Balances_00UTC!$B195="","",Summary_Exchange_Balances_00UTC!$C195)</f>
        <v>4.3657420000000002E-2</v>
      </c>
      <c r="F195" s="53">
        <f>IF(Summary_Exchange_Balances_00UTC!$B195="","",VLOOKUP(UPPER($A195&amp;$C195),$L:$T,7,FALSE))</f>
        <v>435.59609782000001</v>
      </c>
      <c r="G195" s="53" t="e">
        <f>IF(Summary_Exchange_Balances_00UTC!$B195="","",VLOOKUP(IF(ISERROR(SEARCH(" ", $B195)),UPPER($B195&amp;$C195&amp;$D195),UPPER(LEFT($B195, SEARCH(" ",$B195)-1)&amp;$C195&amp;$D195)),$M:$T,6,FALSE))</f>
        <v>#N/A</v>
      </c>
      <c r="H195">
        <f>IF(Summary_Exchange_Balances_00UTC!$B195="","",IF(ISERROR($G195),$E195,$G195))</f>
        <v>4.3657420000000002E-2</v>
      </c>
      <c r="I195" s="36" t="e">
        <f t="shared" si="9"/>
        <v>#N/A</v>
      </c>
      <c r="L195" t="str">
        <f t="shared" si="10"/>
        <v>HUBIBTC</v>
      </c>
      <c r="M195" t="str">
        <f t="shared" si="11"/>
        <v>HUBIBTCTRADE</v>
      </c>
      <c r="N195" t="s">
        <v>350</v>
      </c>
      <c r="O195" t="s">
        <v>115</v>
      </c>
      <c r="P195" t="s">
        <v>425</v>
      </c>
      <c r="Q195" t="s">
        <v>426</v>
      </c>
      <c r="R195" s="43">
        <v>464.88492794000001</v>
      </c>
      <c r="S195" t="s">
        <v>528</v>
      </c>
      <c r="T195">
        <v>1</v>
      </c>
      <c r="W195" t="s">
        <v>115</v>
      </c>
      <c r="X195" t="s">
        <v>137</v>
      </c>
      <c r="Y195" s="53">
        <v>54.776400000000002</v>
      </c>
      <c r="Z195">
        <v>0</v>
      </c>
      <c r="AC195"/>
      <c r="AD195"/>
      <c r="AS195" t="str">
        <f>IF(Summary_Exchange_Balances_00UTC!$B195="","","'"&amp;C195&amp;"',")</f>
        <v>'ATOM',</v>
      </c>
      <c r="AT195">
        <f>IF(Summary_Exchange_Balances_00UTC!$B195="","",IF(ISERROR(HLOOKUP($C195,$AW$1:$LL$2,2,FALSE)),Summary_Exchange_Balances_00UTC!$Q195,IF(OR(HLOOKUP($C195,$AW$1:$LL$2,2,FALSE)="",HLOOKUP($C195,$AW$1:$LL$2,2,FALSE)="null"),Summary_Exchange_Balances_00UTC!$Q195,HLOOKUP($C195,$AW$1:$LL$2,2,FALSE))))</f>
        <v>9.9934670000000008</v>
      </c>
    </row>
    <row r="196" spans="1:46" x14ac:dyDescent="0.25">
      <c r="A196" t="str">
        <f>IF(Summary_Exchange_Balances_00UTC!$B196="","",Summary_Exchange_Balances_00UTC!$N196)</f>
        <v>HUBI</v>
      </c>
      <c r="B196" t="str">
        <f>IF(Summary_Exchange_Balances_00UTC!$B196="","",Summary_Exchange_Balances_00UTC!$B196)</f>
        <v>HUBI-E</v>
      </c>
      <c r="C196" t="str">
        <f>IF(Summary_Exchange_Balances_00UTC!$B196="","",Summary_Exchange_Balances_00UTC!$E196)</f>
        <v>AVAX</v>
      </c>
      <c r="D196" t="str">
        <f>IF(OR(Summary_Exchange_Balances_00UTC!$B196="",Summary_Exchange_Balances_00UTC!$D196=""),"",Summary_Exchange_Balances_00UTC!$D196)</f>
        <v/>
      </c>
      <c r="E196" s="53">
        <f>IF(Summary_Exchange_Balances_00UTC!$B196="","",Summary_Exchange_Balances_00UTC!$C196)</f>
        <v>1.5389969999999999E-2</v>
      </c>
      <c r="F196" s="53">
        <f>IF(Summary_Exchange_Balances_00UTC!$B196="","",VLOOKUP(UPPER($A196&amp;$C196),$L:$T,7,FALSE))</f>
        <v>1.5389969999999999E-2</v>
      </c>
      <c r="G196" s="53" t="e">
        <f>IF(Summary_Exchange_Balances_00UTC!$B196="","",VLOOKUP(IF(ISERROR(SEARCH(" ", $B196)),UPPER($B196&amp;$C196&amp;$D196),UPPER(LEFT($B196, SEARCH(" ",$B196)-1)&amp;$C196&amp;$D196)),$M:$T,6,FALSE))</f>
        <v>#N/A</v>
      </c>
      <c r="H196">
        <f>IF(Summary_Exchange_Balances_00UTC!$B196="","",IF(ISERROR($G196),$E196,$G196))</f>
        <v>1.5389969999999999E-2</v>
      </c>
      <c r="I196" s="36" t="e">
        <f t="shared" si="9"/>
        <v>#N/A</v>
      </c>
      <c r="L196" t="str">
        <f t="shared" si="10"/>
        <v>HUBIBTM</v>
      </c>
      <c r="M196" t="str">
        <f t="shared" si="11"/>
        <v>HUBIBTMTRADE</v>
      </c>
      <c r="N196" t="s">
        <v>351</v>
      </c>
      <c r="O196" t="s">
        <v>115</v>
      </c>
      <c r="P196" t="s">
        <v>425</v>
      </c>
      <c r="Q196" t="s">
        <v>426</v>
      </c>
      <c r="R196" s="43">
        <v>0.33565571999999999</v>
      </c>
      <c r="S196" t="s">
        <v>528</v>
      </c>
      <c r="T196">
        <v>1</v>
      </c>
      <c r="W196" t="s">
        <v>115</v>
      </c>
      <c r="X196" t="s">
        <v>138</v>
      </c>
      <c r="Y196" s="53">
        <v>100.03406049</v>
      </c>
      <c r="Z196">
        <v>0</v>
      </c>
      <c r="AC196"/>
      <c r="AD196"/>
      <c r="AS196" t="str">
        <f>IF(Summary_Exchange_Balances_00UTC!$B196="","","'"&amp;C196&amp;"',")</f>
        <v>'AVAX',</v>
      </c>
      <c r="AT196">
        <f>IF(Summary_Exchange_Balances_00UTC!$B196="","",IF(ISERROR(HLOOKUP($C196,$AW$1:$LL$2,2,FALSE)),Summary_Exchange_Balances_00UTC!$Q196,IF(OR(HLOOKUP($C196,$AW$1:$LL$2,2,FALSE)="",HLOOKUP($C196,$AW$1:$LL$2,2,FALSE)="null"),Summary_Exchange_Balances_00UTC!$Q196,HLOOKUP($C196,$AW$1:$LL$2,2,FALSE))))</f>
        <v>13.03</v>
      </c>
    </row>
    <row r="197" spans="1:46" x14ac:dyDescent="0.25">
      <c r="A197" t="str">
        <f>IF(Summary_Exchange_Balances_00UTC!$B197="","",Summary_Exchange_Balances_00UTC!$N197)</f>
        <v>HUBI</v>
      </c>
      <c r="B197" t="str">
        <f>IF(Summary_Exchange_Balances_00UTC!$B197="","",Summary_Exchange_Balances_00UTC!$B197)</f>
        <v>HUBI-E</v>
      </c>
      <c r="C197" t="str">
        <f>IF(Summary_Exchange_Balances_00UTC!$B197="","",Summary_Exchange_Balances_00UTC!$E197)</f>
        <v>BAT</v>
      </c>
      <c r="D197" t="str">
        <f>IF(OR(Summary_Exchange_Balances_00UTC!$B197="",Summary_Exchange_Balances_00UTC!$D197=""),"",Summary_Exchange_Balances_00UTC!$D197)</f>
        <v/>
      </c>
      <c r="E197" s="53">
        <f>IF(Summary_Exchange_Balances_00UTC!$B197="","",Summary_Exchange_Balances_00UTC!$C197)</f>
        <v>2.0454320000000002E-2</v>
      </c>
      <c r="F197" s="53">
        <f>IF(Summary_Exchange_Balances_00UTC!$B197="","",VLOOKUP(UPPER($A197&amp;$C197),$L:$T,7,FALSE))</f>
        <v>152.41521331999999</v>
      </c>
      <c r="G197" s="53" t="e">
        <f>IF(Summary_Exchange_Balances_00UTC!$B197="","",VLOOKUP(IF(ISERROR(SEARCH(" ", $B197)),UPPER($B197&amp;$C197&amp;$D197),UPPER(LEFT($B197, SEARCH(" ",$B197)-1)&amp;$C197&amp;$D197)),$M:$T,6,FALSE))</f>
        <v>#N/A</v>
      </c>
      <c r="H197">
        <f>IF(Summary_Exchange_Balances_00UTC!$B197="","",IF(ISERROR($G197),$E197,$G197))</f>
        <v>2.0454320000000002E-2</v>
      </c>
      <c r="I197" s="36" t="e">
        <f t="shared" si="9"/>
        <v>#N/A</v>
      </c>
      <c r="L197" t="str">
        <f t="shared" si="10"/>
        <v>HUBIBTT</v>
      </c>
      <c r="M197" t="str">
        <f t="shared" si="11"/>
        <v>HUBIBTTTRADE</v>
      </c>
      <c r="N197" t="s">
        <v>352</v>
      </c>
      <c r="O197" t="s">
        <v>115</v>
      </c>
      <c r="P197" t="s">
        <v>425</v>
      </c>
      <c r="Q197" t="s">
        <v>426</v>
      </c>
      <c r="R197" s="43">
        <v>1367501156.8785999</v>
      </c>
      <c r="S197" t="s">
        <v>528</v>
      </c>
      <c r="T197">
        <v>1</v>
      </c>
      <c r="W197" t="s">
        <v>115</v>
      </c>
      <c r="X197" t="s">
        <v>139</v>
      </c>
      <c r="Y197" s="53">
        <v>5337.6979873099999</v>
      </c>
      <c r="Z197">
        <v>0</v>
      </c>
      <c r="AC197"/>
      <c r="AD197"/>
      <c r="AS197" t="str">
        <f>IF(Summary_Exchange_Balances_00UTC!$B197="","","'"&amp;C197&amp;"',")</f>
        <v>'BAT',</v>
      </c>
      <c r="AT197">
        <f>IF(Summary_Exchange_Balances_00UTC!$B197="","",IF(ISERROR(HLOOKUP($C197,$AW$1:$LL$2,2,FALSE)),Summary_Exchange_Balances_00UTC!$Q197,IF(OR(HLOOKUP($C197,$AW$1:$LL$2,2,FALSE)="",HLOOKUP($C197,$AW$1:$LL$2,2,FALSE)="null"),Summary_Exchange_Balances_00UTC!$Q197,HLOOKUP($C197,$AW$1:$LL$2,2,FALSE))))</f>
        <v>0.22422048</v>
      </c>
    </row>
    <row r="198" spans="1:46" x14ac:dyDescent="0.25">
      <c r="A198" t="str">
        <f>IF(Summary_Exchange_Balances_00UTC!$B198="","",Summary_Exchange_Balances_00UTC!$N198)</f>
        <v>HUBI</v>
      </c>
      <c r="B198" t="str">
        <f>IF(Summary_Exchange_Balances_00UTC!$B198="","",Summary_Exchange_Balances_00UTC!$B198)</f>
        <v>HUBI-E</v>
      </c>
      <c r="C198" t="str">
        <f>IF(Summary_Exchange_Balances_00UTC!$B198="","",Summary_Exchange_Balances_00UTC!$E198)</f>
        <v>BCH</v>
      </c>
      <c r="D198" t="str">
        <f>IF(OR(Summary_Exchange_Balances_00UTC!$B198="",Summary_Exchange_Balances_00UTC!$D198=""),"",Summary_Exchange_Balances_00UTC!$D198)</f>
        <v/>
      </c>
      <c r="E198" s="53">
        <f>IF(Summary_Exchange_Balances_00UTC!$B198="","",Summary_Exchange_Balances_00UTC!$C198)</f>
        <v>838.04330769000001</v>
      </c>
      <c r="F198" s="53">
        <f>IF(Summary_Exchange_Balances_00UTC!$B198="","",VLOOKUP(UPPER($A198&amp;$C198),$L:$T,7,FALSE))</f>
        <v>5.3552099999999996E-4</v>
      </c>
      <c r="G198" s="53" t="e">
        <f>IF(Summary_Exchange_Balances_00UTC!$B198="","",VLOOKUP(IF(ISERROR(SEARCH(" ", $B198)),UPPER($B198&amp;$C198&amp;$D198),UPPER(LEFT($B198, SEARCH(" ",$B198)-1)&amp;$C198&amp;$D198)),$M:$T,6,FALSE))</f>
        <v>#N/A</v>
      </c>
      <c r="H198">
        <f>IF(Summary_Exchange_Balances_00UTC!$B198="","",IF(ISERROR($G198),$E198,$G198))</f>
        <v>838.04330769000001</v>
      </c>
      <c r="I198" s="36" t="e">
        <f t="shared" si="9"/>
        <v>#N/A</v>
      </c>
      <c r="L198" t="str">
        <f t="shared" si="10"/>
        <v>HUBICMT</v>
      </c>
      <c r="M198" t="str">
        <f t="shared" si="11"/>
        <v>HUBICMTTRADE</v>
      </c>
      <c r="N198" t="s">
        <v>353</v>
      </c>
      <c r="O198" t="s">
        <v>115</v>
      </c>
      <c r="P198" t="s">
        <v>425</v>
      </c>
      <c r="Q198" t="s">
        <v>426</v>
      </c>
      <c r="R198" s="43">
        <v>1.7855998900000001</v>
      </c>
      <c r="S198" t="s">
        <v>528</v>
      </c>
      <c r="T198">
        <v>1</v>
      </c>
      <c r="W198" t="s">
        <v>115</v>
      </c>
      <c r="X198" t="s">
        <v>140</v>
      </c>
      <c r="Y198" s="53">
        <v>3354.5254768599998</v>
      </c>
      <c r="Z198">
        <v>0</v>
      </c>
      <c r="AC198"/>
      <c r="AD198"/>
      <c r="AS198" t="str">
        <f>IF(Summary_Exchange_Balances_00UTC!$B198="","","'"&amp;C198&amp;"',")</f>
        <v>'BCH',</v>
      </c>
      <c r="AT198">
        <f>IF(Summary_Exchange_Balances_00UTC!$B198="","",IF(ISERROR(HLOOKUP($C198,$AW$1:$LL$2,2,FALSE)),Summary_Exchange_Balances_00UTC!$Q198,IF(OR(HLOOKUP($C198,$AW$1:$LL$2,2,FALSE)="",HLOOKUP($C198,$AW$1:$LL$2,2,FALSE)="null"),Summary_Exchange_Balances_00UTC!$Q198,HLOOKUP($C198,$AW$1:$LL$2,2,FALSE))))</f>
        <v>103.98</v>
      </c>
    </row>
    <row r="199" spans="1:46" x14ac:dyDescent="0.25">
      <c r="A199" t="str">
        <f>IF(Summary_Exchange_Balances_00UTC!$B199="","",Summary_Exchange_Balances_00UTC!$N199)</f>
        <v>HUBI</v>
      </c>
      <c r="B199" t="str">
        <f>IF(Summary_Exchange_Balances_00UTC!$B199="","",Summary_Exchange_Balances_00UTC!$B199)</f>
        <v>HUBI-E</v>
      </c>
      <c r="C199" t="str">
        <f>IF(Summary_Exchange_Balances_00UTC!$B199="","",Summary_Exchange_Balances_00UTC!$E199)</f>
        <v>BHD</v>
      </c>
      <c r="D199" t="str">
        <f>IF(OR(Summary_Exchange_Balances_00UTC!$B199="",Summary_Exchange_Balances_00UTC!$D199=""),"",Summary_Exchange_Balances_00UTC!$D199)</f>
        <v/>
      </c>
      <c r="E199" s="53">
        <f>IF(Summary_Exchange_Balances_00UTC!$B199="","",Summary_Exchange_Balances_00UTC!$C199)</f>
        <v>2.5033500000000001E-3</v>
      </c>
      <c r="F199" s="53">
        <f>IF(Summary_Exchange_Balances_00UTC!$B199="","",VLOOKUP(UPPER($A199&amp;$C199),$L:$T,7,FALSE))</f>
        <v>2.5033500000000001E-3</v>
      </c>
      <c r="G199" s="53" t="e">
        <f>IF(Summary_Exchange_Balances_00UTC!$B199="","",VLOOKUP(IF(ISERROR(SEARCH(" ", $B199)),UPPER($B199&amp;$C199&amp;$D199),UPPER(LEFT($B199, SEARCH(" ",$B199)-1)&amp;$C199&amp;$D199)),$M:$T,6,FALSE))</f>
        <v>#N/A</v>
      </c>
      <c r="H199">
        <f>IF(Summary_Exchange_Balances_00UTC!$B199="","",IF(ISERROR($G199),$E199,$G199))</f>
        <v>2.5033500000000001E-3</v>
      </c>
      <c r="I199" s="36" t="e">
        <f t="shared" si="9"/>
        <v>#N/A</v>
      </c>
      <c r="L199" t="str">
        <f t="shared" si="10"/>
        <v>HUBICOMP</v>
      </c>
      <c r="M199" t="str">
        <f t="shared" si="11"/>
        <v>HUBICOMPTRADE</v>
      </c>
      <c r="N199" t="s">
        <v>354</v>
      </c>
      <c r="O199" t="s">
        <v>115</v>
      </c>
      <c r="P199" t="s">
        <v>425</v>
      </c>
      <c r="Q199" t="s">
        <v>426</v>
      </c>
      <c r="R199" s="43">
        <v>43.072197150000001</v>
      </c>
      <c r="S199" t="s">
        <v>528</v>
      </c>
      <c r="T199">
        <v>1</v>
      </c>
      <c r="W199" t="s">
        <v>115</v>
      </c>
      <c r="X199" t="s">
        <v>142</v>
      </c>
      <c r="Y199" s="53">
        <v>14.785856219999999</v>
      </c>
      <c r="Z199">
        <v>0</v>
      </c>
      <c r="AC199"/>
      <c r="AD199"/>
      <c r="AS199" t="str">
        <f>IF(Summary_Exchange_Balances_00UTC!$B199="","","'"&amp;C199&amp;"',")</f>
        <v>'BHD',</v>
      </c>
      <c r="AT199">
        <f>IF(Summary_Exchange_Balances_00UTC!$B199="","",IF(ISERROR(HLOOKUP($C199,$AW$1:$LL$2,2,FALSE)),Summary_Exchange_Balances_00UTC!$Q199,IF(OR(HLOOKUP($C199,$AW$1:$LL$2,2,FALSE)="",HLOOKUP($C199,$AW$1:$LL$2,2,FALSE)="null"),Summary_Exchange_Balances_00UTC!$Q199,HLOOKUP($C199,$AW$1:$LL$2,2,FALSE))))</f>
        <v>7.9707286923764151E-2</v>
      </c>
    </row>
    <row r="200" spans="1:46" x14ac:dyDescent="0.25">
      <c r="A200" t="str">
        <f>IF(Summary_Exchange_Balances_00UTC!$B200="","",Summary_Exchange_Balances_00UTC!$N200)</f>
        <v>HUBI</v>
      </c>
      <c r="B200" t="str">
        <f>IF(Summary_Exchange_Balances_00UTC!$B200="","",Summary_Exchange_Balances_00UTC!$B200)</f>
        <v>HUBI-E</v>
      </c>
      <c r="C200" t="str">
        <f>IF(Summary_Exchange_Balances_00UTC!$B200="","",Summary_Exchange_Balances_00UTC!$E200)</f>
        <v>BLZ</v>
      </c>
      <c r="D200" t="str">
        <f>IF(OR(Summary_Exchange_Balances_00UTC!$B200="",Summary_Exchange_Balances_00UTC!$D200=""),"",Summary_Exchange_Balances_00UTC!$D200)</f>
        <v/>
      </c>
      <c r="E200" s="53">
        <f>IF(Summary_Exchange_Balances_00UTC!$B200="","",Summary_Exchange_Balances_00UTC!$C200)</f>
        <v>115.29838952</v>
      </c>
      <c r="F200" s="53">
        <f>IF(Summary_Exchange_Balances_00UTC!$B200="","",VLOOKUP(UPPER($A200&amp;$C200),$L:$T,7,FALSE))</f>
        <v>115.29838952</v>
      </c>
      <c r="G200" s="53" t="e">
        <f>IF(Summary_Exchange_Balances_00UTC!$B200="","",VLOOKUP(IF(ISERROR(SEARCH(" ", $B200)),UPPER($B200&amp;$C200&amp;$D200),UPPER(LEFT($B200, SEARCH(" ",$B200)-1)&amp;$C200&amp;$D200)),$M:$T,6,FALSE))</f>
        <v>#N/A</v>
      </c>
      <c r="H200">
        <f>IF(Summary_Exchange_Balances_00UTC!$B200="","",IF(ISERROR($G200),$E200,$G200))</f>
        <v>115.29838952</v>
      </c>
      <c r="I200" s="36" t="e">
        <f t="shared" si="9"/>
        <v>#N/A</v>
      </c>
      <c r="L200" t="str">
        <f t="shared" si="10"/>
        <v>HUBICRO</v>
      </c>
      <c r="M200" t="str">
        <f t="shared" si="11"/>
        <v>HUBICROTRADE</v>
      </c>
      <c r="N200" t="s">
        <v>355</v>
      </c>
      <c r="O200" t="s">
        <v>115</v>
      </c>
      <c r="P200" t="s">
        <v>425</v>
      </c>
      <c r="Q200" t="s">
        <v>426</v>
      </c>
      <c r="R200" s="43">
        <v>0.30791584</v>
      </c>
      <c r="S200" t="s">
        <v>528</v>
      </c>
      <c r="T200">
        <v>1</v>
      </c>
      <c r="W200" t="s">
        <v>115</v>
      </c>
      <c r="X200" t="s">
        <v>143</v>
      </c>
      <c r="Y200" s="53">
        <v>0.81765067999999996</v>
      </c>
      <c r="Z200">
        <v>0</v>
      </c>
      <c r="AC200"/>
      <c r="AD200"/>
      <c r="AS200" t="str">
        <f>IF(Summary_Exchange_Balances_00UTC!$B200="","","'"&amp;C200&amp;"',")</f>
        <v>'BLZ',</v>
      </c>
      <c r="AT200">
        <f>IF(Summary_Exchange_Balances_00UTC!$B200="","",IF(ISERROR(HLOOKUP($C200,$AW$1:$LL$2,2,FALSE)),Summary_Exchange_Balances_00UTC!$Q200,IF(OR(HLOOKUP($C200,$AW$1:$LL$2,2,FALSE)="",HLOOKUP($C200,$AW$1:$LL$2,2,FALSE)="null"),Summary_Exchange_Balances_00UTC!$Q200,HLOOKUP($C200,$AW$1:$LL$2,2,FALSE))))</f>
        <v>6.2874298539874515E-2</v>
      </c>
    </row>
    <row r="201" spans="1:46" x14ac:dyDescent="0.25">
      <c r="A201" t="str">
        <f>IF(Summary_Exchange_Balances_00UTC!$B201="","",Summary_Exchange_Balances_00UTC!$N201)</f>
        <v>HUBI</v>
      </c>
      <c r="B201" t="str">
        <f>IF(Summary_Exchange_Balances_00UTC!$B201="","",Summary_Exchange_Balances_00UTC!$B201)</f>
        <v>HUBI-E</v>
      </c>
      <c r="C201" t="str">
        <f>IF(Summary_Exchange_Balances_00UTC!$B201="","",Summary_Exchange_Balances_00UTC!$E201)</f>
        <v>BOBA</v>
      </c>
      <c r="D201" t="str">
        <f>IF(OR(Summary_Exchange_Balances_00UTC!$B201="",Summary_Exchange_Balances_00UTC!$D201=""),"",Summary_Exchange_Balances_00UTC!$D201)</f>
        <v/>
      </c>
      <c r="E201" s="53">
        <f>IF(Summary_Exchange_Balances_00UTC!$B201="","",Summary_Exchange_Balances_00UTC!$C201)</f>
        <v>14.7502</v>
      </c>
      <c r="F201" s="53">
        <f>IF(Summary_Exchange_Balances_00UTC!$B201="","",VLOOKUP(UPPER($A201&amp;$C201),$L:$T,7,FALSE))</f>
        <v>14.7502</v>
      </c>
      <c r="G201" s="53" t="e">
        <f>IF(Summary_Exchange_Balances_00UTC!$B201="","",VLOOKUP(IF(ISERROR(SEARCH(" ", $B201)),UPPER($B201&amp;$C201&amp;$D201),UPPER(LEFT($B201, SEARCH(" ",$B201)-1)&amp;$C201&amp;$D201)),$M:$T,6,FALSE))</f>
        <v>#N/A</v>
      </c>
      <c r="H201">
        <f>IF(Summary_Exchange_Balances_00UTC!$B201="","",IF(ISERROR($G201),$E201,$G201))</f>
        <v>14.7502</v>
      </c>
      <c r="I201" s="36" t="e">
        <f t="shared" si="9"/>
        <v>#N/A</v>
      </c>
      <c r="L201" t="str">
        <f t="shared" si="10"/>
        <v>HUBIDASH</v>
      </c>
      <c r="M201" t="str">
        <f t="shared" si="11"/>
        <v>HUBIDASHTRADE</v>
      </c>
      <c r="N201" t="s">
        <v>356</v>
      </c>
      <c r="O201" t="s">
        <v>115</v>
      </c>
      <c r="P201" t="s">
        <v>425</v>
      </c>
      <c r="Q201" t="s">
        <v>426</v>
      </c>
      <c r="R201" s="43">
        <v>5.6119999999999998E-5</v>
      </c>
      <c r="S201" t="s">
        <v>528</v>
      </c>
      <c r="T201">
        <v>1</v>
      </c>
      <c r="W201" t="s">
        <v>115</v>
      </c>
      <c r="X201" t="s">
        <v>144</v>
      </c>
      <c r="Y201" s="53">
        <v>9.1121815000000002</v>
      </c>
      <c r="Z201">
        <v>0</v>
      </c>
      <c r="AC201"/>
      <c r="AD201"/>
      <c r="AS201" t="str">
        <f>IF(Summary_Exchange_Balances_00UTC!$B201="","","'"&amp;C201&amp;"',")</f>
        <v>'BOBA',</v>
      </c>
      <c r="AT201">
        <f>IF(Summary_Exchange_Balances_00UTC!$B201="","",IF(ISERROR(HLOOKUP($C201,$AW$1:$LL$2,2,FALSE)),Summary_Exchange_Balances_00UTC!$Q201,IF(OR(HLOOKUP($C201,$AW$1:$LL$2,2,FALSE)="",HLOOKUP($C201,$AW$1:$LL$2,2,FALSE)="null"),Summary_Exchange_Balances_00UTC!$Q201,HLOOKUP($C201,$AW$1:$LL$2,2,FALSE))))</f>
        <v>0.20543415530438708</v>
      </c>
    </row>
    <row r="202" spans="1:46" x14ac:dyDescent="0.25">
      <c r="A202" t="str">
        <f>IF(Summary_Exchange_Balances_00UTC!$B202="","",Summary_Exchange_Balances_00UTC!$N202)</f>
        <v>HUBI</v>
      </c>
      <c r="B202" t="str">
        <f>IF(Summary_Exchange_Balances_00UTC!$B202="","",Summary_Exchange_Balances_00UTC!$B202)</f>
        <v>HUBI-E</v>
      </c>
      <c r="C202" t="str">
        <f>IF(Summary_Exchange_Balances_00UTC!$B202="","",Summary_Exchange_Balances_00UTC!$E202)</f>
        <v>BSV</v>
      </c>
      <c r="D202" t="str">
        <f>IF(OR(Summary_Exchange_Balances_00UTC!$B202="",Summary_Exchange_Balances_00UTC!$D202=""),"",Summary_Exchange_Balances_00UTC!$D202)</f>
        <v/>
      </c>
      <c r="E202" s="53">
        <f>IF(Summary_Exchange_Balances_00UTC!$B202="","",Summary_Exchange_Balances_00UTC!$C202)</f>
        <v>7.7951899999999996E-3</v>
      </c>
      <c r="F202" s="53">
        <f>IF(Summary_Exchange_Balances_00UTC!$B202="","",VLOOKUP(UPPER($A202&amp;$C202),$L:$T,7,FALSE))</f>
        <v>3.3400000000000001E-8</v>
      </c>
      <c r="G202" s="53" t="e">
        <f>IF(Summary_Exchange_Balances_00UTC!$B202="","",VLOOKUP(IF(ISERROR(SEARCH(" ", $B202)),UPPER($B202&amp;$C202&amp;$D202),UPPER(LEFT($B202, SEARCH(" ",$B202)-1)&amp;$C202&amp;$D202)),$M:$T,6,FALSE))</f>
        <v>#N/A</v>
      </c>
      <c r="H202">
        <f>IF(Summary_Exchange_Balances_00UTC!$B202="","",IF(ISERROR($G202),$E202,$G202))</f>
        <v>7.7951899999999996E-3</v>
      </c>
      <c r="I202" s="36" t="e">
        <f t="shared" si="9"/>
        <v>#N/A</v>
      </c>
      <c r="L202" t="str">
        <f t="shared" si="10"/>
        <v>HUBIDON</v>
      </c>
      <c r="M202" t="str">
        <f t="shared" si="11"/>
        <v>HUBIDONTRADE</v>
      </c>
      <c r="N202" t="s">
        <v>357</v>
      </c>
      <c r="O202" t="s">
        <v>115</v>
      </c>
      <c r="P202" t="s">
        <v>425</v>
      </c>
      <c r="Q202" t="s">
        <v>426</v>
      </c>
      <c r="R202" s="43">
        <v>5.9800000000000001E-4</v>
      </c>
      <c r="S202" t="s">
        <v>528</v>
      </c>
      <c r="T202">
        <v>1</v>
      </c>
      <c r="W202" t="s">
        <v>115</v>
      </c>
      <c r="X202" t="s">
        <v>44</v>
      </c>
      <c r="Y202" s="53">
        <v>5</v>
      </c>
      <c r="Z202">
        <v>0</v>
      </c>
      <c r="AC202"/>
      <c r="AD202"/>
      <c r="AS202" t="str">
        <f>IF(Summary_Exchange_Balances_00UTC!$B202="","","'"&amp;C202&amp;"',")</f>
        <v>'BSV',</v>
      </c>
      <c r="AT202">
        <f>IF(Summary_Exchange_Balances_00UTC!$B202="","",IF(ISERROR(HLOOKUP($C202,$AW$1:$LL$2,2,FALSE)),Summary_Exchange_Balances_00UTC!$Q202,IF(OR(HLOOKUP($C202,$AW$1:$LL$2,2,FALSE)="",HLOOKUP($C202,$AW$1:$LL$2,2,FALSE)="null"),Summary_Exchange_Balances_00UTC!$Q202,HLOOKUP($C202,$AW$1:$LL$2,2,FALSE))))</f>
        <v>39.841106000000003</v>
      </c>
    </row>
    <row r="203" spans="1:46" x14ac:dyDescent="0.25">
      <c r="A203" t="str">
        <f>IF(Summary_Exchange_Balances_00UTC!$B203="","",Summary_Exchange_Balances_00UTC!$N203)</f>
        <v>HUBI</v>
      </c>
      <c r="B203" t="str">
        <f>IF(Summary_Exchange_Balances_00UTC!$B203="","",Summary_Exchange_Balances_00UTC!$B203)</f>
        <v>HUBI-E</v>
      </c>
      <c r="C203" t="str">
        <f>IF(Summary_Exchange_Balances_00UTC!$B203="","",Summary_Exchange_Balances_00UTC!$E203)</f>
        <v>BTC</v>
      </c>
      <c r="D203" t="str">
        <f>IF(OR(Summary_Exchange_Balances_00UTC!$B203="",Summary_Exchange_Balances_00UTC!$D203=""),"",Summary_Exchange_Balances_00UTC!$D203)</f>
        <v/>
      </c>
      <c r="E203" s="53">
        <f>IF(Summary_Exchange_Balances_00UTC!$B203="","",Summary_Exchange_Balances_00UTC!$C203)</f>
        <v>287.47491647999999</v>
      </c>
      <c r="F203" s="53">
        <f>IF(Summary_Exchange_Balances_00UTC!$B203="","",VLOOKUP(UPPER($A203&amp;$C203),$L:$T,7,FALSE))</f>
        <v>-3.8731584897000002</v>
      </c>
      <c r="G203" s="53" t="e">
        <f>IF(Summary_Exchange_Balances_00UTC!$B203="","",VLOOKUP(IF(ISERROR(SEARCH(" ", $B203)),UPPER($B203&amp;$C203&amp;$D203),UPPER(LEFT($B203, SEARCH(" ",$B203)-1)&amp;$C203&amp;$D203)),$M:$T,6,FALSE))</f>
        <v>#N/A</v>
      </c>
      <c r="H203">
        <f>IF(Summary_Exchange_Balances_00UTC!$B203="","",IF(ISERROR($G203),$E203,$G203))</f>
        <v>287.47491647999999</v>
      </c>
      <c r="I203" s="36" t="e">
        <f t="shared" si="9"/>
        <v>#N/A</v>
      </c>
      <c r="L203" t="str">
        <f t="shared" si="10"/>
        <v>HUBIDOT</v>
      </c>
      <c r="M203" t="str">
        <f t="shared" si="11"/>
        <v>HUBIDOTTRADE</v>
      </c>
      <c r="N203" t="s">
        <v>358</v>
      </c>
      <c r="O203" t="s">
        <v>115</v>
      </c>
      <c r="P203" t="s">
        <v>425</v>
      </c>
      <c r="Q203" t="s">
        <v>426</v>
      </c>
      <c r="R203" s="43">
        <v>19095.27108499</v>
      </c>
      <c r="S203" t="s">
        <v>528</v>
      </c>
      <c r="T203">
        <v>1</v>
      </c>
      <c r="W203" t="s">
        <v>115</v>
      </c>
      <c r="X203" t="s">
        <v>145</v>
      </c>
      <c r="Y203" s="53">
        <v>0.24234807999999999</v>
      </c>
      <c r="Z203">
        <v>0</v>
      </c>
      <c r="AC203"/>
      <c r="AD203"/>
      <c r="AS203" t="str">
        <f>IF(Summary_Exchange_Balances_00UTC!$B203="","","'"&amp;C203&amp;"',")</f>
        <v>'BTC',</v>
      </c>
      <c r="AT203">
        <f>IF(Summary_Exchange_Balances_00UTC!$B203="","",IF(ISERROR(HLOOKUP($C203,$AW$1:$LL$2,2,FALSE)),Summary_Exchange_Balances_00UTC!$Q203,IF(OR(HLOOKUP($C203,$AW$1:$LL$2,2,FALSE)="",HLOOKUP($C203,$AW$1:$LL$2,2,FALSE)="null"),Summary_Exchange_Balances_00UTC!$Q203,HLOOKUP($C203,$AW$1:$LL$2,2,FALSE))))</f>
        <v>16719.740000000002</v>
      </c>
    </row>
    <row r="204" spans="1:46" x14ac:dyDescent="0.25">
      <c r="A204" t="str">
        <f>IF(Summary_Exchange_Balances_00UTC!$B204="","",Summary_Exchange_Balances_00UTC!$N204)</f>
        <v>HUBI</v>
      </c>
      <c r="B204" t="str">
        <f>IF(Summary_Exchange_Balances_00UTC!$B204="","",Summary_Exchange_Balances_00UTC!$B204)</f>
        <v>HUBI-E</v>
      </c>
      <c r="C204" t="str">
        <f>IF(Summary_Exchange_Balances_00UTC!$B204="","",Summary_Exchange_Balances_00UTC!$E204)</f>
        <v>BTM</v>
      </c>
      <c r="D204" t="str">
        <f>IF(OR(Summary_Exchange_Balances_00UTC!$B204="",Summary_Exchange_Balances_00UTC!$D204=""),"",Summary_Exchange_Balances_00UTC!$D204)</f>
        <v/>
      </c>
      <c r="E204" s="53">
        <f>IF(Summary_Exchange_Balances_00UTC!$B204="","",Summary_Exchange_Balances_00UTC!$C204)</f>
        <v>0.33565571999999999</v>
      </c>
      <c r="F204" s="53">
        <f>IF(Summary_Exchange_Balances_00UTC!$B204="","",VLOOKUP(UPPER($A204&amp;$C204),$L:$T,7,FALSE))</f>
        <v>0.33565571999999999</v>
      </c>
      <c r="G204" s="53" t="e">
        <f>IF(Summary_Exchange_Balances_00UTC!$B204="","",VLOOKUP(IF(ISERROR(SEARCH(" ", $B204)),UPPER($B204&amp;$C204&amp;$D204),UPPER(LEFT($B204, SEARCH(" ",$B204)-1)&amp;$C204&amp;$D204)),$M:$T,6,FALSE))</f>
        <v>#N/A</v>
      </c>
      <c r="H204">
        <f>IF(Summary_Exchange_Balances_00UTC!$B204="","",IF(ISERROR($G204),$E204,$G204))</f>
        <v>0.33565571999999999</v>
      </c>
      <c r="I204" s="36" t="e">
        <f t="shared" si="9"/>
        <v>#N/A</v>
      </c>
      <c r="L204" t="str">
        <f t="shared" si="10"/>
        <v>HUBIDOT</v>
      </c>
      <c r="M204" t="str">
        <f t="shared" si="11"/>
        <v>HUBIDOTTRADE</v>
      </c>
      <c r="N204" t="s">
        <v>358</v>
      </c>
      <c r="O204" t="s">
        <v>115</v>
      </c>
      <c r="P204" t="s">
        <v>425</v>
      </c>
      <c r="Q204" t="s">
        <v>426</v>
      </c>
      <c r="R204" s="43">
        <v>18501.339851860001</v>
      </c>
      <c r="S204" t="s">
        <v>528</v>
      </c>
      <c r="T204">
        <v>1</v>
      </c>
      <c r="W204" t="s">
        <v>115</v>
      </c>
      <c r="X204" t="s">
        <v>146</v>
      </c>
      <c r="Y204" s="53">
        <v>1E-8</v>
      </c>
      <c r="Z204">
        <v>0</v>
      </c>
      <c r="AC204"/>
      <c r="AD204"/>
      <c r="AS204" t="str">
        <f>IF(Summary_Exchange_Balances_00UTC!$B204="","","'"&amp;C204&amp;"',")</f>
        <v>'BTM',</v>
      </c>
      <c r="AT204">
        <f>IF(Summary_Exchange_Balances_00UTC!$B204="","",IF(ISERROR(HLOOKUP($C204,$AW$1:$LL$2,2,FALSE)),Summary_Exchange_Balances_00UTC!$Q204,IF(OR(HLOOKUP($C204,$AW$1:$LL$2,2,FALSE)="",HLOOKUP($C204,$AW$1:$LL$2,2,FALSE)="null"),Summary_Exchange_Balances_00UTC!$Q204,HLOOKUP($C204,$AW$1:$LL$2,2,FALSE))))</f>
        <v>1.3704024376927287E-2</v>
      </c>
    </row>
    <row r="205" spans="1:46" x14ac:dyDescent="0.25">
      <c r="A205" t="str">
        <f>IF(Summary_Exchange_Balances_00UTC!$B205="","",Summary_Exchange_Balances_00UTC!$N205)</f>
        <v>HUBI</v>
      </c>
      <c r="B205" t="str">
        <f>IF(Summary_Exchange_Balances_00UTC!$B205="","",Summary_Exchange_Balances_00UTC!$B205)</f>
        <v>HUBI-E</v>
      </c>
      <c r="C205" t="str">
        <f>IF(Summary_Exchange_Balances_00UTC!$B205="","",Summary_Exchange_Balances_00UTC!$E205)</f>
        <v>BTT</v>
      </c>
      <c r="D205" t="str">
        <f>IF(OR(Summary_Exchange_Balances_00UTC!$B205="",Summary_Exchange_Balances_00UTC!$D205=""),"",Summary_Exchange_Balances_00UTC!$D205)</f>
        <v/>
      </c>
      <c r="E205" s="53">
        <f>IF(Summary_Exchange_Balances_00UTC!$B205="","",Summary_Exchange_Balances_00UTC!$C205)</f>
        <v>1367501156.8785999</v>
      </c>
      <c r="F205" s="53">
        <f>IF(Summary_Exchange_Balances_00UTC!$B205="","",VLOOKUP(UPPER($A205&amp;$C205),$L:$T,7,FALSE))</f>
        <v>1367501156.8785999</v>
      </c>
      <c r="G205" s="53" t="e">
        <f>IF(Summary_Exchange_Balances_00UTC!$B205="","",VLOOKUP(IF(ISERROR(SEARCH(" ", $B205)),UPPER($B205&amp;$C205&amp;$D205),UPPER(LEFT($B205, SEARCH(" ",$B205)-1)&amp;$C205&amp;$D205)),$M:$T,6,FALSE))</f>
        <v>#N/A</v>
      </c>
      <c r="H205">
        <f>IF(Summary_Exchange_Balances_00UTC!$B205="","",IF(ISERROR($G205),$E205,$G205))</f>
        <v>1367501156.8785999</v>
      </c>
      <c r="I205" s="36" t="e">
        <f t="shared" si="9"/>
        <v>#N/A</v>
      </c>
      <c r="L205" t="str">
        <f t="shared" si="10"/>
        <v>HUBIENJ</v>
      </c>
      <c r="M205" t="str">
        <f t="shared" si="11"/>
        <v>HUBIENJTRADE</v>
      </c>
      <c r="N205" t="s">
        <v>359</v>
      </c>
      <c r="O205" t="s">
        <v>115</v>
      </c>
      <c r="P205" t="s">
        <v>425</v>
      </c>
      <c r="Q205" t="s">
        <v>426</v>
      </c>
      <c r="R205" s="43">
        <v>241319.15317850999</v>
      </c>
      <c r="S205" t="s">
        <v>528</v>
      </c>
      <c r="T205">
        <v>1</v>
      </c>
      <c r="W205" t="s">
        <v>115</v>
      </c>
      <c r="X205" t="s">
        <v>28</v>
      </c>
      <c r="Y205" s="53">
        <v>26914.88806931</v>
      </c>
      <c r="Z205">
        <v>0</v>
      </c>
      <c r="AC205"/>
      <c r="AD205"/>
      <c r="AS205" t="str">
        <f>IF(Summary_Exchange_Balances_00UTC!$B205="","","'"&amp;C205&amp;"',")</f>
        <v>'BTT',</v>
      </c>
      <c r="AT205">
        <f>IF(Summary_Exchange_Balances_00UTC!$B205="","",IF(ISERROR(HLOOKUP($C205,$AW$1:$LL$2,2,FALSE)),Summary_Exchange_Balances_00UTC!$Q205,IF(OR(HLOOKUP($C205,$AW$1:$LL$2,2,FALSE)="",HLOOKUP($C205,$AW$1:$LL$2,2,FALSE)="null"),Summary_Exchange_Balances_00UTC!$Q205,HLOOKUP($C205,$AW$1:$LL$2,2,FALSE))))</f>
        <v>6.7771918504672987E-7</v>
      </c>
    </row>
    <row r="206" spans="1:46" x14ac:dyDescent="0.25">
      <c r="A206" t="str">
        <f>IF(Summary_Exchange_Balances_00UTC!$B206="","",Summary_Exchange_Balances_00UTC!$N206)</f>
        <v>HUBI</v>
      </c>
      <c r="B206" t="str">
        <f>IF(Summary_Exchange_Balances_00UTC!$B206="","",Summary_Exchange_Balances_00UTC!$B206)</f>
        <v>HUBI-E</v>
      </c>
      <c r="C206" t="str">
        <f>IF(Summary_Exchange_Balances_00UTC!$B206="","",Summary_Exchange_Balances_00UTC!$E206)</f>
        <v>CMT</v>
      </c>
      <c r="D206" t="str">
        <f>IF(OR(Summary_Exchange_Balances_00UTC!$B206="",Summary_Exchange_Balances_00UTC!$D206=""),"",Summary_Exchange_Balances_00UTC!$D206)</f>
        <v/>
      </c>
      <c r="E206" s="53">
        <f>IF(Summary_Exchange_Balances_00UTC!$B206="","",Summary_Exchange_Balances_00UTC!$C206)</f>
        <v>1.7855998900000001</v>
      </c>
      <c r="F206" s="53">
        <f>IF(Summary_Exchange_Balances_00UTC!$B206="","",VLOOKUP(UPPER($A206&amp;$C206),$L:$T,7,FALSE))</f>
        <v>1.7855998900000001</v>
      </c>
      <c r="G206" s="53" t="e">
        <f>IF(Summary_Exchange_Balances_00UTC!$B206="","",VLOOKUP(IF(ISERROR(SEARCH(" ", $B206)),UPPER($B206&amp;$C206&amp;$D206),UPPER(LEFT($B206, SEARCH(" ",$B206)-1)&amp;$C206&amp;$D206)),$M:$T,6,FALSE))</f>
        <v>#N/A</v>
      </c>
      <c r="H206">
        <f>IF(Summary_Exchange_Balances_00UTC!$B206="","",IF(ISERROR($G206),$E206,$G206))</f>
        <v>1.7855998900000001</v>
      </c>
      <c r="I206" s="36" t="e">
        <f t="shared" si="9"/>
        <v>#N/A</v>
      </c>
      <c r="L206" t="str">
        <f t="shared" si="10"/>
        <v>HUBIEOS</v>
      </c>
      <c r="M206" t="str">
        <f t="shared" si="11"/>
        <v>HUBIEOSTRADE</v>
      </c>
      <c r="N206" t="s">
        <v>360</v>
      </c>
      <c r="O206" t="s">
        <v>115</v>
      </c>
      <c r="P206" t="s">
        <v>425</v>
      </c>
      <c r="Q206" t="s">
        <v>426</v>
      </c>
      <c r="R206" s="43">
        <v>28617.428863770001</v>
      </c>
      <c r="S206" t="s">
        <v>528</v>
      </c>
      <c r="T206">
        <v>1</v>
      </c>
      <c r="W206" t="s">
        <v>115</v>
      </c>
      <c r="X206" t="s">
        <v>147</v>
      </c>
      <c r="Y206" s="53">
        <v>4.3289484800000002</v>
      </c>
      <c r="Z206">
        <v>0</v>
      </c>
      <c r="AC206"/>
      <c r="AD206"/>
      <c r="AS206" t="str">
        <f>IF(Summary_Exchange_Balances_00UTC!$B206="","","'"&amp;C206&amp;"',")</f>
        <v>'CMT',</v>
      </c>
      <c r="AT206">
        <f>IF(Summary_Exchange_Balances_00UTC!$B206="","",IF(ISERROR(HLOOKUP($C206,$AW$1:$LL$2,2,FALSE)),Summary_Exchange_Balances_00UTC!$Q206,IF(OR(HLOOKUP($C206,$AW$1:$LL$2,2,FALSE)="",HLOOKUP($C206,$AW$1:$LL$2,2,FALSE)="null"),Summary_Exchange_Balances_00UTC!$Q206,HLOOKUP($C206,$AW$1:$LL$2,2,FALSE))))</f>
        <v>3.7412864694766862E-3</v>
      </c>
    </row>
    <row r="207" spans="1:46" x14ac:dyDescent="0.25">
      <c r="A207" t="str">
        <f>IF(Summary_Exchange_Balances_00UTC!$B207="","",Summary_Exchange_Balances_00UTC!$N207)</f>
        <v>HUBI</v>
      </c>
      <c r="B207" t="str">
        <f>IF(Summary_Exchange_Balances_00UTC!$B207="","",Summary_Exchange_Balances_00UTC!$B207)</f>
        <v>HUBI-E</v>
      </c>
      <c r="C207" t="str">
        <f>IF(Summary_Exchange_Balances_00UTC!$B207="","",Summary_Exchange_Balances_00UTC!$E207)</f>
        <v>CRO</v>
      </c>
      <c r="D207" t="str">
        <f>IF(OR(Summary_Exchange_Balances_00UTC!$B207="",Summary_Exchange_Balances_00UTC!$D207=""),"",Summary_Exchange_Balances_00UTC!$D207)</f>
        <v/>
      </c>
      <c r="E207" s="53">
        <f>IF(Summary_Exchange_Balances_00UTC!$B207="","",Summary_Exchange_Balances_00UTC!$C207)</f>
        <v>0.30791584</v>
      </c>
      <c r="F207" s="53">
        <f>IF(Summary_Exchange_Balances_00UTC!$B207="","",VLOOKUP(UPPER($A207&amp;$C207),$L:$T,7,FALSE))</f>
        <v>0.30791584</v>
      </c>
      <c r="G207" s="53" t="e">
        <f>IF(Summary_Exchange_Balances_00UTC!$B207="","",VLOOKUP(IF(ISERROR(SEARCH(" ", $B207)),UPPER($B207&amp;$C207&amp;$D207),UPPER(LEFT($B207, SEARCH(" ",$B207)-1)&amp;$C207&amp;$D207)),$M:$T,6,FALSE))</f>
        <v>#N/A</v>
      </c>
      <c r="H207">
        <f>IF(Summary_Exchange_Balances_00UTC!$B207="","",IF(ISERROR($G207),$E207,$G207))</f>
        <v>0.30791584</v>
      </c>
      <c r="I207" s="36" t="e">
        <f t="shared" si="9"/>
        <v>#N/A</v>
      </c>
      <c r="L207" t="str">
        <f t="shared" si="10"/>
        <v>HUBIEOS</v>
      </c>
      <c r="M207" t="str">
        <f t="shared" si="11"/>
        <v>HUB2EOSTRADE</v>
      </c>
      <c r="N207" t="s">
        <v>360</v>
      </c>
      <c r="O207" t="s">
        <v>115</v>
      </c>
      <c r="P207" t="s">
        <v>427</v>
      </c>
      <c r="Q207" t="s">
        <v>426</v>
      </c>
      <c r="R207" s="43">
        <v>1E-8</v>
      </c>
      <c r="S207" t="s">
        <v>529</v>
      </c>
      <c r="T207">
        <v>1</v>
      </c>
      <c r="W207" t="s">
        <v>115</v>
      </c>
      <c r="X207" t="s">
        <v>25</v>
      </c>
      <c r="Y207" s="53">
        <v>5213.2640559299998</v>
      </c>
      <c r="Z207">
        <v>0</v>
      </c>
      <c r="AC207"/>
      <c r="AD207"/>
      <c r="AS207" t="str">
        <f>IF(Summary_Exchange_Balances_00UTC!$B207="","","'"&amp;C207&amp;"',")</f>
        <v>'CRO',</v>
      </c>
      <c r="AT207">
        <f>IF(Summary_Exchange_Balances_00UTC!$B207="","",IF(ISERROR(HLOOKUP($C207,$AW$1:$LL$2,2,FALSE)),Summary_Exchange_Balances_00UTC!$Q207,IF(OR(HLOOKUP($C207,$AW$1:$LL$2,2,FALSE)="",HLOOKUP($C207,$AW$1:$LL$2,2,FALSE)="null"),Summary_Exchange_Balances_00UTC!$Q207,HLOOKUP($C207,$AW$1:$LL$2,2,FALSE))))</f>
        <v>7.0300000000000001E-2</v>
      </c>
    </row>
    <row r="208" spans="1:46" x14ac:dyDescent="0.25">
      <c r="A208" t="str">
        <f>IF(Summary_Exchange_Balances_00UTC!$B208="","",Summary_Exchange_Balances_00UTC!$N208)</f>
        <v>HUBI</v>
      </c>
      <c r="B208" t="str">
        <f>IF(Summary_Exchange_Balances_00UTC!$B208="","",Summary_Exchange_Balances_00UTC!$B208)</f>
        <v>HUBI-E</v>
      </c>
      <c r="C208" t="str">
        <f>IF(Summary_Exchange_Balances_00UTC!$B208="","",Summary_Exchange_Balances_00UTC!$E208)</f>
        <v>DASH</v>
      </c>
      <c r="D208" t="str">
        <f>IF(OR(Summary_Exchange_Balances_00UTC!$B208="",Summary_Exchange_Balances_00UTC!$D208=""),"",Summary_Exchange_Balances_00UTC!$D208)</f>
        <v/>
      </c>
      <c r="E208" s="53">
        <f>IF(Summary_Exchange_Balances_00UTC!$B208="","",Summary_Exchange_Balances_00UTC!$C208)</f>
        <v>5.6119999999999998E-5</v>
      </c>
      <c r="F208" s="53">
        <f>IF(Summary_Exchange_Balances_00UTC!$B208="","",VLOOKUP(UPPER($A208&amp;$C208),$L:$T,7,FALSE))</f>
        <v>5.6119999999999998E-5</v>
      </c>
      <c r="G208" s="53" t="e">
        <f>IF(Summary_Exchange_Balances_00UTC!$B208="","",VLOOKUP(IF(ISERROR(SEARCH(" ", $B208)),UPPER($B208&amp;$C208&amp;$D208),UPPER(LEFT($B208, SEARCH(" ",$B208)-1)&amp;$C208&amp;$D208)),$M:$T,6,FALSE))</f>
        <v>#N/A</v>
      </c>
      <c r="H208">
        <f>IF(Summary_Exchange_Balances_00UTC!$B208="","",IF(ISERROR($G208),$E208,$G208))</f>
        <v>5.6119999999999998E-5</v>
      </c>
      <c r="I208" s="36" t="e">
        <f t="shared" si="9"/>
        <v>#N/A</v>
      </c>
      <c r="L208" t="str">
        <f t="shared" si="10"/>
        <v>HUBIEOS</v>
      </c>
      <c r="M208" t="str">
        <f t="shared" si="11"/>
        <v>HUBIEOSTRADE</v>
      </c>
      <c r="N208" t="s">
        <v>360</v>
      </c>
      <c r="O208" t="s">
        <v>115</v>
      </c>
      <c r="P208" t="s">
        <v>425</v>
      </c>
      <c r="Q208" t="s">
        <v>426</v>
      </c>
      <c r="R208" s="43">
        <v>484499.17970074998</v>
      </c>
      <c r="S208" t="s">
        <v>528</v>
      </c>
      <c r="T208">
        <v>1</v>
      </c>
      <c r="W208" t="s">
        <v>115</v>
      </c>
      <c r="X208" t="s">
        <v>148</v>
      </c>
      <c r="Y208" s="53">
        <v>0.66495972999999997</v>
      </c>
      <c r="Z208">
        <v>0</v>
      </c>
      <c r="AC208"/>
      <c r="AD208"/>
      <c r="AS208" t="str">
        <f>IF(Summary_Exchange_Balances_00UTC!$B208="","","'"&amp;C208&amp;"',")</f>
        <v>'DASH',</v>
      </c>
      <c r="AT208">
        <f>IF(Summary_Exchange_Balances_00UTC!$B208="","",IF(ISERROR(HLOOKUP($C208,$AW$1:$LL$2,2,FALSE)),Summary_Exchange_Balances_00UTC!$Q208,IF(OR(HLOOKUP($C208,$AW$1:$LL$2,2,FALSE)="",HLOOKUP($C208,$AW$1:$LL$2,2,FALSE)="null"),Summary_Exchange_Balances_00UTC!$Q208,HLOOKUP($C208,$AW$1:$LL$2,2,FALSE))))</f>
        <v>33.817394</v>
      </c>
    </row>
    <row r="209" spans="1:46" x14ac:dyDescent="0.25">
      <c r="A209" t="str">
        <f>IF(Summary_Exchange_Balances_00UTC!$B209="","",Summary_Exchange_Balances_00UTC!$N209)</f>
        <v>HUBI</v>
      </c>
      <c r="B209" t="str">
        <f>IF(Summary_Exchange_Balances_00UTC!$B209="","",Summary_Exchange_Balances_00UTC!$B209)</f>
        <v>HUBI-E</v>
      </c>
      <c r="C209" t="str">
        <f>IF(Summary_Exchange_Balances_00UTC!$B209="","",Summary_Exchange_Balances_00UTC!$E209)</f>
        <v>DON</v>
      </c>
      <c r="D209" t="str">
        <f>IF(OR(Summary_Exchange_Balances_00UTC!$B209="",Summary_Exchange_Balances_00UTC!$D209=""),"",Summary_Exchange_Balances_00UTC!$D209)</f>
        <v/>
      </c>
      <c r="E209" s="53">
        <f>IF(Summary_Exchange_Balances_00UTC!$B209="","",Summary_Exchange_Balances_00UTC!$C209)</f>
        <v>5.9800000000000001E-4</v>
      </c>
      <c r="F209" s="53">
        <f>IF(Summary_Exchange_Balances_00UTC!$B209="","",VLOOKUP(UPPER($A209&amp;$C209),$L:$T,7,FALSE))</f>
        <v>5.9800000000000001E-4</v>
      </c>
      <c r="G209" s="53" t="e">
        <f>IF(Summary_Exchange_Balances_00UTC!$B209="","",VLOOKUP(IF(ISERROR(SEARCH(" ", $B209)),UPPER($B209&amp;$C209&amp;$D209),UPPER(LEFT($B209, SEARCH(" ",$B209)-1)&amp;$C209&amp;$D209)),$M:$T,6,FALSE))</f>
        <v>#N/A</v>
      </c>
      <c r="H209">
        <f>IF(Summary_Exchange_Balances_00UTC!$B209="","",IF(ISERROR($G209),$E209,$G209))</f>
        <v>5.9800000000000001E-4</v>
      </c>
      <c r="I209" s="36" t="e">
        <f t="shared" si="9"/>
        <v>#N/A</v>
      </c>
      <c r="L209" t="str">
        <f t="shared" si="10"/>
        <v>HUBIEOS</v>
      </c>
      <c r="M209" t="str">
        <f t="shared" si="11"/>
        <v>HUBIEOSLOAN</v>
      </c>
      <c r="N209" t="s">
        <v>360</v>
      </c>
      <c r="O209" t="s">
        <v>115</v>
      </c>
      <c r="P209" t="s">
        <v>425</v>
      </c>
      <c r="Q209" t="s">
        <v>428</v>
      </c>
      <c r="R209" s="43">
        <v>-457203</v>
      </c>
      <c r="S209" t="s">
        <v>528</v>
      </c>
      <c r="T209">
        <v>1</v>
      </c>
      <c r="W209" t="s">
        <v>115</v>
      </c>
      <c r="X209" t="s">
        <v>195</v>
      </c>
      <c r="Y209" s="53">
        <v>0.34</v>
      </c>
      <c r="Z209">
        <v>0</v>
      </c>
      <c r="AC209"/>
      <c r="AD209"/>
      <c r="AS209" t="str">
        <f>IF(Summary_Exchange_Balances_00UTC!$B209="","","'"&amp;C209&amp;"',")</f>
        <v>'DON',</v>
      </c>
      <c r="AT209">
        <f>IF(Summary_Exchange_Balances_00UTC!$B209="","",IF(ISERROR(HLOOKUP($C209,$AW$1:$LL$2,2,FALSE)),Summary_Exchange_Balances_00UTC!$Q209,IF(OR(HLOOKUP($C209,$AW$1:$LL$2,2,FALSE)="",HLOOKUP($C209,$AW$1:$LL$2,2,FALSE)="null"),Summary_Exchange_Balances_00UTC!$Q209,HLOOKUP($C209,$AW$1:$LL$2,2,FALSE))))</f>
        <v>5.000527051622676E-3</v>
      </c>
    </row>
    <row r="210" spans="1:46" x14ac:dyDescent="0.25">
      <c r="A210" t="str">
        <f>IF(Summary_Exchange_Balances_00UTC!$B210="","",Summary_Exchange_Balances_00UTC!$N210)</f>
        <v>HUBI</v>
      </c>
      <c r="B210" t="str">
        <f>IF(Summary_Exchange_Balances_00UTC!$B210="","",Summary_Exchange_Balances_00UTC!$B210)</f>
        <v>HUBI-E</v>
      </c>
      <c r="C210" t="str">
        <f>IF(Summary_Exchange_Balances_00UTC!$B210="","",Summary_Exchange_Balances_00UTC!$E210)</f>
        <v>DOT</v>
      </c>
      <c r="D210" t="str">
        <f>IF(OR(Summary_Exchange_Balances_00UTC!$B210="",Summary_Exchange_Balances_00UTC!$D210=""),"",Summary_Exchange_Balances_00UTC!$D210)</f>
        <v/>
      </c>
      <c r="E210" s="53">
        <f>IF(Summary_Exchange_Balances_00UTC!$B210="","",Summary_Exchange_Balances_00UTC!$C210)</f>
        <v>40134.758036849998</v>
      </c>
      <c r="F210" s="53">
        <f>IF(Summary_Exchange_Balances_00UTC!$B210="","",VLOOKUP(UPPER($A210&amp;$C210),$L:$T,7,FALSE))</f>
        <v>3.8972870000000001E-3</v>
      </c>
      <c r="G210" s="53" t="e">
        <f>IF(Summary_Exchange_Balances_00UTC!$B210="","",VLOOKUP(IF(ISERROR(SEARCH(" ", $B210)),UPPER($B210&amp;$C210&amp;$D210),UPPER(LEFT($B210, SEARCH(" ",$B210)-1)&amp;$C210&amp;$D210)),$M:$T,6,FALSE))</f>
        <v>#N/A</v>
      </c>
      <c r="H210">
        <f>IF(Summary_Exchange_Balances_00UTC!$B210="","",IF(ISERROR($G210),$E210,$G210))</f>
        <v>40134.758036849998</v>
      </c>
      <c r="I210" s="36" t="e">
        <f t="shared" si="9"/>
        <v>#N/A</v>
      </c>
      <c r="L210" t="str">
        <f t="shared" si="10"/>
        <v>HUBIETC</v>
      </c>
      <c r="M210" t="str">
        <f t="shared" si="11"/>
        <v>HUBIETCTRADE</v>
      </c>
      <c r="N210" t="s">
        <v>361</v>
      </c>
      <c r="O210" t="s">
        <v>115</v>
      </c>
      <c r="P210" t="s">
        <v>425</v>
      </c>
      <c r="Q210" t="s">
        <v>426</v>
      </c>
      <c r="R210" s="43">
        <v>9608.3971363799992</v>
      </c>
      <c r="S210" t="s">
        <v>528</v>
      </c>
      <c r="T210">
        <v>1</v>
      </c>
      <c r="W210" t="s">
        <v>115</v>
      </c>
      <c r="X210" t="s">
        <v>149</v>
      </c>
      <c r="Y210" s="53">
        <v>0.89105878000000005</v>
      </c>
      <c r="Z210">
        <v>0</v>
      </c>
      <c r="AC210"/>
      <c r="AD210"/>
      <c r="AS210" t="str">
        <f>IF(Summary_Exchange_Balances_00UTC!$B210="","","'"&amp;C210&amp;"',")</f>
        <v>'DOT',</v>
      </c>
      <c r="AT210">
        <f>IF(Summary_Exchange_Balances_00UTC!$B210="","",IF(ISERROR(HLOOKUP($C210,$AW$1:$LL$2,2,FALSE)),Summary_Exchange_Balances_00UTC!$Q210,IF(OR(HLOOKUP($C210,$AW$1:$LL$2,2,FALSE)="",HLOOKUP($C210,$AW$1:$LL$2,2,FALSE)="null"),Summary_Exchange_Balances_00UTC!$Q210,HLOOKUP($C210,$AW$1:$LL$2,2,FALSE))))</f>
        <v>5.6989999999999998</v>
      </c>
    </row>
    <row r="211" spans="1:46" x14ac:dyDescent="0.25">
      <c r="A211" t="str">
        <f>IF(Summary_Exchange_Balances_00UTC!$B211="","",Summary_Exchange_Balances_00UTC!$N211)</f>
        <v>HUBI</v>
      </c>
      <c r="B211" t="str">
        <f>IF(Summary_Exchange_Balances_00UTC!$B211="","",Summary_Exchange_Balances_00UTC!$B211)</f>
        <v>HUBI-E</v>
      </c>
      <c r="C211" t="str">
        <f>IF(Summary_Exchange_Balances_00UTC!$B211="","",Summary_Exchange_Balances_00UTC!$E211)</f>
        <v>ENJ</v>
      </c>
      <c r="D211" t="str">
        <f>IF(OR(Summary_Exchange_Balances_00UTC!$B211="",Summary_Exchange_Balances_00UTC!$D211=""),"",Summary_Exchange_Balances_00UTC!$D211)</f>
        <v/>
      </c>
      <c r="E211" s="53">
        <f>IF(Summary_Exchange_Balances_00UTC!$B211="","",Summary_Exchange_Balances_00UTC!$C211)</f>
        <v>1E-8</v>
      </c>
      <c r="F211" s="53">
        <f>IF(Summary_Exchange_Balances_00UTC!$B211="","",VLOOKUP(UPPER($A211&amp;$C211),$L:$T,7,FALSE))</f>
        <v>241319.15317850999</v>
      </c>
      <c r="G211" s="53" t="e">
        <f>IF(Summary_Exchange_Balances_00UTC!$B211="","",VLOOKUP(IF(ISERROR(SEARCH(" ", $B211)),UPPER($B211&amp;$C211&amp;$D211),UPPER(LEFT($B211, SEARCH(" ",$B211)-1)&amp;$C211&amp;$D211)),$M:$T,6,FALSE))</f>
        <v>#N/A</v>
      </c>
      <c r="H211">
        <f>IF(Summary_Exchange_Balances_00UTC!$B211="","",IF(ISERROR($G211),$E211,$G211))</f>
        <v>1E-8</v>
      </c>
      <c r="I211" s="36" t="e">
        <f t="shared" si="9"/>
        <v>#N/A</v>
      </c>
      <c r="L211" t="str">
        <f t="shared" si="10"/>
        <v>HUBIETC</v>
      </c>
      <c r="M211" t="str">
        <f t="shared" si="11"/>
        <v>HUBIETCTRADE</v>
      </c>
      <c r="N211" t="s">
        <v>361</v>
      </c>
      <c r="O211" t="s">
        <v>115</v>
      </c>
      <c r="P211" t="s">
        <v>425</v>
      </c>
      <c r="Q211" t="s">
        <v>426</v>
      </c>
      <c r="R211" s="43">
        <v>0.97793739999999996</v>
      </c>
      <c r="S211" t="s">
        <v>528</v>
      </c>
      <c r="T211">
        <v>1</v>
      </c>
      <c r="W211" t="s">
        <v>115</v>
      </c>
      <c r="X211" t="s">
        <v>150</v>
      </c>
      <c r="Y211" s="53">
        <v>40.704174029999997</v>
      </c>
      <c r="Z211">
        <v>0</v>
      </c>
      <c r="AC211"/>
      <c r="AD211"/>
      <c r="AS211" t="str">
        <f>IF(Summary_Exchange_Balances_00UTC!$B211="","","'"&amp;C211&amp;"',")</f>
        <v>'ENJ',</v>
      </c>
      <c r="AT211">
        <f>IF(Summary_Exchange_Balances_00UTC!$B211="","",IF(ISERROR(HLOOKUP($C211,$AW$1:$LL$2,2,FALSE)),Summary_Exchange_Balances_00UTC!$Q211,IF(OR(HLOOKUP($C211,$AW$1:$LL$2,2,FALSE)="",HLOOKUP($C211,$AW$1:$LL$2,2,FALSE)="null"),Summary_Exchange_Balances_00UTC!$Q211,HLOOKUP($C211,$AW$1:$LL$2,2,FALSE))))</f>
        <v>0.30611965000000002</v>
      </c>
    </row>
    <row r="212" spans="1:46" x14ac:dyDescent="0.25">
      <c r="A212" t="str">
        <f>IF(Summary_Exchange_Balances_00UTC!$B212="","",Summary_Exchange_Balances_00UTC!$N212)</f>
        <v>HUBI</v>
      </c>
      <c r="B212" t="str">
        <f>IF(Summary_Exchange_Balances_00UTC!$B212="","",Summary_Exchange_Balances_00UTC!$B212)</f>
        <v>HUBI-E</v>
      </c>
      <c r="C212" t="str">
        <f>IF(Summary_Exchange_Balances_00UTC!$B212="","",Summary_Exchange_Balances_00UTC!$E212)</f>
        <v>EOS</v>
      </c>
      <c r="D212" t="str">
        <f>IF(OR(Summary_Exchange_Balances_00UTC!$B212="",Summary_Exchange_Balances_00UTC!$D212=""),"",Summary_Exchange_Balances_00UTC!$D212)</f>
        <v/>
      </c>
      <c r="E212" s="53">
        <f>IF(Summary_Exchange_Balances_00UTC!$B212="","",Summary_Exchange_Balances_00UTC!$C212)</f>
        <v>28537.08774997</v>
      </c>
      <c r="F212" s="53">
        <f>IF(Summary_Exchange_Balances_00UTC!$B212="","",VLOOKUP(UPPER($A212&amp;$C212),$L:$T,7,FALSE))</f>
        <v>28617.428863770001</v>
      </c>
      <c r="G212" s="53" t="e">
        <f>IF(Summary_Exchange_Balances_00UTC!$B212="","",VLOOKUP(IF(ISERROR(SEARCH(" ", $B212)),UPPER($B212&amp;$C212&amp;$D212),UPPER(LEFT($B212, SEARCH(" ",$B212)-1)&amp;$C212&amp;$D212)),$M:$T,6,FALSE))</f>
        <v>#N/A</v>
      </c>
      <c r="H212">
        <f>IF(Summary_Exchange_Balances_00UTC!$B212="","",IF(ISERROR($G212),$E212,$G212))</f>
        <v>28537.08774997</v>
      </c>
      <c r="I212" s="36" t="e">
        <f t="shared" si="9"/>
        <v>#N/A</v>
      </c>
      <c r="L212" t="str">
        <f t="shared" si="10"/>
        <v>HUBIETC</v>
      </c>
      <c r="M212" t="str">
        <f t="shared" si="11"/>
        <v>HUB2ETCTRADE</v>
      </c>
      <c r="N212" t="s">
        <v>361</v>
      </c>
      <c r="O212" t="s">
        <v>115</v>
      </c>
      <c r="P212" t="s">
        <v>427</v>
      </c>
      <c r="Q212" t="s">
        <v>426</v>
      </c>
      <c r="R212" s="43">
        <v>1E-8</v>
      </c>
      <c r="S212" t="s">
        <v>529</v>
      </c>
      <c r="T212">
        <v>1</v>
      </c>
      <c r="W212" t="s">
        <v>115</v>
      </c>
      <c r="X212" t="s">
        <v>151</v>
      </c>
      <c r="Y212" s="53">
        <v>3013993111.0959439</v>
      </c>
      <c r="Z212">
        <v>0</v>
      </c>
      <c r="AC212"/>
      <c r="AD212"/>
      <c r="AS212" t="str">
        <f>IF(Summary_Exchange_Balances_00UTC!$B212="","","'"&amp;C212&amp;"',")</f>
        <v>'EOS',</v>
      </c>
      <c r="AT212">
        <f>IF(Summary_Exchange_Balances_00UTC!$B212="","",IF(ISERROR(HLOOKUP($C212,$AW$1:$LL$2,2,FALSE)),Summary_Exchange_Balances_00UTC!$Q212,IF(OR(HLOOKUP($C212,$AW$1:$LL$2,2,FALSE)="",HLOOKUP($C212,$AW$1:$LL$2,2,FALSE)="null"),Summary_Exchange_Balances_00UTC!$Q212,HLOOKUP($C212,$AW$1:$LL$2,2,FALSE))))</f>
        <v>0.90154135000000002</v>
      </c>
    </row>
    <row r="213" spans="1:46" x14ac:dyDescent="0.25">
      <c r="A213" t="str">
        <f>IF(Summary_Exchange_Balances_00UTC!$B213="","",Summary_Exchange_Balances_00UTC!$N213)</f>
        <v>HUBI</v>
      </c>
      <c r="B213" t="str">
        <f>IF(Summary_Exchange_Balances_00UTC!$B213="","",Summary_Exchange_Balances_00UTC!$B213)</f>
        <v>HUBI-E</v>
      </c>
      <c r="C213" t="str">
        <f>IF(Summary_Exchange_Balances_00UTC!$B213="","",Summary_Exchange_Balances_00UTC!$E213)</f>
        <v>ETC</v>
      </c>
      <c r="D213" t="str">
        <f>IF(OR(Summary_Exchange_Balances_00UTC!$B213="",Summary_Exchange_Balances_00UTC!$D213=""),"",Summary_Exchange_Balances_00UTC!$D213)</f>
        <v/>
      </c>
      <c r="E213" s="53">
        <f>IF(Summary_Exchange_Balances_00UTC!$B213="","",Summary_Exchange_Balances_00UTC!$C213)</f>
        <v>9625.8346537899997</v>
      </c>
      <c r="F213" s="53">
        <f>IF(Summary_Exchange_Balances_00UTC!$B213="","",VLOOKUP(UPPER($A213&amp;$C213),$L:$T,7,FALSE))</f>
        <v>0.1010306031</v>
      </c>
      <c r="G213" s="53" t="e">
        <f>IF(Summary_Exchange_Balances_00UTC!$B213="","",VLOOKUP(IF(ISERROR(SEARCH(" ", $B213)),UPPER($B213&amp;$C213&amp;$D213),UPPER(LEFT($B213, SEARCH(" ",$B213)-1)&amp;$C213&amp;$D213)),$M:$T,6,FALSE))</f>
        <v>#N/A</v>
      </c>
      <c r="H213">
        <f>IF(Summary_Exchange_Balances_00UTC!$B213="","",IF(ISERROR($G213),$E213,$G213))</f>
        <v>9625.8346537899997</v>
      </c>
      <c r="I213" s="36" t="e">
        <f t="shared" si="9"/>
        <v>#N/A</v>
      </c>
      <c r="L213" t="str">
        <f t="shared" si="10"/>
        <v>HUBIETH</v>
      </c>
      <c r="M213" t="str">
        <f t="shared" si="11"/>
        <v>HUBIETHLOAN</v>
      </c>
      <c r="N213" t="s">
        <v>362</v>
      </c>
      <c r="O213" t="s">
        <v>115</v>
      </c>
      <c r="P213" t="s">
        <v>425</v>
      </c>
      <c r="Q213" t="s">
        <v>428</v>
      </c>
      <c r="R213" s="43">
        <v>-750</v>
      </c>
      <c r="S213" t="s">
        <v>528</v>
      </c>
      <c r="T213">
        <v>1</v>
      </c>
      <c r="W213" t="s">
        <v>115</v>
      </c>
      <c r="X213" t="s">
        <v>152</v>
      </c>
      <c r="Y213" s="53">
        <v>4.3068300000000002E-3</v>
      </c>
      <c r="Z213">
        <v>0</v>
      </c>
      <c r="AC213"/>
      <c r="AD213"/>
      <c r="AS213" t="str">
        <f>IF(Summary_Exchange_Balances_00UTC!$B213="","","'"&amp;C213&amp;"',")</f>
        <v>'ETC',</v>
      </c>
      <c r="AT213">
        <f>IF(Summary_Exchange_Balances_00UTC!$B213="","",IF(ISERROR(HLOOKUP($C213,$AW$1:$LL$2,2,FALSE)),Summary_Exchange_Balances_00UTC!$Q213,IF(OR(HLOOKUP($C213,$AW$1:$LL$2,2,FALSE)="",HLOOKUP($C213,$AW$1:$LL$2,2,FALSE)="null"),Summary_Exchange_Balances_00UTC!$Q213,HLOOKUP($C213,$AW$1:$LL$2,2,FALSE))))</f>
        <v>19.614688999999998</v>
      </c>
    </row>
    <row r="214" spans="1:46" x14ac:dyDescent="0.25">
      <c r="A214" t="str">
        <f>IF(Summary_Exchange_Balances_00UTC!$B214="","",Summary_Exchange_Balances_00UTC!$N214)</f>
        <v>HUBI</v>
      </c>
      <c r="B214" t="str">
        <f>IF(Summary_Exchange_Balances_00UTC!$B214="","",Summary_Exchange_Balances_00UTC!$B214)</f>
        <v>HUBI-E</v>
      </c>
      <c r="C214" t="str">
        <f>IF(Summary_Exchange_Balances_00UTC!$B214="","",Summary_Exchange_Balances_00UTC!$E214)</f>
        <v>ETH</v>
      </c>
      <c r="D214" t="str">
        <f>IF(OR(Summary_Exchange_Balances_00UTC!$B214="",Summary_Exchange_Balances_00UTC!$D214=""),"",Summary_Exchange_Balances_00UTC!$D214)</f>
        <v/>
      </c>
      <c r="E214" s="53">
        <f>IF(Summary_Exchange_Balances_00UTC!$B214="","",Summary_Exchange_Balances_00UTC!$C214)</f>
        <v>4359.2729806400002</v>
      </c>
      <c r="F214" s="53">
        <f>IF(Summary_Exchange_Balances_00UTC!$B214="","",VLOOKUP(UPPER($A214&amp;$C214),$L:$T,7,FALSE))</f>
        <v>-16.0087772937</v>
      </c>
      <c r="G214" s="53" t="e">
        <f>IF(Summary_Exchange_Balances_00UTC!$B214="","",VLOOKUP(IF(ISERROR(SEARCH(" ", $B214)),UPPER($B214&amp;$C214&amp;$D214),UPPER(LEFT($B214, SEARCH(" ",$B214)-1)&amp;$C214&amp;$D214)),$M:$T,6,FALSE))</f>
        <v>#N/A</v>
      </c>
      <c r="H214">
        <f>IF(Summary_Exchange_Balances_00UTC!$B214="","",IF(ISERROR($G214),$E214,$G214))</f>
        <v>4359.2729806400002</v>
      </c>
      <c r="I214" s="36" t="e">
        <f t="shared" si="9"/>
        <v>#N/A</v>
      </c>
      <c r="L214" t="str">
        <f t="shared" si="10"/>
        <v>HUBIETH</v>
      </c>
      <c r="M214" t="str">
        <f t="shared" si="11"/>
        <v>HUBIETHTRADE</v>
      </c>
      <c r="N214" t="s">
        <v>362</v>
      </c>
      <c r="O214" t="s">
        <v>115</v>
      </c>
      <c r="P214" t="s">
        <v>425</v>
      </c>
      <c r="Q214" t="s">
        <v>426</v>
      </c>
      <c r="R214" s="43">
        <v>2510.5925359100002</v>
      </c>
      <c r="S214" t="s">
        <v>528</v>
      </c>
      <c r="T214">
        <v>1</v>
      </c>
      <c r="W214" t="s">
        <v>115</v>
      </c>
      <c r="X214" t="s">
        <v>153</v>
      </c>
      <c r="Y214" s="53">
        <v>162254.56419957001</v>
      </c>
      <c r="Z214">
        <v>0</v>
      </c>
      <c r="AC214"/>
      <c r="AD214"/>
      <c r="AS214" t="str">
        <f>IF(Summary_Exchange_Balances_00UTC!$B214="","","'"&amp;C214&amp;"',")</f>
        <v>'ETH',</v>
      </c>
      <c r="AT214">
        <f>IF(Summary_Exchange_Balances_00UTC!$B214="","",IF(ISERROR(HLOOKUP($C214,$AW$1:$LL$2,2,FALSE)),Summary_Exchange_Balances_00UTC!$Q214,IF(OR(HLOOKUP($C214,$AW$1:$LL$2,2,FALSE)="",HLOOKUP($C214,$AW$1:$LL$2,2,FALSE)="null"),Summary_Exchange_Balances_00UTC!$Q214,HLOOKUP($C214,$AW$1:$LL$2,2,FALSE))))</f>
        <v>1208.73</v>
      </c>
    </row>
    <row r="215" spans="1:46" x14ac:dyDescent="0.25">
      <c r="A215" t="str">
        <f>IF(Summary_Exchange_Balances_00UTC!$B215="","",Summary_Exchange_Balances_00UTC!$N215)</f>
        <v>HUBI</v>
      </c>
      <c r="B215" t="str">
        <f>IF(Summary_Exchange_Balances_00UTC!$B215="","",Summary_Exchange_Balances_00UTC!$B215)</f>
        <v>HUBI-E</v>
      </c>
      <c r="C215" t="str">
        <f>IF(Summary_Exchange_Balances_00UTC!$B215="","",Summary_Exchange_Balances_00UTC!$E215)</f>
        <v>ETHF</v>
      </c>
      <c r="D215" t="str">
        <f>IF(OR(Summary_Exchange_Balances_00UTC!$B215="",Summary_Exchange_Balances_00UTC!$D215=""),"",Summary_Exchange_Balances_00UTC!$D215)</f>
        <v/>
      </c>
      <c r="E215" s="53">
        <f>IF(Summary_Exchange_Balances_00UTC!$B215="","",Summary_Exchange_Balances_00UTC!$C215)</f>
        <v>9823.8364263999993</v>
      </c>
      <c r="F215" s="53">
        <f>IF(Summary_Exchange_Balances_00UTC!$B215="","",VLOOKUP(UPPER($A215&amp;$C215),$L:$T,7,FALSE))</f>
        <v>9823.8364263999993</v>
      </c>
      <c r="G215" s="53" t="e">
        <f>IF(Summary_Exchange_Balances_00UTC!$B215="","",VLOOKUP(IF(ISERROR(SEARCH(" ", $B215)),UPPER($B215&amp;$C215&amp;$D215),UPPER(LEFT($B215, SEARCH(" ",$B215)-1)&amp;$C215&amp;$D215)),$M:$T,6,FALSE))</f>
        <v>#N/A</v>
      </c>
      <c r="H215">
        <f>IF(Summary_Exchange_Balances_00UTC!$B215="","",IF(ISERROR($G215),$E215,$G215))</f>
        <v>9823.8364263999993</v>
      </c>
      <c r="I215" s="36" t="e">
        <f t="shared" si="9"/>
        <v>#N/A</v>
      </c>
      <c r="L215" t="str">
        <f t="shared" si="10"/>
        <v>HUBIETH</v>
      </c>
      <c r="M215" t="str">
        <f t="shared" si="11"/>
        <v>HUBIETHFROZEN</v>
      </c>
      <c r="N215" t="s">
        <v>362</v>
      </c>
      <c r="O215" t="s">
        <v>115</v>
      </c>
      <c r="P215" t="s">
        <v>425</v>
      </c>
      <c r="Q215" t="s">
        <v>429</v>
      </c>
      <c r="R215" s="43">
        <v>43</v>
      </c>
      <c r="S215" t="s">
        <v>528</v>
      </c>
      <c r="T215">
        <v>1</v>
      </c>
      <c r="W215" t="s">
        <v>115</v>
      </c>
      <c r="X215" t="s">
        <v>154</v>
      </c>
      <c r="Y215" s="53">
        <v>0.34782034000000001</v>
      </c>
      <c r="Z215">
        <v>0</v>
      </c>
      <c r="AS215" t="str">
        <f>IF(Summary_Exchange_Balances_00UTC!$B215="","","'"&amp;C215&amp;"',")</f>
        <v>'ETHF',</v>
      </c>
      <c r="AT215">
        <f>IF(Summary_Exchange_Balances_00UTC!$B215="","",IF(ISERROR(HLOOKUP($C215,$AW$1:$LL$2,2,FALSE)),Summary_Exchange_Balances_00UTC!$Q215,IF(OR(HLOOKUP($C215,$AW$1:$LL$2,2,FALSE)="",HLOOKUP($C215,$AW$1:$LL$2,2,FALSE)="null"),Summary_Exchange_Balances_00UTC!$Q215,HLOOKUP($C215,$AW$1:$LL$2,2,FALSE))))</f>
        <v>0.23001664875320607</v>
      </c>
    </row>
    <row r="216" spans="1:46" x14ac:dyDescent="0.25">
      <c r="A216" t="str">
        <f>IF(Summary_Exchange_Balances_00UTC!$B216="","",Summary_Exchange_Balances_00UTC!$N216)</f>
        <v>HUBI</v>
      </c>
      <c r="B216" t="str">
        <f>IF(Summary_Exchange_Balances_00UTC!$B216="","",Summary_Exchange_Balances_00UTC!$B216)</f>
        <v>HUBI-E</v>
      </c>
      <c r="C216" t="str">
        <f>IF(Summary_Exchange_Balances_00UTC!$B216="","",Summary_Exchange_Balances_00UTC!$E216)</f>
        <v>ETHW</v>
      </c>
      <c r="D216" t="str">
        <f>IF(OR(Summary_Exchange_Balances_00UTC!$B216="",Summary_Exchange_Balances_00UTC!$D216=""),"",Summary_Exchange_Balances_00UTC!$D216)</f>
        <v/>
      </c>
      <c r="E216" s="53">
        <f>IF(Summary_Exchange_Balances_00UTC!$B216="","",Summary_Exchange_Balances_00UTC!$C216)</f>
        <v>3460.93190667</v>
      </c>
      <c r="F216" s="53">
        <f>IF(Summary_Exchange_Balances_00UTC!$B216="","",VLOOKUP(UPPER($A216&amp;$C216),$L:$T,7,FALSE))</f>
        <v>3460.93190667</v>
      </c>
      <c r="G216" s="53" t="e">
        <f>IF(Summary_Exchange_Balances_00UTC!$B216="","",VLOOKUP(IF(ISERROR(SEARCH(" ", $B216)),UPPER($B216&amp;$C216&amp;$D216),UPPER(LEFT($B216, SEARCH(" ",$B216)-1)&amp;$C216&amp;$D216)),$M:$T,6,FALSE))</f>
        <v>#N/A</v>
      </c>
      <c r="H216">
        <f>IF(Summary_Exchange_Balances_00UTC!$B216="","",IF(ISERROR($G216),$E216,$G216))</f>
        <v>3460.93190667</v>
      </c>
      <c r="I216" s="36" t="e">
        <f t="shared" si="9"/>
        <v>#N/A</v>
      </c>
      <c r="L216" t="str">
        <f t="shared" si="10"/>
        <v>HUBIETH</v>
      </c>
      <c r="M216" t="str">
        <f t="shared" si="11"/>
        <v>HUBIETHTRADE</v>
      </c>
      <c r="N216" t="s">
        <v>362</v>
      </c>
      <c r="O216" s="29" t="s">
        <v>115</v>
      </c>
      <c r="P216" t="s">
        <v>425</v>
      </c>
      <c r="Q216" t="s">
        <v>426</v>
      </c>
      <c r="R216" s="43">
        <v>932.14700450999999</v>
      </c>
      <c r="S216" t="s">
        <v>528</v>
      </c>
      <c r="T216">
        <v>1</v>
      </c>
      <c r="W216" t="s">
        <v>115</v>
      </c>
      <c r="X216" t="s">
        <v>92</v>
      </c>
      <c r="Y216" s="53">
        <v>950734.69046149997</v>
      </c>
      <c r="Z216">
        <v>0</v>
      </c>
      <c r="AS216" t="str">
        <f>IF(Summary_Exchange_Balances_00UTC!$B216="","","'"&amp;C216&amp;"',")</f>
        <v>'ETHW',</v>
      </c>
      <c r="AT216">
        <f>IF(Summary_Exchange_Balances_00UTC!$B216="","",IF(ISERROR(HLOOKUP($C216,$AW$1:$LL$2,2,FALSE)),Summary_Exchange_Balances_00UTC!$Q216,IF(OR(HLOOKUP($C216,$AW$1:$LL$2,2,FALSE)="",HLOOKUP($C216,$AW$1:$LL$2,2,FALSE)="null"),Summary_Exchange_Balances_00UTC!$Q216,HLOOKUP($C216,$AW$1:$LL$2,2,FALSE))))</f>
        <v>3.5405121692480526</v>
      </c>
    </row>
    <row r="217" spans="1:46" x14ac:dyDescent="0.25">
      <c r="A217" t="str">
        <f>IF(Summary_Exchange_Balances_00UTC!$B217="","",Summary_Exchange_Balances_00UTC!$N217)</f>
        <v>HUBI</v>
      </c>
      <c r="B217" t="str">
        <f>IF(Summary_Exchange_Balances_00UTC!$B217="","",Summary_Exchange_Balances_00UTC!$B217)</f>
        <v>HUBI-E</v>
      </c>
      <c r="C217" t="str">
        <f>IF(Summary_Exchange_Balances_00UTC!$B217="","",Summary_Exchange_Balances_00UTC!$E217)</f>
        <v>EUROC</v>
      </c>
      <c r="D217" t="str">
        <f>IF(OR(Summary_Exchange_Balances_00UTC!$B217="",Summary_Exchange_Balances_00UTC!$D217=""),"",Summary_Exchange_Balances_00UTC!$D217)</f>
        <v/>
      </c>
      <c r="E217" s="53">
        <f>IF(Summary_Exchange_Balances_00UTC!$B217="","",Summary_Exchange_Balances_00UTC!$C217)</f>
        <v>340001.49837544002</v>
      </c>
      <c r="F217" s="53">
        <f>IF(Summary_Exchange_Balances_00UTC!$B217="","",VLOOKUP(UPPER($A217&amp;$C217),$L:$T,7,FALSE))</f>
        <v>358367.92189328</v>
      </c>
      <c r="G217" s="53" t="e">
        <f>IF(Summary_Exchange_Balances_00UTC!$B217="","",VLOOKUP(IF(ISERROR(SEARCH(" ", $B217)),UPPER($B217&amp;$C217&amp;$D217),UPPER(LEFT($B217, SEARCH(" ",$B217)-1)&amp;$C217&amp;$D217)),$M:$T,6,FALSE))</f>
        <v>#N/A</v>
      </c>
      <c r="H217">
        <f>IF(Summary_Exchange_Balances_00UTC!$B217="","",IF(ISERROR($G217),$E217,$G217))</f>
        <v>340001.49837544002</v>
      </c>
      <c r="I217" s="36" t="e">
        <f t="shared" si="9"/>
        <v>#N/A</v>
      </c>
      <c r="L217" t="str">
        <f t="shared" si="10"/>
        <v>HUBIETH</v>
      </c>
      <c r="M217" t="str">
        <f t="shared" si="11"/>
        <v>HUB2ETHTRADE</v>
      </c>
      <c r="N217" t="s">
        <v>362</v>
      </c>
      <c r="O217" t="s">
        <v>115</v>
      </c>
      <c r="P217" t="s">
        <v>427</v>
      </c>
      <c r="Q217" t="s">
        <v>426</v>
      </c>
      <c r="R217" s="43">
        <v>1E-8</v>
      </c>
      <c r="S217" t="s">
        <v>529</v>
      </c>
      <c r="T217">
        <v>1</v>
      </c>
      <c r="W217" t="s">
        <v>115</v>
      </c>
      <c r="X217" t="s">
        <v>155</v>
      </c>
      <c r="Y217" s="53">
        <v>3.0962099999999998E-3</v>
      </c>
      <c r="Z217">
        <v>0</v>
      </c>
      <c r="AS217" t="str">
        <f>IF(Summary_Exchange_Balances_00UTC!$B217="","","'"&amp;C217&amp;"',")</f>
        <v>'EUROC',</v>
      </c>
      <c r="AT217">
        <f>IF(Summary_Exchange_Balances_00UTC!$B217="","",IF(ISERROR(HLOOKUP($C217,$AW$1:$LL$2,2,FALSE)),Summary_Exchange_Balances_00UTC!$Q217,IF(OR(HLOOKUP($C217,$AW$1:$LL$2,2,FALSE)="",HLOOKUP($C217,$AW$1:$LL$2,2,FALSE)="null"),Summary_Exchange_Balances_00UTC!$Q217,HLOOKUP($C217,$AW$1:$LL$2,2,FALSE))))</f>
        <v>1.0683314432701254</v>
      </c>
    </row>
    <row r="218" spans="1:46" x14ac:dyDescent="0.25">
      <c r="A218" t="str">
        <f>IF(Summary_Exchange_Balances_00UTC!$B218="","",Summary_Exchange_Balances_00UTC!$N218)</f>
        <v>HUBI</v>
      </c>
      <c r="B218" t="str">
        <f>IF(Summary_Exchange_Balances_00UTC!$B218="","",Summary_Exchange_Balances_00UTC!$B218)</f>
        <v>HUBI-E</v>
      </c>
      <c r="C218" t="str">
        <f>IF(Summary_Exchange_Balances_00UTC!$B218="","",Summary_Exchange_Balances_00UTC!$E218)</f>
        <v>FIL</v>
      </c>
      <c r="D218" t="str">
        <f>IF(OR(Summary_Exchange_Balances_00UTC!$B218="",Summary_Exchange_Balances_00UTC!$D218=""),"",Summary_Exchange_Balances_00UTC!$D218)</f>
        <v/>
      </c>
      <c r="E218" s="53">
        <f>IF(Summary_Exchange_Balances_00UTC!$B218="","",Summary_Exchange_Balances_00UTC!$C218)</f>
        <v>1.0244641699999999</v>
      </c>
      <c r="F218" s="53">
        <f>IF(Summary_Exchange_Balances_00UTC!$B218="","",VLOOKUP(UPPER($A218&amp;$C218),$L:$T,7,FALSE))</f>
        <v>2339.8611111199998</v>
      </c>
      <c r="G218" s="53" t="e">
        <f>IF(Summary_Exchange_Balances_00UTC!$B218="","",VLOOKUP(IF(ISERROR(SEARCH(" ", $B218)),UPPER($B218&amp;$C218&amp;$D218),UPPER(LEFT($B218, SEARCH(" ",$B218)-1)&amp;$C218&amp;$D218)),$M:$T,6,FALSE))</f>
        <v>#N/A</v>
      </c>
      <c r="H218">
        <f>IF(Summary_Exchange_Balances_00UTC!$B218="","",IF(ISERROR($G218),$E218,$G218))</f>
        <v>1.0244641699999999</v>
      </c>
      <c r="I218" s="36" t="e">
        <f t="shared" si="9"/>
        <v>#N/A</v>
      </c>
      <c r="L218" t="str">
        <f t="shared" si="10"/>
        <v>HUBIETHF</v>
      </c>
      <c r="M218" t="str">
        <f t="shared" si="11"/>
        <v>HUBIETHFTRADE</v>
      </c>
      <c r="N218" t="s">
        <v>363</v>
      </c>
      <c r="O218" t="s">
        <v>115</v>
      </c>
      <c r="P218" t="s">
        <v>425</v>
      </c>
      <c r="Q218" t="s">
        <v>426</v>
      </c>
      <c r="R218" s="43">
        <v>9823.8364263999993</v>
      </c>
      <c r="S218" t="s">
        <v>528</v>
      </c>
      <c r="T218">
        <v>1</v>
      </c>
      <c r="W218" t="s">
        <v>115</v>
      </c>
      <c r="X218" t="s">
        <v>156</v>
      </c>
      <c r="Y218" s="53">
        <v>2.6598900000000002E-2</v>
      </c>
      <c r="Z218">
        <v>0</v>
      </c>
      <c r="AS218" t="str">
        <f>IF(Summary_Exchange_Balances_00UTC!$B218="","","'"&amp;C218&amp;"',")</f>
        <v>'FIL',</v>
      </c>
      <c r="AT218">
        <f>IF(Summary_Exchange_Balances_00UTC!$B218="","",IF(ISERROR(HLOOKUP($C218,$AW$1:$LL$2,2,FALSE)),Summary_Exchange_Balances_00UTC!$Q218,IF(OR(HLOOKUP($C218,$AW$1:$LL$2,2,FALSE)="",HLOOKUP($C218,$AW$1:$LL$2,2,FALSE)="null"),Summary_Exchange_Balances_00UTC!$Q218,HLOOKUP($C218,$AW$1:$LL$2,2,FALSE))))</f>
        <v>4.3366579999999999</v>
      </c>
    </row>
    <row r="219" spans="1:46" x14ac:dyDescent="0.25">
      <c r="A219" t="str">
        <f>IF(Summary_Exchange_Balances_00UTC!$B219="","",Summary_Exchange_Balances_00UTC!$N219)</f>
        <v>HUBI</v>
      </c>
      <c r="B219" t="str">
        <f>IF(Summary_Exchange_Balances_00UTC!$B219="","",Summary_Exchange_Balances_00UTC!$B219)</f>
        <v>HUBI-E</v>
      </c>
      <c r="C219" t="str">
        <f>IF(Summary_Exchange_Balances_00UTC!$B219="","",Summary_Exchange_Balances_00UTC!$E219)</f>
        <v>FTT</v>
      </c>
      <c r="D219" t="str">
        <f>IF(OR(Summary_Exchange_Balances_00UTC!$B219="",Summary_Exchange_Balances_00UTC!$D219=""),"",Summary_Exchange_Balances_00UTC!$D219)</f>
        <v/>
      </c>
      <c r="E219" s="53">
        <f>IF(Summary_Exchange_Balances_00UTC!$B219="","",Summary_Exchange_Balances_00UTC!$C219)</f>
        <v>0.68557060000000003</v>
      </c>
      <c r="F219" s="53">
        <f>IF(Summary_Exchange_Balances_00UTC!$B219="","",VLOOKUP(UPPER($A219&amp;$C219),$L:$T,7,FALSE))</f>
        <v>0.68557060000000003</v>
      </c>
      <c r="G219" s="53" t="e">
        <f>IF(Summary_Exchange_Balances_00UTC!$B219="","",VLOOKUP(IF(ISERROR(SEARCH(" ", $B219)),UPPER($B219&amp;$C219&amp;$D219),UPPER(LEFT($B219, SEARCH(" ",$B219)-1)&amp;$C219&amp;$D219)),$M:$T,6,FALSE))</f>
        <v>#N/A</v>
      </c>
      <c r="H219">
        <f>IF(Summary_Exchange_Balances_00UTC!$B219="","",IF(ISERROR($G219),$E219,$G219))</f>
        <v>0.68557060000000003</v>
      </c>
      <c r="I219" s="36" t="e">
        <f t="shared" si="9"/>
        <v>#N/A</v>
      </c>
      <c r="L219" t="str">
        <f t="shared" si="10"/>
        <v>HUBIETHW</v>
      </c>
      <c r="M219" t="str">
        <f t="shared" si="11"/>
        <v>HUBIETHWTRADE</v>
      </c>
      <c r="N219" t="s">
        <v>364</v>
      </c>
      <c r="O219" t="s">
        <v>115</v>
      </c>
      <c r="P219" t="s">
        <v>425</v>
      </c>
      <c r="Q219" t="s">
        <v>426</v>
      </c>
      <c r="R219" s="43">
        <v>3460.93190667</v>
      </c>
      <c r="S219" t="s">
        <v>528</v>
      </c>
      <c r="T219">
        <v>1</v>
      </c>
      <c r="W219" t="s">
        <v>115</v>
      </c>
      <c r="X219" t="s">
        <v>101</v>
      </c>
      <c r="Y219" s="53">
        <v>1214222.2371159999</v>
      </c>
      <c r="Z219">
        <v>0</v>
      </c>
      <c r="AS219" t="str">
        <f>IF(Summary_Exchange_Balances_00UTC!$B219="","","'"&amp;C219&amp;"',")</f>
        <v>'FTT',</v>
      </c>
      <c r="AT219">
        <f>IF(Summary_Exchange_Balances_00UTC!$B219="","",IF(ISERROR(HLOOKUP($C219,$AW$1:$LL$2,2,FALSE)),Summary_Exchange_Balances_00UTC!$Q219,IF(OR(HLOOKUP($C219,$AW$1:$LL$2,2,FALSE)="",HLOOKUP($C219,$AW$1:$LL$2,2,FALSE)="null"),Summary_Exchange_Balances_00UTC!$Q219,HLOOKUP($C219,$AW$1:$LL$2,2,FALSE))))</f>
        <v>1.5288371999999999</v>
      </c>
    </row>
    <row r="220" spans="1:46" x14ac:dyDescent="0.25">
      <c r="A220" t="str">
        <f>IF(Summary_Exchange_Balances_00UTC!$B220="","",Summary_Exchange_Balances_00UTC!$N220)</f>
        <v>HUBI</v>
      </c>
      <c r="B220" t="str">
        <f>IF(Summary_Exchange_Balances_00UTC!$B220="","",Summary_Exchange_Balances_00UTC!$B220)</f>
        <v>HUBI-E</v>
      </c>
      <c r="C220" t="str">
        <f>IF(Summary_Exchange_Balances_00UTC!$B220="","",Summary_Exchange_Balances_00UTC!$E220)</f>
        <v>GAS</v>
      </c>
      <c r="D220" t="str">
        <f>IF(OR(Summary_Exchange_Balances_00UTC!$B220="",Summary_Exchange_Balances_00UTC!$D220=""),"",Summary_Exchange_Balances_00UTC!$D220)</f>
        <v/>
      </c>
      <c r="E220" s="53">
        <f>IF(Summary_Exchange_Balances_00UTC!$B220="","",Summary_Exchange_Balances_00UTC!$C220)</f>
        <v>54.776400000000002</v>
      </c>
      <c r="F220" s="53">
        <f>IF(Summary_Exchange_Balances_00UTC!$B220="","",VLOOKUP(UPPER($A220&amp;$C220),$L:$T,7,FALSE))</f>
        <v>54.776400000000002</v>
      </c>
      <c r="G220" s="53" t="e">
        <f>IF(Summary_Exchange_Balances_00UTC!$B220="","",VLOOKUP(IF(ISERROR(SEARCH(" ", $B220)),UPPER($B220&amp;$C220&amp;$D220),UPPER(LEFT($B220, SEARCH(" ",$B220)-1)&amp;$C220&amp;$D220)),$M:$T,6,FALSE))</f>
        <v>#N/A</v>
      </c>
      <c r="H220">
        <f>IF(Summary_Exchange_Balances_00UTC!$B220="","",IF(ISERROR($G220),$E220,$G220))</f>
        <v>54.776400000000002</v>
      </c>
      <c r="I220" s="36" t="e">
        <f t="shared" si="9"/>
        <v>#N/A</v>
      </c>
      <c r="L220" t="str">
        <f t="shared" si="10"/>
        <v>HUBIEUROC</v>
      </c>
      <c r="M220" t="str">
        <f t="shared" si="11"/>
        <v>HUBIEUROCTRADE</v>
      </c>
      <c r="N220" t="s">
        <v>365</v>
      </c>
      <c r="O220" s="29" t="s">
        <v>115</v>
      </c>
      <c r="P220" t="s">
        <v>425</v>
      </c>
      <c r="Q220" t="s">
        <v>426</v>
      </c>
      <c r="R220" s="43">
        <v>358367.92189328</v>
      </c>
      <c r="S220" t="s">
        <v>528</v>
      </c>
      <c r="T220">
        <v>1</v>
      </c>
      <c r="W220" t="s">
        <v>115</v>
      </c>
      <c r="X220" t="s">
        <v>38</v>
      </c>
      <c r="Y220" s="53">
        <v>4793337439.352232</v>
      </c>
      <c r="Z220">
        <v>0</v>
      </c>
      <c r="AS220" t="str">
        <f>IF(Summary_Exchange_Balances_00UTC!$B220="","","'"&amp;C220&amp;"',")</f>
        <v>'GAS',</v>
      </c>
      <c r="AT220">
        <f>IF(Summary_Exchange_Balances_00UTC!$B220="","",IF(ISERROR(HLOOKUP($C220,$AW$1:$LL$2,2,FALSE)),Summary_Exchange_Balances_00UTC!$Q220,IF(OR(HLOOKUP($C220,$AW$1:$LL$2,2,FALSE)="",HLOOKUP($C220,$AW$1:$LL$2,2,FALSE)="null"),Summary_Exchange_Balances_00UTC!$Q220,HLOOKUP($C220,$AW$1:$LL$2,2,FALSE))))</f>
        <v>2.316566064578176</v>
      </c>
    </row>
    <row r="221" spans="1:46" x14ac:dyDescent="0.25">
      <c r="A221" t="str">
        <f>IF(Summary_Exchange_Balances_00UTC!$B221="","",Summary_Exchange_Balances_00UTC!$N221)</f>
        <v>HUBI</v>
      </c>
      <c r="B221" t="str">
        <f>IF(Summary_Exchange_Balances_00UTC!$B221="","",Summary_Exchange_Balances_00UTC!$B221)</f>
        <v>HUBI-E</v>
      </c>
      <c r="C221" t="str">
        <f>IF(Summary_Exchange_Balances_00UTC!$B221="","",Summary_Exchange_Balances_00UTC!$E221)</f>
        <v>HBAR</v>
      </c>
      <c r="D221" t="str">
        <f>IF(OR(Summary_Exchange_Balances_00UTC!$B221="",Summary_Exchange_Balances_00UTC!$D221=""),"",Summary_Exchange_Balances_00UTC!$D221)</f>
        <v/>
      </c>
      <c r="E221" s="53">
        <f>IF(Summary_Exchange_Balances_00UTC!$B221="","",Summary_Exchange_Balances_00UTC!$C221)</f>
        <v>3.4060489999999999E-2</v>
      </c>
      <c r="F221" s="53">
        <f>IF(Summary_Exchange_Balances_00UTC!$B221="","",VLOOKUP(UPPER($A221&amp;$C221),$L:$T,7,FALSE))</f>
        <v>100.03406049</v>
      </c>
      <c r="G221" s="53" t="e">
        <f>IF(Summary_Exchange_Balances_00UTC!$B221="","",VLOOKUP(IF(ISERROR(SEARCH(" ", $B221)),UPPER($B221&amp;$C221&amp;$D221),UPPER(LEFT($B221, SEARCH(" ",$B221)-1)&amp;$C221&amp;$D221)),$M:$T,6,FALSE))</f>
        <v>#N/A</v>
      </c>
      <c r="H221">
        <f>IF(Summary_Exchange_Balances_00UTC!$B221="","",IF(ISERROR($G221),$E221,$G221))</f>
        <v>3.4060489999999999E-2</v>
      </c>
      <c r="I221" s="36" t="e">
        <f t="shared" si="9"/>
        <v>#N/A</v>
      </c>
      <c r="L221" t="str">
        <f t="shared" si="10"/>
        <v>HUBIEUROC</v>
      </c>
      <c r="M221" t="str">
        <f t="shared" si="11"/>
        <v>HUBIEUROCFROZEN</v>
      </c>
      <c r="N221" t="s">
        <v>365</v>
      </c>
      <c r="O221" t="s">
        <v>115</v>
      </c>
      <c r="P221" t="s">
        <v>425</v>
      </c>
      <c r="Q221" t="s">
        <v>429</v>
      </c>
      <c r="R221" s="43">
        <v>2327.56</v>
      </c>
      <c r="S221" t="s">
        <v>528</v>
      </c>
      <c r="T221">
        <v>1</v>
      </c>
      <c r="W221" t="s">
        <v>115</v>
      </c>
      <c r="X221" t="s">
        <v>157</v>
      </c>
      <c r="Y221" s="53">
        <v>0.14106867000000001</v>
      </c>
      <c r="Z221">
        <v>0</v>
      </c>
      <c r="AS221" t="str">
        <f>IF(Summary_Exchange_Balances_00UTC!$B221="","","'"&amp;C221&amp;"',")</f>
        <v>'HBAR',</v>
      </c>
      <c r="AT221">
        <f>IF(Summary_Exchange_Balances_00UTC!$B221="","",IF(ISERROR(HLOOKUP($C221,$AW$1:$LL$2,2,FALSE)),Summary_Exchange_Balances_00UTC!$Q221,IF(OR(HLOOKUP($C221,$AW$1:$LL$2,2,FALSE)="",HLOOKUP($C221,$AW$1:$LL$2,2,FALSE)="null"),Summary_Exchange_Balances_00UTC!$Q221,HLOOKUP($C221,$AW$1:$LL$2,2,FALSE))))</f>
        <v>4.9363444999999999E-2</v>
      </c>
    </row>
    <row r="222" spans="1:46" x14ac:dyDescent="0.25">
      <c r="A222" t="str">
        <f>IF(Summary_Exchange_Balances_00UTC!$B222="","",Summary_Exchange_Balances_00UTC!$N222)</f>
        <v>HUBI</v>
      </c>
      <c r="B222" t="str">
        <f>IF(Summary_Exchange_Balances_00UTC!$B222="","",Summary_Exchange_Balances_00UTC!$B222)</f>
        <v>HUBI-E</v>
      </c>
      <c r="C222" t="str">
        <f>IF(Summary_Exchange_Balances_00UTC!$B222="","",Summary_Exchange_Balances_00UTC!$E222)</f>
        <v>HPT</v>
      </c>
      <c r="D222" t="str">
        <f>IF(OR(Summary_Exchange_Balances_00UTC!$B222="",Summary_Exchange_Balances_00UTC!$D222=""),"",Summary_Exchange_Balances_00UTC!$D222)</f>
        <v/>
      </c>
      <c r="E222" s="53">
        <f>IF(Summary_Exchange_Balances_00UTC!$B222="","",Summary_Exchange_Balances_00UTC!$C222)</f>
        <v>5337.6979873099999</v>
      </c>
      <c r="F222" s="53">
        <f>IF(Summary_Exchange_Balances_00UTC!$B222="","",VLOOKUP(UPPER($A222&amp;$C222),$L:$T,7,FALSE))</f>
        <v>5337.6979873099999</v>
      </c>
      <c r="G222" s="53" t="e">
        <f>IF(Summary_Exchange_Balances_00UTC!$B222="","",VLOOKUP(IF(ISERROR(SEARCH(" ", $B222)),UPPER($B222&amp;$C222&amp;$D222),UPPER(LEFT($B222, SEARCH(" ",$B222)-1)&amp;$C222&amp;$D222)),$M:$T,6,FALSE))</f>
        <v>#N/A</v>
      </c>
      <c r="H222">
        <f>IF(Summary_Exchange_Balances_00UTC!$B222="","",IF(ISERROR($G222),$E222,$G222))</f>
        <v>5337.6979873099999</v>
      </c>
      <c r="I222" s="36" t="e">
        <f t="shared" si="9"/>
        <v>#N/A</v>
      </c>
      <c r="L222" t="str">
        <f t="shared" si="10"/>
        <v>HUBIFIL</v>
      </c>
      <c r="M222" t="str">
        <f t="shared" si="11"/>
        <v>HUBIFILTRADE</v>
      </c>
      <c r="N222" t="s">
        <v>366</v>
      </c>
      <c r="O222" t="s">
        <v>115</v>
      </c>
      <c r="P222" t="s">
        <v>425</v>
      </c>
      <c r="Q222" t="s">
        <v>426</v>
      </c>
      <c r="R222" s="43">
        <v>2339.8611111199998</v>
      </c>
      <c r="S222" t="s">
        <v>528</v>
      </c>
      <c r="T222">
        <v>1</v>
      </c>
      <c r="W222" t="s">
        <v>115</v>
      </c>
      <c r="X222" t="s">
        <v>158</v>
      </c>
      <c r="Y222" s="53">
        <v>38753.774400000002</v>
      </c>
      <c r="Z222">
        <v>0</v>
      </c>
      <c r="AS222" t="str">
        <f>IF(Summary_Exchange_Balances_00UTC!$B222="","","'"&amp;C222&amp;"',")</f>
        <v>'HPT',</v>
      </c>
      <c r="AT222">
        <f>IF(Summary_Exchange_Balances_00UTC!$B222="","",IF(ISERROR(HLOOKUP($C222,$AW$1:$LL$2,2,FALSE)),Summary_Exchange_Balances_00UTC!$Q222,IF(OR(HLOOKUP($C222,$AW$1:$LL$2,2,FALSE)="",HLOOKUP($C222,$AW$1:$LL$2,2,FALSE)="null"),Summary_Exchange_Balances_00UTC!$Q222,HLOOKUP($C222,$AW$1:$LL$2,2,FALSE))))</f>
        <v>8.035209330572563E-4</v>
      </c>
    </row>
    <row r="223" spans="1:46" x14ac:dyDescent="0.25">
      <c r="A223" t="str">
        <f>IF(Summary_Exchange_Balances_00UTC!$B223="","",Summary_Exchange_Balances_00UTC!$N223)</f>
        <v>HUBI</v>
      </c>
      <c r="B223" t="str">
        <f>IF(Summary_Exchange_Balances_00UTC!$B223="","",Summary_Exchange_Balances_00UTC!$B223)</f>
        <v>HUBI-E</v>
      </c>
      <c r="C223" t="str">
        <f>IF(Summary_Exchange_Balances_00UTC!$B223="","",Summary_Exchange_Balances_00UTC!$E223)</f>
        <v>HT</v>
      </c>
      <c r="D223" t="str">
        <f>IF(OR(Summary_Exchange_Balances_00UTC!$B223="",Summary_Exchange_Balances_00UTC!$D223=""),"",Summary_Exchange_Balances_00UTC!$D223)</f>
        <v/>
      </c>
      <c r="E223" s="53">
        <f>IF(Summary_Exchange_Balances_00UTC!$B223="","",Summary_Exchange_Balances_00UTC!$C223)</f>
        <v>2231.62166088</v>
      </c>
      <c r="F223" s="53">
        <f>IF(Summary_Exchange_Balances_00UTC!$B223="","",VLOOKUP(UPPER($A223&amp;$C223),$L:$T,7,FALSE))</f>
        <v>3302.1007494</v>
      </c>
      <c r="G223" s="53" t="e">
        <f>IF(Summary_Exchange_Balances_00UTC!$B223="","",VLOOKUP(IF(ISERROR(SEARCH(" ", $B223)),UPPER($B223&amp;$C223&amp;$D223),UPPER(LEFT($B223, SEARCH(" ",$B223)-1)&amp;$C223&amp;$D223)),$M:$T,6,FALSE))</f>
        <v>#N/A</v>
      </c>
      <c r="H223">
        <f>IF(Summary_Exchange_Balances_00UTC!$B223="","",IF(ISERROR($G223),$E223,$G223))</f>
        <v>2231.62166088</v>
      </c>
      <c r="I223" s="36" t="e">
        <f t="shared" si="9"/>
        <v>#N/A</v>
      </c>
      <c r="L223" t="str">
        <f t="shared" si="10"/>
        <v>HUBIFTT</v>
      </c>
      <c r="M223" t="str">
        <f t="shared" si="11"/>
        <v>HUBIFTTTRADE</v>
      </c>
      <c r="N223" t="s">
        <v>367</v>
      </c>
      <c r="O223" t="s">
        <v>115</v>
      </c>
      <c r="P223" t="s">
        <v>425</v>
      </c>
      <c r="Q223" t="s">
        <v>426</v>
      </c>
      <c r="R223" s="43">
        <v>0.68557060000000003</v>
      </c>
      <c r="S223" t="s">
        <v>528</v>
      </c>
      <c r="T223">
        <v>1</v>
      </c>
      <c r="W223" t="s">
        <v>115</v>
      </c>
      <c r="X223" t="s">
        <v>159</v>
      </c>
      <c r="Y223" s="53">
        <v>29.76350429</v>
      </c>
      <c r="Z223">
        <v>0</v>
      </c>
      <c r="AS223" t="str">
        <f>IF(Summary_Exchange_Balances_00UTC!$B223="","","'"&amp;C223&amp;"',")</f>
        <v>'HT',</v>
      </c>
      <c r="AT223">
        <f>IF(Summary_Exchange_Balances_00UTC!$B223="","",IF(ISERROR(HLOOKUP($C223,$AW$1:$LL$2,2,FALSE)),Summary_Exchange_Balances_00UTC!$Q223,IF(OR(HLOOKUP($C223,$AW$1:$LL$2,2,FALSE)="",HLOOKUP($C223,$AW$1:$LL$2,2,FALSE)="null"),Summary_Exchange_Balances_00UTC!$Q223,HLOOKUP($C223,$AW$1:$LL$2,2,FALSE))))</f>
        <v>4.6684026999999997</v>
      </c>
    </row>
    <row r="224" spans="1:46" x14ac:dyDescent="0.25">
      <c r="A224" t="str">
        <f>IF(Summary_Exchange_Balances_00UTC!$B224="","",Summary_Exchange_Balances_00UTC!$N224)</f>
        <v>HUBI</v>
      </c>
      <c r="B224" t="str">
        <f>IF(Summary_Exchange_Balances_00UTC!$B224="","",Summary_Exchange_Balances_00UTC!$B224)</f>
        <v>HUBI-E</v>
      </c>
      <c r="C224" t="str">
        <f>IF(Summary_Exchange_Balances_00UTC!$B224="","",Summary_Exchange_Balances_00UTC!$E224)</f>
        <v>IOST</v>
      </c>
      <c r="D224" t="str">
        <f>IF(OR(Summary_Exchange_Balances_00UTC!$B224="",Summary_Exchange_Balances_00UTC!$D224=""),"",Summary_Exchange_Balances_00UTC!$D224)</f>
        <v/>
      </c>
      <c r="E224" s="53">
        <f>IF(Summary_Exchange_Balances_00UTC!$B224="","",Summary_Exchange_Balances_00UTC!$C224)</f>
        <v>14.785856219999999</v>
      </c>
      <c r="F224" s="53">
        <f>IF(Summary_Exchange_Balances_00UTC!$B224="","",VLOOKUP(UPPER($A224&amp;$C224),$L:$T,7,FALSE))</f>
        <v>14.785856219999999</v>
      </c>
      <c r="G224" s="53" t="e">
        <f>IF(Summary_Exchange_Balances_00UTC!$B224="","",VLOOKUP(IF(ISERROR(SEARCH(" ", $B224)),UPPER($B224&amp;$C224&amp;$D224),UPPER(LEFT($B224, SEARCH(" ",$B224)-1)&amp;$C224&amp;$D224)),$M:$T,6,FALSE))</f>
        <v>#N/A</v>
      </c>
      <c r="H224">
        <f>IF(Summary_Exchange_Balances_00UTC!$B224="","",IF(ISERROR($G224),$E224,$G224))</f>
        <v>14.785856219999999</v>
      </c>
      <c r="I224" s="36" t="e">
        <f t="shared" si="9"/>
        <v>#N/A</v>
      </c>
      <c r="L224" t="str">
        <f t="shared" si="10"/>
        <v>HUBIGAS</v>
      </c>
      <c r="M224" t="str">
        <f t="shared" si="11"/>
        <v>HUBIGASTRADE</v>
      </c>
      <c r="N224" t="s">
        <v>368</v>
      </c>
      <c r="O224" t="s">
        <v>115</v>
      </c>
      <c r="P224" t="s">
        <v>425</v>
      </c>
      <c r="Q224" t="s">
        <v>426</v>
      </c>
      <c r="R224" s="43">
        <v>54.776400000000002</v>
      </c>
      <c r="S224" t="s">
        <v>528</v>
      </c>
      <c r="T224">
        <v>1</v>
      </c>
      <c r="W224" t="s">
        <v>115</v>
      </c>
      <c r="X224" t="s">
        <v>26</v>
      </c>
      <c r="Y224" s="53">
        <v>9188410.11119611</v>
      </c>
      <c r="Z224">
        <v>0</v>
      </c>
      <c r="AS224" t="str">
        <f>IF(Summary_Exchange_Balances_00UTC!$B224="","","'"&amp;C224&amp;"',")</f>
        <v>'IOST',</v>
      </c>
      <c r="AT224">
        <f>IF(Summary_Exchange_Balances_00UTC!$B224="","",IF(ISERROR(HLOOKUP($C224,$AW$1:$LL$2,2,FALSE)),Summary_Exchange_Balances_00UTC!$Q224,IF(OR(HLOOKUP($C224,$AW$1:$LL$2,2,FALSE)="",HLOOKUP($C224,$AW$1:$LL$2,2,FALSE)="null"),Summary_Exchange_Balances_00UTC!$Q224,HLOOKUP($C224,$AW$1:$LL$2,2,FALSE))))</f>
        <v>8.1537980000000003E-3</v>
      </c>
    </row>
    <row r="225" spans="1:46" x14ac:dyDescent="0.25">
      <c r="A225" t="str">
        <f>IF(Summary_Exchange_Balances_00UTC!$B225="","",Summary_Exchange_Balances_00UTC!$N225)</f>
        <v>HUBI</v>
      </c>
      <c r="B225" t="str">
        <f>IF(Summary_Exchange_Balances_00UTC!$B225="","",Summary_Exchange_Balances_00UTC!$B225)</f>
        <v>HUBI-E</v>
      </c>
      <c r="C225" t="str">
        <f>IF(Summary_Exchange_Balances_00UTC!$B225="","",Summary_Exchange_Balances_00UTC!$E225)</f>
        <v>IRIS</v>
      </c>
      <c r="D225" t="str">
        <f>IF(OR(Summary_Exchange_Balances_00UTC!$B225="",Summary_Exchange_Balances_00UTC!$D225=""),"",Summary_Exchange_Balances_00UTC!$D225)</f>
        <v/>
      </c>
      <c r="E225" s="53">
        <f>IF(Summary_Exchange_Balances_00UTC!$B225="","",Summary_Exchange_Balances_00UTC!$C225)</f>
        <v>0.81765067999999996</v>
      </c>
      <c r="F225" s="53">
        <f>IF(Summary_Exchange_Balances_00UTC!$B225="","",VLOOKUP(UPPER($A225&amp;$C225),$L:$T,7,FALSE))</f>
        <v>0.81765067999999996</v>
      </c>
      <c r="G225" s="53" t="e">
        <f>IF(Summary_Exchange_Balances_00UTC!$B225="","",VLOOKUP(IF(ISERROR(SEARCH(" ", $B225)),UPPER($B225&amp;$C225&amp;$D225),UPPER(LEFT($B225, SEARCH(" ",$B225)-1)&amp;$C225&amp;$D225)),$M:$T,6,FALSE))</f>
        <v>#N/A</v>
      </c>
      <c r="H225">
        <f>IF(Summary_Exchange_Balances_00UTC!$B225="","",IF(ISERROR($G225),$E225,$G225))</f>
        <v>0.81765067999999996</v>
      </c>
      <c r="I225" s="36" t="e">
        <f t="shared" si="9"/>
        <v>#N/A</v>
      </c>
      <c r="L225" t="str">
        <f t="shared" si="10"/>
        <v>HUBIHBAR</v>
      </c>
      <c r="M225" t="str">
        <f t="shared" si="11"/>
        <v>HUBIHBARTRADE</v>
      </c>
      <c r="N225" t="s">
        <v>369</v>
      </c>
      <c r="O225" t="s">
        <v>115</v>
      </c>
      <c r="P225" t="s">
        <v>425</v>
      </c>
      <c r="Q225" t="s">
        <v>426</v>
      </c>
      <c r="R225" s="43">
        <v>100.03406049</v>
      </c>
      <c r="S225" t="s">
        <v>528</v>
      </c>
      <c r="T225">
        <v>1</v>
      </c>
      <c r="W225" t="s">
        <v>115</v>
      </c>
      <c r="X225" t="s">
        <v>160</v>
      </c>
      <c r="Y225" s="53">
        <v>6.3152970000000003E-2</v>
      </c>
      <c r="Z225">
        <v>0</v>
      </c>
      <c r="AS225" t="str">
        <f>IF(Summary_Exchange_Balances_00UTC!$B225="","","'"&amp;C225&amp;"',")</f>
        <v>'IRIS',</v>
      </c>
      <c r="AT225">
        <f>IF(Summary_Exchange_Balances_00UTC!$B225="","",IF(ISERROR(HLOOKUP($C225,$AW$1:$LL$2,2,FALSE)),Summary_Exchange_Balances_00UTC!$Q225,IF(OR(HLOOKUP($C225,$AW$1:$LL$2,2,FALSE)="",HLOOKUP($C225,$AW$1:$LL$2,2,FALSE)="null"),Summary_Exchange_Balances_00UTC!$Q225,HLOOKUP($C225,$AW$1:$LL$2,2,FALSE))))</f>
        <v>1.4188902231514807E-2</v>
      </c>
    </row>
    <row r="226" spans="1:46" x14ac:dyDescent="0.25">
      <c r="A226" t="str">
        <f>IF(Summary_Exchange_Balances_00UTC!$B226="","",Summary_Exchange_Balances_00UTC!$N226)</f>
        <v>HUBI</v>
      </c>
      <c r="B226" t="str">
        <f>IF(Summary_Exchange_Balances_00UTC!$B226="","",Summary_Exchange_Balances_00UTC!$B226)</f>
        <v>HUBI-E</v>
      </c>
      <c r="C226" t="str">
        <f>IF(Summary_Exchange_Balances_00UTC!$B226="","",Summary_Exchange_Balances_00UTC!$E226)</f>
        <v>JST</v>
      </c>
      <c r="D226" t="str">
        <f>IF(OR(Summary_Exchange_Balances_00UTC!$B226="",Summary_Exchange_Balances_00UTC!$D226=""),"",Summary_Exchange_Balances_00UTC!$D226)</f>
        <v/>
      </c>
      <c r="E226" s="53">
        <f>IF(Summary_Exchange_Balances_00UTC!$B226="","",Summary_Exchange_Balances_00UTC!$C226)</f>
        <v>9.1121815000000002</v>
      </c>
      <c r="F226" s="53">
        <f>IF(Summary_Exchange_Balances_00UTC!$B226="","",VLOOKUP(UPPER($A226&amp;$C226),$L:$T,7,FALSE))</f>
        <v>9.1121815000000002</v>
      </c>
      <c r="G226" s="53" t="e">
        <f>IF(Summary_Exchange_Balances_00UTC!$B226="","",VLOOKUP(IF(ISERROR(SEARCH(" ", $B226)),UPPER($B226&amp;$C226&amp;$D226),UPPER(LEFT($B226, SEARCH(" ",$B226)-1)&amp;$C226&amp;$D226)),$M:$T,6,FALSE))</f>
        <v>#N/A</v>
      </c>
      <c r="H226">
        <f>IF(Summary_Exchange_Balances_00UTC!$B226="","",IF(ISERROR($G226),$E226,$G226))</f>
        <v>9.1121815000000002</v>
      </c>
      <c r="I226" s="36" t="e">
        <f t="shared" si="9"/>
        <v>#N/A</v>
      </c>
      <c r="L226" t="str">
        <f t="shared" si="10"/>
        <v>HUBIHPT</v>
      </c>
      <c r="M226" t="str">
        <f t="shared" si="11"/>
        <v>HUBIHPTTRADE</v>
      </c>
      <c r="N226" t="s">
        <v>370</v>
      </c>
      <c r="O226" t="s">
        <v>115</v>
      </c>
      <c r="P226" t="s">
        <v>425</v>
      </c>
      <c r="Q226" t="s">
        <v>426</v>
      </c>
      <c r="R226" s="43">
        <v>5337.6979873099999</v>
      </c>
      <c r="S226" t="s">
        <v>528</v>
      </c>
      <c r="T226">
        <v>1</v>
      </c>
      <c r="W226" t="s">
        <v>115</v>
      </c>
      <c r="X226" t="s">
        <v>161</v>
      </c>
      <c r="Y226" s="53">
        <v>20</v>
      </c>
      <c r="Z226">
        <v>0</v>
      </c>
      <c r="AS226" t="str">
        <f>IF(Summary_Exchange_Balances_00UTC!$B226="","","'"&amp;C226&amp;"',")</f>
        <v>'JST',</v>
      </c>
      <c r="AT226">
        <f>IF(Summary_Exchange_Balances_00UTC!$B226="","",IF(ISERROR(HLOOKUP($C226,$AW$1:$LL$2,2,FALSE)),Summary_Exchange_Balances_00UTC!$Q226,IF(OR(HLOOKUP($C226,$AW$1:$LL$2,2,FALSE)="",HLOOKUP($C226,$AW$1:$LL$2,2,FALSE)="null"),Summary_Exchange_Balances_00UTC!$Q226,HLOOKUP($C226,$AW$1:$LL$2,2,FALSE))))</f>
        <v>2.0494003E-2</v>
      </c>
    </row>
    <row r="227" spans="1:46" x14ac:dyDescent="0.25">
      <c r="A227" t="str">
        <f>IF(Summary_Exchange_Balances_00UTC!$B227="","",Summary_Exchange_Balances_00UTC!$N227)</f>
        <v>HUBI</v>
      </c>
      <c r="B227" t="str">
        <f>IF(Summary_Exchange_Balances_00UTC!$B227="","",Summary_Exchange_Balances_00UTC!$B227)</f>
        <v>HUBI-E</v>
      </c>
      <c r="C227" t="str">
        <f>IF(Summary_Exchange_Balances_00UTC!$B227="","",Summary_Exchange_Balances_00UTC!$E227)</f>
        <v>KSM</v>
      </c>
      <c r="D227" t="str">
        <f>IF(OR(Summary_Exchange_Balances_00UTC!$B227="",Summary_Exchange_Balances_00UTC!$D227=""),"",Summary_Exchange_Balances_00UTC!$D227)</f>
        <v/>
      </c>
      <c r="E227" s="53">
        <f>IF(Summary_Exchange_Balances_00UTC!$B227="","",Summary_Exchange_Balances_00UTC!$C227)</f>
        <v>1.4966E-4</v>
      </c>
      <c r="F227" s="53">
        <f>IF(Summary_Exchange_Balances_00UTC!$B227="","",VLOOKUP(UPPER($A227&amp;$C227),$L:$T,7,FALSE))</f>
        <v>402.62451444999999</v>
      </c>
      <c r="G227" s="53" t="e">
        <f>IF(Summary_Exchange_Balances_00UTC!$B227="","",VLOOKUP(IF(ISERROR(SEARCH(" ", $B227)),UPPER($B227&amp;$C227&amp;$D227),UPPER(LEFT($B227, SEARCH(" ",$B227)-1)&amp;$C227&amp;$D227)),$M:$T,6,FALSE))</f>
        <v>#N/A</v>
      </c>
      <c r="H227">
        <f>IF(Summary_Exchange_Balances_00UTC!$B227="","",IF(ISERROR($G227),$E227,$G227))</f>
        <v>1.4966E-4</v>
      </c>
      <c r="I227" s="36" t="e">
        <f t="shared" si="9"/>
        <v>#N/A</v>
      </c>
      <c r="L227" t="str">
        <f t="shared" si="10"/>
        <v>HUBIHT</v>
      </c>
      <c r="M227" t="str">
        <f t="shared" si="11"/>
        <v>HUBIHTTRADE</v>
      </c>
      <c r="N227" t="s">
        <v>371</v>
      </c>
      <c r="O227" t="s">
        <v>115</v>
      </c>
      <c r="P227" t="s">
        <v>425</v>
      </c>
      <c r="Q227" t="s">
        <v>426</v>
      </c>
      <c r="R227" s="43">
        <v>3302.1007494</v>
      </c>
      <c r="S227" t="s">
        <v>528</v>
      </c>
      <c r="T227">
        <v>1</v>
      </c>
      <c r="W227" t="s">
        <v>115</v>
      </c>
      <c r="X227" t="s">
        <v>162</v>
      </c>
      <c r="Y227" s="53">
        <v>4.7890616599999998</v>
      </c>
      <c r="Z227">
        <v>0</v>
      </c>
      <c r="AS227" t="str">
        <f>IF(Summary_Exchange_Balances_00UTC!$B227="","","'"&amp;C227&amp;"',")</f>
        <v>'KSM',</v>
      </c>
      <c r="AT227">
        <f>IF(Summary_Exchange_Balances_00UTC!$B227="","",IF(ISERROR(HLOOKUP($C227,$AW$1:$LL$2,2,FALSE)),Summary_Exchange_Balances_00UTC!$Q227,IF(OR(HLOOKUP($C227,$AW$1:$LL$2,2,FALSE)="",HLOOKUP($C227,$AW$1:$LL$2,2,FALSE)="null"),Summary_Exchange_Balances_00UTC!$Q227,HLOOKUP($C227,$AW$1:$LL$2,2,FALSE))))</f>
        <v>24.360496999999999</v>
      </c>
    </row>
    <row r="228" spans="1:46" x14ac:dyDescent="0.25">
      <c r="A228" t="str">
        <f>IF(Summary_Exchange_Balances_00UTC!$B228="","",Summary_Exchange_Balances_00UTC!$N228)</f>
        <v>HUBI</v>
      </c>
      <c r="B228" t="str">
        <f>IF(Summary_Exchange_Balances_00UTC!$B228="","",Summary_Exchange_Balances_00UTC!$B228)</f>
        <v>HUBI-E</v>
      </c>
      <c r="C228" t="str">
        <f>IF(Summary_Exchange_Balances_00UTC!$B228="","",Summary_Exchange_Balances_00UTC!$E228)</f>
        <v>LAMB</v>
      </c>
      <c r="D228" t="str">
        <f>IF(OR(Summary_Exchange_Balances_00UTC!$B228="",Summary_Exchange_Balances_00UTC!$D228=""),"",Summary_Exchange_Balances_00UTC!$D228)</f>
        <v/>
      </c>
      <c r="E228" s="53">
        <f>IF(Summary_Exchange_Balances_00UTC!$B228="","",Summary_Exchange_Balances_00UTC!$C228)</f>
        <v>0.24234807999999999</v>
      </c>
      <c r="F228" s="53">
        <f>IF(Summary_Exchange_Balances_00UTC!$B228="","",VLOOKUP(UPPER($A228&amp;$C228),$L:$T,7,FALSE))</f>
        <v>0.24234807999999999</v>
      </c>
      <c r="G228" s="53" t="e">
        <f>IF(Summary_Exchange_Balances_00UTC!$B228="","",VLOOKUP(IF(ISERROR(SEARCH(" ", $B228)),UPPER($B228&amp;$C228&amp;$D228),UPPER(LEFT($B228, SEARCH(" ",$B228)-1)&amp;$C228&amp;$D228)),$M:$T,6,FALSE))</f>
        <v>#N/A</v>
      </c>
      <c r="H228">
        <f>IF(Summary_Exchange_Balances_00UTC!$B228="","",IF(ISERROR($G228),$E228,$G228))</f>
        <v>0.24234807999999999</v>
      </c>
      <c r="I228" s="36" t="e">
        <f t="shared" si="9"/>
        <v>#N/A</v>
      </c>
      <c r="L228" t="str">
        <f t="shared" si="10"/>
        <v>HUBIIOST</v>
      </c>
      <c r="M228" t="str">
        <f t="shared" si="11"/>
        <v>HUBIIOSTTRADE</v>
      </c>
      <c r="N228" t="s">
        <v>372</v>
      </c>
      <c r="O228" t="s">
        <v>115</v>
      </c>
      <c r="P228" t="s">
        <v>425</v>
      </c>
      <c r="Q228" t="s">
        <v>426</v>
      </c>
      <c r="R228" s="43">
        <v>14.785856219999999</v>
      </c>
      <c r="S228" t="s">
        <v>528</v>
      </c>
      <c r="T228">
        <v>1</v>
      </c>
      <c r="W228" t="s">
        <v>115</v>
      </c>
      <c r="X228" t="s">
        <v>95</v>
      </c>
      <c r="Y228" s="53">
        <v>4512595.36556256</v>
      </c>
      <c r="Z228">
        <v>0</v>
      </c>
      <c r="AS228" t="str">
        <f>IF(Summary_Exchange_Balances_00UTC!$B228="","","'"&amp;C228&amp;"',")</f>
        <v>'LAMB',</v>
      </c>
      <c r="AT228">
        <f>IF(Summary_Exchange_Balances_00UTC!$B228="","",IF(ISERROR(HLOOKUP($C228,$AW$1:$LL$2,2,FALSE)),Summary_Exchange_Balances_00UTC!$Q228,IF(OR(HLOOKUP($C228,$AW$1:$LL$2,2,FALSE)="",HLOOKUP($C228,$AW$1:$LL$2,2,FALSE)="null"),Summary_Exchange_Balances_00UTC!$Q228,HLOOKUP($C228,$AW$1:$LL$2,2,FALSE))))</f>
        <v>1.2754837981682463E-3</v>
      </c>
    </row>
    <row r="229" spans="1:46" x14ac:dyDescent="0.25">
      <c r="A229" t="str">
        <f>IF(Summary_Exchange_Balances_00UTC!$B229="","",Summary_Exchange_Balances_00UTC!$N229)</f>
        <v>HUBI</v>
      </c>
      <c r="B229" t="str">
        <f>IF(Summary_Exchange_Balances_00UTC!$B229="","",Summary_Exchange_Balances_00UTC!$B229)</f>
        <v>HUBI-E</v>
      </c>
      <c r="C229" t="str">
        <f>IF(Summary_Exchange_Balances_00UTC!$B229="","",Summary_Exchange_Balances_00UTC!$E229)</f>
        <v>LEND</v>
      </c>
      <c r="D229" t="str">
        <f>IF(OR(Summary_Exchange_Balances_00UTC!$B229="",Summary_Exchange_Balances_00UTC!$D229=""),"",Summary_Exchange_Balances_00UTC!$D229)</f>
        <v/>
      </c>
      <c r="E229" s="53">
        <f>IF(Summary_Exchange_Balances_00UTC!$B229="","",Summary_Exchange_Balances_00UTC!$C229)</f>
        <v>1E-8</v>
      </c>
      <c r="F229" s="53">
        <f>IF(Summary_Exchange_Balances_00UTC!$B229="","",VLOOKUP(UPPER($A229&amp;$C229),$L:$T,7,FALSE))</f>
        <v>1E-8</v>
      </c>
      <c r="G229" s="53" t="e">
        <f>IF(Summary_Exchange_Balances_00UTC!$B229="","",VLOOKUP(IF(ISERROR(SEARCH(" ", $B229)),UPPER($B229&amp;$C229&amp;$D229),UPPER(LEFT($B229, SEARCH(" ",$B229)-1)&amp;$C229&amp;$D229)),$M:$T,6,FALSE))</f>
        <v>#N/A</v>
      </c>
      <c r="H229">
        <f>IF(Summary_Exchange_Balances_00UTC!$B229="","",IF(ISERROR($G229),$E229,$G229))</f>
        <v>1E-8</v>
      </c>
      <c r="I229" s="36" t="e">
        <f t="shared" si="9"/>
        <v>#N/A</v>
      </c>
      <c r="L229" t="str">
        <f t="shared" si="10"/>
        <v>HUBIIRIS</v>
      </c>
      <c r="M229" t="str">
        <f t="shared" si="11"/>
        <v>HUBIIRISTRADE</v>
      </c>
      <c r="N229" t="s">
        <v>373</v>
      </c>
      <c r="O229" t="s">
        <v>115</v>
      </c>
      <c r="P229" t="s">
        <v>425</v>
      </c>
      <c r="Q229" t="s">
        <v>426</v>
      </c>
      <c r="R229" s="43">
        <v>0.81765067999999996</v>
      </c>
      <c r="S229" t="s">
        <v>528</v>
      </c>
      <c r="T229">
        <v>1</v>
      </c>
      <c r="W229" t="s">
        <v>115</v>
      </c>
      <c r="X229" t="s">
        <v>163</v>
      </c>
      <c r="Y229" s="53">
        <v>0.34680431</v>
      </c>
      <c r="Z229">
        <v>0</v>
      </c>
      <c r="AS229" t="str">
        <f>IF(Summary_Exchange_Balances_00UTC!$B229="","","'"&amp;C229&amp;"',")</f>
        <v>'LEND',</v>
      </c>
      <c r="AT229">
        <f>IF(Summary_Exchange_Balances_00UTC!$B229="","",IF(ISERROR(HLOOKUP($C229,$AW$1:$LL$2,2,FALSE)),Summary_Exchange_Balances_00UTC!$Q229,IF(OR(HLOOKUP($C229,$AW$1:$LL$2,2,FALSE)="",HLOOKUP($C229,$AW$1:$LL$2,2,FALSE)="null"),Summary_Exchange_Balances_00UTC!$Q229,HLOOKUP($C229,$AW$1:$LL$2,2,FALSE))))</f>
        <v>0</v>
      </c>
    </row>
    <row r="230" spans="1:46" x14ac:dyDescent="0.25">
      <c r="A230" t="str">
        <f>IF(Summary_Exchange_Balances_00UTC!$B230="","",Summary_Exchange_Balances_00UTC!$N230)</f>
        <v>HUBI</v>
      </c>
      <c r="B230" t="str">
        <f>IF(Summary_Exchange_Balances_00UTC!$B230="","",Summary_Exchange_Balances_00UTC!$B230)</f>
        <v>HUBI-E</v>
      </c>
      <c r="C230" t="str">
        <f>IF(Summary_Exchange_Balances_00UTC!$B230="","",Summary_Exchange_Balances_00UTC!$E230)</f>
        <v>LINK</v>
      </c>
      <c r="D230" t="str">
        <f>IF(OR(Summary_Exchange_Balances_00UTC!$B230="",Summary_Exchange_Balances_00UTC!$D230=""),"",Summary_Exchange_Balances_00UTC!$D230)</f>
        <v/>
      </c>
      <c r="E230" s="53">
        <f>IF(Summary_Exchange_Balances_00UTC!$B230="","",Summary_Exchange_Balances_00UTC!$C230)</f>
        <v>24008.678678230001</v>
      </c>
      <c r="F230" s="53">
        <f>IF(Summary_Exchange_Balances_00UTC!$B230="","",VLOOKUP(UPPER($A230&amp;$C230),$L:$T,7,FALSE))</f>
        <v>9.5620959999999995E-4</v>
      </c>
      <c r="G230" s="53" t="e">
        <f>IF(Summary_Exchange_Balances_00UTC!$B230="","",VLOOKUP(IF(ISERROR(SEARCH(" ", $B230)),UPPER($B230&amp;$C230&amp;$D230),UPPER(LEFT($B230, SEARCH(" ",$B230)-1)&amp;$C230&amp;$D230)),$M:$T,6,FALSE))</f>
        <v>#N/A</v>
      </c>
      <c r="H230">
        <f>IF(Summary_Exchange_Balances_00UTC!$B230="","",IF(ISERROR($G230),$E230,$G230))</f>
        <v>24008.678678230001</v>
      </c>
      <c r="I230" s="36" t="e">
        <f t="shared" si="9"/>
        <v>#N/A</v>
      </c>
      <c r="L230" t="str">
        <f t="shared" si="10"/>
        <v>HUBIJST</v>
      </c>
      <c r="M230" t="str">
        <f t="shared" si="11"/>
        <v>HUBIJSTTRADE</v>
      </c>
      <c r="N230" t="s">
        <v>374</v>
      </c>
      <c r="O230" t="s">
        <v>115</v>
      </c>
      <c r="P230" t="s">
        <v>425</v>
      </c>
      <c r="Q230" t="s">
        <v>426</v>
      </c>
      <c r="R230" s="43">
        <v>9.1121815000000002</v>
      </c>
      <c r="S230" t="s">
        <v>528</v>
      </c>
      <c r="T230">
        <v>1</v>
      </c>
      <c r="W230" t="s">
        <v>115</v>
      </c>
      <c r="X230" t="s">
        <v>39</v>
      </c>
      <c r="Y230" s="53">
        <v>15252754.119299199</v>
      </c>
      <c r="Z230">
        <v>0</v>
      </c>
      <c r="AS230" t="str">
        <f>IF(Summary_Exchange_Balances_00UTC!$B230="","","'"&amp;C230&amp;"',")</f>
        <v>'LINK',</v>
      </c>
      <c r="AT230">
        <f>IF(Summary_Exchange_Balances_00UTC!$B230="","",IF(ISERROR(HLOOKUP($C230,$AW$1:$LL$2,2,FALSE)),Summary_Exchange_Balances_00UTC!$Q230,IF(OR(HLOOKUP($C230,$AW$1:$LL$2,2,FALSE)="",HLOOKUP($C230,$AW$1:$LL$2,2,FALSE)="null"),Summary_Exchange_Balances_00UTC!$Q230,HLOOKUP($C230,$AW$1:$LL$2,2,FALSE))))</f>
        <v>6.2919999999999998</v>
      </c>
    </row>
    <row r="231" spans="1:46" x14ac:dyDescent="0.25">
      <c r="A231" t="str">
        <f>IF(Summary_Exchange_Balances_00UTC!$B231="","",Summary_Exchange_Balances_00UTC!$N231)</f>
        <v>HUBI</v>
      </c>
      <c r="B231" t="str">
        <f>IF(Summary_Exchange_Balances_00UTC!$B231="","",Summary_Exchange_Balances_00UTC!$B231)</f>
        <v>HUBI-E</v>
      </c>
      <c r="C231" t="str">
        <f>IF(Summary_Exchange_Balances_00UTC!$B231="","",Summary_Exchange_Balances_00UTC!$E231)</f>
        <v>LOL</v>
      </c>
      <c r="D231" t="str">
        <f>IF(OR(Summary_Exchange_Balances_00UTC!$B231="",Summary_Exchange_Balances_00UTC!$D231=""),"",Summary_Exchange_Balances_00UTC!$D231)</f>
        <v/>
      </c>
      <c r="E231" s="53">
        <f>IF(Summary_Exchange_Balances_00UTC!$B231="","",Summary_Exchange_Balances_00UTC!$C231)</f>
        <v>4.3289484800000002</v>
      </c>
      <c r="F231" s="53">
        <f>IF(Summary_Exchange_Balances_00UTC!$B231="","",VLOOKUP(UPPER($A231&amp;$C231),$L:$T,7,FALSE))</f>
        <v>4.3289484800000002</v>
      </c>
      <c r="G231" s="53" t="e">
        <f>IF(Summary_Exchange_Balances_00UTC!$B231="","",VLOOKUP(IF(ISERROR(SEARCH(" ", $B231)),UPPER($B231&amp;$C231&amp;$D231),UPPER(LEFT($B231, SEARCH(" ",$B231)-1)&amp;$C231&amp;$D231)),$M:$T,6,FALSE))</f>
        <v>#N/A</v>
      </c>
      <c r="H231">
        <f>IF(Summary_Exchange_Balances_00UTC!$B231="","",IF(ISERROR($G231),$E231,$G231))</f>
        <v>4.3289484800000002</v>
      </c>
      <c r="I231" s="36" t="e">
        <f t="shared" si="9"/>
        <v>#N/A</v>
      </c>
      <c r="L231" t="str">
        <f t="shared" si="10"/>
        <v>HUBIKSM</v>
      </c>
      <c r="M231" t="str">
        <f t="shared" si="11"/>
        <v>HUBIKSMTRADE</v>
      </c>
      <c r="N231" t="s">
        <v>375</v>
      </c>
      <c r="O231" t="s">
        <v>115</v>
      </c>
      <c r="P231" t="s">
        <v>425</v>
      </c>
      <c r="Q231" t="s">
        <v>426</v>
      </c>
      <c r="R231" s="43">
        <v>402.62451444999999</v>
      </c>
      <c r="S231" t="s">
        <v>528</v>
      </c>
      <c r="T231">
        <v>1</v>
      </c>
      <c r="W231" t="s">
        <v>115</v>
      </c>
      <c r="X231" t="s">
        <v>199</v>
      </c>
      <c r="Y231" s="53">
        <v>59589.017780000002</v>
      </c>
      <c r="Z231">
        <v>0</v>
      </c>
      <c r="AS231" t="str">
        <f>IF(Summary_Exchange_Balances_00UTC!$B231="","","'"&amp;C231&amp;"',")</f>
        <v>'LOL',</v>
      </c>
      <c r="AT231">
        <f>IF(Summary_Exchange_Balances_00UTC!$B231="","",IF(ISERROR(HLOOKUP($C231,$AW$1:$LL$2,2,FALSE)),Summary_Exchange_Balances_00UTC!$Q231,IF(OR(HLOOKUP($C231,$AW$1:$LL$2,2,FALSE)="",HLOOKUP($C231,$AW$1:$LL$2,2,FALSE)="null"),Summary_Exchange_Balances_00UTC!$Q231,HLOOKUP($C231,$AW$1:$LL$2,2,FALSE))))</f>
        <v>2.8613514332114895E-7</v>
      </c>
    </row>
    <row r="232" spans="1:46" x14ac:dyDescent="0.25">
      <c r="A232" t="str">
        <f>IF(Summary_Exchange_Balances_00UTC!$B232="","",Summary_Exchange_Balances_00UTC!$N232)</f>
        <v>HUBI</v>
      </c>
      <c r="B232" t="str">
        <f>IF(Summary_Exchange_Balances_00UTC!$B232="","",Summary_Exchange_Balances_00UTC!$B232)</f>
        <v>HUBI-E</v>
      </c>
      <c r="C232" t="str">
        <f>IF(Summary_Exchange_Balances_00UTC!$B232="","",Summary_Exchange_Balances_00UTC!$E232)</f>
        <v>LTC</v>
      </c>
      <c r="D232" t="str">
        <f>IF(OR(Summary_Exchange_Balances_00UTC!$B232="",Summary_Exchange_Balances_00UTC!$D232=""),"",Summary_Exchange_Balances_00UTC!$D232)</f>
        <v/>
      </c>
      <c r="E232" s="53">
        <f>IF(Summary_Exchange_Balances_00UTC!$B232="","",Summary_Exchange_Balances_00UTC!$C232)</f>
        <v>8986.5232711400004</v>
      </c>
      <c r="F232" s="53">
        <f>IF(Summary_Exchange_Balances_00UTC!$B232="","",VLOOKUP(UPPER($A232&amp;$C232),$L:$T,7,FALSE))</f>
        <v>2.4771052999999999E-3</v>
      </c>
      <c r="G232" s="53" t="e">
        <f>IF(Summary_Exchange_Balances_00UTC!$B232="","",VLOOKUP(IF(ISERROR(SEARCH(" ", $B232)),UPPER($B232&amp;$C232&amp;$D232),UPPER(LEFT($B232, SEARCH(" ",$B232)-1)&amp;$C232&amp;$D232)),$M:$T,6,FALSE))</f>
        <v>#N/A</v>
      </c>
      <c r="H232">
        <f>IF(Summary_Exchange_Balances_00UTC!$B232="","",IF(ISERROR($G232),$E232,$G232))</f>
        <v>8986.5232711400004</v>
      </c>
      <c r="I232" s="36" t="e">
        <f t="shared" si="9"/>
        <v>#N/A</v>
      </c>
      <c r="L232" t="str">
        <f t="shared" si="10"/>
        <v>HUBILAMB</v>
      </c>
      <c r="M232" t="str">
        <f t="shared" si="11"/>
        <v>HUBILAMBTRADE</v>
      </c>
      <c r="N232" t="s">
        <v>376</v>
      </c>
      <c r="O232" t="s">
        <v>115</v>
      </c>
      <c r="P232" t="s">
        <v>425</v>
      </c>
      <c r="Q232" t="s">
        <v>426</v>
      </c>
      <c r="R232" s="43">
        <v>0.24234807999999999</v>
      </c>
      <c r="S232" t="s">
        <v>528</v>
      </c>
      <c r="T232">
        <v>1</v>
      </c>
      <c r="W232" t="s">
        <v>115</v>
      </c>
      <c r="X232" t="s">
        <v>164</v>
      </c>
      <c r="Y232" s="53">
        <v>0.20872535</v>
      </c>
      <c r="Z232">
        <v>0</v>
      </c>
      <c r="AS232" t="str">
        <f>IF(Summary_Exchange_Balances_00UTC!$B232="","","'"&amp;C232&amp;"',")</f>
        <v>'LTC',</v>
      </c>
      <c r="AT232">
        <f>IF(Summary_Exchange_Balances_00UTC!$B232="","",IF(ISERROR(HLOOKUP($C232,$AW$1:$LL$2,2,FALSE)),Summary_Exchange_Balances_00UTC!$Q232,IF(OR(HLOOKUP($C232,$AW$1:$LL$2,2,FALSE)="",HLOOKUP($C232,$AW$1:$LL$2,2,FALSE)="null"),Summary_Exchange_Balances_00UTC!$Q232,HLOOKUP($C232,$AW$1:$LL$2,2,FALSE))))</f>
        <v>62.35</v>
      </c>
    </row>
    <row r="233" spans="1:46" x14ac:dyDescent="0.25">
      <c r="A233" t="str">
        <f>IF(Summary_Exchange_Balances_00UTC!$B233="","",Summary_Exchange_Balances_00UTC!$N233)</f>
        <v>HUBI</v>
      </c>
      <c r="B233" t="str">
        <f>IF(Summary_Exchange_Balances_00UTC!$B233="","",Summary_Exchange_Balances_00UTC!$B233)</f>
        <v>HUBI-E</v>
      </c>
      <c r="C233" t="str">
        <f>IF(Summary_Exchange_Balances_00UTC!$B233="","",Summary_Exchange_Balances_00UTC!$E233)</f>
        <v>LXT</v>
      </c>
      <c r="D233" t="str">
        <f>IF(OR(Summary_Exchange_Balances_00UTC!$B233="",Summary_Exchange_Balances_00UTC!$D233=""),"",Summary_Exchange_Balances_00UTC!$D233)</f>
        <v/>
      </c>
      <c r="E233" s="53">
        <f>IF(Summary_Exchange_Balances_00UTC!$B233="","",Summary_Exchange_Balances_00UTC!$C233)</f>
        <v>0.66495972999999997</v>
      </c>
      <c r="F233" s="53">
        <f>IF(Summary_Exchange_Balances_00UTC!$B233="","",VLOOKUP(UPPER($A233&amp;$C233),$L:$T,7,FALSE))</f>
        <v>0.66495972999999997</v>
      </c>
      <c r="G233" s="53" t="e">
        <f>IF(Summary_Exchange_Balances_00UTC!$B233="","",VLOOKUP(IF(ISERROR(SEARCH(" ", $B233)),UPPER($B233&amp;$C233&amp;$D233),UPPER(LEFT($B233, SEARCH(" ",$B233)-1)&amp;$C233&amp;$D233)),$M:$T,6,FALSE))</f>
        <v>#N/A</v>
      </c>
      <c r="H233">
        <f>IF(Summary_Exchange_Balances_00UTC!$B233="","",IF(ISERROR($G233),$E233,$G233))</f>
        <v>0.66495972999999997</v>
      </c>
      <c r="I233" s="36" t="e">
        <f t="shared" si="9"/>
        <v>#N/A</v>
      </c>
      <c r="L233" t="str">
        <f t="shared" si="10"/>
        <v>HUBILEND</v>
      </c>
      <c r="M233" t="str">
        <f t="shared" si="11"/>
        <v>HUBILENDTRADE</v>
      </c>
      <c r="N233" t="s">
        <v>377</v>
      </c>
      <c r="O233" t="s">
        <v>115</v>
      </c>
      <c r="P233" t="s">
        <v>425</v>
      </c>
      <c r="Q233" t="s">
        <v>426</v>
      </c>
      <c r="R233" s="43">
        <v>1E-8</v>
      </c>
      <c r="S233" t="s">
        <v>528</v>
      </c>
      <c r="T233">
        <v>1</v>
      </c>
      <c r="W233" t="s">
        <v>115</v>
      </c>
      <c r="X233" t="s">
        <v>165</v>
      </c>
      <c r="Y233" s="53">
        <v>97856389.900000006</v>
      </c>
      <c r="Z233">
        <v>0</v>
      </c>
      <c r="AS233" t="str">
        <f>IF(Summary_Exchange_Balances_00UTC!$B233="","","'"&amp;C233&amp;"',")</f>
        <v>'LXT',</v>
      </c>
      <c r="AT233">
        <f>IF(Summary_Exchange_Balances_00UTC!$B233="","",IF(ISERROR(HLOOKUP($C233,$AW$1:$LL$2,2,FALSE)),Summary_Exchange_Balances_00UTC!$Q233,IF(OR(HLOOKUP($C233,$AW$1:$LL$2,2,FALSE)="",HLOOKUP($C233,$AW$1:$LL$2,2,FALSE)="null"),Summary_Exchange_Balances_00UTC!$Q233,HLOOKUP($C233,$AW$1:$LL$2,2,FALSE))))</f>
        <v>2.1402255780944964E-4</v>
      </c>
    </row>
    <row r="234" spans="1:46" x14ac:dyDescent="0.25">
      <c r="A234" t="str">
        <f>IF(Summary_Exchange_Balances_00UTC!$B234="","",Summary_Exchange_Balances_00UTC!$N234)</f>
        <v>HUBI</v>
      </c>
      <c r="B234" t="str">
        <f>IF(Summary_Exchange_Balances_00UTC!$B234="","",Summary_Exchange_Balances_00UTC!$B234)</f>
        <v>HUBI-E</v>
      </c>
      <c r="C234" t="str">
        <f>IF(Summary_Exchange_Balances_00UTC!$B234="","",Summary_Exchange_Balances_00UTC!$E234)</f>
        <v>MANA</v>
      </c>
      <c r="D234" t="str">
        <f>IF(OR(Summary_Exchange_Balances_00UTC!$B234="",Summary_Exchange_Balances_00UTC!$D234=""),"",Summary_Exchange_Balances_00UTC!$D234)</f>
        <v/>
      </c>
      <c r="E234" s="53">
        <f>IF(Summary_Exchange_Balances_00UTC!$B234="","",Summary_Exchange_Balances_00UTC!$C234)</f>
        <v>0.34</v>
      </c>
      <c r="F234" s="53">
        <f>IF(Summary_Exchange_Balances_00UTC!$B234="","",VLOOKUP(UPPER($A234&amp;$C234),$L:$T,7,FALSE))</f>
        <v>0.34</v>
      </c>
      <c r="G234" s="53" t="e">
        <f>IF(Summary_Exchange_Balances_00UTC!$B234="","",VLOOKUP(IF(ISERROR(SEARCH(" ", $B234)),UPPER($B234&amp;$C234&amp;$D234),UPPER(LEFT($B234, SEARCH(" ",$B234)-1)&amp;$C234&amp;$D234)),$M:$T,6,FALSE))</f>
        <v>#N/A</v>
      </c>
      <c r="H234">
        <f>IF(Summary_Exchange_Balances_00UTC!$B234="","",IF(ISERROR($G234),$E234,$G234))</f>
        <v>0.34</v>
      </c>
      <c r="I234" s="36" t="e">
        <f t="shared" si="9"/>
        <v>#N/A</v>
      </c>
      <c r="L234" t="str">
        <f t="shared" si="10"/>
        <v>HUBILINK</v>
      </c>
      <c r="M234" t="str">
        <f t="shared" si="11"/>
        <v>HUBILINKFROZEN</v>
      </c>
      <c r="N234" t="s">
        <v>378</v>
      </c>
      <c r="O234" t="s">
        <v>115</v>
      </c>
      <c r="P234" t="s">
        <v>425</v>
      </c>
      <c r="Q234" t="s">
        <v>429</v>
      </c>
      <c r="R234" s="43">
        <v>362</v>
      </c>
      <c r="S234" t="s">
        <v>528</v>
      </c>
      <c r="T234">
        <v>1</v>
      </c>
      <c r="W234" t="s">
        <v>115</v>
      </c>
      <c r="X234" t="s">
        <v>166</v>
      </c>
      <c r="Y234" s="53">
        <v>0.55556267999999998</v>
      </c>
      <c r="Z234">
        <v>0</v>
      </c>
      <c r="AS234" t="str">
        <f>IF(Summary_Exchange_Balances_00UTC!$B234="","","'"&amp;C234&amp;"',")</f>
        <v>'MANA',</v>
      </c>
      <c r="AT234">
        <f>IF(Summary_Exchange_Balances_00UTC!$B234="","",IF(ISERROR(HLOOKUP($C234,$AW$1:$LL$2,2,FALSE)),Summary_Exchange_Balances_00UTC!$Q234,IF(OR(HLOOKUP($C234,$AW$1:$LL$2,2,FALSE)="",HLOOKUP($C234,$AW$1:$LL$2,2,FALSE)="null"),Summary_Exchange_Balances_00UTC!$Q234,HLOOKUP($C234,$AW$1:$LL$2,2,FALSE))))</f>
        <v>0.41775250000000003</v>
      </c>
    </row>
    <row r="235" spans="1:46" x14ac:dyDescent="0.25">
      <c r="A235" t="str">
        <f>IF(Summary_Exchange_Balances_00UTC!$B235="","",Summary_Exchange_Balances_00UTC!$N235)</f>
        <v>HUBI</v>
      </c>
      <c r="B235" t="str">
        <f>IF(Summary_Exchange_Balances_00UTC!$B235="","",Summary_Exchange_Balances_00UTC!$B235)</f>
        <v>HUBI-E</v>
      </c>
      <c r="C235" t="str">
        <f>IF(Summary_Exchange_Balances_00UTC!$B235="","",Summary_Exchange_Balances_00UTC!$E235)</f>
        <v>NEO</v>
      </c>
      <c r="D235" t="str">
        <f>IF(OR(Summary_Exchange_Balances_00UTC!$B235="",Summary_Exchange_Balances_00UTC!$D235=""),"",Summary_Exchange_Balances_00UTC!$D235)</f>
        <v/>
      </c>
      <c r="E235" s="53">
        <f>IF(Summary_Exchange_Balances_00UTC!$B235="","",Summary_Exchange_Balances_00UTC!$C235)</f>
        <v>0.89105878000000005</v>
      </c>
      <c r="F235" s="53">
        <f>IF(Summary_Exchange_Balances_00UTC!$B235="","",VLOOKUP(UPPER($A235&amp;$C235),$L:$T,7,FALSE))</f>
        <v>0.89105878000000005</v>
      </c>
      <c r="G235" s="53" t="e">
        <f>IF(Summary_Exchange_Balances_00UTC!$B235="","",VLOOKUP(IF(ISERROR(SEARCH(" ", $B235)),UPPER($B235&amp;$C235&amp;$D235),UPPER(LEFT($B235, SEARCH(" ",$B235)-1)&amp;$C235&amp;$D235)),$M:$T,6,FALSE))</f>
        <v>#N/A</v>
      </c>
      <c r="H235">
        <f>IF(Summary_Exchange_Balances_00UTC!$B235="","",IF(ISERROR($G235),$E235,$G235))</f>
        <v>0.89105878000000005</v>
      </c>
      <c r="I235" s="36" t="e">
        <f t="shared" si="9"/>
        <v>#N/A</v>
      </c>
      <c r="L235" t="str">
        <f t="shared" si="10"/>
        <v>HUBILINK</v>
      </c>
      <c r="M235" t="str">
        <f t="shared" si="11"/>
        <v>HUBILINKTRADE</v>
      </c>
      <c r="N235" t="s">
        <v>378</v>
      </c>
      <c r="O235" t="s">
        <v>115</v>
      </c>
      <c r="P235" t="s">
        <v>425</v>
      </c>
      <c r="Q235" t="s">
        <v>426</v>
      </c>
      <c r="R235" s="43">
        <v>18211.242501860001</v>
      </c>
      <c r="S235" t="s">
        <v>528</v>
      </c>
      <c r="T235">
        <v>1</v>
      </c>
      <c r="W235" t="s">
        <v>115</v>
      </c>
      <c r="X235" t="s">
        <v>102</v>
      </c>
      <c r="Y235" s="53">
        <v>1335.23311758</v>
      </c>
      <c r="Z235">
        <v>0</v>
      </c>
      <c r="AS235" t="str">
        <f>IF(Summary_Exchange_Balances_00UTC!$B235="","","'"&amp;C235&amp;"',")</f>
        <v>'NEO',</v>
      </c>
      <c r="AT235">
        <f>IF(Summary_Exchange_Balances_00UTC!$B235="","",IF(ISERROR(HLOOKUP($C235,$AW$1:$LL$2,2,FALSE)),Summary_Exchange_Balances_00UTC!$Q235,IF(OR(HLOOKUP($C235,$AW$1:$LL$2,2,FALSE)="",HLOOKUP($C235,$AW$1:$LL$2,2,FALSE)="null"),Summary_Exchange_Balances_00UTC!$Q235,HLOOKUP($C235,$AW$1:$LL$2,2,FALSE))))</f>
        <v>6.6048439999999999</v>
      </c>
    </row>
    <row r="236" spans="1:46" x14ac:dyDescent="0.25">
      <c r="A236" t="str">
        <f>IF(Summary_Exchange_Balances_00UTC!$B236="","",Summary_Exchange_Balances_00UTC!$N236)</f>
        <v>HUBI</v>
      </c>
      <c r="B236" t="str">
        <f>IF(Summary_Exchange_Balances_00UTC!$B236="","",Summary_Exchange_Balances_00UTC!$B236)</f>
        <v>HUBI-E</v>
      </c>
      <c r="C236" t="str">
        <f>IF(Summary_Exchange_Balances_00UTC!$B236="","",Summary_Exchange_Balances_00UTC!$E236)</f>
        <v>NEW</v>
      </c>
      <c r="D236" t="str">
        <f>IF(OR(Summary_Exchange_Balances_00UTC!$B236="",Summary_Exchange_Balances_00UTC!$D236=""),"",Summary_Exchange_Balances_00UTC!$D236)</f>
        <v/>
      </c>
      <c r="E236" s="53">
        <f>IF(Summary_Exchange_Balances_00UTC!$B236="","",Summary_Exchange_Balances_00UTC!$C236)</f>
        <v>40.704174029999997</v>
      </c>
      <c r="F236" s="53">
        <f>IF(Summary_Exchange_Balances_00UTC!$B236="","",VLOOKUP(UPPER($A236&amp;$C236),$L:$T,7,FALSE))</f>
        <v>40.704174029999997</v>
      </c>
      <c r="G236" s="53" t="e">
        <f>IF(Summary_Exchange_Balances_00UTC!$B236="","",VLOOKUP(IF(ISERROR(SEARCH(" ", $B236)),UPPER($B236&amp;$C236&amp;$D236),UPPER(LEFT($B236, SEARCH(" ",$B236)-1)&amp;$C236&amp;$D236)),$M:$T,6,FALSE))</f>
        <v>#N/A</v>
      </c>
      <c r="H236">
        <f>IF(Summary_Exchange_Balances_00UTC!$B236="","",IF(ISERROR($G236),$E236,$G236))</f>
        <v>40.704174029999997</v>
      </c>
      <c r="I236" s="36" t="e">
        <f t="shared" si="9"/>
        <v>#N/A</v>
      </c>
      <c r="L236" t="str">
        <f t="shared" si="10"/>
        <v>HUBILINK</v>
      </c>
      <c r="M236" t="str">
        <f t="shared" si="11"/>
        <v>HUBILINKLOAN</v>
      </c>
      <c r="N236" t="s">
        <v>378</v>
      </c>
      <c r="O236" t="s">
        <v>115</v>
      </c>
      <c r="P236" t="s">
        <v>425</v>
      </c>
      <c r="Q236" t="s">
        <v>428</v>
      </c>
      <c r="R236" s="43">
        <v>-2073</v>
      </c>
      <c r="S236" t="s">
        <v>528</v>
      </c>
      <c r="T236">
        <v>1</v>
      </c>
      <c r="W236" t="s">
        <v>115</v>
      </c>
      <c r="X236" t="s">
        <v>167</v>
      </c>
      <c r="Y236" s="53">
        <v>3.9304560899999998</v>
      </c>
      <c r="Z236">
        <v>0</v>
      </c>
      <c r="AS236" t="str">
        <f>IF(Summary_Exchange_Balances_00UTC!$B236="","","'"&amp;C236&amp;"',")</f>
        <v>'NEW',</v>
      </c>
      <c r="AT236">
        <f>IF(Summary_Exchange_Balances_00UTC!$B236="","",IF(ISERROR(HLOOKUP($C236,$AW$1:$LL$2,2,FALSE)),Summary_Exchange_Balances_00UTC!$Q236,IF(OR(HLOOKUP($C236,$AW$1:$LL$2,2,FALSE)="",HLOOKUP($C236,$AW$1:$LL$2,2,FALSE)="null"),Summary_Exchange_Balances_00UTC!$Q236,HLOOKUP($C236,$AW$1:$LL$2,2,FALSE))))</f>
        <v>1.7081777991654216E-4</v>
      </c>
    </row>
    <row r="237" spans="1:46" x14ac:dyDescent="0.25">
      <c r="A237" t="str">
        <f>IF(Summary_Exchange_Balances_00UTC!$B237="","",Summary_Exchange_Balances_00UTC!$N237)</f>
        <v>HUBI</v>
      </c>
      <c r="B237" t="str">
        <f>IF(Summary_Exchange_Balances_00UTC!$B237="","",Summary_Exchange_Balances_00UTC!$B237)</f>
        <v>HUBI-E</v>
      </c>
      <c r="C237" t="str">
        <f>IF(Summary_Exchange_Balances_00UTC!$B237="","",Summary_Exchange_Balances_00UTC!$E237)</f>
        <v>NFT</v>
      </c>
      <c r="D237" t="str">
        <f>IF(OR(Summary_Exchange_Balances_00UTC!$B237="",Summary_Exchange_Balances_00UTC!$D237=""),"",Summary_Exchange_Balances_00UTC!$D237)</f>
        <v/>
      </c>
      <c r="E237" s="53">
        <f>IF(Summary_Exchange_Balances_00UTC!$B237="","",Summary_Exchange_Balances_00UTC!$C237)</f>
        <v>3045130004.3544402</v>
      </c>
      <c r="F237" s="53">
        <f>IF(Summary_Exchange_Balances_00UTC!$B237="","",VLOOKUP(UPPER($A237&amp;$C237),$L:$T,7,FALSE))</f>
        <v>3013993111.0959401</v>
      </c>
      <c r="G237" s="53" t="e">
        <f>IF(Summary_Exchange_Balances_00UTC!$B237="","",VLOOKUP(IF(ISERROR(SEARCH(" ", $B237)),UPPER($B237&amp;$C237&amp;$D237),UPPER(LEFT($B237, SEARCH(" ",$B237)-1)&amp;$C237&amp;$D237)),$M:$T,6,FALSE))</f>
        <v>#N/A</v>
      </c>
      <c r="H237">
        <f>IF(Summary_Exchange_Balances_00UTC!$B237="","",IF(ISERROR($G237),$E237,$G237))</f>
        <v>3045130004.3544402</v>
      </c>
      <c r="I237" s="36" t="e">
        <f t="shared" si="9"/>
        <v>#N/A</v>
      </c>
      <c r="L237" t="str">
        <f t="shared" si="10"/>
        <v>HUBILINK</v>
      </c>
      <c r="M237" t="str">
        <f t="shared" si="11"/>
        <v>HUB2LINKTRADE</v>
      </c>
      <c r="N237" t="s">
        <v>378</v>
      </c>
      <c r="O237" s="29" t="s">
        <v>115</v>
      </c>
      <c r="P237" t="s">
        <v>427</v>
      </c>
      <c r="Q237" t="s">
        <v>426</v>
      </c>
      <c r="R237" s="43">
        <v>1E-8</v>
      </c>
      <c r="S237" t="s">
        <v>529</v>
      </c>
      <c r="T237">
        <v>1</v>
      </c>
      <c r="W237" t="s">
        <v>115</v>
      </c>
      <c r="X237" t="s">
        <v>174</v>
      </c>
      <c r="Y237" s="53">
        <v>0.10222220999999999</v>
      </c>
      <c r="Z237">
        <v>0</v>
      </c>
      <c r="AS237" t="str">
        <f>IF(Summary_Exchange_Balances_00UTC!$B237="","","'"&amp;C237&amp;"',")</f>
        <v>'NFT',</v>
      </c>
      <c r="AT237">
        <f>IF(Summary_Exchange_Balances_00UTC!$B237="","",IF(ISERROR(HLOOKUP($C237,$AW$1:$LL$2,2,FALSE)),Summary_Exchange_Balances_00UTC!$Q237,IF(OR(HLOOKUP($C237,$AW$1:$LL$2,2,FALSE)="",HLOOKUP($C237,$AW$1:$LL$2,2,FALSE)="null"),Summary_Exchange_Balances_00UTC!$Q237,HLOOKUP($C237,$AW$1:$LL$2,2,FALSE))))</f>
        <v>4.7741776000000002E-7</v>
      </c>
    </row>
    <row r="238" spans="1:46" x14ac:dyDescent="0.25">
      <c r="A238" t="str">
        <f>IF(Summary_Exchange_Balances_00UTC!$B238="","",Summary_Exchange_Balances_00UTC!$N238)</f>
        <v>HUBI</v>
      </c>
      <c r="B238" t="str">
        <f>IF(Summary_Exchange_Balances_00UTC!$B238="","",Summary_Exchange_Balances_00UTC!$B238)</f>
        <v>HUBI-E</v>
      </c>
      <c r="C238" t="str">
        <f>IF(Summary_Exchange_Balances_00UTC!$B238="","",Summary_Exchange_Balances_00UTC!$E238)</f>
        <v>NULS</v>
      </c>
      <c r="D238" t="str">
        <f>IF(OR(Summary_Exchange_Balances_00UTC!$B238="",Summary_Exchange_Balances_00UTC!$D238=""),"",Summary_Exchange_Balances_00UTC!$D238)</f>
        <v/>
      </c>
      <c r="E238" s="53">
        <f>IF(Summary_Exchange_Balances_00UTC!$B238="","",Summary_Exchange_Balances_00UTC!$C238)</f>
        <v>4.3068300000000002E-3</v>
      </c>
      <c r="F238" s="53">
        <f>IF(Summary_Exchange_Balances_00UTC!$B238="","",VLOOKUP(UPPER($A238&amp;$C238),$L:$T,7,FALSE))</f>
        <v>4.3068300000000002E-3</v>
      </c>
      <c r="G238" s="53" t="e">
        <f>IF(Summary_Exchange_Balances_00UTC!$B238="","",VLOOKUP(IF(ISERROR(SEARCH(" ", $B238)),UPPER($B238&amp;$C238&amp;$D238),UPPER(LEFT($B238, SEARCH(" ",$B238)-1)&amp;$C238&amp;$D238)),$M:$T,6,FALSE))</f>
        <v>#N/A</v>
      </c>
      <c r="H238">
        <f>IF(Summary_Exchange_Balances_00UTC!$B238="","",IF(ISERROR($G238),$E238,$G238))</f>
        <v>4.3068300000000002E-3</v>
      </c>
      <c r="I238" s="36" t="e">
        <f t="shared" si="9"/>
        <v>#N/A</v>
      </c>
      <c r="L238" t="str">
        <f t="shared" si="10"/>
        <v>HUBILOL</v>
      </c>
      <c r="M238" t="str">
        <f t="shared" si="11"/>
        <v>HUBILOLTRADE</v>
      </c>
      <c r="N238" t="s">
        <v>379</v>
      </c>
      <c r="O238" t="s">
        <v>115</v>
      </c>
      <c r="P238" t="s">
        <v>425</v>
      </c>
      <c r="Q238" t="s">
        <v>426</v>
      </c>
      <c r="R238" s="43">
        <v>4.3289484800000002</v>
      </c>
      <c r="S238" t="s">
        <v>528</v>
      </c>
      <c r="T238">
        <v>1</v>
      </c>
      <c r="W238" t="s">
        <v>115</v>
      </c>
      <c r="X238" t="s">
        <v>120</v>
      </c>
      <c r="Y238" s="53">
        <v>1.329583E-2</v>
      </c>
      <c r="Z238">
        <v>0</v>
      </c>
      <c r="AS238" t="str">
        <f>IF(Summary_Exchange_Balances_00UTC!$B238="","","'"&amp;C238&amp;"',")</f>
        <v>'NULS',</v>
      </c>
      <c r="AT238">
        <f>IF(Summary_Exchange_Balances_00UTC!$B238="","",IF(ISERROR(HLOOKUP($C238,$AW$1:$LL$2,2,FALSE)),Summary_Exchange_Balances_00UTC!$Q238,IF(OR(HLOOKUP($C238,$AW$1:$LL$2,2,FALSE)="",HLOOKUP($C238,$AW$1:$LL$2,2,FALSE)="null"),Summary_Exchange_Balances_00UTC!$Q238,HLOOKUP($C238,$AW$1:$LL$2,2,FALSE))))</f>
        <v>0.213287488916097</v>
      </c>
    </row>
    <row r="239" spans="1:46" x14ac:dyDescent="0.25">
      <c r="A239" t="str">
        <f>IF(Summary_Exchange_Balances_00UTC!$B239="","",Summary_Exchange_Balances_00UTC!$N239)</f>
        <v>HUBI</v>
      </c>
      <c r="B239" t="str">
        <f>IF(Summary_Exchange_Balances_00UTC!$B239="","",Summary_Exchange_Balances_00UTC!$B239)</f>
        <v>HUBI-E</v>
      </c>
      <c r="C239" t="str">
        <f>IF(Summary_Exchange_Balances_00UTC!$B239="","",Summary_Exchange_Balances_00UTC!$E239)</f>
        <v>ONG</v>
      </c>
      <c r="D239" t="str">
        <f>IF(OR(Summary_Exchange_Balances_00UTC!$B239="",Summary_Exchange_Balances_00UTC!$D239=""),"",Summary_Exchange_Balances_00UTC!$D239)</f>
        <v/>
      </c>
      <c r="E239" s="53">
        <f>IF(Summary_Exchange_Balances_00UTC!$B239="","",Summary_Exchange_Balances_00UTC!$C239)</f>
        <v>0.34782034000000001</v>
      </c>
      <c r="F239" s="53">
        <f>IF(Summary_Exchange_Balances_00UTC!$B239="","",VLOOKUP(UPPER($A239&amp;$C239),$L:$T,7,FALSE))</f>
        <v>0.34782034000000001</v>
      </c>
      <c r="G239" s="53" t="e">
        <f>IF(Summary_Exchange_Balances_00UTC!$B239="","",VLOOKUP(IF(ISERROR(SEARCH(" ", $B239)),UPPER($B239&amp;$C239&amp;$D239),UPPER(LEFT($B239, SEARCH(" ",$B239)-1)&amp;$C239&amp;$D239)),$M:$T,6,FALSE))</f>
        <v>#N/A</v>
      </c>
      <c r="H239">
        <f>IF(Summary_Exchange_Balances_00UTC!$B239="","",IF(ISERROR($G239),$E239,$G239))</f>
        <v>0.34782034000000001</v>
      </c>
      <c r="I239" s="36" t="e">
        <f t="shared" si="9"/>
        <v>#N/A</v>
      </c>
      <c r="L239" t="str">
        <f t="shared" si="10"/>
        <v>HUBILTC</v>
      </c>
      <c r="M239" t="str">
        <f t="shared" si="11"/>
        <v>HUBILTCFROZEN</v>
      </c>
      <c r="N239" t="s">
        <v>380</v>
      </c>
      <c r="O239" t="s">
        <v>115</v>
      </c>
      <c r="P239" t="s">
        <v>425</v>
      </c>
      <c r="Q239" t="s">
        <v>429</v>
      </c>
      <c r="R239" s="43">
        <v>14</v>
      </c>
      <c r="S239" t="s">
        <v>528</v>
      </c>
      <c r="T239">
        <v>1</v>
      </c>
      <c r="W239" t="s">
        <v>115</v>
      </c>
      <c r="X239" t="s">
        <v>168</v>
      </c>
      <c r="Y239" s="53">
        <v>2.173E-4</v>
      </c>
      <c r="Z239">
        <v>0</v>
      </c>
      <c r="AS239" t="str">
        <f>IF(Summary_Exchange_Balances_00UTC!$B239="","","'"&amp;C239&amp;"',")</f>
        <v>'ONG',</v>
      </c>
      <c r="AT239">
        <f>IF(Summary_Exchange_Balances_00UTC!$B239="","",IF(ISERROR(HLOOKUP($C239,$AW$1:$LL$2,2,FALSE)),Summary_Exchange_Balances_00UTC!$Q239,IF(OR(HLOOKUP($C239,$AW$1:$LL$2,2,FALSE)="",HLOOKUP($C239,$AW$1:$LL$2,2,FALSE)="null"),Summary_Exchange_Balances_00UTC!$Q239,HLOOKUP($C239,$AW$1:$LL$2,2,FALSE))))</f>
        <v>0.26620617653859607</v>
      </c>
    </row>
    <row r="240" spans="1:46" x14ac:dyDescent="0.25">
      <c r="A240" t="str">
        <f>IF(Summary_Exchange_Balances_00UTC!$B240="","",Summary_Exchange_Balances_00UTC!$N240)</f>
        <v>HUBI</v>
      </c>
      <c r="B240" t="str">
        <f>IF(Summary_Exchange_Balances_00UTC!$B240="","",Summary_Exchange_Balances_00UTC!$B240)</f>
        <v>HUBI-E</v>
      </c>
      <c r="C240" t="str">
        <f>IF(Summary_Exchange_Balances_00UTC!$B240="","",Summary_Exchange_Balances_00UTC!$E240)</f>
        <v>OXT</v>
      </c>
      <c r="D240" t="str">
        <f>IF(OR(Summary_Exchange_Balances_00UTC!$B240="",Summary_Exchange_Balances_00UTC!$D240=""),"",Summary_Exchange_Balances_00UTC!$D240)</f>
        <v/>
      </c>
      <c r="E240" s="53">
        <f>IF(Summary_Exchange_Balances_00UTC!$B240="","",Summary_Exchange_Balances_00UTC!$C240)</f>
        <v>787825.66037626006</v>
      </c>
      <c r="F240" s="53">
        <f>IF(Summary_Exchange_Balances_00UTC!$B240="","",VLOOKUP(UPPER($A240&amp;$C240),$L:$T,7,FALSE))</f>
        <v>1000</v>
      </c>
      <c r="G240" s="53" t="e">
        <f>IF(Summary_Exchange_Balances_00UTC!$B240="","",VLOOKUP(IF(ISERROR(SEARCH(" ", $B240)),UPPER($B240&amp;$C240&amp;$D240),UPPER(LEFT($B240, SEARCH(" ",$B240)-1)&amp;$C240&amp;$D240)),$M:$T,6,FALSE))</f>
        <v>#N/A</v>
      </c>
      <c r="H240">
        <f>IF(Summary_Exchange_Balances_00UTC!$B240="","",IF(ISERROR($G240),$E240,$G240))</f>
        <v>787825.66037626006</v>
      </c>
      <c r="I240" s="36" t="e">
        <f t="shared" si="9"/>
        <v>#N/A</v>
      </c>
      <c r="L240" t="str">
        <f t="shared" si="10"/>
        <v>HUBILTC</v>
      </c>
      <c r="M240" t="str">
        <f t="shared" si="11"/>
        <v>HUBILTCLOAN</v>
      </c>
      <c r="N240" t="s">
        <v>380</v>
      </c>
      <c r="O240" s="29" t="s">
        <v>115</v>
      </c>
      <c r="P240" t="s">
        <v>425</v>
      </c>
      <c r="Q240" t="s">
        <v>428</v>
      </c>
      <c r="R240" s="43">
        <v>-4700</v>
      </c>
      <c r="S240" t="s">
        <v>528</v>
      </c>
      <c r="T240">
        <v>1</v>
      </c>
      <c r="W240" t="s">
        <v>115</v>
      </c>
      <c r="X240" t="s">
        <v>27</v>
      </c>
      <c r="Y240" s="53">
        <v>19402725.175014921</v>
      </c>
      <c r="Z240">
        <v>0</v>
      </c>
      <c r="AS240" t="str">
        <f>IF(Summary_Exchange_Balances_00UTC!$B240="","","'"&amp;C240&amp;"',")</f>
        <v>'OXT',</v>
      </c>
      <c r="AT240">
        <f>IF(Summary_Exchange_Balances_00UTC!$B240="","",IF(ISERROR(HLOOKUP($C240,$AW$1:$LL$2,2,FALSE)),Summary_Exchange_Balances_00UTC!$Q240,IF(OR(HLOOKUP($C240,$AW$1:$LL$2,2,FALSE)="",HLOOKUP($C240,$AW$1:$LL$2,2,FALSE)="null"),Summary_Exchange_Balances_00UTC!$Q240,HLOOKUP($C240,$AW$1:$LL$2,2,FALSE))))</f>
        <v>8.09E-2</v>
      </c>
    </row>
    <row r="241" spans="1:46" x14ac:dyDescent="0.25">
      <c r="A241" t="str">
        <f>IF(Summary_Exchange_Balances_00UTC!$B241="","",Summary_Exchange_Balances_00UTC!$N241)</f>
        <v>HUBI</v>
      </c>
      <c r="B241" t="str">
        <f>IF(Summary_Exchange_Balances_00UTC!$B241="","",Summary_Exchange_Balances_00UTC!$B241)</f>
        <v>HUBI-E</v>
      </c>
      <c r="C241" t="str">
        <f>IF(Summary_Exchange_Balances_00UTC!$B241="","",Summary_Exchange_Balances_00UTC!$E241)</f>
        <v>QTUM</v>
      </c>
      <c r="D241" t="str">
        <f>IF(OR(Summary_Exchange_Balances_00UTC!$B241="",Summary_Exchange_Balances_00UTC!$D241=""),"",Summary_Exchange_Balances_00UTC!$D241)</f>
        <v/>
      </c>
      <c r="E241" s="53">
        <f>IF(Summary_Exchange_Balances_00UTC!$B241="","",Summary_Exchange_Balances_00UTC!$C241)</f>
        <v>3.0962099999999998E-3</v>
      </c>
      <c r="F241" s="53">
        <f>IF(Summary_Exchange_Balances_00UTC!$B241="","",VLOOKUP(UPPER($A241&amp;$C241),$L:$T,7,FALSE))</f>
        <v>3.0962099999999998E-3</v>
      </c>
      <c r="G241" s="53" t="e">
        <f>IF(Summary_Exchange_Balances_00UTC!$B241="","",VLOOKUP(IF(ISERROR(SEARCH(" ", $B241)),UPPER($B241&amp;$C241&amp;$D241),UPPER(LEFT($B241, SEARCH(" ",$B241)-1)&amp;$C241&amp;$D241)),$M:$T,6,FALSE))</f>
        <v>#N/A</v>
      </c>
      <c r="H241">
        <f>IF(Summary_Exchange_Balances_00UTC!$B241="","",IF(ISERROR($G241),$E241,$G241))</f>
        <v>3.0962099999999998E-3</v>
      </c>
      <c r="I241" s="36" t="e">
        <f t="shared" si="9"/>
        <v>#N/A</v>
      </c>
      <c r="L241" t="str">
        <f t="shared" si="10"/>
        <v>HUBILTC</v>
      </c>
      <c r="M241" t="str">
        <f t="shared" si="11"/>
        <v>HUBILTCTRADE</v>
      </c>
      <c r="N241" t="s">
        <v>380</v>
      </c>
      <c r="O241" s="29" t="s">
        <v>115</v>
      </c>
      <c r="P241" t="s">
        <v>425</v>
      </c>
      <c r="Q241" t="s">
        <v>426</v>
      </c>
      <c r="R241" s="43">
        <v>3021.2635069600001</v>
      </c>
      <c r="S241" t="s">
        <v>528</v>
      </c>
      <c r="T241">
        <v>1</v>
      </c>
      <c r="W241" t="s">
        <v>115</v>
      </c>
      <c r="X241" t="s">
        <v>21</v>
      </c>
      <c r="Y241" s="53">
        <v>2244.8726333099999</v>
      </c>
      <c r="Z241">
        <v>0</v>
      </c>
      <c r="AS241" t="str">
        <f>IF(Summary_Exchange_Balances_00UTC!$B241="","","'"&amp;C241&amp;"',")</f>
        <v>'QTUM',</v>
      </c>
      <c r="AT241">
        <f>IF(Summary_Exchange_Balances_00UTC!$B241="","",IF(ISERROR(HLOOKUP($C241,$AW$1:$LL$2,2,FALSE)),Summary_Exchange_Balances_00UTC!$Q241,IF(OR(HLOOKUP($C241,$AW$1:$LL$2,2,FALSE)="",HLOOKUP($C241,$AW$1:$LL$2,2,FALSE)="null"),Summary_Exchange_Balances_00UTC!$Q241,HLOOKUP($C241,$AW$1:$LL$2,2,FALSE))))</f>
        <v>2.0373893000000001</v>
      </c>
    </row>
    <row r="242" spans="1:46" x14ac:dyDescent="0.25">
      <c r="A242" t="str">
        <f>IF(Summary_Exchange_Balances_00UTC!$B242="","",Summary_Exchange_Balances_00UTC!$N242)</f>
        <v>HUBI</v>
      </c>
      <c r="B242" t="str">
        <f>IF(Summary_Exchange_Balances_00UTC!$B242="","",Summary_Exchange_Balances_00UTC!$B242)</f>
        <v>HUBI-E</v>
      </c>
      <c r="C242" t="str">
        <f>IF(Summary_Exchange_Balances_00UTC!$B242="","",Summary_Exchange_Balances_00UTC!$E242)</f>
        <v>REI</v>
      </c>
      <c r="D242" t="str">
        <f>IF(OR(Summary_Exchange_Balances_00UTC!$B242="",Summary_Exchange_Balances_00UTC!$D242=""),"",Summary_Exchange_Balances_00UTC!$D242)</f>
        <v/>
      </c>
      <c r="E242" s="53">
        <f>IF(Summary_Exchange_Balances_00UTC!$B242="","",Summary_Exchange_Balances_00UTC!$C242)</f>
        <v>2.6598900000000002E-2</v>
      </c>
      <c r="F242" s="53">
        <f>IF(Summary_Exchange_Balances_00UTC!$B242="","",VLOOKUP(UPPER($A242&amp;$C242),$L:$T,7,FALSE))</f>
        <v>2.6598900000000002E-2</v>
      </c>
      <c r="G242" s="53" t="e">
        <f>IF(Summary_Exchange_Balances_00UTC!$B242="","",VLOOKUP(IF(ISERROR(SEARCH(" ", $B242)),UPPER($B242&amp;$C242&amp;$D242),UPPER(LEFT($B242, SEARCH(" ",$B242)-1)&amp;$C242&amp;$D242)),$M:$T,6,FALSE))</f>
        <v>#N/A</v>
      </c>
      <c r="H242">
        <f>IF(Summary_Exchange_Balances_00UTC!$B242="","",IF(ISERROR($G242),$E242,$G242))</f>
        <v>2.6598900000000002E-2</v>
      </c>
      <c r="I242" s="36" t="e">
        <f t="shared" si="9"/>
        <v>#N/A</v>
      </c>
      <c r="L242" t="str">
        <f t="shared" si="10"/>
        <v>HUBILTC</v>
      </c>
      <c r="M242" t="str">
        <f t="shared" si="11"/>
        <v>HUB2LTCTRADE</v>
      </c>
      <c r="N242" t="s">
        <v>380</v>
      </c>
      <c r="O242" t="s">
        <v>115</v>
      </c>
      <c r="P242" t="s">
        <v>427</v>
      </c>
      <c r="Q242" t="s">
        <v>426</v>
      </c>
      <c r="R242" s="43">
        <v>1E-8</v>
      </c>
      <c r="S242" t="s">
        <v>529</v>
      </c>
      <c r="T242">
        <v>1</v>
      </c>
      <c r="W242" t="s">
        <v>115</v>
      </c>
      <c r="X242" t="s">
        <v>116</v>
      </c>
      <c r="Y242" s="53">
        <v>1625.6897381399999</v>
      </c>
      <c r="Z242">
        <v>0</v>
      </c>
      <c r="AS242" t="str">
        <f>IF(Summary_Exchange_Balances_00UTC!$B242="","","'"&amp;C242&amp;"',")</f>
        <v>'REI',</v>
      </c>
      <c r="AT242">
        <f>IF(Summary_Exchange_Balances_00UTC!$B242="","",IF(ISERROR(HLOOKUP($C242,$AW$1:$LL$2,2,FALSE)),Summary_Exchange_Balances_00UTC!$Q242,IF(OR(HLOOKUP($C242,$AW$1:$LL$2,2,FALSE)="",HLOOKUP($C242,$AW$1:$LL$2,2,FALSE)="null"),Summary_Exchange_Balances_00UTC!$Q242,HLOOKUP($C242,$AW$1:$LL$2,2,FALSE))))</f>
        <v>2.4860450230470468E-2</v>
      </c>
    </row>
    <row r="243" spans="1:46" x14ac:dyDescent="0.25">
      <c r="A243" t="str">
        <f>IF(Summary_Exchange_Balances_00UTC!$B243="","",Summary_Exchange_Balances_00UTC!$N243)</f>
        <v>HUBI</v>
      </c>
      <c r="B243" t="str">
        <f>IF(Summary_Exchange_Balances_00UTC!$B243="","",Summary_Exchange_Balances_00UTC!$B243)</f>
        <v>HUBI-E</v>
      </c>
      <c r="C243" t="str">
        <f>IF(Summary_Exchange_Balances_00UTC!$B243="","",Summary_Exchange_Balances_00UTC!$E243)</f>
        <v>SGB</v>
      </c>
      <c r="D243" t="str">
        <f>IF(OR(Summary_Exchange_Balances_00UTC!$B243="",Summary_Exchange_Balances_00UTC!$D243=""),"",Summary_Exchange_Balances_00UTC!$D243)</f>
        <v/>
      </c>
      <c r="E243" s="53">
        <f>IF(Summary_Exchange_Balances_00UTC!$B243="","",Summary_Exchange_Balances_00UTC!$C243)</f>
        <v>1214222.2371159999</v>
      </c>
      <c r="F243" s="53">
        <f>IF(Summary_Exchange_Balances_00UTC!$B243="","",VLOOKUP(UPPER($A243&amp;$C243),$L:$T,7,FALSE))</f>
        <v>1214222.2371159999</v>
      </c>
      <c r="G243" s="53" t="e">
        <f>IF(Summary_Exchange_Balances_00UTC!$B243="","",VLOOKUP(IF(ISERROR(SEARCH(" ", $B243)),UPPER($B243&amp;$C243&amp;$D243),UPPER(LEFT($B243, SEARCH(" ",$B243)-1)&amp;$C243&amp;$D243)),$M:$T,6,FALSE))</f>
        <v>#N/A</v>
      </c>
      <c r="H243">
        <f>IF(Summary_Exchange_Balances_00UTC!$B243="","",IF(ISERROR($G243),$E243,$G243))</f>
        <v>1214222.2371159999</v>
      </c>
      <c r="I243" s="36" t="e">
        <f t="shared" si="9"/>
        <v>#N/A</v>
      </c>
      <c r="L243" t="str">
        <f t="shared" si="10"/>
        <v>HUBILTC</v>
      </c>
      <c r="M243" t="str">
        <f t="shared" si="11"/>
        <v>HUBILTCTRADE</v>
      </c>
      <c r="N243" t="s">
        <v>380</v>
      </c>
      <c r="O243" t="s">
        <v>115</v>
      </c>
      <c r="P243" t="s">
        <v>425</v>
      </c>
      <c r="Q243" t="s">
        <v>426</v>
      </c>
      <c r="R243" s="43">
        <v>8852.3718616299993</v>
      </c>
      <c r="S243" t="s">
        <v>528</v>
      </c>
      <c r="T243">
        <v>1</v>
      </c>
      <c r="W243" t="s">
        <v>115</v>
      </c>
      <c r="X243" t="s">
        <v>15</v>
      </c>
      <c r="Y243" s="53">
        <v>156.03387741</v>
      </c>
      <c r="Z243">
        <v>0</v>
      </c>
      <c r="AS243" t="str">
        <f>IF(Summary_Exchange_Balances_00UTC!$B243="","","'"&amp;C243&amp;"',")</f>
        <v>'SGB',</v>
      </c>
      <c r="AT243">
        <f>IF(Summary_Exchange_Balances_00UTC!$B243="","",IF(ISERROR(HLOOKUP($C243,$AW$1:$LL$2,2,FALSE)),Summary_Exchange_Balances_00UTC!$Q243,IF(OR(HLOOKUP($C243,$AW$1:$LL$2,2,FALSE)="",HLOOKUP($C243,$AW$1:$LL$2,2,FALSE)="null"),Summary_Exchange_Balances_00UTC!$Q243,HLOOKUP($C243,$AW$1:$LL$2,2,FALSE))))</f>
        <v>1.1899667914311258E-2</v>
      </c>
    </row>
    <row r="244" spans="1:46" x14ac:dyDescent="0.25">
      <c r="A244" t="str">
        <f>IF(Summary_Exchange_Balances_00UTC!$B244="","",Summary_Exchange_Balances_00UTC!$N244)</f>
        <v>HUBI</v>
      </c>
      <c r="B244" t="str">
        <f>IF(Summary_Exchange_Balances_00UTC!$B244="","",Summary_Exchange_Balances_00UTC!$B244)</f>
        <v>HUBI-E</v>
      </c>
      <c r="C244" t="str">
        <f>IF(Summary_Exchange_Balances_00UTC!$B244="","",Summary_Exchange_Balances_00UTC!$E244)</f>
        <v>SHIB</v>
      </c>
      <c r="D244" t="str">
        <f>IF(OR(Summary_Exchange_Balances_00UTC!$B244="",Summary_Exchange_Balances_00UTC!$D244=""),"",Summary_Exchange_Balances_00UTC!$D244)</f>
        <v/>
      </c>
      <c r="E244" s="53">
        <f>IF(Summary_Exchange_Balances_00UTC!$B244="","",Summary_Exchange_Balances_00UTC!$C244)</f>
        <v>1387387.30453923</v>
      </c>
      <c r="F244" s="53">
        <f>IF(Summary_Exchange_Balances_00UTC!$B244="","",VLOOKUP(UPPER($A244&amp;$C244),$L:$T,7,FALSE))</f>
        <v>71073.205401560001</v>
      </c>
      <c r="G244" s="53" t="e">
        <f>IF(Summary_Exchange_Balances_00UTC!$B244="","",VLOOKUP(IF(ISERROR(SEARCH(" ", $B244)),UPPER($B244&amp;$C244&amp;$D244),UPPER(LEFT($B244, SEARCH(" ",$B244)-1)&amp;$C244&amp;$D244)),$M:$T,6,FALSE))</f>
        <v>#N/A</v>
      </c>
      <c r="H244">
        <f>IF(Summary_Exchange_Balances_00UTC!$B244="","",IF(ISERROR($G244),$E244,$G244))</f>
        <v>1387387.30453923</v>
      </c>
      <c r="I244" s="36" t="e">
        <f t="shared" si="9"/>
        <v>#N/A</v>
      </c>
      <c r="L244" t="str">
        <f t="shared" si="10"/>
        <v>HUBILXT</v>
      </c>
      <c r="M244" t="str">
        <f t="shared" si="11"/>
        <v>HUBILXTTRADE</v>
      </c>
      <c r="N244" t="s">
        <v>381</v>
      </c>
      <c r="O244" t="s">
        <v>115</v>
      </c>
      <c r="P244" t="s">
        <v>425</v>
      </c>
      <c r="Q244" t="s">
        <v>426</v>
      </c>
      <c r="R244" s="43">
        <v>0.66495972999999997</v>
      </c>
      <c r="S244" t="s">
        <v>528</v>
      </c>
      <c r="T244">
        <v>1</v>
      </c>
      <c r="W244" t="s">
        <v>115</v>
      </c>
      <c r="X244" t="s">
        <v>23</v>
      </c>
      <c r="Y244" s="53">
        <v>17649.949551860002</v>
      </c>
      <c r="Z244">
        <v>0</v>
      </c>
      <c r="AS244" t="str">
        <f>IF(Summary_Exchange_Balances_00UTC!$B244="","","'"&amp;C244&amp;"',")</f>
        <v>'SHIB',</v>
      </c>
      <c r="AT244">
        <f>IF(Summary_Exchange_Balances_00UTC!$B244="","",IF(ISERROR(HLOOKUP($C244,$AW$1:$LL$2,2,FALSE)),Summary_Exchange_Balances_00UTC!$Q244,IF(OR(HLOOKUP($C244,$AW$1:$LL$2,2,FALSE)="",HLOOKUP($C244,$AW$1:$LL$2,2,FALSE)="null"),Summary_Exchange_Balances_00UTC!$Q244,HLOOKUP($C244,$AW$1:$LL$2,2,FALSE))))</f>
        <v>9.1027119999999996E-6</v>
      </c>
    </row>
    <row r="245" spans="1:46" x14ac:dyDescent="0.25">
      <c r="A245" t="str">
        <f>IF(Summary_Exchange_Balances_00UTC!$B245="","",Summary_Exchange_Balances_00UTC!$N245)</f>
        <v>HUBI</v>
      </c>
      <c r="B245" t="str">
        <f>IF(Summary_Exchange_Balances_00UTC!$B245="","",Summary_Exchange_Balances_00UTC!$B245)</f>
        <v>HUBI-E</v>
      </c>
      <c r="C245" t="str">
        <f>IF(Summary_Exchange_Balances_00UTC!$B245="","",Summary_Exchange_Balances_00UTC!$E245)</f>
        <v>SOL</v>
      </c>
      <c r="D245" t="str">
        <f>IF(OR(Summary_Exchange_Balances_00UTC!$B245="",Summary_Exchange_Balances_00UTC!$D245=""),"",Summary_Exchange_Balances_00UTC!$D245)</f>
        <v/>
      </c>
      <c r="E245" s="53">
        <f>IF(Summary_Exchange_Balances_00UTC!$B245="","",Summary_Exchange_Balances_00UTC!$C245)</f>
        <v>0.14106867000000001</v>
      </c>
      <c r="F245" s="53">
        <f>IF(Summary_Exchange_Balances_00UTC!$B245="","",VLOOKUP(UPPER($A245&amp;$C245),$L:$T,7,FALSE))</f>
        <v>0.14106867000000001</v>
      </c>
      <c r="G245" s="53" t="e">
        <f>IF(Summary_Exchange_Balances_00UTC!$B245="","",VLOOKUP(IF(ISERROR(SEARCH(" ", $B245)),UPPER($B245&amp;$C245&amp;$D245),UPPER(LEFT($B245, SEARCH(" ",$B245)-1)&amp;$C245&amp;$D245)),$M:$T,6,FALSE))</f>
        <v>#N/A</v>
      </c>
      <c r="H245">
        <f>IF(Summary_Exchange_Balances_00UTC!$B245="","",IF(ISERROR($G245),$E245,$G245))</f>
        <v>0.14106867000000001</v>
      </c>
      <c r="I245" s="36" t="e">
        <f t="shared" si="9"/>
        <v>#N/A</v>
      </c>
      <c r="L245" t="str">
        <f t="shared" si="10"/>
        <v>HUBIMANA</v>
      </c>
      <c r="M245" t="str">
        <f t="shared" si="11"/>
        <v>HUBIMANATRADE</v>
      </c>
      <c r="N245" t="s">
        <v>382</v>
      </c>
      <c r="O245" t="s">
        <v>115</v>
      </c>
      <c r="P245" t="s">
        <v>425</v>
      </c>
      <c r="Q245" t="s">
        <v>426</v>
      </c>
      <c r="R245" s="43">
        <v>0.34</v>
      </c>
      <c r="S245" t="s">
        <v>528</v>
      </c>
      <c r="T245">
        <v>1</v>
      </c>
      <c r="W245" t="s">
        <v>115</v>
      </c>
      <c r="X245" t="s">
        <v>24</v>
      </c>
      <c r="Y245" s="53">
        <v>608384.83236875001</v>
      </c>
      <c r="Z245">
        <v>0</v>
      </c>
      <c r="AS245" t="str">
        <f>IF(Summary_Exchange_Balances_00UTC!$B245="","","'"&amp;C245&amp;"',")</f>
        <v>'SOL',</v>
      </c>
      <c r="AT245">
        <f>IF(Summary_Exchange_Balances_00UTC!$B245="","",IF(ISERROR(HLOOKUP($C245,$AW$1:$LL$2,2,FALSE)),Summary_Exchange_Balances_00UTC!$Q245,IF(OR(HLOOKUP($C245,$AW$1:$LL$2,2,FALSE)="",HLOOKUP($C245,$AW$1:$LL$2,2,FALSE)="null"),Summary_Exchange_Balances_00UTC!$Q245,HLOOKUP($C245,$AW$1:$LL$2,2,FALSE))))</f>
        <v>13.78</v>
      </c>
    </row>
    <row r="246" spans="1:46" x14ac:dyDescent="0.25">
      <c r="A246" t="str">
        <f>IF(Summary_Exchange_Balances_00UTC!$B246="","",Summary_Exchange_Balances_00UTC!$N246)</f>
        <v>HUBI</v>
      </c>
      <c r="B246" t="str">
        <f>IF(Summary_Exchange_Balances_00UTC!$B246="","",Summary_Exchange_Balances_00UTC!$B246)</f>
        <v>HUBI-E</v>
      </c>
      <c r="C246" t="str">
        <f>IF(Summary_Exchange_Balances_00UTC!$B246="","",Summary_Exchange_Balances_00UTC!$E246)</f>
        <v>SOLO</v>
      </c>
      <c r="D246" t="str">
        <f>IF(OR(Summary_Exchange_Balances_00UTC!$B246="",Summary_Exchange_Balances_00UTC!$D246=""),"",Summary_Exchange_Balances_00UTC!$D246)</f>
        <v/>
      </c>
      <c r="E246" s="53">
        <f>IF(Summary_Exchange_Balances_00UTC!$B246="","",Summary_Exchange_Balances_00UTC!$C246)</f>
        <v>38753.774400000002</v>
      </c>
      <c r="F246" s="53">
        <f>IF(Summary_Exchange_Balances_00UTC!$B246="","",VLOOKUP(UPPER($A246&amp;$C246),$L:$T,7,FALSE))</f>
        <v>38753.774400000002</v>
      </c>
      <c r="G246" s="53" t="e">
        <f>IF(Summary_Exchange_Balances_00UTC!$B246="","",VLOOKUP(IF(ISERROR(SEARCH(" ", $B246)),UPPER($B246&amp;$C246&amp;$D246),UPPER(LEFT($B246, SEARCH(" ",$B246)-1)&amp;$C246&amp;$D246)),$M:$T,6,FALSE))</f>
        <v>#N/A</v>
      </c>
      <c r="H246">
        <f>IF(Summary_Exchange_Balances_00UTC!$B246="","",IF(ISERROR($G246),$E246,$G246))</f>
        <v>38753.774400000002</v>
      </c>
      <c r="I246" s="36" t="e">
        <f t="shared" si="9"/>
        <v>#N/A</v>
      </c>
      <c r="L246" t="str">
        <f t="shared" si="10"/>
        <v>HUBINEO</v>
      </c>
      <c r="M246" t="str">
        <f t="shared" si="11"/>
        <v>HUBINEOTRADE</v>
      </c>
      <c r="N246" t="s">
        <v>383</v>
      </c>
      <c r="O246" t="s">
        <v>115</v>
      </c>
      <c r="P246" t="s">
        <v>425</v>
      </c>
      <c r="Q246" t="s">
        <v>426</v>
      </c>
      <c r="R246" s="43">
        <v>0.89105878000000005</v>
      </c>
      <c r="S246" t="s">
        <v>528</v>
      </c>
      <c r="T246">
        <v>1</v>
      </c>
      <c r="W246" t="s">
        <v>115</v>
      </c>
      <c r="X246" t="s">
        <v>30</v>
      </c>
      <c r="Y246" s="53">
        <v>0.97793739999999996</v>
      </c>
      <c r="Z246">
        <v>0</v>
      </c>
      <c r="AS246" t="str">
        <f>IF(Summary_Exchange_Balances_00UTC!$B246="","","'"&amp;C246&amp;"',")</f>
        <v>'SOLO',</v>
      </c>
      <c r="AT246">
        <f>IF(Summary_Exchange_Balances_00UTC!$B246="","",IF(ISERROR(HLOOKUP($C246,$AW$1:$LL$2,2,FALSE)),Summary_Exchange_Balances_00UTC!$Q246,IF(OR(HLOOKUP($C246,$AW$1:$LL$2,2,FALSE)="",HLOOKUP($C246,$AW$1:$LL$2,2,FALSE)="null"),Summary_Exchange_Balances_00UTC!$Q246,HLOOKUP($C246,$AW$1:$LL$2,2,FALSE))))</f>
        <v>0.15157867295319444</v>
      </c>
    </row>
    <row r="247" spans="1:46" x14ac:dyDescent="0.25">
      <c r="A247" t="str">
        <f>IF(Summary_Exchange_Balances_00UTC!$B247="","",Summary_Exchange_Balances_00UTC!$N247)</f>
        <v>HUBI</v>
      </c>
      <c r="B247" t="str">
        <f>IF(Summary_Exchange_Balances_00UTC!$B247="","",Summary_Exchange_Balances_00UTC!$B247)</f>
        <v>HUBI-E</v>
      </c>
      <c r="C247" t="str">
        <f>IF(Summary_Exchange_Balances_00UTC!$B247="","",Summary_Exchange_Balances_00UTC!$E247)</f>
        <v>STORJ</v>
      </c>
      <c r="D247" t="str">
        <f>IF(OR(Summary_Exchange_Balances_00UTC!$B247="",Summary_Exchange_Balances_00UTC!$D247=""),"",Summary_Exchange_Balances_00UTC!$D247)</f>
        <v/>
      </c>
      <c r="E247" s="53">
        <f>IF(Summary_Exchange_Balances_00UTC!$B247="","",Summary_Exchange_Balances_00UTC!$C247)</f>
        <v>29.76350429</v>
      </c>
      <c r="F247" s="53">
        <f>IF(Summary_Exchange_Balances_00UTC!$B247="","",VLOOKUP(UPPER($A247&amp;$C247),$L:$T,7,FALSE))</f>
        <v>29.76350429</v>
      </c>
      <c r="G247" s="53" t="e">
        <f>IF(Summary_Exchange_Balances_00UTC!$B247="","",VLOOKUP(IF(ISERROR(SEARCH(" ", $B247)),UPPER($B247&amp;$C247&amp;$D247),UPPER(LEFT($B247, SEARCH(" ",$B247)-1)&amp;$C247&amp;$D247)),$M:$T,6,FALSE))</f>
        <v>#N/A</v>
      </c>
      <c r="H247">
        <f>IF(Summary_Exchange_Balances_00UTC!$B247="","",IF(ISERROR($G247),$E247,$G247))</f>
        <v>29.76350429</v>
      </c>
      <c r="I247" s="36" t="e">
        <f t="shared" si="9"/>
        <v>#N/A</v>
      </c>
      <c r="L247" t="str">
        <f t="shared" si="10"/>
        <v>HUBINEW</v>
      </c>
      <c r="M247" t="str">
        <f t="shared" si="11"/>
        <v>HUBINEWTRADE</v>
      </c>
      <c r="N247" t="s">
        <v>384</v>
      </c>
      <c r="O247" t="s">
        <v>115</v>
      </c>
      <c r="P247" t="s">
        <v>425</v>
      </c>
      <c r="Q247" t="s">
        <v>426</v>
      </c>
      <c r="R247" s="43">
        <v>40.704174029999997</v>
      </c>
      <c r="S247" t="s">
        <v>528</v>
      </c>
      <c r="T247">
        <v>1</v>
      </c>
      <c r="W247" t="s">
        <v>115</v>
      </c>
      <c r="X247" t="s">
        <v>16</v>
      </c>
      <c r="Y247" s="53">
        <v>185.54543591000001</v>
      </c>
      <c r="Z247">
        <v>0</v>
      </c>
      <c r="AS247" t="str">
        <f>IF(Summary_Exchange_Balances_00UTC!$B247="","","'"&amp;C247&amp;"',")</f>
        <v>'STORJ',</v>
      </c>
      <c r="AT247">
        <f>IF(Summary_Exchange_Balances_00UTC!$B247="","",IF(ISERROR(HLOOKUP($C247,$AW$1:$LL$2,2,FALSE)),Summary_Exchange_Balances_00UTC!$Q247,IF(OR(HLOOKUP($C247,$AW$1:$LL$2,2,FALSE)="",HLOOKUP($C247,$AW$1:$LL$2,2,FALSE)="null"),Summary_Exchange_Balances_00UTC!$Q247,HLOOKUP($C247,$AW$1:$LL$2,2,FALSE))))</f>
        <v>0.30287269999999999</v>
      </c>
    </row>
    <row r="248" spans="1:46" x14ac:dyDescent="0.25">
      <c r="A248" t="str">
        <f>IF(Summary_Exchange_Balances_00UTC!$B248="","",Summary_Exchange_Balances_00UTC!$N248)</f>
        <v>HUBI</v>
      </c>
      <c r="B248" t="str">
        <f>IF(Summary_Exchange_Balances_00UTC!$B248="","",Summary_Exchange_Balances_00UTC!$B248)</f>
        <v>HUBI-E</v>
      </c>
      <c r="C248" t="str">
        <f>IF(Summary_Exchange_Balances_00UTC!$B248="","",Summary_Exchange_Balances_00UTC!$E248)</f>
        <v>TRX</v>
      </c>
      <c r="D248" t="str">
        <f>IF(OR(Summary_Exchange_Balances_00UTC!$B248="",Summary_Exchange_Balances_00UTC!$D248=""),"",Summary_Exchange_Balances_00UTC!$D248)</f>
        <v/>
      </c>
      <c r="E248" s="53">
        <f>IF(Summary_Exchange_Balances_00UTC!$B248="","",Summary_Exchange_Balances_00UTC!$C248)</f>
        <v>44.266270740000003</v>
      </c>
      <c r="F248" s="53">
        <f>IF(Summary_Exchange_Balances_00UTC!$B248="","",VLOOKUP(UPPER($A248&amp;$C248),$L:$T,7,FALSE))</f>
        <v>4.8644820000000002E-4</v>
      </c>
      <c r="G248" s="53" t="e">
        <f>IF(Summary_Exchange_Balances_00UTC!$B248="","",VLOOKUP(IF(ISERROR(SEARCH(" ", $B248)),UPPER($B248&amp;$C248&amp;$D248),UPPER(LEFT($B248, SEARCH(" ",$B248)-1)&amp;$C248&amp;$D248)),$M:$T,6,FALSE))</f>
        <v>#N/A</v>
      </c>
      <c r="H248">
        <f>IF(Summary_Exchange_Balances_00UTC!$B248="","",IF(ISERROR($G248),$E248,$G248))</f>
        <v>44.266270740000003</v>
      </c>
      <c r="I248" s="36" t="e">
        <f t="shared" si="9"/>
        <v>#N/A</v>
      </c>
      <c r="L248" t="str">
        <f t="shared" si="10"/>
        <v>HUBINFT</v>
      </c>
      <c r="M248" t="str">
        <f t="shared" si="11"/>
        <v>HUBINFTTRADE</v>
      </c>
      <c r="N248" t="s">
        <v>385</v>
      </c>
      <c r="O248" t="s">
        <v>115</v>
      </c>
      <c r="P248" t="s">
        <v>425</v>
      </c>
      <c r="Q248" t="s">
        <v>426</v>
      </c>
      <c r="R248" s="43">
        <v>3013993111.0959401</v>
      </c>
      <c r="S248" t="s">
        <v>528</v>
      </c>
      <c r="T248">
        <v>1</v>
      </c>
      <c r="W248" t="s">
        <v>115</v>
      </c>
      <c r="X248" t="s">
        <v>25</v>
      </c>
      <c r="Y248" s="53">
        <v>6210.7842919599998</v>
      </c>
      <c r="Z248">
        <v>0</v>
      </c>
      <c r="AS248" t="str">
        <f>IF(Summary_Exchange_Balances_00UTC!$B248="","","'"&amp;C248&amp;"',")</f>
        <v>'TRX',</v>
      </c>
      <c r="AT248">
        <f>IF(Summary_Exchange_Balances_00UTC!$B248="","",IF(ISERROR(HLOOKUP($C248,$AW$1:$LL$2,2,FALSE)),Summary_Exchange_Balances_00UTC!$Q248,IF(OR(HLOOKUP($C248,$AW$1:$LL$2,2,FALSE)="",HLOOKUP($C248,$AW$1:$LL$2,2,FALSE)="null"),Summary_Exchange_Balances_00UTC!$Q248,HLOOKUP($C248,$AW$1:$LL$2,2,FALSE))))</f>
        <v>5.0092902000000002E-2</v>
      </c>
    </row>
    <row r="249" spans="1:46" x14ac:dyDescent="0.25">
      <c r="A249" t="str">
        <f>IF(Summary_Exchange_Balances_00UTC!$B249="","",Summary_Exchange_Balances_00UTC!$N249)</f>
        <v>HUBI</v>
      </c>
      <c r="B249" t="str">
        <f>IF(Summary_Exchange_Balances_00UTC!$B249="","",Summary_Exchange_Balances_00UTC!$B249)</f>
        <v>HUBI-E</v>
      </c>
      <c r="C249" t="str">
        <f>IF(Summary_Exchange_Balances_00UTC!$B249="","",Summary_Exchange_Balances_00UTC!$E249)</f>
        <v>TT</v>
      </c>
      <c r="D249" t="str">
        <f>IF(OR(Summary_Exchange_Balances_00UTC!$B249="",Summary_Exchange_Balances_00UTC!$D249=""),"",Summary_Exchange_Balances_00UTC!$D249)</f>
        <v/>
      </c>
      <c r="E249" s="53">
        <f>IF(Summary_Exchange_Balances_00UTC!$B249="","",Summary_Exchange_Balances_00UTC!$C249)</f>
        <v>6.3152970000000003E-2</v>
      </c>
      <c r="F249" s="53">
        <f>IF(Summary_Exchange_Balances_00UTC!$B249="","",VLOOKUP(UPPER($A249&amp;$C249),$L:$T,7,FALSE))</f>
        <v>6.3152970000000003E-2</v>
      </c>
      <c r="G249" s="53" t="e">
        <f>IF(Summary_Exchange_Balances_00UTC!$B249="","",VLOOKUP(IF(ISERROR(SEARCH(" ", $B249)),UPPER($B249&amp;$C249&amp;$D249),UPPER(LEFT($B249, SEARCH(" ",$B249)-1)&amp;$C249&amp;$D249)),$M:$T,6,FALSE))</f>
        <v>#N/A</v>
      </c>
      <c r="H249">
        <f>IF(Summary_Exchange_Balances_00UTC!$B249="","",IF(ISERROR($G249),$E249,$G249))</f>
        <v>6.3152970000000003E-2</v>
      </c>
      <c r="I249" s="36" t="e">
        <f t="shared" si="9"/>
        <v>#N/A</v>
      </c>
      <c r="L249" t="str">
        <f t="shared" si="10"/>
        <v>HUBINULS</v>
      </c>
      <c r="M249" t="str">
        <f t="shared" si="11"/>
        <v>HUBINULSTRADE</v>
      </c>
      <c r="N249" t="s">
        <v>386</v>
      </c>
      <c r="O249" t="s">
        <v>115</v>
      </c>
      <c r="P249" t="s">
        <v>425</v>
      </c>
      <c r="Q249" t="s">
        <v>426</v>
      </c>
      <c r="R249" s="43">
        <v>4.3068300000000002E-3</v>
      </c>
      <c r="S249" t="s">
        <v>528</v>
      </c>
      <c r="T249">
        <v>1</v>
      </c>
      <c r="W249" t="s">
        <v>115</v>
      </c>
      <c r="X249" t="s">
        <v>26</v>
      </c>
      <c r="Y249" s="53">
        <v>3796339.9888418298</v>
      </c>
      <c r="Z249">
        <v>0</v>
      </c>
      <c r="AS249" t="str">
        <f>IF(Summary_Exchange_Balances_00UTC!$B249="","","'"&amp;C249&amp;"',")</f>
        <v>'TT',</v>
      </c>
      <c r="AT249">
        <f>IF(Summary_Exchange_Balances_00UTC!$B249="","",IF(ISERROR(HLOOKUP($C249,$AW$1:$LL$2,2,FALSE)),Summary_Exchange_Balances_00UTC!$Q249,IF(OR(HLOOKUP($C249,$AW$1:$LL$2,2,FALSE)="",HLOOKUP($C249,$AW$1:$LL$2,2,FALSE)="null"),Summary_Exchange_Balances_00UTC!$Q249,HLOOKUP($C249,$AW$1:$LL$2,2,FALSE))))</f>
        <v>3.8123130368009771E-3</v>
      </c>
    </row>
    <row r="250" spans="1:46" x14ac:dyDescent="0.25">
      <c r="A250" t="str">
        <f>IF(Summary_Exchange_Balances_00UTC!$B250="","",Summary_Exchange_Balances_00UTC!$N250)</f>
        <v>HUBI</v>
      </c>
      <c r="B250" t="str">
        <f>IF(Summary_Exchange_Balances_00UTC!$B250="","",Summary_Exchange_Balances_00UTC!$B250)</f>
        <v>HUBI-E</v>
      </c>
      <c r="C250" t="str">
        <f>IF(Summary_Exchange_Balances_00UTC!$B250="","",Summary_Exchange_Balances_00UTC!$E250)</f>
        <v>TUSD</v>
      </c>
      <c r="D250" t="str">
        <f>IF(OR(Summary_Exchange_Balances_00UTC!$B250="",Summary_Exchange_Balances_00UTC!$D250=""),"",Summary_Exchange_Balances_00UTC!$D250)</f>
        <v/>
      </c>
      <c r="E250" s="53">
        <f>IF(Summary_Exchange_Balances_00UTC!$B250="","",Summary_Exchange_Balances_00UTC!$C250)</f>
        <v>20</v>
      </c>
      <c r="F250" s="53">
        <f>IF(Summary_Exchange_Balances_00UTC!$B250="","",VLOOKUP(UPPER($A250&amp;$C250),$L:$T,7,FALSE))</f>
        <v>20</v>
      </c>
      <c r="G250" s="53" t="e">
        <f>IF(Summary_Exchange_Balances_00UTC!$B250="","",VLOOKUP(IF(ISERROR(SEARCH(" ", $B250)),UPPER($B250&amp;$C250&amp;$D250),UPPER(LEFT($B250, SEARCH(" ",$B250)-1)&amp;$C250&amp;$D250)),$M:$T,6,FALSE))</f>
        <v>#N/A</v>
      </c>
      <c r="H250">
        <f>IF(Summary_Exchange_Balances_00UTC!$B250="","",IF(ISERROR($G250),$E250,$G250))</f>
        <v>20</v>
      </c>
      <c r="I250" s="36" t="e">
        <f t="shared" si="9"/>
        <v>#N/A</v>
      </c>
      <c r="L250" t="str">
        <f t="shared" si="10"/>
        <v>HUBIOMG</v>
      </c>
      <c r="M250" t="str">
        <f t="shared" si="11"/>
        <v>HUBIOMGTRADE</v>
      </c>
      <c r="N250" t="s">
        <v>387</v>
      </c>
      <c r="O250" t="s">
        <v>115</v>
      </c>
      <c r="P250" t="s">
        <v>425</v>
      </c>
      <c r="Q250" t="s">
        <v>426</v>
      </c>
      <c r="R250" s="43">
        <v>162254.56419957001</v>
      </c>
      <c r="S250" t="s">
        <v>528</v>
      </c>
      <c r="T250">
        <v>1</v>
      </c>
      <c r="W250" t="s">
        <v>115</v>
      </c>
      <c r="X250" t="s">
        <v>39</v>
      </c>
      <c r="Y250" s="53">
        <v>17558861.579473969</v>
      </c>
      <c r="Z250">
        <v>0</v>
      </c>
      <c r="AS250" t="str">
        <f>IF(Summary_Exchange_Balances_00UTC!$B250="","","'"&amp;C250&amp;"',")</f>
        <v>'TUSD',</v>
      </c>
      <c r="AT250">
        <f>IF(Summary_Exchange_Balances_00UTC!$B250="","",IF(ISERROR(HLOOKUP($C250,$AW$1:$LL$2,2,FALSE)),Summary_Exchange_Balances_00UTC!$Q250,IF(OR(HLOOKUP($C250,$AW$1:$LL$2,2,FALSE)="",HLOOKUP($C250,$AW$1:$LL$2,2,FALSE)="null"),Summary_Exchange_Balances_00UTC!$Q250,HLOOKUP($C250,$AW$1:$LL$2,2,FALSE))))</f>
        <v>0.99998402645992002</v>
      </c>
    </row>
    <row r="251" spans="1:46" x14ac:dyDescent="0.25">
      <c r="A251" t="str">
        <f>IF(Summary_Exchange_Balances_00UTC!$B251="","",Summary_Exchange_Balances_00UTC!$N251)</f>
        <v>HUBI</v>
      </c>
      <c r="B251" t="str">
        <f>IF(Summary_Exchange_Balances_00UTC!$B251="","",Summary_Exchange_Balances_00UTC!$B251)</f>
        <v>HUBI-E</v>
      </c>
      <c r="C251" t="str">
        <f>IF(Summary_Exchange_Balances_00UTC!$B251="","",Summary_Exchange_Balances_00UTC!$E251)</f>
        <v>UNI</v>
      </c>
      <c r="D251" t="str">
        <f>IF(OR(Summary_Exchange_Balances_00UTC!$B251="",Summary_Exchange_Balances_00UTC!$D251=""),"",Summary_Exchange_Balances_00UTC!$D251)</f>
        <v/>
      </c>
      <c r="E251" s="53">
        <f>IF(Summary_Exchange_Balances_00UTC!$B251="","",Summary_Exchange_Balances_00UTC!$C251)</f>
        <v>1E-8</v>
      </c>
      <c r="F251" s="53">
        <f>IF(Summary_Exchange_Balances_00UTC!$B251="","",VLOOKUP(UPPER($A251&amp;$C251),$L:$T,7,FALSE))</f>
        <v>4.7890616599999998</v>
      </c>
      <c r="G251" s="53" t="e">
        <f>IF(Summary_Exchange_Balances_00UTC!$B251="","",VLOOKUP(IF(ISERROR(SEARCH(" ", $B251)),UPPER($B251&amp;$C251&amp;$D251),UPPER(LEFT($B251, SEARCH(" ",$B251)-1)&amp;$C251&amp;$D251)),$M:$T,6,FALSE))</f>
        <v>#N/A</v>
      </c>
      <c r="H251">
        <f>IF(Summary_Exchange_Balances_00UTC!$B251="","",IF(ISERROR($G251),$E251,$G251))</f>
        <v>1E-8</v>
      </c>
      <c r="I251" s="36" t="e">
        <f t="shared" si="9"/>
        <v>#N/A</v>
      </c>
      <c r="L251" t="str">
        <f t="shared" si="10"/>
        <v>HUBIONG</v>
      </c>
      <c r="M251" t="str">
        <f t="shared" si="11"/>
        <v>HUBIONGTRADE</v>
      </c>
      <c r="N251" t="s">
        <v>388</v>
      </c>
      <c r="O251" t="s">
        <v>115</v>
      </c>
      <c r="P251" t="s">
        <v>425</v>
      </c>
      <c r="Q251" t="s">
        <v>426</v>
      </c>
      <c r="R251" s="43">
        <v>0.34782034000000001</v>
      </c>
      <c r="S251" t="s">
        <v>528</v>
      </c>
      <c r="T251">
        <v>1</v>
      </c>
      <c r="W251" t="s">
        <v>115</v>
      </c>
      <c r="X251" t="s">
        <v>102</v>
      </c>
      <c r="Y251" s="53">
        <v>7.6039999999999997E-5</v>
      </c>
      <c r="Z251">
        <v>0</v>
      </c>
      <c r="AS251" t="str">
        <f>IF(Summary_Exchange_Balances_00UTC!$B251="","","'"&amp;C251&amp;"',")</f>
        <v>'UNI',</v>
      </c>
      <c r="AT251">
        <f>IF(Summary_Exchange_Balances_00UTC!$B251="","",IF(ISERROR(HLOOKUP($C251,$AW$1:$LL$2,2,FALSE)),Summary_Exchange_Balances_00UTC!$Q251,IF(OR(HLOOKUP($C251,$AW$1:$LL$2,2,FALSE)="",HLOOKUP($C251,$AW$1:$LL$2,2,FALSE)="null"),Summary_Exchange_Balances_00UTC!$Q251,HLOOKUP($C251,$AW$1:$LL$2,2,FALSE))))</f>
        <v>5.7869999999999999</v>
      </c>
    </row>
    <row r="252" spans="1:46" x14ac:dyDescent="0.25">
      <c r="A252" t="str">
        <f>IF(Summary_Exchange_Balances_00UTC!$B252="","",Summary_Exchange_Balances_00UTC!$N252)</f>
        <v>HUBI</v>
      </c>
      <c r="B252" t="str">
        <f>IF(Summary_Exchange_Balances_00UTC!$B252="","",Summary_Exchange_Balances_00UTC!$B252)</f>
        <v>HUBI-E</v>
      </c>
      <c r="C252" t="str">
        <f>IF(Summary_Exchange_Balances_00UTC!$B252="","",Summary_Exchange_Balances_00UTC!$E252)</f>
        <v>USDC</v>
      </c>
      <c r="D252" t="str">
        <f>IF(OR(Summary_Exchange_Balances_00UTC!$B252="",Summary_Exchange_Balances_00UTC!$D252=""),"",Summary_Exchange_Balances_00UTC!$D252)</f>
        <v/>
      </c>
      <c r="E252" s="53">
        <f>IF(Summary_Exchange_Balances_00UTC!$B252="","",Summary_Exchange_Balances_00UTC!$C252)</f>
        <v>5.6000000000000004E-7</v>
      </c>
      <c r="F252" s="53">
        <f>IF(Summary_Exchange_Balances_00UTC!$B252="","",VLOOKUP(UPPER($A252&amp;$C252),$L:$T,7,FALSE))</f>
        <v>4512535.36556256</v>
      </c>
      <c r="G252" s="53" t="e">
        <f>IF(Summary_Exchange_Balances_00UTC!$B252="","",VLOOKUP(IF(ISERROR(SEARCH(" ", $B252)),UPPER($B252&amp;$C252&amp;$D252),UPPER(LEFT($B252, SEARCH(" ",$B252)-1)&amp;$C252&amp;$D252)),$M:$T,6,FALSE))</f>
        <v>#N/A</v>
      </c>
      <c r="H252">
        <f>IF(Summary_Exchange_Balances_00UTC!$B252="","",IF(ISERROR($G252),$E252,$G252))</f>
        <v>5.6000000000000004E-7</v>
      </c>
      <c r="I252" s="36" t="e">
        <f t="shared" si="9"/>
        <v>#N/A</v>
      </c>
      <c r="L252" t="str">
        <f t="shared" si="10"/>
        <v>HUBIOXT</v>
      </c>
      <c r="M252" t="str">
        <f t="shared" si="11"/>
        <v>HUBIOXTFROZEN</v>
      </c>
      <c r="N252" t="s">
        <v>389</v>
      </c>
      <c r="O252" t="s">
        <v>115</v>
      </c>
      <c r="P252" t="s">
        <v>425</v>
      </c>
      <c r="Q252" t="s">
        <v>429</v>
      </c>
      <c r="R252" s="43">
        <v>1000</v>
      </c>
      <c r="S252" t="s">
        <v>528</v>
      </c>
      <c r="T252">
        <v>1</v>
      </c>
      <c r="W252" t="s">
        <v>170</v>
      </c>
      <c r="X252" t="s">
        <v>36</v>
      </c>
      <c r="Y252" s="53">
        <v>430.45047</v>
      </c>
      <c r="Z252">
        <v>0</v>
      </c>
      <c r="AS252" t="str">
        <f>IF(Summary_Exchange_Balances_00UTC!$B252="","","'"&amp;C252&amp;"',")</f>
        <v>'USDC',</v>
      </c>
      <c r="AT252">
        <f>IF(Summary_Exchange_Balances_00UTC!$B252="","",IF(ISERROR(HLOOKUP($C252,$AW$1:$LL$2,2,FALSE)),Summary_Exchange_Balances_00UTC!$Q252,IF(OR(HLOOKUP($C252,$AW$1:$LL$2,2,FALSE)="",HLOOKUP($C252,$AW$1:$LL$2,2,FALSE)="null"),Summary_Exchange_Balances_00UTC!$Q252,HLOOKUP($C252,$AW$1:$LL$2,2,FALSE))))</f>
        <v>0.9999795253044339</v>
      </c>
    </row>
    <row r="253" spans="1:46" x14ac:dyDescent="0.25">
      <c r="A253" t="str">
        <f>IF(Summary_Exchange_Balances_00UTC!$B253="","",Summary_Exchange_Balances_00UTC!$N253)</f>
        <v>HUBI</v>
      </c>
      <c r="B253" t="str">
        <f>IF(Summary_Exchange_Balances_00UTC!$B253="","",Summary_Exchange_Balances_00UTC!$B253)</f>
        <v>HUBI-E</v>
      </c>
      <c r="C253" t="str">
        <f>IF(Summary_Exchange_Balances_00UTC!$B253="","",Summary_Exchange_Balances_00UTC!$E253)</f>
        <v>USDP</v>
      </c>
      <c r="D253" t="str">
        <f>IF(OR(Summary_Exchange_Balances_00UTC!$B253="",Summary_Exchange_Balances_00UTC!$D253=""),"",Summary_Exchange_Balances_00UTC!$D253)</f>
        <v/>
      </c>
      <c r="E253" s="53">
        <f>IF(Summary_Exchange_Balances_00UTC!$B253="","",Summary_Exchange_Balances_00UTC!$C253)</f>
        <v>0.34680431</v>
      </c>
      <c r="F253" s="53">
        <f>IF(Summary_Exchange_Balances_00UTC!$B253="","",VLOOKUP(UPPER($A253&amp;$C253),$L:$T,7,FALSE))</f>
        <v>0.34680431</v>
      </c>
      <c r="G253" s="53" t="e">
        <f>IF(Summary_Exchange_Balances_00UTC!$B253="","",VLOOKUP(IF(ISERROR(SEARCH(" ", $B253)),UPPER($B253&amp;$C253&amp;$D253),UPPER(LEFT($B253, SEARCH(" ",$B253)-1)&amp;$C253&amp;$D253)),$M:$T,6,FALSE))</f>
        <v>#N/A</v>
      </c>
      <c r="H253">
        <f>IF(Summary_Exchange_Balances_00UTC!$B253="","",IF(ISERROR($G253),$E253,$G253))</f>
        <v>0.34680431</v>
      </c>
      <c r="I253" s="36" t="e">
        <f t="shared" si="9"/>
        <v>#N/A</v>
      </c>
      <c r="L253" t="str">
        <f t="shared" si="10"/>
        <v>HUBIOXT</v>
      </c>
      <c r="M253" t="str">
        <f t="shared" si="11"/>
        <v>HUBIOXTTRADE</v>
      </c>
      <c r="N253" t="s">
        <v>389</v>
      </c>
      <c r="O253" t="s">
        <v>115</v>
      </c>
      <c r="P253" t="s">
        <v>425</v>
      </c>
      <c r="Q253" t="s">
        <v>426</v>
      </c>
      <c r="R253" s="43">
        <v>952432.29532575002</v>
      </c>
      <c r="S253" t="s">
        <v>528</v>
      </c>
      <c r="T253">
        <v>1</v>
      </c>
      <c r="W253" t="s">
        <v>170</v>
      </c>
      <c r="X253" t="s">
        <v>21</v>
      </c>
      <c r="Y253" s="53">
        <v>1.7695412699999999</v>
      </c>
      <c r="Z253">
        <v>0</v>
      </c>
      <c r="AS253" t="str">
        <f>IF(Summary_Exchange_Balances_00UTC!$B253="","","'"&amp;C253&amp;"',")</f>
        <v>'USDP',</v>
      </c>
      <c r="AT253">
        <f>IF(Summary_Exchange_Balances_00UTC!$B253="","",IF(ISERROR(HLOOKUP($C253,$AW$1:$LL$2,2,FALSE)),Summary_Exchange_Balances_00UTC!$Q253,IF(OR(HLOOKUP($C253,$AW$1:$LL$2,2,FALSE)="",HLOOKUP($C253,$AW$1:$LL$2,2,FALSE)="null"),Summary_Exchange_Balances_00UTC!$Q253,HLOOKUP($C253,$AW$1:$LL$2,2,FALSE))))</f>
        <v>1.0035780118439674</v>
      </c>
    </row>
    <row r="254" spans="1:46" x14ac:dyDescent="0.25">
      <c r="A254" t="str">
        <f>IF(Summary_Exchange_Balances_00UTC!$B254="","",Summary_Exchange_Balances_00UTC!$N254)</f>
        <v>HUBI</v>
      </c>
      <c r="B254" t="str">
        <f>IF(Summary_Exchange_Balances_00UTC!$B254="","",Summary_Exchange_Balances_00UTC!$B254)</f>
        <v>HUBI-E</v>
      </c>
      <c r="C254" t="str">
        <f>IF(Summary_Exchange_Balances_00UTC!$B254="","",Summary_Exchange_Balances_00UTC!$E254)</f>
        <v>USDT</v>
      </c>
      <c r="D254" t="str">
        <f>IF(OR(Summary_Exchange_Balances_00UTC!$B254="",Summary_Exchange_Balances_00UTC!$D254=""),"",Summary_Exchange_Balances_00UTC!$D254)</f>
        <v/>
      </c>
      <c r="E254" s="53">
        <f>IF(Summary_Exchange_Balances_00UTC!$B254="","",Summary_Exchange_Balances_00UTC!$C254)</f>
        <v>55130.491809560001</v>
      </c>
      <c r="F254" s="53">
        <f>IF(Summary_Exchange_Balances_00UTC!$B254="","",VLOOKUP(UPPER($A254&amp;$C254),$L:$T,7,FALSE))</f>
        <v>-29544130.0141466</v>
      </c>
      <c r="G254" s="53" t="e">
        <f>IF(Summary_Exchange_Balances_00UTC!$B254="","",VLOOKUP(IF(ISERROR(SEARCH(" ", $B254)),UPPER($B254&amp;$C254&amp;$D254),UPPER(LEFT($B254, SEARCH(" ",$B254)-1)&amp;$C254&amp;$D254)),$M:$T,6,FALSE))</f>
        <v>#N/A</v>
      </c>
      <c r="H254">
        <f>IF(Summary_Exchange_Balances_00UTC!$B254="","",IF(ISERROR($G254),$E254,$G254))</f>
        <v>55130.491809560001</v>
      </c>
      <c r="I254" s="36" t="e">
        <f t="shared" si="9"/>
        <v>#N/A</v>
      </c>
      <c r="L254" t="str">
        <f t="shared" si="10"/>
        <v>HUBIQTUM</v>
      </c>
      <c r="M254" t="str">
        <f t="shared" si="11"/>
        <v>HUBIQTUMTRADE</v>
      </c>
      <c r="N254" t="s">
        <v>390</v>
      </c>
      <c r="O254" t="s">
        <v>115</v>
      </c>
      <c r="P254" t="s">
        <v>425</v>
      </c>
      <c r="Q254" t="s">
        <v>426</v>
      </c>
      <c r="R254" s="43">
        <v>3.0962099999999998E-3</v>
      </c>
      <c r="S254" t="s">
        <v>528</v>
      </c>
      <c r="T254">
        <v>1</v>
      </c>
      <c r="W254" t="s">
        <v>170</v>
      </c>
      <c r="X254" t="s">
        <v>15</v>
      </c>
      <c r="Y254" s="53">
        <v>1.8847760000000002E-2</v>
      </c>
      <c r="Z254">
        <v>0</v>
      </c>
      <c r="AS254" t="str">
        <f>IF(Summary_Exchange_Balances_00UTC!$B254="","","'"&amp;C254&amp;"',")</f>
        <v>'USDT',</v>
      </c>
      <c r="AT254">
        <f>IF(Summary_Exchange_Balances_00UTC!$B254="","",IF(ISERROR(HLOOKUP($C254,$AW$1:$LL$2,2,FALSE)),Summary_Exchange_Balances_00UTC!$Q254,IF(OR(HLOOKUP($C254,$AW$1:$LL$2,2,FALSE)="",HLOOKUP($C254,$AW$1:$LL$2,2,FALSE)="null"),Summary_Exchange_Balances_00UTC!$Q254,HLOOKUP($C254,$AW$1:$LL$2,2,FALSE))))</f>
        <v>1.0001054103245364</v>
      </c>
    </row>
    <row r="255" spans="1:46" x14ac:dyDescent="0.25">
      <c r="A255" t="str">
        <f>IF(Summary_Exchange_Balances_00UTC!$B255="","",Summary_Exchange_Balances_00UTC!$N255)</f>
        <v>HUBI</v>
      </c>
      <c r="B255" t="str">
        <f>IF(Summary_Exchange_Balances_00UTC!$B255="","",Summary_Exchange_Balances_00UTC!$B255)</f>
        <v>HUBI-E</v>
      </c>
      <c r="C255" t="str">
        <f>IF(Summary_Exchange_Balances_00UTC!$B255="","",Summary_Exchange_Balances_00UTC!$E255)</f>
        <v>VET</v>
      </c>
      <c r="D255" t="str">
        <f>IF(OR(Summary_Exchange_Balances_00UTC!$B255="",Summary_Exchange_Balances_00UTC!$D255=""),"",Summary_Exchange_Balances_00UTC!$D255)</f>
        <v/>
      </c>
      <c r="E255" s="53">
        <f>IF(Summary_Exchange_Balances_00UTC!$B255="","",Summary_Exchange_Balances_00UTC!$C255)</f>
        <v>25.959481520000001</v>
      </c>
      <c r="F255" s="53">
        <f>IF(Summary_Exchange_Balances_00UTC!$B255="","",VLOOKUP(UPPER($A255&amp;$C255),$L:$T,7,FALSE))</f>
        <v>59589.017780000002</v>
      </c>
      <c r="G255" s="53" t="e">
        <f>IF(Summary_Exchange_Balances_00UTC!$B255="","",VLOOKUP(IF(ISERROR(SEARCH(" ", $B255)),UPPER($B255&amp;$C255&amp;$D255),UPPER(LEFT($B255, SEARCH(" ",$B255)-1)&amp;$C255&amp;$D255)),$M:$T,6,FALSE))</f>
        <v>#N/A</v>
      </c>
      <c r="H255">
        <f>IF(Summary_Exchange_Balances_00UTC!$B255="","",IF(ISERROR($G255),$E255,$G255))</f>
        <v>25.959481520000001</v>
      </c>
      <c r="I255" s="36" t="e">
        <f t="shared" si="9"/>
        <v>#N/A</v>
      </c>
      <c r="L255" t="str">
        <f t="shared" si="10"/>
        <v>HUBIREI</v>
      </c>
      <c r="M255" t="str">
        <f t="shared" si="11"/>
        <v>HUBIREITRADE</v>
      </c>
      <c r="N255" t="s">
        <v>391</v>
      </c>
      <c r="O255" t="s">
        <v>115</v>
      </c>
      <c r="P255" t="s">
        <v>425</v>
      </c>
      <c r="Q255" t="s">
        <v>426</v>
      </c>
      <c r="R255" s="43">
        <v>2.6598900000000002E-2</v>
      </c>
      <c r="S255" t="s">
        <v>528</v>
      </c>
      <c r="T255">
        <v>1</v>
      </c>
      <c r="W255" t="s">
        <v>170</v>
      </c>
      <c r="X255" t="s">
        <v>23</v>
      </c>
      <c r="Y255" s="53">
        <v>34.962823350000001</v>
      </c>
      <c r="Z255">
        <v>0</v>
      </c>
      <c r="AS255" t="str">
        <f>IF(Summary_Exchange_Balances_00UTC!$B255="","","'"&amp;C255&amp;"',")</f>
        <v>'VET',</v>
      </c>
      <c r="AT255">
        <f>IF(Summary_Exchange_Balances_00UTC!$B255="","",IF(ISERROR(HLOOKUP($C255,$AW$1:$LL$2,2,FALSE)),Summary_Exchange_Balances_00UTC!$Q255,IF(OR(HLOOKUP($C255,$AW$1:$LL$2,2,FALSE)="",HLOOKUP($C255,$AW$1:$LL$2,2,FALSE)="null"),Summary_Exchange_Balances_00UTC!$Q255,HLOOKUP($C255,$AW$1:$LL$2,2,FALSE))))</f>
        <v>1.9404659000000001E-2</v>
      </c>
    </row>
    <row r="256" spans="1:46" x14ac:dyDescent="0.25">
      <c r="A256" t="str">
        <f>IF(Summary_Exchange_Balances_00UTC!$B256="","",Summary_Exchange_Balances_00UTC!$N256)</f>
        <v>HUBI</v>
      </c>
      <c r="B256" t="str">
        <f>IF(Summary_Exchange_Balances_00UTC!$B256="","",Summary_Exchange_Balances_00UTC!$B256)</f>
        <v>HUBI-E</v>
      </c>
      <c r="C256" t="str">
        <f>IF(Summary_Exchange_Balances_00UTC!$B256="","",Summary_Exchange_Balances_00UTC!$E256)</f>
        <v>VSYS</v>
      </c>
      <c r="D256" t="str">
        <f>IF(OR(Summary_Exchange_Balances_00UTC!$B256="",Summary_Exchange_Balances_00UTC!$D256=""),"",Summary_Exchange_Balances_00UTC!$D256)</f>
        <v/>
      </c>
      <c r="E256" s="53">
        <f>IF(Summary_Exchange_Balances_00UTC!$B256="","",Summary_Exchange_Balances_00UTC!$C256)</f>
        <v>0.20872535</v>
      </c>
      <c r="F256" s="53">
        <f>IF(Summary_Exchange_Balances_00UTC!$B256="","",VLOOKUP(UPPER($A256&amp;$C256),$L:$T,7,FALSE))</f>
        <v>0.20872535</v>
      </c>
      <c r="G256" s="53" t="e">
        <f>IF(Summary_Exchange_Balances_00UTC!$B256="","",VLOOKUP(IF(ISERROR(SEARCH(" ", $B256)),UPPER($B256&amp;$C256&amp;$D256),UPPER(LEFT($B256, SEARCH(" ",$B256)-1)&amp;$C256&amp;$D256)),$M:$T,6,FALSE))</f>
        <v>#N/A</v>
      </c>
      <c r="H256">
        <f>IF(Summary_Exchange_Balances_00UTC!$B256="","",IF(ISERROR($G256),$E256,$G256))</f>
        <v>0.20872535</v>
      </c>
      <c r="I256" s="36" t="e">
        <f t="shared" si="9"/>
        <v>#N/A</v>
      </c>
      <c r="L256" t="str">
        <f t="shared" si="10"/>
        <v>HUBISGB</v>
      </c>
      <c r="M256" t="str">
        <f t="shared" si="11"/>
        <v>HUBISGBTRADE</v>
      </c>
      <c r="N256" t="s">
        <v>392</v>
      </c>
      <c r="O256" t="s">
        <v>115</v>
      </c>
      <c r="P256" t="s">
        <v>425</v>
      </c>
      <c r="Q256" t="s">
        <v>426</v>
      </c>
      <c r="R256" s="43">
        <v>1214222.2371159999</v>
      </c>
      <c r="S256" t="s">
        <v>528</v>
      </c>
      <c r="T256">
        <v>1</v>
      </c>
      <c r="W256" t="s">
        <v>170</v>
      </c>
      <c r="X256" t="s">
        <v>24</v>
      </c>
      <c r="Y256" s="53">
        <v>9.9499194400000004</v>
      </c>
      <c r="Z256">
        <v>0</v>
      </c>
      <c r="AS256" t="str">
        <f>IF(Summary_Exchange_Balances_00UTC!$B256="","","'"&amp;C256&amp;"',")</f>
        <v>'VSYS',</v>
      </c>
      <c r="AT256">
        <f>IF(Summary_Exchange_Balances_00UTC!$B256="","",IF(ISERROR(HLOOKUP($C256,$AW$1:$LL$2,2,FALSE)),Summary_Exchange_Balances_00UTC!$Q256,IF(OR(HLOOKUP($C256,$AW$1:$LL$2,2,FALSE)="",HLOOKUP($C256,$AW$1:$LL$2,2,FALSE)="null"),Summary_Exchange_Balances_00UTC!$Q256,HLOOKUP($C256,$AW$1:$LL$2,2,FALSE))))</f>
        <v>1.03725241739701E-3</v>
      </c>
    </row>
    <row r="257" spans="1:46" x14ac:dyDescent="0.25">
      <c r="A257" t="str">
        <f>IF(Summary_Exchange_Balances_00UTC!$B257="","",Summary_Exchange_Balances_00UTC!$N257)</f>
        <v>HUBI</v>
      </c>
      <c r="B257" t="str">
        <f>IF(Summary_Exchange_Balances_00UTC!$B257="","",Summary_Exchange_Balances_00UTC!$B257)</f>
        <v>HUBI-E</v>
      </c>
      <c r="C257" t="str">
        <f>IF(Summary_Exchange_Balances_00UTC!$B257="","",Summary_Exchange_Balances_00UTC!$E257)</f>
        <v>XEC</v>
      </c>
      <c r="D257" t="str">
        <f>IF(OR(Summary_Exchange_Balances_00UTC!$B257="",Summary_Exchange_Balances_00UTC!$D257=""),"",Summary_Exchange_Balances_00UTC!$D257)</f>
        <v/>
      </c>
      <c r="E257" s="53">
        <f>IF(Summary_Exchange_Balances_00UTC!$B257="","",Summary_Exchange_Balances_00UTC!$C257)</f>
        <v>97856389.900000006</v>
      </c>
      <c r="F257" s="53">
        <f>IF(Summary_Exchange_Balances_00UTC!$B257="","",VLOOKUP(UPPER($A257&amp;$C257),$L:$T,7,FALSE))</f>
        <v>97856389.900000006</v>
      </c>
      <c r="G257" s="53" t="e">
        <f>IF(Summary_Exchange_Balances_00UTC!$B257="","",VLOOKUP(IF(ISERROR(SEARCH(" ", $B257)),UPPER($B257&amp;$C257&amp;$D257),UPPER(LEFT($B257, SEARCH(" ",$B257)-1)&amp;$C257&amp;$D257)),$M:$T,6,FALSE))</f>
        <v>#N/A</v>
      </c>
      <c r="H257">
        <f>IF(Summary_Exchange_Balances_00UTC!$B257="","",IF(ISERROR($G257),$E257,$G257))</f>
        <v>97856389.900000006</v>
      </c>
      <c r="I257" s="36" t="e">
        <f t="shared" si="9"/>
        <v>#N/A</v>
      </c>
      <c r="L257" t="str">
        <f t="shared" si="10"/>
        <v>HUBISHIB</v>
      </c>
      <c r="M257" t="str">
        <f t="shared" si="11"/>
        <v>HUBISHIBTRADE</v>
      </c>
      <c r="N257" t="s">
        <v>393</v>
      </c>
      <c r="O257" t="s">
        <v>115</v>
      </c>
      <c r="P257" t="s">
        <v>425</v>
      </c>
      <c r="Q257" t="s">
        <v>426</v>
      </c>
      <c r="R257" s="43">
        <v>4413638618.6586599</v>
      </c>
      <c r="S257" t="s">
        <v>528</v>
      </c>
      <c r="T257">
        <v>1</v>
      </c>
      <c r="W257" t="s">
        <v>170</v>
      </c>
      <c r="X257" t="s">
        <v>275</v>
      </c>
      <c r="Y257" s="53">
        <v>3.4037359</v>
      </c>
      <c r="Z257">
        <v>0</v>
      </c>
      <c r="AS257" t="str">
        <f>IF(Summary_Exchange_Balances_00UTC!$B257="","","'"&amp;C257&amp;"',")</f>
        <v>'XEC',</v>
      </c>
      <c r="AT257">
        <f>IF(Summary_Exchange_Balances_00UTC!$B257="","",IF(ISERROR(HLOOKUP($C257,$AW$1:$LL$2,2,FALSE)),Summary_Exchange_Balances_00UTC!$Q257,IF(OR(HLOOKUP($C257,$AW$1:$LL$2,2,FALSE)="",HLOOKUP($C257,$AW$1:$LL$2,2,FALSE)="null"),Summary_Exchange_Balances_00UTC!$Q257,HLOOKUP($C257,$AW$1:$LL$2,2,FALSE))))</f>
        <v>2.8637358E-5</v>
      </c>
    </row>
    <row r="258" spans="1:46" x14ac:dyDescent="0.25">
      <c r="A258" t="str">
        <f>IF(Summary_Exchange_Balances_00UTC!$B258="","",Summary_Exchange_Balances_00UTC!$N258)</f>
        <v>HUBI</v>
      </c>
      <c r="B258" t="str">
        <f>IF(Summary_Exchange_Balances_00UTC!$B258="","",Summary_Exchange_Balances_00UTC!$B258)</f>
        <v>HUBI-E</v>
      </c>
      <c r="C258" t="str">
        <f>IF(Summary_Exchange_Balances_00UTC!$B258="","",Summary_Exchange_Balances_00UTC!$E258)</f>
        <v>XLM</v>
      </c>
      <c r="D258" t="str">
        <f>IF(OR(Summary_Exchange_Balances_00UTC!$B258="",Summary_Exchange_Balances_00UTC!$D258=""),"",Summary_Exchange_Balances_00UTC!$D258)</f>
        <v/>
      </c>
      <c r="E258" s="53">
        <f>IF(Summary_Exchange_Balances_00UTC!$B258="","",Summary_Exchange_Balances_00UTC!$C258)</f>
        <v>0.55556267999999998</v>
      </c>
      <c r="F258" s="53">
        <f>IF(Summary_Exchange_Balances_00UTC!$B258="","",VLOOKUP(UPPER($A258&amp;$C258),$L:$T,7,FALSE))</f>
        <v>0.55556267999999998</v>
      </c>
      <c r="G258" s="53" t="e">
        <f>IF(Summary_Exchange_Balances_00UTC!$B258="","",VLOOKUP(IF(ISERROR(SEARCH(" ", $B258)),UPPER($B258&amp;$C258&amp;$D258),UPPER(LEFT($B258, SEARCH(" ",$B258)-1)&amp;$C258&amp;$D258)),$M:$T,6,FALSE))</f>
        <v>#N/A</v>
      </c>
      <c r="H258">
        <f>IF(Summary_Exchange_Balances_00UTC!$B258="","",IF(ISERROR($G258),$E258,$G258))</f>
        <v>0.55556267999999998</v>
      </c>
      <c r="I258" s="36" t="e">
        <f t="shared" ref="I258:I321" si="12">(G258-E258)/E258</f>
        <v>#N/A</v>
      </c>
      <c r="L258" t="str">
        <f t="shared" ref="L258:L321" si="13">UPPER($O258&amp;$N258)</f>
        <v>HUBISOL</v>
      </c>
      <c r="M258" t="str">
        <f t="shared" ref="M258:M321" si="14">UPPER($P258&amp;$N258&amp;Q258)</f>
        <v>HUBISOLTRADE</v>
      </c>
      <c r="N258" t="s">
        <v>394</v>
      </c>
      <c r="O258" t="s">
        <v>115</v>
      </c>
      <c r="P258" t="s">
        <v>425</v>
      </c>
      <c r="Q258" t="s">
        <v>426</v>
      </c>
      <c r="R258" s="43">
        <v>0.14106867000000001</v>
      </c>
      <c r="S258" t="s">
        <v>528</v>
      </c>
      <c r="T258">
        <v>1</v>
      </c>
      <c r="W258" t="s">
        <v>170</v>
      </c>
      <c r="X258" t="s">
        <v>44</v>
      </c>
      <c r="Y258" s="53">
        <v>6392.7486803700003</v>
      </c>
      <c r="Z258">
        <v>0</v>
      </c>
      <c r="AS258" t="str">
        <f>IF(Summary_Exchange_Balances_00UTC!$B258="","","'"&amp;C258&amp;"',")</f>
        <v>'XLM',</v>
      </c>
      <c r="AT258">
        <f>IF(Summary_Exchange_Balances_00UTC!$B258="","",IF(ISERROR(HLOOKUP($C258,$AW$1:$LL$2,2,FALSE)),Summary_Exchange_Balances_00UTC!$Q258,IF(OR(HLOOKUP($C258,$AW$1:$LL$2,2,FALSE)="",HLOOKUP($C258,$AW$1:$LL$2,2,FALSE)="null"),Summary_Exchange_Balances_00UTC!$Q258,HLOOKUP($C258,$AW$1:$LL$2,2,FALSE))))</f>
        <v>9.0786800000000001E-2</v>
      </c>
    </row>
    <row r="259" spans="1:46" x14ac:dyDescent="0.25">
      <c r="A259" t="str">
        <f>IF(Summary_Exchange_Balances_00UTC!$B259="","",Summary_Exchange_Balances_00UTC!$N259)</f>
        <v>HUBI</v>
      </c>
      <c r="B259" t="str">
        <f>IF(Summary_Exchange_Balances_00UTC!$B259="","",Summary_Exchange_Balances_00UTC!$B259)</f>
        <v>HUBI-E</v>
      </c>
      <c r="C259" t="str">
        <f>IF(Summary_Exchange_Balances_00UTC!$B259="","",Summary_Exchange_Balances_00UTC!$E259)</f>
        <v>XRP</v>
      </c>
      <c r="D259" t="str">
        <f>IF(OR(Summary_Exchange_Balances_00UTC!$B259="",Summary_Exchange_Balances_00UTC!$D259=""),"",Summary_Exchange_Balances_00UTC!$D259)</f>
        <v/>
      </c>
      <c r="E259" s="53">
        <f>IF(Summary_Exchange_Balances_00UTC!$B259="","",Summary_Exchange_Balances_00UTC!$C259)</f>
        <v>108.13630258000001</v>
      </c>
      <c r="F259" s="53">
        <f>IF(Summary_Exchange_Balances_00UTC!$B259="","",VLOOKUP(UPPER($A259&amp;$C259),$L:$T,7,FALSE))</f>
        <v>1.9184280000000001E-4</v>
      </c>
      <c r="G259" s="53" t="e">
        <f>IF(Summary_Exchange_Balances_00UTC!$B259="","",VLOOKUP(IF(ISERROR(SEARCH(" ", $B259)),UPPER($B259&amp;$C259&amp;$D259),UPPER(LEFT($B259, SEARCH(" ",$B259)-1)&amp;$C259&amp;$D259)),$M:$T,6,FALSE))</f>
        <v>#N/A</v>
      </c>
      <c r="H259">
        <f>IF(Summary_Exchange_Balances_00UTC!$B259="","",IF(ISERROR($G259),$E259,$G259))</f>
        <v>108.13630258000001</v>
      </c>
      <c r="I259" s="36" t="e">
        <f t="shared" si="12"/>
        <v>#N/A</v>
      </c>
      <c r="L259" t="str">
        <f t="shared" si="13"/>
        <v>HUBISOLO</v>
      </c>
      <c r="M259" t="str">
        <f t="shared" si="14"/>
        <v>HUBISOLOTRADE</v>
      </c>
      <c r="N259" t="s">
        <v>395</v>
      </c>
      <c r="O259" t="s">
        <v>115</v>
      </c>
      <c r="P259" t="s">
        <v>425</v>
      </c>
      <c r="Q259" t="s">
        <v>426</v>
      </c>
      <c r="R259" s="43">
        <v>38753.774400000002</v>
      </c>
      <c r="S259" t="s">
        <v>528</v>
      </c>
      <c r="T259">
        <v>1</v>
      </c>
      <c r="W259" t="s">
        <v>170</v>
      </c>
      <c r="X259" t="s">
        <v>25</v>
      </c>
      <c r="Y259" s="53">
        <v>9.1421368100000002</v>
      </c>
      <c r="Z259">
        <v>0</v>
      </c>
      <c r="AS259" t="str">
        <f>IF(Summary_Exchange_Balances_00UTC!$B259="","","'"&amp;C259&amp;"',")</f>
        <v>'XRP',</v>
      </c>
      <c r="AT259">
        <f>IF(Summary_Exchange_Balances_00UTC!$B259="","",IF(ISERROR(HLOOKUP($C259,$AW$1:$LL$2,2,FALSE)),Summary_Exchange_Balances_00UTC!$Q259,IF(OR(HLOOKUP($C259,$AW$1:$LL$2,2,FALSE)="",HLOOKUP($C259,$AW$1:$LL$2,2,FALSE)="null"),Summary_Exchange_Balances_00UTC!$Q259,HLOOKUP($C259,$AW$1:$LL$2,2,FALSE))))</f>
        <v>0.38471588000000001</v>
      </c>
    </row>
    <row r="260" spans="1:46" x14ac:dyDescent="0.25">
      <c r="A260" t="str">
        <f>IF(Summary_Exchange_Balances_00UTC!$B260="","",Summary_Exchange_Balances_00UTC!$N260)</f>
        <v>HUBI</v>
      </c>
      <c r="B260" t="str">
        <f>IF(Summary_Exchange_Balances_00UTC!$B260="","",Summary_Exchange_Balances_00UTC!$B260)</f>
        <v>HUBI-E</v>
      </c>
      <c r="C260" t="str">
        <f>IF(Summary_Exchange_Balances_00UTC!$B260="","",Summary_Exchange_Balances_00UTC!$E260)</f>
        <v>XTZ</v>
      </c>
      <c r="D260" t="str">
        <f>IF(OR(Summary_Exchange_Balances_00UTC!$B260="",Summary_Exchange_Balances_00UTC!$D260=""),"",Summary_Exchange_Balances_00UTC!$D260)</f>
        <v/>
      </c>
      <c r="E260" s="53">
        <f>IF(Summary_Exchange_Balances_00UTC!$B260="","",Summary_Exchange_Balances_00UTC!$C260)</f>
        <v>3.9304560899999998</v>
      </c>
      <c r="F260" s="53">
        <f>IF(Summary_Exchange_Balances_00UTC!$B260="","",VLOOKUP(UPPER($A260&amp;$C260),$L:$T,7,FALSE))</f>
        <v>3.9304560899999998</v>
      </c>
      <c r="G260" s="53" t="e">
        <f>IF(Summary_Exchange_Balances_00UTC!$B260="","",VLOOKUP(IF(ISERROR(SEARCH(" ", $B260)),UPPER($B260&amp;$C260&amp;$D260),UPPER(LEFT($B260, SEARCH(" ",$B260)-1)&amp;$C260&amp;$D260)),$M:$T,6,FALSE))</f>
        <v>#N/A</v>
      </c>
      <c r="H260">
        <f>IF(Summary_Exchange_Balances_00UTC!$B260="","",IF(ISERROR($G260),$E260,$G260))</f>
        <v>3.9304560899999998</v>
      </c>
      <c r="I260" s="36" t="e">
        <f t="shared" si="12"/>
        <v>#N/A</v>
      </c>
      <c r="L260" t="str">
        <f t="shared" si="13"/>
        <v>HUBISTORJ</v>
      </c>
      <c r="M260" t="str">
        <f t="shared" si="14"/>
        <v>HUBISTORJTRADE</v>
      </c>
      <c r="N260" t="s">
        <v>396</v>
      </c>
      <c r="O260" t="s">
        <v>115</v>
      </c>
      <c r="P260" t="s">
        <v>425</v>
      </c>
      <c r="Q260" t="s">
        <v>426</v>
      </c>
      <c r="R260" s="43">
        <v>29.76350429</v>
      </c>
      <c r="S260" t="s">
        <v>528</v>
      </c>
      <c r="T260">
        <v>1</v>
      </c>
      <c r="W260" t="s">
        <v>170</v>
      </c>
      <c r="X260" t="s">
        <v>92</v>
      </c>
      <c r="Y260" s="53">
        <v>864101.84359399998</v>
      </c>
      <c r="Z260">
        <v>0</v>
      </c>
      <c r="AS260" t="str">
        <f>IF(Summary_Exchange_Balances_00UTC!$B260="","","'"&amp;C260&amp;"',")</f>
        <v>'XTZ',</v>
      </c>
      <c r="AT260">
        <f>IF(Summary_Exchange_Balances_00UTC!$B260="","",IF(ISERROR(HLOOKUP($C260,$AW$1:$LL$2,2,FALSE)),Summary_Exchange_Balances_00UTC!$Q260,IF(OR(HLOOKUP($C260,$AW$1:$LL$2,2,FALSE)="",HLOOKUP($C260,$AW$1:$LL$2,2,FALSE)="null"),Summary_Exchange_Balances_00UTC!$Q260,HLOOKUP($C260,$AW$1:$LL$2,2,FALSE))))</f>
        <v>0.98099999999999998</v>
      </c>
    </row>
    <row r="261" spans="1:46" x14ac:dyDescent="0.25">
      <c r="A261" t="str">
        <f>IF(Summary_Exchange_Balances_00UTC!$B261="","",Summary_Exchange_Balances_00UTC!$N261)</f>
        <v>HUBI</v>
      </c>
      <c r="B261" t="str">
        <f>IF(Summary_Exchange_Balances_00UTC!$B261="","",Summary_Exchange_Balances_00UTC!$B261)</f>
        <v>HUBI-E</v>
      </c>
      <c r="C261" t="str">
        <f>IF(Summary_Exchange_Balances_00UTC!$B261="","",Summary_Exchange_Balances_00UTC!$E261)</f>
        <v>YFII</v>
      </c>
      <c r="D261" t="str">
        <f>IF(OR(Summary_Exchange_Balances_00UTC!$B261="",Summary_Exchange_Balances_00UTC!$D261=""),"",Summary_Exchange_Balances_00UTC!$D261)</f>
        <v/>
      </c>
      <c r="E261" s="53">
        <f>IF(Summary_Exchange_Balances_00UTC!$B261="","",Summary_Exchange_Balances_00UTC!$C261)</f>
        <v>1.329583E-2</v>
      </c>
      <c r="F261" s="53">
        <f>IF(Summary_Exchange_Balances_00UTC!$B261="","",VLOOKUP(UPPER($A261&amp;$C261),$L:$T,7,FALSE))</f>
        <v>2.4299999999999999E-3</v>
      </c>
      <c r="G261" s="53" t="e">
        <f>IF(Summary_Exchange_Balances_00UTC!$B261="","",VLOOKUP(IF(ISERROR(SEARCH(" ", $B261)),UPPER($B261&amp;$C261&amp;$D261),UPPER(LEFT($B261, SEARCH(" ",$B261)-1)&amp;$C261&amp;$D261)),$M:$T,6,FALSE))</f>
        <v>#N/A</v>
      </c>
      <c r="H261">
        <f>IF(Summary_Exchange_Balances_00UTC!$B261="","",IF(ISERROR($G261),$E261,$G261))</f>
        <v>1.329583E-2</v>
      </c>
      <c r="I261" s="36" t="e">
        <f t="shared" si="12"/>
        <v>#N/A</v>
      </c>
      <c r="L261" t="str">
        <f t="shared" si="13"/>
        <v>HUBITRX</v>
      </c>
      <c r="M261" t="str">
        <f t="shared" si="14"/>
        <v>HUBITRXTRADE</v>
      </c>
      <c r="N261" t="s">
        <v>397</v>
      </c>
      <c r="O261" t="s">
        <v>115</v>
      </c>
      <c r="P261" t="s">
        <v>425</v>
      </c>
      <c r="Q261" t="s">
        <v>426</v>
      </c>
      <c r="R261" s="43">
        <v>15566513.7211191</v>
      </c>
      <c r="S261" t="s">
        <v>528</v>
      </c>
      <c r="T261">
        <v>1</v>
      </c>
      <c r="W261" t="s">
        <v>170</v>
      </c>
      <c r="X261" t="s">
        <v>101</v>
      </c>
      <c r="Y261" s="53">
        <v>0.10834547999999999</v>
      </c>
      <c r="Z261">
        <v>0</v>
      </c>
      <c r="AS261" t="str">
        <f>IF(Summary_Exchange_Balances_00UTC!$B261="","","'"&amp;C261&amp;"',")</f>
        <v>'YFII',</v>
      </c>
      <c r="AT261">
        <f>IF(Summary_Exchange_Balances_00UTC!$B261="","",IF(ISERROR(HLOOKUP($C261,$AW$1:$LL$2,2,FALSE)),Summary_Exchange_Balances_00UTC!$Q261,IF(OR(HLOOKUP($C261,$AW$1:$LL$2,2,FALSE)="",HLOOKUP($C261,$AW$1:$LL$2,2,FALSE)="null"),Summary_Exchange_Balances_00UTC!$Q261,HLOOKUP($C261,$AW$1:$LL$2,2,FALSE))))</f>
        <v>1343.3976264953374</v>
      </c>
    </row>
    <row r="262" spans="1:46" x14ac:dyDescent="0.25">
      <c r="A262" t="str">
        <f>IF(Summary_Exchange_Balances_00UTC!$B262="","",Summary_Exchange_Balances_00UTC!$N262)</f>
        <v>HUBI</v>
      </c>
      <c r="B262" t="str">
        <f>IF(Summary_Exchange_Balances_00UTC!$B262="","",Summary_Exchange_Balances_00UTC!$B262)</f>
        <v>HUBI-E</v>
      </c>
      <c r="C262" t="str">
        <f>IF(Summary_Exchange_Balances_00UTC!$B262="","",Summary_Exchange_Balances_00UTC!$E262)</f>
        <v>ZEC</v>
      </c>
      <c r="D262" t="str">
        <f>IF(OR(Summary_Exchange_Balances_00UTC!$B262="",Summary_Exchange_Balances_00UTC!$D262=""),"",Summary_Exchange_Balances_00UTC!$D262)</f>
        <v/>
      </c>
      <c r="E262" s="53">
        <f>IF(Summary_Exchange_Balances_00UTC!$B262="","",Summary_Exchange_Balances_00UTC!$C262)</f>
        <v>2.173E-4</v>
      </c>
      <c r="F262" s="53">
        <f>IF(Summary_Exchange_Balances_00UTC!$B262="","",VLOOKUP(UPPER($A262&amp;$C262),$L:$T,7,FALSE))</f>
        <v>2.173E-4</v>
      </c>
      <c r="G262" s="53" t="e">
        <f>IF(Summary_Exchange_Balances_00UTC!$B262="","",VLOOKUP(IF(ISERROR(SEARCH(" ", $B262)),UPPER($B262&amp;$C262&amp;$D262),UPPER(LEFT($B262, SEARCH(" ",$B262)-1)&amp;$C262&amp;$D262)),$M:$T,6,FALSE))</f>
        <v>#N/A</v>
      </c>
      <c r="H262">
        <f>IF(Summary_Exchange_Balances_00UTC!$B262="","",IF(ISERROR($G262),$E262,$G262))</f>
        <v>2.173E-4</v>
      </c>
      <c r="I262" s="36" t="e">
        <f t="shared" si="12"/>
        <v>#N/A</v>
      </c>
      <c r="L262" t="str">
        <f t="shared" si="13"/>
        <v>HUBITRX</v>
      </c>
      <c r="M262" t="str">
        <f t="shared" si="14"/>
        <v>HUBITRXTRADE</v>
      </c>
      <c r="N262" t="s">
        <v>397</v>
      </c>
      <c r="O262" t="s">
        <v>115</v>
      </c>
      <c r="P262" t="s">
        <v>425</v>
      </c>
      <c r="Q262" t="s">
        <v>426</v>
      </c>
      <c r="R262" s="43">
        <v>6622074.7088418296</v>
      </c>
      <c r="S262" t="s">
        <v>528</v>
      </c>
      <c r="T262">
        <v>1</v>
      </c>
      <c r="W262" t="s">
        <v>170</v>
      </c>
      <c r="X262" t="s">
        <v>98</v>
      </c>
      <c r="Y262" s="53">
        <v>113250.4023</v>
      </c>
      <c r="Z262">
        <v>0</v>
      </c>
      <c r="AS262" t="str">
        <f>IF(Summary_Exchange_Balances_00UTC!$B262="","","'"&amp;C262&amp;"',")</f>
        <v>'ZEC',</v>
      </c>
      <c r="AT262">
        <f>IF(Summary_Exchange_Balances_00UTC!$B262="","",IF(ISERROR(HLOOKUP($C262,$AW$1:$LL$2,2,FALSE)),Summary_Exchange_Balances_00UTC!$Q262,IF(OR(HLOOKUP($C262,$AW$1:$LL$2,2,FALSE)="",HLOOKUP($C262,$AW$1:$LL$2,2,FALSE)="null"),Summary_Exchange_Balances_00UTC!$Q262,HLOOKUP($C262,$AW$1:$LL$2,2,FALSE))))</f>
        <v>39.82</v>
      </c>
    </row>
    <row r="263" spans="1:46" x14ac:dyDescent="0.25">
      <c r="A263" t="str">
        <f>IF(Summary_Exchange_Balances_00UTC!$B263="","",Summary_Exchange_Balances_00UTC!$N263)</f>
        <v>HUBI</v>
      </c>
      <c r="B263" t="str">
        <f>IF(Summary_Exchange_Balances_00UTC!$B263="","",Summary_Exchange_Balances_00UTC!$B263)</f>
        <v>HUBI-E</v>
      </c>
      <c r="C263" t="str">
        <f>IF(Summary_Exchange_Balances_00UTC!$B263="","",Summary_Exchange_Balances_00UTC!$E263)</f>
        <v>ZIL</v>
      </c>
      <c r="D263" t="str">
        <f>IF(OR(Summary_Exchange_Balances_00UTC!$B263="",Summary_Exchange_Balances_00UTC!$D263=""),"",Summary_Exchange_Balances_00UTC!$D263)</f>
        <v/>
      </c>
      <c r="E263" s="53">
        <f>IF(Summary_Exchange_Balances_00UTC!$B263="","",Summary_Exchange_Balances_00UTC!$C263)</f>
        <v>19012302.002175301</v>
      </c>
      <c r="F263" s="53">
        <f>IF(Summary_Exchange_Balances_00UTC!$B263="","",VLOOKUP(UPPER($A263&amp;$C263),$L:$T,7,FALSE))</f>
        <v>6320</v>
      </c>
      <c r="G263" s="53" t="e">
        <f>IF(Summary_Exchange_Balances_00UTC!$B263="","",VLOOKUP(IF(ISERROR(SEARCH(" ", $B263)),UPPER($B263&amp;$C263&amp;$D263),UPPER(LEFT($B263, SEARCH(" ",$B263)-1)&amp;$C263&amp;$D263)),$M:$T,6,FALSE))</f>
        <v>#N/A</v>
      </c>
      <c r="H263">
        <f>IF(Summary_Exchange_Balances_00UTC!$B263="","",IF(ISERROR($G263),$E263,$G263))</f>
        <v>19012302.002175301</v>
      </c>
      <c r="I263" s="36" t="e">
        <f t="shared" si="12"/>
        <v>#N/A</v>
      </c>
      <c r="L263" t="str">
        <f t="shared" si="13"/>
        <v>HUBITT</v>
      </c>
      <c r="M263" t="str">
        <f t="shared" si="14"/>
        <v>HUBITTTRADE</v>
      </c>
      <c r="N263" t="s">
        <v>398</v>
      </c>
      <c r="O263" t="s">
        <v>115</v>
      </c>
      <c r="P263" t="s">
        <v>425</v>
      </c>
      <c r="Q263" t="s">
        <v>426</v>
      </c>
      <c r="R263" s="43">
        <v>6.3152970000000003E-2</v>
      </c>
      <c r="S263" t="s">
        <v>528</v>
      </c>
      <c r="T263">
        <v>1</v>
      </c>
      <c r="W263" t="s">
        <v>170</v>
      </c>
      <c r="X263" t="s">
        <v>39</v>
      </c>
      <c r="Y263" s="53">
        <v>1.182861E-2</v>
      </c>
      <c r="Z263">
        <v>0</v>
      </c>
      <c r="AS263" t="str">
        <f>IF(Summary_Exchange_Balances_00UTC!$B263="","","'"&amp;C263&amp;"',")</f>
        <v>'ZIL',</v>
      </c>
      <c r="AT263">
        <f>IF(Summary_Exchange_Balances_00UTC!$B263="","",IF(ISERROR(HLOOKUP($C263,$AW$1:$LL$2,2,FALSE)),Summary_Exchange_Balances_00UTC!$Q263,IF(OR(HLOOKUP($C263,$AW$1:$LL$2,2,FALSE)="",HLOOKUP($C263,$AW$1:$LL$2,2,FALSE)="null"),Summary_Exchange_Balances_00UTC!$Q263,HLOOKUP($C263,$AW$1:$LL$2,2,FALSE))))</f>
        <v>2.1343125000000001E-2</v>
      </c>
    </row>
    <row r="264" spans="1:46" x14ac:dyDescent="0.25">
      <c r="A264" t="str">
        <f>IF(Summary_Exchange_Balances_00UTC!$B264="","",Summary_Exchange_Balances_00UTC!$N264)</f>
        <v>HUBI</v>
      </c>
      <c r="B264" t="str">
        <f>IF(Summary_Exchange_Balances_00UTC!$B264="","",Summary_Exchange_Balances_00UTC!$B264)</f>
        <v>HUBI-M</v>
      </c>
      <c r="C264" t="str">
        <f>IF(Summary_Exchange_Balances_00UTC!$B264="","",Summary_Exchange_Balances_00UTC!$E264)</f>
        <v>BCH</v>
      </c>
      <c r="D264" t="str">
        <f>IF(OR(Summary_Exchange_Balances_00UTC!$B264="",Summary_Exchange_Balances_00UTC!$D264=""),"",Summary_Exchange_Balances_00UTC!$D264)</f>
        <v/>
      </c>
      <c r="E264" s="53">
        <f>IF(Summary_Exchange_Balances_00UTC!$B264="","",Summary_Exchange_Balances_00UTC!$C264)</f>
        <v>0.10004001</v>
      </c>
      <c r="F264" s="53">
        <f>IF(Summary_Exchange_Balances_00UTC!$B264="","",VLOOKUP(UPPER($A264&amp;$C264),$L:$T,7,FALSE))</f>
        <v>5.3552099999999996E-4</v>
      </c>
      <c r="G264" s="53" t="e">
        <f>IF(Summary_Exchange_Balances_00UTC!$B264="","",VLOOKUP(IF(ISERROR(SEARCH(" ", $B264)),UPPER($B264&amp;$C264&amp;$D264),UPPER(LEFT($B264, SEARCH(" ",$B264)-1)&amp;$C264&amp;$D264)),$M:$T,6,FALSE))</f>
        <v>#N/A</v>
      </c>
      <c r="H264">
        <f>IF(Summary_Exchange_Balances_00UTC!$B264="","",IF(ISERROR($G264),$E264,$G264))</f>
        <v>0.10004001</v>
      </c>
      <c r="I264" s="36" t="e">
        <f t="shared" si="12"/>
        <v>#N/A</v>
      </c>
      <c r="L264" t="str">
        <f t="shared" si="13"/>
        <v>HUBITUSD</v>
      </c>
      <c r="M264" t="str">
        <f t="shared" si="14"/>
        <v>HUBITUSDTRADE</v>
      </c>
      <c r="N264" t="s">
        <v>399</v>
      </c>
      <c r="O264" t="s">
        <v>115</v>
      </c>
      <c r="P264" t="s">
        <v>425</v>
      </c>
      <c r="Q264" t="s">
        <v>426</v>
      </c>
      <c r="R264" s="43">
        <v>20</v>
      </c>
      <c r="S264" t="s">
        <v>528</v>
      </c>
      <c r="T264">
        <v>1</v>
      </c>
      <c r="W264" t="s">
        <v>170</v>
      </c>
      <c r="X264" t="s">
        <v>166</v>
      </c>
      <c r="Y264" s="53">
        <v>8.93329E-3</v>
      </c>
      <c r="Z264">
        <v>0</v>
      </c>
      <c r="AS264" t="str">
        <f>IF(Summary_Exchange_Balances_00UTC!$B264="","","'"&amp;C264&amp;"',")</f>
        <v>'BCH',</v>
      </c>
      <c r="AT264">
        <f>IF(Summary_Exchange_Balances_00UTC!$B264="","",IF(ISERROR(HLOOKUP($C264,$AW$1:$LL$2,2,FALSE)),Summary_Exchange_Balances_00UTC!$Q264,IF(OR(HLOOKUP($C264,$AW$1:$LL$2,2,FALSE)="",HLOOKUP($C264,$AW$1:$LL$2,2,FALSE)="null"),Summary_Exchange_Balances_00UTC!$Q264,HLOOKUP($C264,$AW$1:$LL$2,2,FALSE))))</f>
        <v>103.98</v>
      </c>
    </row>
    <row r="265" spans="1:46" x14ac:dyDescent="0.25">
      <c r="A265" t="str">
        <f>IF(Summary_Exchange_Balances_00UTC!$B265="","",Summary_Exchange_Balances_00UTC!$N265)</f>
        <v>HUBI</v>
      </c>
      <c r="B265" t="str">
        <f>IF(Summary_Exchange_Balances_00UTC!$B265="","",Summary_Exchange_Balances_00UTC!$B265)</f>
        <v>HUBI-M</v>
      </c>
      <c r="C265" t="str">
        <f>IF(Summary_Exchange_Balances_00UTC!$B265="","",Summary_Exchange_Balances_00UTC!$E265)</f>
        <v>EOS</v>
      </c>
      <c r="D265" t="str">
        <f>IF(OR(Summary_Exchange_Balances_00UTC!$B265="",Summary_Exchange_Balances_00UTC!$D265=""),"",Summary_Exchange_Balances_00UTC!$D265)</f>
        <v/>
      </c>
      <c r="E265" s="53">
        <f>IF(Summary_Exchange_Balances_00UTC!$B265="","",Summary_Exchange_Balances_00UTC!$C265)</f>
        <v>720921.74999677006</v>
      </c>
      <c r="F265" s="53">
        <f>IF(Summary_Exchange_Balances_00UTC!$B265="","",VLOOKUP(UPPER($A265&amp;$C265),$L:$T,7,FALSE))</f>
        <v>28617.428863770001</v>
      </c>
      <c r="G265" s="53" t="e">
        <f>IF(Summary_Exchange_Balances_00UTC!$B265="","",VLOOKUP(IF(ISERROR(SEARCH(" ", $B265)),UPPER($B265&amp;$C265&amp;$D265),UPPER(LEFT($B265, SEARCH(" ",$B265)-1)&amp;$C265&amp;$D265)),$M:$T,6,FALSE))</f>
        <v>#N/A</v>
      </c>
      <c r="H265">
        <f>IF(Summary_Exchange_Balances_00UTC!$B265="","",IF(ISERROR($G265),$E265,$G265))</f>
        <v>720921.74999677006</v>
      </c>
      <c r="I265" s="36" t="e">
        <f t="shared" si="12"/>
        <v>#N/A</v>
      </c>
      <c r="L265" t="str">
        <f t="shared" si="13"/>
        <v>HUBIUNI</v>
      </c>
      <c r="M265" t="str">
        <f t="shared" si="14"/>
        <v>HUBIUNITRADE</v>
      </c>
      <c r="N265" t="s">
        <v>400</v>
      </c>
      <c r="O265" t="s">
        <v>115</v>
      </c>
      <c r="P265" t="s">
        <v>425</v>
      </c>
      <c r="Q265" t="s">
        <v>426</v>
      </c>
      <c r="R265" s="43">
        <v>4.7890616599999998</v>
      </c>
      <c r="S265" t="s">
        <v>528</v>
      </c>
      <c r="T265">
        <v>1</v>
      </c>
      <c r="W265" t="s">
        <v>170</v>
      </c>
      <c r="X265" t="s">
        <v>102</v>
      </c>
      <c r="Y265" s="53">
        <v>0.71704489000000005</v>
      </c>
      <c r="Z265">
        <v>0</v>
      </c>
      <c r="AS265" t="str">
        <f>IF(Summary_Exchange_Balances_00UTC!$B265="","","'"&amp;C265&amp;"',")</f>
        <v>'EOS',</v>
      </c>
      <c r="AT265">
        <f>IF(Summary_Exchange_Balances_00UTC!$B265="","",IF(ISERROR(HLOOKUP($C265,$AW$1:$LL$2,2,FALSE)),Summary_Exchange_Balances_00UTC!$Q265,IF(OR(HLOOKUP($C265,$AW$1:$LL$2,2,FALSE)="",HLOOKUP($C265,$AW$1:$LL$2,2,FALSE)="null"),Summary_Exchange_Balances_00UTC!$Q265,HLOOKUP($C265,$AW$1:$LL$2,2,FALSE))))</f>
        <v>0.90154135000000002</v>
      </c>
    </row>
    <row r="266" spans="1:46" x14ac:dyDescent="0.25">
      <c r="A266" t="str">
        <f>IF(Summary_Exchange_Balances_00UTC!$B266="","",Summary_Exchange_Balances_00UTC!$N266)</f>
        <v>HUBI</v>
      </c>
      <c r="B266" t="str">
        <f>IF(Summary_Exchange_Balances_00UTC!$B266="","",Summary_Exchange_Balances_00UTC!$B266)</f>
        <v>HUBI-M</v>
      </c>
      <c r="C266" t="str">
        <f>IF(Summary_Exchange_Balances_00UTC!$B266="","",Summary_Exchange_Balances_00UTC!$E266)</f>
        <v>ETC</v>
      </c>
      <c r="D266" t="str">
        <f>IF(OR(Summary_Exchange_Balances_00UTC!$B266="",Summary_Exchange_Balances_00UTC!$D266=""),"",Summary_Exchange_Balances_00UTC!$D266)</f>
        <v/>
      </c>
      <c r="E266" s="53">
        <f>IF(Summary_Exchange_Balances_00UTC!$B266="","",Summary_Exchange_Balances_00UTC!$C266)</f>
        <v>1E-8</v>
      </c>
      <c r="F266" s="53">
        <f>IF(Summary_Exchange_Balances_00UTC!$B266="","",VLOOKUP(UPPER($A266&amp;$C266),$L:$T,7,FALSE))</f>
        <v>0.1010306031</v>
      </c>
      <c r="G266" s="53" t="e">
        <f>IF(Summary_Exchange_Balances_00UTC!$B266="","",VLOOKUP(IF(ISERROR(SEARCH(" ", $B266)),UPPER($B266&amp;$C266&amp;$D266),UPPER(LEFT($B266, SEARCH(" ",$B266)-1)&amp;$C266&amp;$D266)),$M:$T,6,FALSE))</f>
        <v>#N/A</v>
      </c>
      <c r="H266">
        <f>IF(Summary_Exchange_Balances_00UTC!$B266="","",IF(ISERROR($G266),$E266,$G266))</f>
        <v>1E-8</v>
      </c>
      <c r="I266" s="36" t="e">
        <f t="shared" si="12"/>
        <v>#N/A</v>
      </c>
      <c r="L266" t="str">
        <f t="shared" si="13"/>
        <v>HUBIUSDC</v>
      </c>
      <c r="M266" t="str">
        <f t="shared" si="14"/>
        <v>HUBIUSDCTRADE</v>
      </c>
      <c r="N266" t="s">
        <v>401</v>
      </c>
      <c r="O266" t="s">
        <v>115</v>
      </c>
      <c r="P266" t="s">
        <v>425</v>
      </c>
      <c r="Q266" t="s">
        <v>426</v>
      </c>
      <c r="R266" s="43">
        <v>4512535.36556256</v>
      </c>
      <c r="S266" t="s">
        <v>528</v>
      </c>
      <c r="T266">
        <v>1</v>
      </c>
      <c r="AS266" t="str">
        <f>IF(Summary_Exchange_Balances_00UTC!$B266="","","'"&amp;C266&amp;"',")</f>
        <v>'ETC',</v>
      </c>
      <c r="AT266">
        <f>IF(Summary_Exchange_Balances_00UTC!$B266="","",IF(ISERROR(HLOOKUP($C266,$AW$1:$LL$2,2,FALSE)),Summary_Exchange_Balances_00UTC!$Q266,IF(OR(HLOOKUP($C266,$AW$1:$LL$2,2,FALSE)="",HLOOKUP($C266,$AW$1:$LL$2,2,FALSE)="null"),Summary_Exchange_Balances_00UTC!$Q266,HLOOKUP($C266,$AW$1:$LL$2,2,FALSE))))</f>
        <v>19.614688999999998</v>
      </c>
    </row>
    <row r="267" spans="1:46" x14ac:dyDescent="0.25">
      <c r="A267" t="str">
        <f>IF(Summary_Exchange_Balances_00UTC!$B267="","",Summary_Exchange_Balances_00UTC!$N267)</f>
        <v>HUBI</v>
      </c>
      <c r="B267" t="str">
        <f>IF(Summary_Exchange_Balances_00UTC!$B267="","",Summary_Exchange_Balances_00UTC!$B267)</f>
        <v>HUBI-M</v>
      </c>
      <c r="C267" t="str">
        <f>IF(Summary_Exchange_Balances_00UTC!$B267="","",Summary_Exchange_Balances_00UTC!$E267)</f>
        <v>LTC</v>
      </c>
      <c r="D267" t="str">
        <f>IF(OR(Summary_Exchange_Balances_00UTC!$B267="",Summary_Exchange_Balances_00UTC!$D267=""),"",Summary_Exchange_Balances_00UTC!$D267)</f>
        <v/>
      </c>
      <c r="E267" s="53">
        <f>IF(Summary_Exchange_Balances_00UTC!$B267="","",Summary_Exchange_Balances_00UTC!$C267)</f>
        <v>5942.5685764899999</v>
      </c>
      <c r="F267" s="53">
        <f>IF(Summary_Exchange_Balances_00UTC!$B267="","",VLOOKUP(UPPER($A267&amp;$C267),$L:$T,7,FALSE))</f>
        <v>2.4771052999999999E-3</v>
      </c>
      <c r="G267" s="53" t="e">
        <f>IF(Summary_Exchange_Balances_00UTC!$B267="","",VLOOKUP(IF(ISERROR(SEARCH(" ", $B267)),UPPER($B267&amp;$C267&amp;$D267),UPPER(LEFT($B267, SEARCH(" ",$B267)-1)&amp;$C267&amp;$D267)),$M:$T,6,FALSE))</f>
        <v>#N/A</v>
      </c>
      <c r="H267">
        <f>IF(Summary_Exchange_Balances_00UTC!$B267="","",IF(ISERROR($G267),$E267,$G267))</f>
        <v>5942.5685764899999</v>
      </c>
      <c r="I267" s="36" t="e">
        <f t="shared" si="12"/>
        <v>#N/A</v>
      </c>
      <c r="L267" t="str">
        <f t="shared" si="13"/>
        <v>HUBIUSDP</v>
      </c>
      <c r="M267" t="str">
        <f t="shared" si="14"/>
        <v>HUBIUSDPTRADE</v>
      </c>
      <c r="N267" t="s">
        <v>402</v>
      </c>
      <c r="O267" t="s">
        <v>115</v>
      </c>
      <c r="P267" t="s">
        <v>425</v>
      </c>
      <c r="Q267" t="s">
        <v>426</v>
      </c>
      <c r="R267" s="43">
        <v>0.34680431</v>
      </c>
      <c r="S267" t="s">
        <v>528</v>
      </c>
      <c r="T267">
        <v>1</v>
      </c>
      <c r="AS267" t="str">
        <f>IF(Summary_Exchange_Balances_00UTC!$B267="","","'"&amp;C267&amp;"',")</f>
        <v>'LTC',</v>
      </c>
      <c r="AT267">
        <f>IF(Summary_Exchange_Balances_00UTC!$B267="","",IF(ISERROR(HLOOKUP($C267,$AW$1:$LL$2,2,FALSE)),Summary_Exchange_Balances_00UTC!$Q267,IF(OR(HLOOKUP($C267,$AW$1:$LL$2,2,FALSE)="",HLOOKUP($C267,$AW$1:$LL$2,2,FALSE)="null"),Summary_Exchange_Balances_00UTC!$Q267,HLOOKUP($C267,$AW$1:$LL$2,2,FALSE))))</f>
        <v>62.35</v>
      </c>
    </row>
    <row r="268" spans="1:46" x14ac:dyDescent="0.25">
      <c r="A268" t="str">
        <f>IF(Summary_Exchange_Balances_00UTC!$B268="","",Summary_Exchange_Balances_00UTC!$N268)</f>
        <v>HUBI</v>
      </c>
      <c r="B268" t="str">
        <f>IF(Summary_Exchange_Balances_00UTC!$B268="","",Summary_Exchange_Balances_00UTC!$B268)</f>
        <v>HUBI-M</v>
      </c>
      <c r="C268" t="str">
        <f>IF(Summary_Exchange_Balances_00UTC!$B268="","",Summary_Exchange_Balances_00UTC!$E268)</f>
        <v>TRX</v>
      </c>
      <c r="D268" t="str">
        <f>IF(OR(Summary_Exchange_Balances_00UTC!$B268="",Summary_Exchange_Balances_00UTC!$D268=""),"",Summary_Exchange_Balances_00UTC!$D268)</f>
        <v/>
      </c>
      <c r="E268" s="53">
        <f>IF(Summary_Exchange_Balances_00UTC!$B268="","",Summary_Exchange_Balances_00UTC!$C268)</f>
        <v>1E-8</v>
      </c>
      <c r="F268" s="53">
        <f>IF(Summary_Exchange_Balances_00UTC!$B268="","",VLOOKUP(UPPER($A268&amp;$C268),$L:$T,7,FALSE))</f>
        <v>4.8644820000000002E-4</v>
      </c>
      <c r="G268" s="53" t="e">
        <f>IF(Summary_Exchange_Balances_00UTC!$B268="","",VLOOKUP(IF(ISERROR(SEARCH(" ", $B268)),UPPER($B268&amp;$C268&amp;$D268),UPPER(LEFT($B268, SEARCH(" ",$B268)-1)&amp;$C268&amp;$D268)),$M:$T,6,FALSE))</f>
        <v>#N/A</v>
      </c>
      <c r="H268">
        <f>IF(Summary_Exchange_Balances_00UTC!$B268="","",IF(ISERROR($G268),$E268,$G268))</f>
        <v>1E-8</v>
      </c>
      <c r="I268" s="36" t="e">
        <f t="shared" si="12"/>
        <v>#N/A</v>
      </c>
      <c r="L268" t="str">
        <f t="shared" si="13"/>
        <v>HUBIUSDT</v>
      </c>
      <c r="M268" t="str">
        <f t="shared" si="14"/>
        <v>HUB2USDTTRADE</v>
      </c>
      <c r="N268" t="s">
        <v>403</v>
      </c>
      <c r="O268" t="s">
        <v>115</v>
      </c>
      <c r="P268" t="s">
        <v>427</v>
      </c>
      <c r="Q268" t="s">
        <v>426</v>
      </c>
      <c r="R268" s="43">
        <v>1E-8</v>
      </c>
      <c r="S268" t="s">
        <v>529</v>
      </c>
      <c r="T268">
        <v>1</v>
      </c>
      <c r="AS268" t="str">
        <f>IF(Summary_Exchange_Balances_00UTC!$B268="","","'"&amp;C268&amp;"',")</f>
        <v>'TRX',</v>
      </c>
      <c r="AT268">
        <f>IF(Summary_Exchange_Balances_00UTC!$B268="","",IF(ISERROR(HLOOKUP($C268,$AW$1:$LL$2,2,FALSE)),Summary_Exchange_Balances_00UTC!$Q268,IF(OR(HLOOKUP($C268,$AW$1:$LL$2,2,FALSE)="",HLOOKUP($C268,$AW$1:$LL$2,2,FALSE)="null"),Summary_Exchange_Balances_00UTC!$Q268,HLOOKUP($C268,$AW$1:$LL$2,2,FALSE))))</f>
        <v>5.0092902000000002E-2</v>
      </c>
    </row>
    <row r="269" spans="1:46" x14ac:dyDescent="0.25">
      <c r="A269" t="str">
        <f>IF(Summary_Exchange_Balances_00UTC!$B269="","",Summary_Exchange_Balances_00UTC!$N269)</f>
        <v>HUBI</v>
      </c>
      <c r="B269" t="str">
        <f>IF(Summary_Exchange_Balances_00UTC!$B269="","",Summary_Exchange_Balances_00UTC!$B269)</f>
        <v>HUBI-M</v>
      </c>
      <c r="C269" t="str">
        <f>IF(Summary_Exchange_Balances_00UTC!$B269="","",Summary_Exchange_Balances_00UTC!$E269)</f>
        <v>USDT</v>
      </c>
      <c r="D269" t="str">
        <f>IF(OR(Summary_Exchange_Balances_00UTC!$B269="",Summary_Exchange_Balances_00UTC!$D269=""),"",Summary_Exchange_Balances_00UTC!$D269)</f>
        <v/>
      </c>
      <c r="E269" s="53">
        <f>IF(Summary_Exchange_Balances_00UTC!$B269="","",Summary_Exchange_Balances_00UTC!$C269)</f>
        <v>638678.88282727997</v>
      </c>
      <c r="F269" s="53">
        <f>IF(Summary_Exchange_Balances_00UTC!$B269="","",VLOOKUP(UPPER($A269&amp;$C269),$L:$T,7,FALSE))</f>
        <v>-29544130.0141466</v>
      </c>
      <c r="G269" s="53" t="e">
        <f>IF(Summary_Exchange_Balances_00UTC!$B269="","",VLOOKUP(IF(ISERROR(SEARCH(" ", $B269)),UPPER($B269&amp;$C269&amp;$D269),UPPER(LEFT($B269, SEARCH(" ",$B269)-1)&amp;$C269&amp;$D269)),$M:$T,6,FALSE))</f>
        <v>#N/A</v>
      </c>
      <c r="H269">
        <f>IF(Summary_Exchange_Balances_00UTC!$B269="","",IF(ISERROR($G269),$E269,$G269))</f>
        <v>638678.88282727997</v>
      </c>
      <c r="I269" s="36" t="e">
        <f t="shared" si="12"/>
        <v>#N/A</v>
      </c>
      <c r="L269" t="str">
        <f t="shared" si="13"/>
        <v>HUBIUSDT</v>
      </c>
      <c r="M269" t="str">
        <f t="shared" si="14"/>
        <v>HUB2USDTTRADE</v>
      </c>
      <c r="N269" t="s">
        <v>403</v>
      </c>
      <c r="O269" t="s">
        <v>115</v>
      </c>
      <c r="P269" t="s">
        <v>427</v>
      </c>
      <c r="Q269" t="s">
        <v>426</v>
      </c>
      <c r="R269" s="43">
        <v>2.0453260000000001E-2</v>
      </c>
      <c r="S269" t="s">
        <v>529</v>
      </c>
      <c r="T269">
        <v>1</v>
      </c>
      <c r="AS269" t="str">
        <f>IF(Summary_Exchange_Balances_00UTC!$B269="","","'"&amp;C269&amp;"',")</f>
        <v>'USDT',</v>
      </c>
      <c r="AT269">
        <f>IF(Summary_Exchange_Balances_00UTC!$B269="","",IF(ISERROR(HLOOKUP($C269,$AW$1:$LL$2,2,FALSE)),Summary_Exchange_Balances_00UTC!$Q269,IF(OR(HLOOKUP($C269,$AW$1:$LL$2,2,FALSE)="",HLOOKUP($C269,$AW$1:$LL$2,2,FALSE)="null"),Summary_Exchange_Balances_00UTC!$Q269,HLOOKUP($C269,$AW$1:$LL$2,2,FALSE))))</f>
        <v>1.0001054103245375</v>
      </c>
    </row>
    <row r="270" spans="1:46" x14ac:dyDescent="0.25">
      <c r="A270" t="str">
        <f>IF(Summary_Exchange_Balances_00UTC!$B270="","",Summary_Exchange_Balances_00UTC!$N270)</f>
        <v>HUBI</v>
      </c>
      <c r="B270" t="str">
        <f>IF(Summary_Exchange_Balances_00UTC!$B270="","",Summary_Exchange_Balances_00UTC!$B270)</f>
        <v>HUBI-M</v>
      </c>
      <c r="C270" t="str">
        <f>IF(Summary_Exchange_Balances_00UTC!$B270="","",Summary_Exchange_Balances_00UTC!$E270)</f>
        <v>XRP</v>
      </c>
      <c r="D270" t="str">
        <f>IF(OR(Summary_Exchange_Balances_00UTC!$B270="",Summary_Exchange_Balances_00UTC!$D270=""),"",Summary_Exchange_Balances_00UTC!$D270)</f>
        <v/>
      </c>
      <c r="E270" s="53">
        <f>IF(Summary_Exchange_Balances_00UTC!$B270="","",Summary_Exchange_Balances_00UTC!$C270)</f>
        <v>7.6039999999999997E-5</v>
      </c>
      <c r="F270" s="53">
        <f>IF(Summary_Exchange_Balances_00UTC!$B270="","",VLOOKUP(UPPER($A270&amp;$C270),$L:$T,7,FALSE))</f>
        <v>1.9184280000000001E-4</v>
      </c>
      <c r="G270" s="53" t="e">
        <f>IF(Summary_Exchange_Balances_00UTC!$B270="","",VLOOKUP(IF(ISERROR(SEARCH(" ", $B270)),UPPER($B270&amp;$C270&amp;$D270),UPPER(LEFT($B270, SEARCH(" ",$B270)-1)&amp;$C270&amp;$D270)),$M:$T,6,FALSE))</f>
        <v>#N/A</v>
      </c>
      <c r="H270">
        <f>IF(Summary_Exchange_Balances_00UTC!$B270="","",IF(ISERROR($G270),$E270,$G270))</f>
        <v>7.6039999999999997E-5</v>
      </c>
      <c r="I270" s="36" t="e">
        <f t="shared" si="12"/>
        <v>#N/A</v>
      </c>
      <c r="L270" t="str">
        <f t="shared" si="13"/>
        <v>HUBIUSDT</v>
      </c>
      <c r="M270" t="str">
        <f t="shared" si="14"/>
        <v>HUBIUSDTTRADE</v>
      </c>
      <c r="N270" t="s">
        <v>403</v>
      </c>
      <c r="O270" s="29" t="s">
        <v>115</v>
      </c>
      <c r="P270" t="s">
        <v>425</v>
      </c>
      <c r="Q270" t="s">
        <v>426</v>
      </c>
      <c r="R270" s="43">
        <v>19554945.639143001</v>
      </c>
      <c r="S270" t="s">
        <v>528</v>
      </c>
      <c r="T270">
        <v>1</v>
      </c>
      <c r="AS270" t="str">
        <f>IF(Summary_Exchange_Balances_00UTC!$B270="","","'"&amp;C270&amp;"',")</f>
        <v>'XRP',</v>
      </c>
      <c r="AT270">
        <f>IF(Summary_Exchange_Balances_00UTC!$B270="","",IF(ISERROR(HLOOKUP($C270,$AW$1:$LL$2,2,FALSE)),Summary_Exchange_Balances_00UTC!$Q270,IF(OR(HLOOKUP($C270,$AW$1:$LL$2,2,FALSE)="",HLOOKUP($C270,$AW$1:$LL$2,2,FALSE)="null"),Summary_Exchange_Balances_00UTC!$Q270,HLOOKUP($C270,$AW$1:$LL$2,2,FALSE))))</f>
        <v>0.38471588000000001</v>
      </c>
    </row>
    <row r="271" spans="1:46" x14ac:dyDescent="0.25">
      <c r="A271" t="str">
        <f>IF(Summary_Exchange_Balances_00UTC!$B271="","",Summary_Exchange_Balances_00UTC!$N271)</f>
        <v>KRKE</v>
      </c>
      <c r="B271" t="str">
        <f>IF(Summary_Exchange_Balances_00UTC!$B271="","",Summary_Exchange_Balances_00UTC!$B271)</f>
        <v>KRKE</v>
      </c>
      <c r="C271" t="str">
        <f>IF(Summary_Exchange_Balances_00UTC!$B271="","",Summary_Exchange_Balances_00UTC!$E271)</f>
        <v>ATOM</v>
      </c>
      <c r="D271" t="str">
        <f>IF(OR(Summary_Exchange_Balances_00UTC!$B271="",Summary_Exchange_Balances_00UTC!$D271=""),"",Summary_Exchange_Balances_00UTC!$D271)</f>
        <v/>
      </c>
      <c r="E271" s="53">
        <f>IF(Summary_Exchange_Balances_00UTC!$B271="","",Summary_Exchange_Balances_00UTC!$C271)</f>
        <v>0.331542</v>
      </c>
      <c r="F271" s="53" t="e">
        <f>IF(Summary_Exchange_Balances_00UTC!$B271="","",VLOOKUP(UPPER($A271&amp;$C271),$L:$T,7,FALSE))</f>
        <v>#N/A</v>
      </c>
      <c r="G271" s="53" t="e">
        <f>IF(Summary_Exchange_Balances_00UTC!$B271="","",VLOOKUP(IF(ISERROR(SEARCH(" ", $B271)),UPPER($B271&amp;$C271&amp;$D271),UPPER(LEFT($B271, SEARCH(" ",$B271)-1)&amp;$C271&amp;$D271)),$M:$T,6,FALSE))</f>
        <v>#N/A</v>
      </c>
      <c r="H271">
        <f>IF(Summary_Exchange_Balances_00UTC!$B271="","",IF(ISERROR($G271),$E271,$G271))</f>
        <v>0.331542</v>
      </c>
      <c r="I271" s="36" t="e">
        <f t="shared" si="12"/>
        <v>#N/A</v>
      </c>
      <c r="L271" t="str">
        <f t="shared" si="13"/>
        <v>HUBIUSDT</v>
      </c>
      <c r="M271" t="str">
        <f t="shared" si="14"/>
        <v>HUBIUSDTFROZEN</v>
      </c>
      <c r="N271" t="s">
        <v>403</v>
      </c>
      <c r="O271" t="s">
        <v>115</v>
      </c>
      <c r="P271" t="s">
        <v>425</v>
      </c>
      <c r="Q271" t="s">
        <v>429</v>
      </c>
      <c r="R271" s="43">
        <v>6658.1679999999997</v>
      </c>
      <c r="S271" t="s">
        <v>528</v>
      </c>
      <c r="T271">
        <v>1</v>
      </c>
      <c r="W271" t="s">
        <v>175</v>
      </c>
      <c r="X271" t="s">
        <v>16</v>
      </c>
      <c r="Y271" s="53">
        <v>5.0000000000000001E-4</v>
      </c>
      <c r="Z271">
        <v>0</v>
      </c>
      <c r="AS271" t="str">
        <f>IF(Summary_Exchange_Balances_00UTC!$B271="","","'"&amp;C271&amp;"',")</f>
        <v>'ATOM',</v>
      </c>
      <c r="AT271">
        <f>IF(Summary_Exchange_Balances_00UTC!$B271="","",IF(ISERROR(HLOOKUP($C271,$AW$1:$LL$2,2,FALSE)),Summary_Exchange_Balances_00UTC!$Q271,IF(OR(HLOOKUP($C271,$AW$1:$LL$2,2,FALSE)="",HLOOKUP($C271,$AW$1:$LL$2,2,FALSE)="null"),Summary_Exchange_Balances_00UTC!$Q271,HLOOKUP($C271,$AW$1:$LL$2,2,FALSE))))</f>
        <v>9.9934670000000008</v>
      </c>
    </row>
    <row r="272" spans="1:46" x14ac:dyDescent="0.25">
      <c r="A272" t="str">
        <f>IF(Summary_Exchange_Balances_00UTC!$B272="","",Summary_Exchange_Balances_00UTC!$N272)</f>
        <v>KRKE</v>
      </c>
      <c r="B272" t="str">
        <f>IF(Summary_Exchange_Balances_00UTC!$B272="","",Summary_Exchange_Balances_00UTC!$B272)</f>
        <v>KRKE</v>
      </c>
      <c r="C272" t="str">
        <f>IF(Summary_Exchange_Balances_00UTC!$B272="","",Summary_Exchange_Balances_00UTC!$E272)</f>
        <v>BCH</v>
      </c>
      <c r="D272" t="str">
        <f>IF(OR(Summary_Exchange_Balances_00UTC!$B272="",Summary_Exchange_Balances_00UTC!$D272=""),"",Summary_Exchange_Balances_00UTC!$D272)</f>
        <v/>
      </c>
      <c r="E272" s="53">
        <f>IF(Summary_Exchange_Balances_00UTC!$B272="","",Summary_Exchange_Balances_00UTC!$C272)</f>
        <v>1.7695412699999999</v>
      </c>
      <c r="F272" s="53">
        <f>IF(Summary_Exchange_Balances_00UTC!$B272="","",VLOOKUP(UPPER($A272&amp;$C272),$L:$T,7,FALSE))</f>
        <v>1.7695412699999999</v>
      </c>
      <c r="G272" s="53">
        <f>IF(Summary_Exchange_Balances_00UTC!$B272="","",VLOOKUP(IF(ISERROR(SEARCH(" ", $B272)),UPPER($B272&amp;$C272&amp;$D272),UPPER(LEFT($B272, SEARCH(" ",$B272)-1)&amp;$C272&amp;$D272)),$M:$T,6,FALSE))</f>
        <v>1.7695412699999999</v>
      </c>
      <c r="H272">
        <f>IF(Summary_Exchange_Balances_00UTC!$B272="","",IF(ISERROR($G272),$E272,$G272))</f>
        <v>1.7695412699999999</v>
      </c>
      <c r="I272" s="36">
        <f t="shared" si="12"/>
        <v>0</v>
      </c>
      <c r="L272" t="str">
        <f t="shared" si="13"/>
        <v>HUBIUSDT</v>
      </c>
      <c r="M272" t="str">
        <f t="shared" si="14"/>
        <v>HUBIUSDTFROZEN</v>
      </c>
      <c r="N272" t="s">
        <v>403</v>
      </c>
      <c r="O272" t="s">
        <v>115</v>
      </c>
      <c r="P272" t="s">
        <v>425</v>
      </c>
      <c r="Q272" t="s">
        <v>429</v>
      </c>
      <c r="R272" s="43">
        <v>29439.303349999998</v>
      </c>
      <c r="S272" t="s">
        <v>528</v>
      </c>
      <c r="T272">
        <v>1</v>
      </c>
      <c r="W272" t="s">
        <v>175</v>
      </c>
      <c r="X272" t="s">
        <v>98</v>
      </c>
      <c r="Y272" s="53">
        <v>2.63E-3</v>
      </c>
      <c r="Z272">
        <v>0</v>
      </c>
      <c r="AS272" t="str">
        <f>IF(Summary_Exchange_Balances_00UTC!$B272="","","'"&amp;C272&amp;"',")</f>
        <v>'BCH',</v>
      </c>
      <c r="AT272">
        <f>IF(Summary_Exchange_Balances_00UTC!$B272="","",IF(ISERROR(HLOOKUP($C272,$AW$1:$LL$2,2,FALSE)),Summary_Exchange_Balances_00UTC!$Q272,IF(OR(HLOOKUP($C272,$AW$1:$LL$2,2,FALSE)="",HLOOKUP($C272,$AW$1:$LL$2,2,FALSE)="null"),Summary_Exchange_Balances_00UTC!$Q272,HLOOKUP($C272,$AW$1:$LL$2,2,FALSE))))</f>
        <v>103.98</v>
      </c>
    </row>
    <row r="273" spans="1:46" x14ac:dyDescent="0.25">
      <c r="A273" t="str">
        <f>IF(Summary_Exchange_Balances_00UTC!$B273="","",Summary_Exchange_Balances_00UTC!$N273)</f>
        <v>KRKE</v>
      </c>
      <c r="B273" t="str">
        <f>IF(Summary_Exchange_Balances_00UTC!$B273="","",Summary_Exchange_Balances_00UTC!$B273)</f>
        <v>KRKE</v>
      </c>
      <c r="C273" t="str">
        <f>IF(Summary_Exchange_Balances_00UTC!$B273="","",Summary_Exchange_Balances_00UTC!$E273)</f>
        <v>BTC</v>
      </c>
      <c r="D273" t="str">
        <f>IF(OR(Summary_Exchange_Balances_00UTC!$B273="",Summary_Exchange_Balances_00UTC!$D273=""),"",Summary_Exchange_Balances_00UTC!$D273)</f>
        <v/>
      </c>
      <c r="E273" s="53">
        <f>IF(Summary_Exchange_Balances_00UTC!$B273="","",Summary_Exchange_Balances_00UTC!$C273)</f>
        <v>1.8847760000000002E-2</v>
      </c>
      <c r="F273" s="53">
        <f>IF(Summary_Exchange_Balances_00UTC!$B273="","",VLOOKUP(UPPER($A273&amp;$C273),$L:$T,7,FALSE))</f>
        <v>1.8847761800000001E-2</v>
      </c>
      <c r="G273" s="53">
        <f>IF(Summary_Exchange_Balances_00UTC!$B273="","",VLOOKUP(IF(ISERROR(SEARCH(" ", $B273)),UPPER($B273&amp;$C273&amp;$D273),UPPER(LEFT($B273, SEARCH(" ",$B273)-1)&amp;$C273&amp;$D273)),$M:$T,6,FALSE))</f>
        <v>1.8847761800000001E-2</v>
      </c>
      <c r="H273">
        <f>IF(Summary_Exchange_Balances_00UTC!$B273="","",IF(ISERROR($G273),$E273,$G273))</f>
        <v>1.8847761800000001E-2</v>
      </c>
      <c r="I273" s="36">
        <f t="shared" si="12"/>
        <v>9.5502064953418801E-8</v>
      </c>
      <c r="L273" t="str">
        <f t="shared" si="13"/>
        <v>HUBIUSDT</v>
      </c>
      <c r="M273" t="str">
        <f t="shared" si="14"/>
        <v>HUBI-3-S3-MUSDTTRADE</v>
      </c>
      <c r="N273" t="s">
        <v>403</v>
      </c>
      <c r="O273" t="s">
        <v>115</v>
      </c>
      <c r="P273" t="s">
        <v>122</v>
      </c>
      <c r="Q273" t="s">
        <v>426</v>
      </c>
      <c r="R273" s="43">
        <v>0.17025275000000001</v>
      </c>
      <c r="S273" t="s">
        <v>530</v>
      </c>
      <c r="T273">
        <v>1</v>
      </c>
      <c r="W273" t="s">
        <v>176</v>
      </c>
      <c r="X273" t="s">
        <v>98</v>
      </c>
      <c r="Y273" s="53">
        <v>10138.885630000001</v>
      </c>
      <c r="Z273">
        <v>0</v>
      </c>
      <c r="AS273" t="str">
        <f>IF(Summary_Exchange_Balances_00UTC!$B273="","","'"&amp;C273&amp;"',")</f>
        <v>'BTC',</v>
      </c>
      <c r="AT273">
        <f>IF(Summary_Exchange_Balances_00UTC!$B273="","",IF(ISERROR(HLOOKUP($C273,$AW$1:$LL$2,2,FALSE)),Summary_Exchange_Balances_00UTC!$Q273,IF(OR(HLOOKUP($C273,$AW$1:$LL$2,2,FALSE)="",HLOOKUP($C273,$AW$1:$LL$2,2,FALSE)="null"),Summary_Exchange_Balances_00UTC!$Q273,HLOOKUP($C273,$AW$1:$LL$2,2,FALSE))))</f>
        <v>16719.740000000002</v>
      </c>
    </row>
    <row r="274" spans="1:46" x14ac:dyDescent="0.25">
      <c r="A274" t="str">
        <f>IF(Summary_Exchange_Balances_00UTC!$B274="","",Summary_Exchange_Balances_00UTC!$N274)</f>
        <v>KRKE</v>
      </c>
      <c r="B274" t="str">
        <f>IF(Summary_Exchange_Balances_00UTC!$B274="","",Summary_Exchange_Balances_00UTC!$B274)</f>
        <v>KRKE</v>
      </c>
      <c r="C274" t="str">
        <f>IF(Summary_Exchange_Balances_00UTC!$B274="","",Summary_Exchange_Balances_00UTC!$E274)</f>
        <v>EOS</v>
      </c>
      <c r="D274" t="str">
        <f>IF(OR(Summary_Exchange_Balances_00UTC!$B274="",Summary_Exchange_Balances_00UTC!$D274=""),"",Summary_Exchange_Balances_00UTC!$D274)</f>
        <v/>
      </c>
      <c r="E274" s="54">
        <f>IF(Summary_Exchange_Balances_00UTC!$B274="","",Summary_Exchange_Balances_00UTC!$C274)</f>
        <v>9.9499194400000004</v>
      </c>
      <c r="F274" s="53">
        <f>IF(Summary_Exchange_Balances_00UTC!$B274="","",VLOOKUP(UPPER($A274&amp;$C274),$L:$T,7,FALSE))</f>
        <v>9.9499194400000004</v>
      </c>
      <c r="G274" s="53">
        <f>IF(Summary_Exchange_Balances_00UTC!$B274="","",VLOOKUP(IF(ISERROR(SEARCH(" ", $B274)),UPPER($B274&amp;$C274&amp;$D274),UPPER(LEFT($B274, SEARCH(" ",$B274)-1)&amp;$C274&amp;$D274)),$M:$T,6,FALSE))</f>
        <v>9.9499194400000004</v>
      </c>
      <c r="H274">
        <f>IF(Summary_Exchange_Balances_00UTC!$B274="","",IF(ISERROR($G274),$E274,$G274))</f>
        <v>9.9499194400000004</v>
      </c>
      <c r="I274" s="36">
        <f t="shared" si="12"/>
        <v>0</v>
      </c>
      <c r="L274" t="str">
        <f t="shared" si="13"/>
        <v>HUBIUSDT</v>
      </c>
      <c r="M274" t="str">
        <f t="shared" si="14"/>
        <v>HUBIUSDTTRADE</v>
      </c>
      <c r="N274" t="s">
        <v>403</v>
      </c>
      <c r="O274" t="s">
        <v>115</v>
      </c>
      <c r="P274" t="s">
        <v>425</v>
      </c>
      <c r="Q274" t="s">
        <v>426</v>
      </c>
      <c r="R274" s="43">
        <v>632961.32037479</v>
      </c>
      <c r="S274" t="s">
        <v>528</v>
      </c>
      <c r="T274">
        <v>1</v>
      </c>
      <c r="W274" t="s">
        <v>46</v>
      </c>
      <c r="X274" t="s">
        <v>15</v>
      </c>
      <c r="Y274" s="54">
        <v>217.23508133999999</v>
      </c>
      <c r="Z274">
        <v>0</v>
      </c>
      <c r="AS274" t="str">
        <f>IF(Summary_Exchange_Balances_00UTC!$B274="","","'"&amp;C274&amp;"',")</f>
        <v>'EOS',</v>
      </c>
      <c r="AT274">
        <f>IF(Summary_Exchange_Balances_00UTC!$B274="","",IF(ISERROR(HLOOKUP($C274,$AW$1:$LL$2,2,FALSE)),Summary_Exchange_Balances_00UTC!$Q274,IF(OR(HLOOKUP($C274,$AW$1:$LL$2,2,FALSE)="",HLOOKUP($C274,$AW$1:$LL$2,2,FALSE)="null"),Summary_Exchange_Balances_00UTC!$Q274,HLOOKUP($C274,$AW$1:$LL$2,2,FALSE))))</f>
        <v>0.90154135000000002</v>
      </c>
    </row>
    <row r="275" spans="1:46" x14ac:dyDescent="0.25">
      <c r="A275" t="str">
        <f>IF(Summary_Exchange_Balances_00UTC!$B275="","",Summary_Exchange_Balances_00UTC!$N275)</f>
        <v>KRKE</v>
      </c>
      <c r="B275" t="str">
        <f>IF(Summary_Exchange_Balances_00UTC!$B275="","",Summary_Exchange_Balances_00UTC!$B275)</f>
        <v>KRKE</v>
      </c>
      <c r="C275" t="str">
        <f>IF(Summary_Exchange_Balances_00UTC!$B275="","",Summary_Exchange_Balances_00UTC!$E275)</f>
        <v>ETHW</v>
      </c>
      <c r="D275" t="str">
        <f>IF(OR(Summary_Exchange_Balances_00UTC!$B275="",Summary_Exchange_Balances_00UTC!$D275=""),"",Summary_Exchange_Balances_00UTC!$D275)</f>
        <v/>
      </c>
      <c r="E275" s="54">
        <f>IF(Summary_Exchange_Balances_00UTC!$B275="","",Summary_Exchange_Balances_00UTC!$C275)</f>
        <v>3.4037359</v>
      </c>
      <c r="F275" s="53" t="e">
        <f>IF(Summary_Exchange_Balances_00UTC!$B275="","",VLOOKUP(UPPER($A275&amp;$C275),$L:$T,7,FALSE))</f>
        <v>#N/A</v>
      </c>
      <c r="G275" s="53" t="e">
        <f>IF(Summary_Exchange_Balances_00UTC!$B275="","",VLOOKUP(IF(ISERROR(SEARCH(" ", $B275)),UPPER($B275&amp;$C275&amp;$D275),UPPER(LEFT($B275, SEARCH(" ",$B275)-1)&amp;$C275&amp;$D275)),$M:$T,6,FALSE))</f>
        <v>#N/A</v>
      </c>
      <c r="H275">
        <f>IF(Summary_Exchange_Balances_00UTC!$B275="","",IF(ISERROR($G275),$E275,$G275))</f>
        <v>3.4037359</v>
      </c>
      <c r="I275" s="36" t="e">
        <f t="shared" si="12"/>
        <v>#N/A</v>
      </c>
      <c r="L275" t="str">
        <f t="shared" si="13"/>
        <v>HUBIUSDT</v>
      </c>
      <c r="M275" t="str">
        <f t="shared" si="14"/>
        <v>HUBIUSDTLOAN</v>
      </c>
      <c r="N275" t="s">
        <v>403</v>
      </c>
      <c r="O275" t="s">
        <v>115</v>
      </c>
      <c r="P275" t="s">
        <v>425</v>
      </c>
      <c r="Q275" t="s">
        <v>428</v>
      </c>
      <c r="R275" s="43">
        <v>-4000000</v>
      </c>
      <c r="S275" t="s">
        <v>528</v>
      </c>
      <c r="T275">
        <v>1</v>
      </c>
      <c r="W275" t="s">
        <v>46</v>
      </c>
      <c r="X275" t="s">
        <v>15</v>
      </c>
      <c r="Y275" s="54">
        <v>28.219449350000001</v>
      </c>
      <c r="Z275">
        <v>0</v>
      </c>
      <c r="AS275" t="str">
        <f>IF(Summary_Exchange_Balances_00UTC!$B275="","","'"&amp;C275&amp;"',")</f>
        <v>'ETHW',</v>
      </c>
      <c r="AT275">
        <f>IF(Summary_Exchange_Balances_00UTC!$B275="","",IF(ISERROR(HLOOKUP($C275,$AW$1:$LL$2,2,FALSE)),Summary_Exchange_Balances_00UTC!$Q275,IF(OR(HLOOKUP($C275,$AW$1:$LL$2,2,FALSE)="",HLOOKUP($C275,$AW$1:$LL$2,2,FALSE)="null"),Summary_Exchange_Balances_00UTC!$Q275,HLOOKUP($C275,$AW$1:$LL$2,2,FALSE))))</f>
        <v>3.540512169248061</v>
      </c>
    </row>
    <row r="276" spans="1:46" x14ac:dyDescent="0.25">
      <c r="A276" t="str">
        <f>IF(Summary_Exchange_Balances_00UTC!$B276="","",Summary_Exchange_Balances_00UTC!$N276)</f>
        <v>KRKE</v>
      </c>
      <c r="B276" t="str">
        <f>IF(Summary_Exchange_Balances_00UTC!$B276="","",Summary_Exchange_Balances_00UTC!$B276)</f>
        <v>KRKE</v>
      </c>
      <c r="C276" t="str">
        <f>IF(Summary_Exchange_Balances_00UTC!$B276="","",Summary_Exchange_Balances_00UTC!$E276)</f>
        <v>LTC</v>
      </c>
      <c r="D276" t="str">
        <f>IF(OR(Summary_Exchange_Balances_00UTC!$B276="",Summary_Exchange_Balances_00UTC!$D276=""),"",Summary_Exchange_Balances_00UTC!$D276)</f>
        <v/>
      </c>
      <c r="E276" s="54">
        <f>IF(Summary_Exchange_Balances_00UTC!$B276="","",Summary_Exchange_Balances_00UTC!$C276)</f>
        <v>9.1421368100000002</v>
      </c>
      <c r="F276" s="53">
        <f>IF(Summary_Exchange_Balances_00UTC!$B276="","",VLOOKUP(UPPER($A276&amp;$C276),$L:$T,7,FALSE))</f>
        <v>9.1421368100000002</v>
      </c>
      <c r="G276" s="53">
        <f>IF(Summary_Exchange_Balances_00UTC!$B276="","",VLOOKUP(IF(ISERROR(SEARCH(" ", $B276)),UPPER($B276&amp;$C276&amp;$D276),UPPER(LEFT($B276, SEARCH(" ",$B276)-1)&amp;$C276&amp;$D276)),$M:$T,6,FALSE))</f>
        <v>9.1421368100000002</v>
      </c>
      <c r="H276">
        <f>IF(Summary_Exchange_Balances_00UTC!$B276="","",IF(ISERROR($G276),$E276,$G276))</f>
        <v>9.1421368100000002</v>
      </c>
      <c r="I276" s="36">
        <f t="shared" si="12"/>
        <v>0</v>
      </c>
      <c r="L276" t="str">
        <f t="shared" si="13"/>
        <v>HUBIVET</v>
      </c>
      <c r="M276" t="str">
        <f t="shared" si="14"/>
        <v>HUBIVETTRADE</v>
      </c>
      <c r="N276" t="s">
        <v>404</v>
      </c>
      <c r="O276" s="29" t="s">
        <v>115</v>
      </c>
      <c r="P276" t="s">
        <v>425</v>
      </c>
      <c r="Q276" t="s">
        <v>426</v>
      </c>
      <c r="R276" s="43">
        <v>59589.017780000002</v>
      </c>
      <c r="S276" t="s">
        <v>528</v>
      </c>
      <c r="T276">
        <v>1</v>
      </c>
      <c r="W276" t="s">
        <v>46</v>
      </c>
      <c r="X276" t="s">
        <v>16</v>
      </c>
      <c r="Y276" s="54">
        <v>6019.3476588599997</v>
      </c>
      <c r="Z276">
        <v>0</v>
      </c>
      <c r="AS276" t="str">
        <f>IF(Summary_Exchange_Balances_00UTC!$B276="","","'"&amp;C276&amp;"',")</f>
        <v>'LTC',</v>
      </c>
      <c r="AT276">
        <f>IF(Summary_Exchange_Balances_00UTC!$B276="","",IF(ISERROR(HLOOKUP($C276,$AW$1:$LL$2,2,FALSE)),Summary_Exchange_Balances_00UTC!$Q276,IF(OR(HLOOKUP($C276,$AW$1:$LL$2,2,FALSE)="",HLOOKUP($C276,$AW$1:$LL$2,2,FALSE)="null"),Summary_Exchange_Balances_00UTC!$Q276,HLOOKUP($C276,$AW$1:$LL$2,2,FALSE))))</f>
        <v>62.35</v>
      </c>
    </row>
    <row r="277" spans="1:46" x14ac:dyDescent="0.25">
      <c r="A277" t="str">
        <f>IF(Summary_Exchange_Balances_00UTC!$B277="","",Summary_Exchange_Balances_00UTC!$N277)</f>
        <v>KRKE</v>
      </c>
      <c r="B277" t="str">
        <f>IF(Summary_Exchange_Balances_00UTC!$B277="","",Summary_Exchange_Balances_00UTC!$B277)</f>
        <v>KRKE</v>
      </c>
      <c r="C277" t="str">
        <f>IF(Summary_Exchange_Balances_00UTC!$B277="","",Summary_Exchange_Balances_00UTC!$E277)</f>
        <v>OXT</v>
      </c>
      <c r="D277" t="str">
        <f>IF(OR(Summary_Exchange_Balances_00UTC!$B277="",Summary_Exchange_Balances_00UTC!$D277=""),"",Summary_Exchange_Balances_00UTC!$D277)</f>
        <v/>
      </c>
      <c r="E277" s="54">
        <f>IF(Summary_Exchange_Balances_00UTC!$B277="","",Summary_Exchange_Balances_00UTC!$C277)</f>
        <v>608071.39262864005</v>
      </c>
      <c r="F277" s="53">
        <f>IF(Summary_Exchange_Balances_00UTC!$B277="","",VLOOKUP(UPPER($A277&amp;$C277),$L:$T,7,FALSE))</f>
        <v>830251.81683887995</v>
      </c>
      <c r="G277" s="53">
        <f>IF(Summary_Exchange_Balances_00UTC!$B277="","",VLOOKUP(IF(ISERROR(SEARCH(" ", $B277)),UPPER($B277&amp;$C277&amp;$D277),UPPER(LEFT($B277, SEARCH(" ",$B277)-1)&amp;$C277&amp;$D277)),$M:$T,6,FALSE))</f>
        <v>830251.81683887995</v>
      </c>
      <c r="H277">
        <f>IF(Summary_Exchange_Balances_00UTC!$B277="","",IF(ISERROR($G277),$E277,$G277))</f>
        <v>830251.81683887995</v>
      </c>
      <c r="I277" s="36">
        <f t="shared" si="12"/>
        <v>0.36538542497415172</v>
      </c>
      <c r="L277" t="str">
        <f t="shared" si="13"/>
        <v>HUBIVSYS</v>
      </c>
      <c r="M277" t="str">
        <f t="shared" si="14"/>
        <v>HUBIVSYSTRADE</v>
      </c>
      <c r="N277" t="s">
        <v>405</v>
      </c>
      <c r="O277" t="s">
        <v>115</v>
      </c>
      <c r="P277" t="s">
        <v>425</v>
      </c>
      <c r="Q277" t="s">
        <v>426</v>
      </c>
      <c r="R277" s="43">
        <v>0.20872535</v>
      </c>
      <c r="S277" t="s">
        <v>528</v>
      </c>
      <c r="T277">
        <v>1</v>
      </c>
      <c r="W277" t="s">
        <v>46</v>
      </c>
      <c r="X277" t="s">
        <v>16</v>
      </c>
      <c r="Y277" s="54">
        <v>192.55910700999999</v>
      </c>
      <c r="Z277">
        <v>0</v>
      </c>
      <c r="AS277" t="str">
        <f>IF(Summary_Exchange_Balances_00UTC!$B277="","","'"&amp;C277&amp;"',")</f>
        <v>'OXT',</v>
      </c>
      <c r="AT277">
        <f>IF(Summary_Exchange_Balances_00UTC!$B277="","",IF(ISERROR(HLOOKUP($C277,$AW$1:$LL$2,2,FALSE)),Summary_Exchange_Balances_00UTC!$Q277,IF(OR(HLOOKUP($C277,$AW$1:$LL$2,2,FALSE)="",HLOOKUP($C277,$AW$1:$LL$2,2,FALSE)="null"),Summary_Exchange_Balances_00UTC!$Q277,HLOOKUP($C277,$AW$1:$LL$2,2,FALSE))))</f>
        <v>8.09E-2</v>
      </c>
    </row>
    <row r="278" spans="1:46" x14ac:dyDescent="0.25">
      <c r="A278" t="str">
        <f>IF(Summary_Exchange_Balances_00UTC!$B278="","",Summary_Exchange_Balances_00UTC!$N278)</f>
        <v>KRKE</v>
      </c>
      <c r="B278" t="str">
        <f>IF(Summary_Exchange_Balances_00UTC!$B278="","",Summary_Exchange_Balances_00UTC!$B278)</f>
        <v>KRKE</v>
      </c>
      <c r="C278" t="str">
        <f>IF(Summary_Exchange_Balances_00UTC!$B278="","",Summary_Exchange_Balances_00UTC!$E278)</f>
        <v>SGB</v>
      </c>
      <c r="D278" t="str">
        <f>IF(OR(Summary_Exchange_Balances_00UTC!$B278="",Summary_Exchange_Balances_00UTC!$D278=""),"",Summary_Exchange_Balances_00UTC!$D278)</f>
        <v/>
      </c>
      <c r="E278" s="54">
        <f>IF(Summary_Exchange_Balances_00UTC!$B278="","",Summary_Exchange_Balances_00UTC!$C278)</f>
        <v>0.10834547999999999</v>
      </c>
      <c r="F278" s="53">
        <f>IF(Summary_Exchange_Balances_00UTC!$B278="","",VLOOKUP(UPPER($A278&amp;$C278),$L:$T,7,FALSE))</f>
        <v>0.10834547999999999</v>
      </c>
      <c r="G278" s="53">
        <f>IF(Summary_Exchange_Balances_00UTC!$B278="","",VLOOKUP(IF(ISERROR(SEARCH(" ", $B278)),UPPER($B278&amp;$C278&amp;$D278),UPPER(LEFT($B278, SEARCH(" ",$B278)-1)&amp;$C278&amp;$D278)),$M:$T,6,FALSE))</f>
        <v>0.10834547999999999</v>
      </c>
      <c r="H278">
        <f>IF(Summary_Exchange_Balances_00UTC!$B278="","",IF(ISERROR($G278),$E278,$G278))</f>
        <v>0.10834547999999999</v>
      </c>
      <c r="I278" s="36">
        <f t="shared" si="12"/>
        <v>0</v>
      </c>
      <c r="L278" t="str">
        <f t="shared" si="13"/>
        <v>HUBIXEC</v>
      </c>
      <c r="M278" t="str">
        <f t="shared" si="14"/>
        <v>HUBIXECTRADE</v>
      </c>
      <c r="N278" t="s">
        <v>406</v>
      </c>
      <c r="O278" s="29" t="s">
        <v>115</v>
      </c>
      <c r="P278" t="s">
        <v>425</v>
      </c>
      <c r="Q278" t="s">
        <v>426</v>
      </c>
      <c r="R278" s="43">
        <v>97856389.900000006</v>
      </c>
      <c r="S278" t="s">
        <v>528</v>
      </c>
      <c r="T278">
        <v>1</v>
      </c>
      <c r="W278" t="s">
        <v>46</v>
      </c>
      <c r="X278" t="s">
        <v>102</v>
      </c>
      <c r="Y278" s="54">
        <v>0.44933625999999999</v>
      </c>
      <c r="Z278">
        <v>0</v>
      </c>
      <c r="AS278" t="str">
        <f>IF(Summary_Exchange_Balances_00UTC!$B278="","","'"&amp;C278&amp;"',")</f>
        <v>'SGB',</v>
      </c>
      <c r="AT278">
        <f>IF(Summary_Exchange_Balances_00UTC!$B278="","",IF(ISERROR(HLOOKUP($C278,$AW$1:$LL$2,2,FALSE)),Summary_Exchange_Balances_00UTC!$Q278,IF(OR(HLOOKUP($C278,$AW$1:$LL$2,2,FALSE)="",HLOOKUP($C278,$AW$1:$LL$2,2,FALSE)="null"),Summary_Exchange_Balances_00UTC!$Q278,HLOOKUP($C278,$AW$1:$LL$2,2,FALSE))))</f>
        <v>1.1899667914311239E-2</v>
      </c>
    </row>
    <row r="279" spans="1:46" x14ac:dyDescent="0.25">
      <c r="A279" t="str">
        <f>IF(Summary_Exchange_Balances_00UTC!$B279="","",Summary_Exchange_Balances_00UTC!$N279)</f>
        <v>KRKE</v>
      </c>
      <c r="B279" t="str">
        <f>IF(Summary_Exchange_Balances_00UTC!$B279="","",Summary_Exchange_Balances_00UTC!$B279)</f>
        <v>KRKE</v>
      </c>
      <c r="C279" t="str">
        <f>IF(Summary_Exchange_Balances_00UTC!$B279="","",Summary_Exchange_Balances_00UTC!$E279)</f>
        <v>USD</v>
      </c>
      <c r="D279" t="str">
        <f>IF(OR(Summary_Exchange_Balances_00UTC!$B279="",Summary_Exchange_Balances_00UTC!$D279=""),"",Summary_Exchange_Balances_00UTC!$D279)</f>
        <v/>
      </c>
      <c r="E279" s="54">
        <f>IF(Summary_Exchange_Balances_00UTC!$B279="","",Summary_Exchange_Balances_00UTC!$C279)</f>
        <v>134422.20680000001</v>
      </c>
      <c r="F279" s="53">
        <f>IF(Summary_Exchange_Balances_00UTC!$B279="","",VLOOKUP(UPPER($A279&amp;$C279),$L:$T,7,FALSE))</f>
        <v>116117.0119</v>
      </c>
      <c r="G279" s="53">
        <f>IF(Summary_Exchange_Balances_00UTC!$B279="","",VLOOKUP(IF(ISERROR(SEARCH(" ", $B279)),UPPER($B279&amp;$C279&amp;$D279),UPPER(LEFT($B279, SEARCH(" ",$B279)-1)&amp;$C279&amp;$D279)),$M:$T,6,FALSE))</f>
        <v>116117.0119</v>
      </c>
      <c r="H279">
        <f>IF(Summary_Exchange_Balances_00UTC!$B279="","",IF(ISERROR($G279),$E279,$G279))</f>
        <v>116117.0119</v>
      </c>
      <c r="I279" s="36">
        <f t="shared" si="12"/>
        <v>-0.13617686642531757</v>
      </c>
      <c r="L279" t="str">
        <f t="shared" si="13"/>
        <v>HUBIXLM</v>
      </c>
      <c r="M279" t="str">
        <f t="shared" si="14"/>
        <v>HUBIXLMTRADE</v>
      </c>
      <c r="N279" t="s">
        <v>407</v>
      </c>
      <c r="O279" t="s">
        <v>115</v>
      </c>
      <c r="P279" t="s">
        <v>425</v>
      </c>
      <c r="Q279" t="s">
        <v>426</v>
      </c>
      <c r="R279" s="43">
        <v>0.55556267999999998</v>
      </c>
      <c r="S279" t="s">
        <v>528</v>
      </c>
      <c r="T279">
        <v>1</v>
      </c>
      <c r="W279" t="s">
        <v>46</v>
      </c>
      <c r="X279" t="s">
        <v>15</v>
      </c>
      <c r="Y279" s="54">
        <v>56.148104859999997</v>
      </c>
      <c r="Z279">
        <v>0</v>
      </c>
      <c r="AS279" t="str">
        <f>IF(Summary_Exchange_Balances_00UTC!$B279="","","'"&amp;C279&amp;"',")</f>
        <v>'USD',</v>
      </c>
      <c r="AT279">
        <f>IF(Summary_Exchange_Balances_00UTC!$B279="","",IF(ISERROR(HLOOKUP($C279,$AW$1:$LL$2,2,FALSE)),Summary_Exchange_Balances_00UTC!$Q279,IF(OR(HLOOKUP($C279,$AW$1:$LL$2,2,FALSE)="",HLOOKUP($C279,$AW$1:$LL$2,2,FALSE)="null"),Summary_Exchange_Balances_00UTC!$Q279,HLOOKUP($C279,$AW$1:$LL$2,2,FALSE))))</f>
        <v>1</v>
      </c>
    </row>
    <row r="280" spans="1:46" x14ac:dyDescent="0.25">
      <c r="A280" t="str">
        <f>IF(Summary_Exchange_Balances_00UTC!$B280="","",Summary_Exchange_Balances_00UTC!$N280)</f>
        <v>KRKE</v>
      </c>
      <c r="B280" t="str">
        <f>IF(Summary_Exchange_Balances_00UTC!$B280="","",Summary_Exchange_Balances_00UTC!$B280)</f>
        <v>KRKE</v>
      </c>
      <c r="C280" t="str">
        <f>IF(Summary_Exchange_Balances_00UTC!$B280="","",Summary_Exchange_Balances_00UTC!$E280)</f>
        <v>USDT</v>
      </c>
      <c r="D280" t="str">
        <f>IF(OR(Summary_Exchange_Balances_00UTC!$B280="",Summary_Exchange_Balances_00UTC!$D280=""),"",Summary_Exchange_Balances_00UTC!$D280)</f>
        <v/>
      </c>
      <c r="E280" s="54">
        <f>IF(Summary_Exchange_Balances_00UTC!$B280="","",Summary_Exchange_Balances_00UTC!$C280)</f>
        <v>1.182861E-2</v>
      </c>
      <c r="F280" s="53">
        <f>IF(Summary_Exchange_Balances_00UTC!$B280="","",VLOOKUP(UPPER($A280&amp;$C280),$L:$T,7,FALSE))</f>
        <v>1.182861E-2</v>
      </c>
      <c r="G280" s="53">
        <f>IF(Summary_Exchange_Balances_00UTC!$B280="","",VLOOKUP(IF(ISERROR(SEARCH(" ", $B280)),UPPER($B280&amp;$C280&amp;$D280),UPPER(LEFT($B280, SEARCH(" ",$B280)-1)&amp;$C280&amp;$D280)),$M:$T,6,FALSE))</f>
        <v>1.182861E-2</v>
      </c>
      <c r="H280">
        <f>IF(Summary_Exchange_Balances_00UTC!$B280="","",IF(ISERROR($G280),$E280,$G280))</f>
        <v>1.182861E-2</v>
      </c>
      <c r="I280" s="36">
        <f t="shared" si="12"/>
        <v>0</v>
      </c>
      <c r="L280" t="str">
        <f t="shared" si="13"/>
        <v>HUBIXRP</v>
      </c>
      <c r="M280" t="str">
        <f t="shared" si="14"/>
        <v>HUBIXRPTRADE</v>
      </c>
      <c r="N280" t="s">
        <v>408</v>
      </c>
      <c r="O280" t="s">
        <v>115</v>
      </c>
      <c r="P280" t="s">
        <v>425</v>
      </c>
      <c r="Q280" t="s">
        <v>426</v>
      </c>
      <c r="R280" s="43">
        <v>7.6039999999999997E-5</v>
      </c>
      <c r="S280" t="s">
        <v>528</v>
      </c>
      <c r="T280">
        <v>1</v>
      </c>
      <c r="W280" t="s">
        <v>46</v>
      </c>
      <c r="X280" t="s">
        <v>15</v>
      </c>
      <c r="Y280" s="54">
        <v>-5.4595830999999997</v>
      </c>
      <c r="Z280">
        <v>0</v>
      </c>
      <c r="AS280" t="str">
        <f>IF(Summary_Exchange_Balances_00UTC!$B280="","","'"&amp;C280&amp;"',")</f>
        <v>'USDT',</v>
      </c>
      <c r="AT280">
        <f>IF(Summary_Exchange_Balances_00UTC!$B280="","",IF(ISERROR(HLOOKUP($C280,$AW$1:$LL$2,2,FALSE)),Summary_Exchange_Balances_00UTC!$Q280,IF(OR(HLOOKUP($C280,$AW$1:$LL$2,2,FALSE)="",HLOOKUP($C280,$AW$1:$LL$2,2,FALSE)="null"),Summary_Exchange_Balances_00UTC!$Q280,HLOOKUP($C280,$AW$1:$LL$2,2,FALSE))))</f>
        <v>1.000105410324535</v>
      </c>
    </row>
    <row r="281" spans="1:46" x14ac:dyDescent="0.25">
      <c r="A281" t="str">
        <f>IF(Summary_Exchange_Balances_00UTC!$B281="","",Summary_Exchange_Balances_00UTC!$N281)</f>
        <v>KRKE</v>
      </c>
      <c r="B281" t="str">
        <f>IF(Summary_Exchange_Balances_00UTC!$B281="","",Summary_Exchange_Balances_00UTC!$B281)</f>
        <v>KRKE</v>
      </c>
      <c r="C281" t="str">
        <f>IF(Summary_Exchange_Balances_00UTC!$B281="","",Summary_Exchange_Balances_00UTC!$E281)</f>
        <v>XLM</v>
      </c>
      <c r="D281" t="str">
        <f>IF(OR(Summary_Exchange_Balances_00UTC!$B281="",Summary_Exchange_Balances_00UTC!$D281=""),"",Summary_Exchange_Balances_00UTC!$D281)</f>
        <v/>
      </c>
      <c r="E281" s="53">
        <f>IF(Summary_Exchange_Balances_00UTC!$B281="","",Summary_Exchange_Balances_00UTC!$C281)</f>
        <v>8.93329E-3</v>
      </c>
      <c r="F281" s="53">
        <f>IF(Summary_Exchange_Balances_00UTC!$B281="","",VLOOKUP(UPPER($A281&amp;$C281),$L:$T,7,FALSE))</f>
        <v>8.93329E-3</v>
      </c>
      <c r="G281" s="53">
        <f>IF(Summary_Exchange_Balances_00UTC!$B281="","",VLOOKUP(IF(ISERROR(SEARCH(" ", $B281)),UPPER($B281&amp;$C281&amp;$D281),UPPER(LEFT($B281, SEARCH(" ",$B281)-1)&amp;$C281&amp;$D281)),$M:$T,6,FALSE))</f>
        <v>8.93329E-3</v>
      </c>
      <c r="H281">
        <f>IF(Summary_Exchange_Balances_00UTC!$B281="","",IF(ISERROR($G281),$E281,$G281))</f>
        <v>8.93329E-3</v>
      </c>
      <c r="I281" s="36">
        <f t="shared" si="12"/>
        <v>0</v>
      </c>
      <c r="L281" t="str">
        <f t="shared" si="13"/>
        <v>HUBIXRP</v>
      </c>
      <c r="M281" t="str">
        <f t="shared" si="14"/>
        <v>HUB2XRPTRADE</v>
      </c>
      <c r="N281" t="s">
        <v>408</v>
      </c>
      <c r="O281" t="s">
        <v>115</v>
      </c>
      <c r="P281" t="s">
        <v>427</v>
      </c>
      <c r="Q281" t="s">
        <v>426</v>
      </c>
      <c r="R281" s="43">
        <v>7.4209999999999996E-5</v>
      </c>
      <c r="S281" t="s">
        <v>529</v>
      </c>
      <c r="T281">
        <v>1</v>
      </c>
      <c r="W281" t="s">
        <v>46</v>
      </c>
      <c r="X281" t="s">
        <v>16</v>
      </c>
      <c r="Y281" s="53">
        <v>150</v>
      </c>
      <c r="Z281">
        <v>0</v>
      </c>
      <c r="AS281" t="str">
        <f>IF(Summary_Exchange_Balances_00UTC!$B281="","","'"&amp;C281&amp;"',")</f>
        <v>'XLM',</v>
      </c>
      <c r="AT281">
        <f>IF(Summary_Exchange_Balances_00UTC!$B281="","",IF(ISERROR(HLOOKUP($C281,$AW$1:$LL$2,2,FALSE)),Summary_Exchange_Balances_00UTC!$Q281,IF(OR(HLOOKUP($C281,$AW$1:$LL$2,2,FALSE)="",HLOOKUP($C281,$AW$1:$LL$2,2,FALSE)="null"),Summary_Exchange_Balances_00UTC!$Q281,HLOOKUP($C281,$AW$1:$LL$2,2,FALSE))))</f>
        <v>9.0786800000000001E-2</v>
      </c>
    </row>
    <row r="282" spans="1:46" x14ac:dyDescent="0.25">
      <c r="A282" t="str">
        <f>IF(Summary_Exchange_Balances_00UTC!$B282="","",Summary_Exchange_Balances_00UTC!$N282)</f>
        <v>KRKE</v>
      </c>
      <c r="B282" t="str">
        <f>IF(Summary_Exchange_Balances_00UTC!$B282="","",Summary_Exchange_Balances_00UTC!$B282)</f>
        <v>KRKE</v>
      </c>
      <c r="C282" t="str">
        <f>IF(Summary_Exchange_Balances_00UTC!$B282="","",Summary_Exchange_Balances_00UTC!$E282)</f>
        <v>XRP</v>
      </c>
      <c r="D282" t="str">
        <f>IF(OR(Summary_Exchange_Balances_00UTC!$B282="",Summary_Exchange_Balances_00UTC!$D282=""),"",Summary_Exchange_Balances_00UTC!$D282)</f>
        <v/>
      </c>
      <c r="E282" s="54">
        <f>IF(Summary_Exchange_Balances_00UTC!$B282="","",Summary_Exchange_Balances_00UTC!$C282)</f>
        <v>0.71704489000000005</v>
      </c>
      <c r="F282" s="53">
        <f>IF(Summary_Exchange_Balances_00UTC!$B282="","",VLOOKUP(UPPER($A282&amp;$C282),$L:$T,7,FALSE))</f>
        <v>0.71704489000000005</v>
      </c>
      <c r="G282" s="53">
        <f>IF(Summary_Exchange_Balances_00UTC!$B282="","",VLOOKUP(IF(ISERROR(SEARCH(" ", $B282)),UPPER($B282&amp;$C282&amp;$D282),UPPER(LEFT($B282, SEARCH(" ",$B282)-1)&amp;$C282&amp;$D282)),$M:$T,6,FALSE))</f>
        <v>0.71704489000000005</v>
      </c>
      <c r="H282">
        <f>IF(Summary_Exchange_Balances_00UTC!$B282="","",IF(ISERROR($G282),$E282,$G282))</f>
        <v>0.71704489000000005</v>
      </c>
      <c r="I282" s="36">
        <f t="shared" si="12"/>
        <v>0</v>
      </c>
      <c r="L282" t="str">
        <f t="shared" si="13"/>
        <v>HUBIXRP</v>
      </c>
      <c r="M282" t="str">
        <f t="shared" si="14"/>
        <v>HUBIXRPTRADE</v>
      </c>
      <c r="N282" t="s">
        <v>408</v>
      </c>
      <c r="O282" t="s">
        <v>115</v>
      </c>
      <c r="P282" t="s">
        <v>425</v>
      </c>
      <c r="Q282" t="s">
        <v>426</v>
      </c>
      <c r="R282" s="43">
        <v>1081.9432005799999</v>
      </c>
      <c r="S282" t="s">
        <v>528</v>
      </c>
      <c r="T282">
        <v>1</v>
      </c>
      <c r="W282" t="s">
        <v>46</v>
      </c>
      <c r="X282" t="s">
        <v>39</v>
      </c>
      <c r="Y282" s="54">
        <v>16911260.95220232</v>
      </c>
      <c r="Z282">
        <v>0</v>
      </c>
      <c r="AS282" t="str">
        <f>IF(Summary_Exchange_Balances_00UTC!$B282="","","'"&amp;C282&amp;"',")</f>
        <v>'XRP',</v>
      </c>
      <c r="AT282">
        <f>IF(Summary_Exchange_Balances_00UTC!$B282="","",IF(ISERROR(HLOOKUP($C282,$AW$1:$LL$2,2,FALSE)),Summary_Exchange_Balances_00UTC!$Q282,IF(OR(HLOOKUP($C282,$AW$1:$LL$2,2,FALSE)="",HLOOKUP($C282,$AW$1:$LL$2,2,FALSE)="null"),Summary_Exchange_Balances_00UTC!$Q282,HLOOKUP($C282,$AW$1:$LL$2,2,FALSE))))</f>
        <v>0.38471588000000001</v>
      </c>
    </row>
    <row r="283" spans="1:46" x14ac:dyDescent="0.25">
      <c r="A283" t="str">
        <f>IF(Summary_Exchange_Balances_00UTC!$B283="","",Summary_Exchange_Balances_00UTC!$N283)</f>
        <v>GALAXY</v>
      </c>
      <c r="B283" t="str">
        <f>IF(Summary_Exchange_Balances_00UTC!$B283="","",Summary_Exchange_Balances_00UTC!$B283)</f>
        <v>LEND-GACM</v>
      </c>
      <c r="C283" t="str">
        <f>IF(Summary_Exchange_Balances_00UTC!$B283="","",Summary_Exchange_Balances_00UTC!$E283)</f>
        <v>BCH</v>
      </c>
      <c r="D283" t="str">
        <f>IF(OR(Summary_Exchange_Balances_00UTC!$B283="",Summary_Exchange_Balances_00UTC!$D283=""),"",Summary_Exchange_Balances_00UTC!$D283)</f>
        <v/>
      </c>
      <c r="E283" s="54">
        <f>IF(Summary_Exchange_Balances_00UTC!$B283="","",Summary_Exchange_Balances_00UTC!$C283)</f>
        <v>5377</v>
      </c>
      <c r="F283" s="53" t="e">
        <f>IF(Summary_Exchange_Balances_00UTC!$B283="","",VLOOKUP(UPPER($A283&amp;$C283),$L:$T,7,FALSE))</f>
        <v>#N/A</v>
      </c>
      <c r="G283" s="53" t="e">
        <f>IF(Summary_Exchange_Balances_00UTC!$B283="","",VLOOKUP(IF(ISERROR(SEARCH(" ", $B283)),UPPER($B283&amp;$C283&amp;$D283),UPPER(LEFT($B283, SEARCH(" ",$B283)-1)&amp;$C283&amp;$D283)),$M:$T,6,FALSE))</f>
        <v>#N/A</v>
      </c>
      <c r="H283">
        <f>IF(Summary_Exchange_Balances_00UTC!$B283="","",IF(ISERROR($G283),$E283,$G283))</f>
        <v>5377</v>
      </c>
      <c r="I283" s="36" t="e">
        <f t="shared" si="12"/>
        <v>#N/A</v>
      </c>
      <c r="L283" t="str">
        <f t="shared" si="13"/>
        <v>HUBIXRP</v>
      </c>
      <c r="M283" t="str">
        <f t="shared" si="14"/>
        <v>HUB2XRPTRADE</v>
      </c>
      <c r="N283" t="s">
        <v>408</v>
      </c>
      <c r="O283" t="s">
        <v>115</v>
      </c>
      <c r="P283" t="s">
        <v>427</v>
      </c>
      <c r="Q283" t="s">
        <v>426</v>
      </c>
      <c r="R283" s="43">
        <v>6.4869999999999994E-5</v>
      </c>
      <c r="S283" t="s">
        <v>529</v>
      </c>
      <c r="T283">
        <v>1</v>
      </c>
      <c r="W283" t="s">
        <v>46</v>
      </c>
      <c r="X283" t="s">
        <v>39</v>
      </c>
      <c r="Y283" s="54">
        <v>669133.19786753994</v>
      </c>
      <c r="Z283">
        <v>0</v>
      </c>
      <c r="AS283" t="str">
        <f>IF(Summary_Exchange_Balances_00UTC!$B283="","","'"&amp;C283&amp;"',")</f>
        <v>'BCH',</v>
      </c>
      <c r="AT283">
        <f>IF(Summary_Exchange_Balances_00UTC!$B283="","",IF(ISERROR(HLOOKUP($C283,$AW$1:$LL$2,2,FALSE)),Summary_Exchange_Balances_00UTC!$Q283,IF(OR(HLOOKUP($C283,$AW$1:$LL$2,2,FALSE)="",HLOOKUP($C283,$AW$1:$LL$2,2,FALSE)="null"),Summary_Exchange_Balances_00UTC!$Q283,HLOOKUP($C283,$AW$1:$LL$2,2,FALSE))))</f>
        <v>103.98</v>
      </c>
    </row>
    <row r="284" spans="1:46" x14ac:dyDescent="0.25">
      <c r="A284" t="str">
        <f>IF(Summary_Exchange_Balances_00UTC!$B284="","",Summary_Exchange_Balances_00UTC!$N284)</f>
        <v>GALAXY</v>
      </c>
      <c r="B284" t="str">
        <f>IF(Summary_Exchange_Balances_00UTC!$B284="","",Summary_Exchange_Balances_00UTC!$B284)</f>
        <v>LEND-GACM</v>
      </c>
      <c r="C284" t="str">
        <f>IF(Summary_Exchange_Balances_00UTC!$B284="","",Summary_Exchange_Balances_00UTC!$E284)</f>
        <v>COMP</v>
      </c>
      <c r="D284" t="str">
        <f>IF(OR(Summary_Exchange_Balances_00UTC!$B284="",Summary_Exchange_Balances_00UTC!$D284=""),"",Summary_Exchange_Balances_00UTC!$D284)</f>
        <v/>
      </c>
      <c r="E284" s="54">
        <f>IF(Summary_Exchange_Balances_00UTC!$B284="","",Summary_Exchange_Balances_00UTC!$C284)</f>
        <v>5000</v>
      </c>
      <c r="F284" s="53" t="e">
        <f>IF(Summary_Exchange_Balances_00UTC!$B284="","",VLOOKUP(UPPER($A284&amp;$C284),$L:$T,7,FALSE))</f>
        <v>#N/A</v>
      </c>
      <c r="G284" s="53" t="e">
        <f>IF(Summary_Exchange_Balances_00UTC!$B284="","",VLOOKUP(IF(ISERROR(SEARCH(" ", $B284)),UPPER($B284&amp;$C284&amp;$D284),UPPER(LEFT($B284, SEARCH(" ",$B284)-1)&amp;$C284&amp;$D284)),$M:$T,6,FALSE))</f>
        <v>#N/A</v>
      </c>
      <c r="H284">
        <f>IF(Summary_Exchange_Balances_00UTC!$B284="","",IF(ISERROR($G284),$E284,$G284))</f>
        <v>5000</v>
      </c>
      <c r="I284" s="36" t="e">
        <f t="shared" si="12"/>
        <v>#N/A</v>
      </c>
      <c r="L284" t="str">
        <f t="shared" si="13"/>
        <v>HUBIXTZ</v>
      </c>
      <c r="M284" t="str">
        <f t="shared" si="14"/>
        <v>HUBIXTZTRADE</v>
      </c>
      <c r="N284" t="s">
        <v>409</v>
      </c>
      <c r="O284" t="s">
        <v>115</v>
      </c>
      <c r="P284" t="s">
        <v>425</v>
      </c>
      <c r="Q284" t="s">
        <v>426</v>
      </c>
      <c r="R284" s="43">
        <v>3.9304560899999998</v>
      </c>
      <c r="S284" t="s">
        <v>528</v>
      </c>
      <c r="T284">
        <v>1</v>
      </c>
      <c r="W284" t="s">
        <v>46</v>
      </c>
      <c r="X284" t="s">
        <v>15</v>
      </c>
      <c r="Y284" s="54">
        <v>4.3688520899999999</v>
      </c>
      <c r="Z284">
        <v>0</v>
      </c>
      <c r="AS284" t="str">
        <f>IF(Summary_Exchange_Balances_00UTC!$B284="","","'"&amp;C284&amp;"',")</f>
        <v>'COMP',</v>
      </c>
      <c r="AT284">
        <f>IF(Summary_Exchange_Balances_00UTC!$B284="","",IF(ISERROR(HLOOKUP($C284,$AW$1:$LL$2,2,FALSE)),Summary_Exchange_Balances_00UTC!$Q284,IF(OR(HLOOKUP($C284,$AW$1:$LL$2,2,FALSE)="",HLOOKUP($C284,$AW$1:$LL$2,2,FALSE)="null"),Summary_Exchange_Balances_00UTC!$Q284,HLOOKUP($C284,$AW$1:$LL$2,2,FALSE))))</f>
        <v>39.366320000000002</v>
      </c>
    </row>
    <row r="285" spans="1:46" x14ac:dyDescent="0.25">
      <c r="A285" t="str">
        <f>IF(Summary_Exchange_Balances_00UTC!$B285="","",Summary_Exchange_Balances_00UTC!$N285)</f>
        <v>GALAXY</v>
      </c>
      <c r="B285" t="str">
        <f>IF(Summary_Exchange_Balances_00UTC!$B285="","",Summary_Exchange_Balances_00UTC!$B285)</f>
        <v>LEND-GACM</v>
      </c>
      <c r="C285" t="str">
        <f>IF(Summary_Exchange_Balances_00UTC!$B285="","",Summary_Exchange_Balances_00UTC!$E285)</f>
        <v>ETC</v>
      </c>
      <c r="D285" t="str">
        <f>IF(OR(Summary_Exchange_Balances_00UTC!$B285="",Summary_Exchange_Balances_00UTC!$D285=""),"",Summary_Exchange_Balances_00UTC!$D285)</f>
        <v/>
      </c>
      <c r="E285" s="54">
        <f>IF(Summary_Exchange_Balances_00UTC!$B285="","",Summary_Exchange_Balances_00UTC!$C285)</f>
        <v>98000</v>
      </c>
      <c r="F285" s="53" t="e">
        <f>IF(Summary_Exchange_Balances_00UTC!$B285="","",VLOOKUP(UPPER($A285&amp;$C285),$L:$T,7,FALSE))</f>
        <v>#N/A</v>
      </c>
      <c r="G285" s="53" t="e">
        <f>IF(Summary_Exchange_Balances_00UTC!$B285="","",VLOOKUP(IF(ISERROR(SEARCH(" ", $B285)),UPPER($B285&amp;$C285&amp;$D285),UPPER(LEFT($B285, SEARCH(" ",$B285)-1)&amp;$C285&amp;$D285)),$M:$T,6,FALSE))</f>
        <v>#N/A</v>
      </c>
      <c r="H285">
        <f>IF(Summary_Exchange_Balances_00UTC!$B285="","",IF(ISERROR($G285),$E285,$G285))</f>
        <v>98000</v>
      </c>
      <c r="I285" s="36" t="e">
        <f t="shared" si="12"/>
        <v>#N/A</v>
      </c>
      <c r="L285" t="str">
        <f t="shared" si="13"/>
        <v>HUBIYFI</v>
      </c>
      <c r="M285" t="str">
        <f t="shared" si="14"/>
        <v>HUBIYFITRADE</v>
      </c>
      <c r="N285" t="s">
        <v>410</v>
      </c>
      <c r="O285" t="s">
        <v>115</v>
      </c>
      <c r="P285" t="s">
        <v>425</v>
      </c>
      <c r="Q285" t="s">
        <v>426</v>
      </c>
      <c r="R285" s="43">
        <v>0.10222220999999999</v>
      </c>
      <c r="S285" t="s">
        <v>528</v>
      </c>
      <c r="T285">
        <v>1</v>
      </c>
      <c r="W285" t="s">
        <v>46</v>
      </c>
      <c r="X285" t="s">
        <v>39</v>
      </c>
      <c r="Y285" s="54">
        <v>-19308.570061800001</v>
      </c>
      <c r="Z285">
        <v>0</v>
      </c>
      <c r="AS285" t="str">
        <f>IF(Summary_Exchange_Balances_00UTC!$B285="","","'"&amp;C285&amp;"',")</f>
        <v>'ETC',</v>
      </c>
      <c r="AT285">
        <f>IF(Summary_Exchange_Balances_00UTC!$B285="","",IF(ISERROR(HLOOKUP($C285,$AW$1:$LL$2,2,FALSE)),Summary_Exchange_Balances_00UTC!$Q285,IF(OR(HLOOKUP($C285,$AW$1:$LL$2,2,FALSE)="",HLOOKUP($C285,$AW$1:$LL$2,2,FALSE)="null"),Summary_Exchange_Balances_00UTC!$Q285,HLOOKUP($C285,$AW$1:$LL$2,2,FALSE))))</f>
        <v>19.614688999999998</v>
      </c>
    </row>
    <row r="286" spans="1:46" x14ac:dyDescent="0.25">
      <c r="A286" t="str">
        <f>IF(Summary_Exchange_Balances_00UTC!$B286="","",Summary_Exchange_Balances_00UTC!$N286)</f>
        <v>GALAXY</v>
      </c>
      <c r="B286" t="str">
        <f>IF(Summary_Exchange_Balances_00UTC!$B286="","",Summary_Exchange_Balances_00UTC!$B286)</f>
        <v>LEND-GACM</v>
      </c>
      <c r="C286" t="str">
        <f>IF(Summary_Exchange_Balances_00UTC!$B286="","",Summary_Exchange_Balances_00UTC!$E286)</f>
        <v>SHIB</v>
      </c>
      <c r="D286" t="str">
        <f>IF(OR(Summary_Exchange_Balances_00UTC!$B286="",Summary_Exchange_Balances_00UTC!$D286=""),"",Summary_Exchange_Balances_00UTC!$D286)</f>
        <v/>
      </c>
      <c r="E286" s="54">
        <f>IF(Summary_Exchange_Balances_00UTC!$B286="","",Summary_Exchange_Balances_00UTC!$C286)</f>
        <v>187000000000</v>
      </c>
      <c r="F286" s="53" t="e">
        <f>IF(Summary_Exchange_Balances_00UTC!$B286="","",VLOOKUP(UPPER($A286&amp;$C286),$L:$T,7,FALSE))</f>
        <v>#N/A</v>
      </c>
      <c r="G286" s="53" t="e">
        <f>IF(Summary_Exchange_Balances_00UTC!$B286="","",VLOOKUP(IF(ISERROR(SEARCH(" ", $B286)),UPPER($B286&amp;$C286&amp;$D286),UPPER(LEFT($B286, SEARCH(" ",$B286)-1)&amp;$C286&amp;$D286)),$M:$T,6,FALSE))</f>
        <v>#N/A</v>
      </c>
      <c r="H286">
        <f>IF(Summary_Exchange_Balances_00UTC!$B286="","",IF(ISERROR($G286),$E286,$G286))</f>
        <v>187000000000</v>
      </c>
      <c r="I286" s="36" t="e">
        <f t="shared" si="12"/>
        <v>#N/A</v>
      </c>
      <c r="L286" t="str">
        <f t="shared" si="13"/>
        <v>HUBIYFII</v>
      </c>
      <c r="M286" t="str">
        <f t="shared" si="14"/>
        <v>HUBIYFIITRADE</v>
      </c>
      <c r="N286" t="s">
        <v>411</v>
      </c>
      <c r="O286" t="s">
        <v>115</v>
      </c>
      <c r="P286" t="s">
        <v>425</v>
      </c>
      <c r="Q286" t="s">
        <v>426</v>
      </c>
      <c r="R286" s="43">
        <v>1.329583E-2</v>
      </c>
      <c r="S286" t="s">
        <v>528</v>
      </c>
      <c r="T286">
        <v>1</v>
      </c>
      <c r="W286" t="s">
        <v>46</v>
      </c>
      <c r="X286" t="s">
        <v>21</v>
      </c>
      <c r="Y286" s="54">
        <v>109.51263598</v>
      </c>
      <c r="Z286">
        <v>0</v>
      </c>
      <c r="AS286" t="str">
        <f>IF(Summary_Exchange_Balances_00UTC!$B286="","","'"&amp;C286&amp;"',")</f>
        <v>'SHIB',</v>
      </c>
      <c r="AT286">
        <f>IF(Summary_Exchange_Balances_00UTC!$B286="","",IF(ISERROR(HLOOKUP($C286,$AW$1:$LL$2,2,FALSE)),Summary_Exchange_Balances_00UTC!$Q286,IF(OR(HLOOKUP($C286,$AW$1:$LL$2,2,FALSE)="",HLOOKUP($C286,$AW$1:$LL$2,2,FALSE)="null"),Summary_Exchange_Balances_00UTC!$Q286,HLOOKUP($C286,$AW$1:$LL$2,2,FALSE))))</f>
        <v>9.1027119999999996E-6</v>
      </c>
    </row>
    <row r="287" spans="1:46" x14ac:dyDescent="0.25">
      <c r="A287" t="str">
        <f>IF(Summary_Exchange_Balances_00UTC!$B287="","",Summary_Exchange_Balances_00UTC!$N287)</f>
        <v>GALAXY</v>
      </c>
      <c r="B287" t="str">
        <f>IF(Summary_Exchange_Balances_00UTC!$B287="","",Summary_Exchange_Balances_00UTC!$B287)</f>
        <v>LEND-GACM</v>
      </c>
      <c r="C287" t="str">
        <f>IF(Summary_Exchange_Balances_00UTC!$B287="","",Summary_Exchange_Balances_00UTC!$E287)</f>
        <v>YFI</v>
      </c>
      <c r="D287" t="str">
        <f>IF(OR(Summary_Exchange_Balances_00UTC!$B287="",Summary_Exchange_Balances_00UTC!$D287=""),"",Summary_Exchange_Balances_00UTC!$D287)</f>
        <v/>
      </c>
      <c r="E287" s="53">
        <f>IF(Summary_Exchange_Balances_00UTC!$B287="","",Summary_Exchange_Balances_00UTC!$C287)</f>
        <v>4</v>
      </c>
      <c r="F287" s="53" t="e">
        <f>IF(Summary_Exchange_Balances_00UTC!$B287="","",VLOOKUP(UPPER($A287&amp;$C287),$L:$T,7,FALSE))</f>
        <v>#N/A</v>
      </c>
      <c r="G287" s="53" t="e">
        <f>IF(Summary_Exchange_Balances_00UTC!$B287="","",VLOOKUP(IF(ISERROR(SEARCH(" ", $B287)),UPPER($B287&amp;$C287&amp;$D287),UPPER(LEFT($B287, SEARCH(" ",$B287)-1)&amp;$C287&amp;$D287)),$M:$T,6,FALSE))</f>
        <v>#N/A</v>
      </c>
      <c r="H287">
        <f>IF(Summary_Exchange_Balances_00UTC!$B287="","",IF(ISERROR($G287),$E287,$G287))</f>
        <v>4</v>
      </c>
      <c r="I287" s="36" t="e">
        <f t="shared" si="12"/>
        <v>#N/A</v>
      </c>
      <c r="L287" t="str">
        <f t="shared" si="13"/>
        <v>HUBIZEC</v>
      </c>
      <c r="M287" t="str">
        <f t="shared" si="14"/>
        <v>HUBIZECTRADE</v>
      </c>
      <c r="N287" t="s">
        <v>412</v>
      </c>
      <c r="O287" t="s">
        <v>115</v>
      </c>
      <c r="P287" t="s">
        <v>425</v>
      </c>
      <c r="Q287" t="s">
        <v>426</v>
      </c>
      <c r="R287" s="43">
        <v>2.173E-4</v>
      </c>
      <c r="S287" t="s">
        <v>528</v>
      </c>
      <c r="T287">
        <v>1</v>
      </c>
      <c r="W287" t="s">
        <v>46</v>
      </c>
      <c r="X287" t="s">
        <v>15</v>
      </c>
      <c r="Y287" s="53">
        <v>116.49041591</v>
      </c>
      <c r="Z287">
        <v>0</v>
      </c>
      <c r="AS287" t="str">
        <f>IF(Summary_Exchange_Balances_00UTC!$B287="","","'"&amp;C287&amp;"',")</f>
        <v>'YFI',</v>
      </c>
      <c r="AT287">
        <f>IF(Summary_Exchange_Balances_00UTC!$B287="","",IF(ISERROR(HLOOKUP($C287,$AW$1:$LL$2,2,FALSE)),Summary_Exchange_Balances_00UTC!$Q287,IF(OR(HLOOKUP($C287,$AW$1:$LL$2,2,FALSE)="",HLOOKUP($C287,$AW$1:$LL$2,2,FALSE)="null"),Summary_Exchange_Balances_00UTC!$Q287,HLOOKUP($C287,$AW$1:$LL$2,2,FALSE))))</f>
        <v>6065.0834999999997</v>
      </c>
    </row>
    <row r="288" spans="1:46" x14ac:dyDescent="0.25">
      <c r="A288" t="str">
        <f>IF(Summary_Exchange_Balances_00UTC!$B288="","",Summary_Exchange_Balances_00UTC!$N288)</f>
        <v>LMAC</v>
      </c>
      <c r="B288" t="str">
        <f>IF(Summary_Exchange_Balances_00UTC!$B288="","",Summary_Exchange_Balances_00UTC!$B288)</f>
        <v>LMAC</v>
      </c>
      <c r="C288" t="str">
        <f>IF(Summary_Exchange_Balances_00UTC!$B288="","",Summary_Exchange_Balances_00UTC!$E288)</f>
        <v>ETH</v>
      </c>
      <c r="D288" t="str">
        <f>IF(OR(Summary_Exchange_Balances_00UTC!$B288="",Summary_Exchange_Balances_00UTC!$D288=""),"",Summary_Exchange_Balances_00UTC!$D288)</f>
        <v/>
      </c>
      <c r="E288" s="54">
        <f>IF(Summary_Exchange_Balances_00UTC!$B288="","",Summary_Exchange_Balances_00UTC!$C288)</f>
        <v>5.0000000000000001E-4</v>
      </c>
      <c r="F288" s="53">
        <f>IF(Summary_Exchange_Balances_00UTC!$B288="","",VLOOKUP(UPPER($A288&amp;$C288),$L:$T,7,FALSE))</f>
        <v>5.0000000000000001E-4</v>
      </c>
      <c r="G288" s="53">
        <f>IF(Summary_Exchange_Balances_00UTC!$B288="","",VLOOKUP(IF(ISERROR(SEARCH(" ", $B288)),UPPER($B288&amp;$C288&amp;$D288),UPPER(LEFT($B288, SEARCH(" ",$B288)-1)&amp;$C288&amp;$D288)),$M:$T,6,FALSE))</f>
        <v>5.0000000000000001E-4</v>
      </c>
      <c r="H288">
        <f>IF(Summary_Exchange_Balances_00UTC!$B288="","",IF(ISERROR($G288),$E288,$G288))</f>
        <v>5.0000000000000001E-4</v>
      </c>
      <c r="I288" s="36">
        <f t="shared" si="12"/>
        <v>0</v>
      </c>
      <c r="L288" t="str">
        <f t="shared" si="13"/>
        <v>HUBIZIL</v>
      </c>
      <c r="M288" t="str">
        <f t="shared" si="14"/>
        <v>HUBIZILFROZEN</v>
      </c>
      <c r="N288" t="s">
        <v>413</v>
      </c>
      <c r="O288" t="s">
        <v>115</v>
      </c>
      <c r="P288" t="s">
        <v>425</v>
      </c>
      <c r="Q288" t="s">
        <v>429</v>
      </c>
      <c r="R288" s="43">
        <v>6320</v>
      </c>
      <c r="S288" t="s">
        <v>528</v>
      </c>
      <c r="T288">
        <v>1</v>
      </c>
      <c r="W288" t="s">
        <v>46</v>
      </c>
      <c r="X288" t="s">
        <v>15</v>
      </c>
      <c r="Y288" s="54">
        <v>-9.9421561700000005</v>
      </c>
      <c r="Z288">
        <v>0</v>
      </c>
      <c r="AS288" t="str">
        <f>IF(Summary_Exchange_Balances_00UTC!$B288="","","'"&amp;C288&amp;"',")</f>
        <v>'ETH',</v>
      </c>
      <c r="AT288">
        <f>IF(Summary_Exchange_Balances_00UTC!$B288="","",IF(ISERROR(HLOOKUP($C288,$AW$1:$LL$2,2,FALSE)),Summary_Exchange_Balances_00UTC!$Q288,IF(OR(HLOOKUP($C288,$AW$1:$LL$2,2,FALSE)="",HLOOKUP($C288,$AW$1:$LL$2,2,FALSE)="null"),Summary_Exchange_Balances_00UTC!$Q288,HLOOKUP($C288,$AW$1:$LL$2,2,FALSE))))</f>
        <v>1208.73</v>
      </c>
    </row>
    <row r="289" spans="1:46" x14ac:dyDescent="0.25">
      <c r="A289" t="str">
        <f>IF(Summary_Exchange_Balances_00UTC!$B289="","",Summary_Exchange_Balances_00UTC!$N289)</f>
        <v>LMAC</v>
      </c>
      <c r="B289" t="str">
        <f>IF(Summary_Exchange_Balances_00UTC!$B289="","",Summary_Exchange_Balances_00UTC!$B289)</f>
        <v>LMAC</v>
      </c>
      <c r="C289" t="str">
        <f>IF(Summary_Exchange_Balances_00UTC!$B289="","",Summary_Exchange_Balances_00UTC!$E289)</f>
        <v>USD</v>
      </c>
      <c r="D289" t="str">
        <f>IF(OR(Summary_Exchange_Balances_00UTC!$B289="",Summary_Exchange_Balances_00UTC!$D289=""),"",Summary_Exchange_Balances_00UTC!$D289)</f>
        <v/>
      </c>
      <c r="E289" s="53">
        <f>IF(Summary_Exchange_Balances_00UTC!$B289="","",Summary_Exchange_Balances_00UTC!$C289)</f>
        <v>2.63E-3</v>
      </c>
      <c r="F289" s="53">
        <f>IF(Summary_Exchange_Balances_00UTC!$B289="","",VLOOKUP(UPPER($A289&amp;$C289),$L:$T,7,FALSE))</f>
        <v>2.63E-3</v>
      </c>
      <c r="G289" s="53">
        <f>IF(Summary_Exchange_Balances_00UTC!$B289="","",VLOOKUP(IF(ISERROR(SEARCH(" ", $B289)),UPPER($B289&amp;$C289&amp;$D289),UPPER(LEFT($B289, SEARCH(" ",$B289)-1)&amp;$C289&amp;$D289)),$M:$T,6,FALSE))</f>
        <v>2.63E-3</v>
      </c>
      <c r="H289">
        <f>IF(Summary_Exchange_Balances_00UTC!$B289="","",IF(ISERROR($G289),$E289,$G289))</f>
        <v>2.63E-3</v>
      </c>
      <c r="I289" s="36">
        <f t="shared" si="12"/>
        <v>0</v>
      </c>
      <c r="L289" t="str">
        <f t="shared" si="13"/>
        <v>HUBIZIL</v>
      </c>
      <c r="M289" t="str">
        <f t="shared" si="14"/>
        <v>HUBIZILTRADE</v>
      </c>
      <c r="N289" t="s">
        <v>413</v>
      </c>
      <c r="O289" t="s">
        <v>115</v>
      </c>
      <c r="P289" t="s">
        <v>425</v>
      </c>
      <c r="Q289" t="s">
        <v>426</v>
      </c>
      <c r="R289" s="43">
        <v>19490630.665394101</v>
      </c>
      <c r="S289" t="s">
        <v>528</v>
      </c>
      <c r="T289">
        <v>1</v>
      </c>
      <c r="W289" t="s">
        <v>46</v>
      </c>
      <c r="X289" t="s">
        <v>24</v>
      </c>
      <c r="Y289" s="53">
        <v>147536.53602641</v>
      </c>
      <c r="Z289">
        <v>0</v>
      </c>
      <c r="AC289"/>
      <c r="AD289"/>
      <c r="AS289" t="str">
        <f>IF(Summary_Exchange_Balances_00UTC!$B289="","","'"&amp;C289&amp;"',")</f>
        <v>'USD',</v>
      </c>
      <c r="AT289">
        <f>IF(Summary_Exchange_Balances_00UTC!$B289="","",IF(ISERROR(HLOOKUP($C289,$AW$1:$LL$2,2,FALSE)),Summary_Exchange_Balances_00UTC!$Q289,IF(OR(HLOOKUP($C289,$AW$1:$LL$2,2,FALSE)="",HLOOKUP($C289,$AW$1:$LL$2,2,FALSE)="null"),Summary_Exchange_Balances_00UTC!$Q289,HLOOKUP($C289,$AW$1:$LL$2,2,FALSE))))</f>
        <v>1</v>
      </c>
    </row>
    <row r="290" spans="1:46" x14ac:dyDescent="0.25">
      <c r="A290" t="str">
        <f>IF(Summary_Exchange_Balances_00UTC!$B290="","",Summary_Exchange_Balances_00UTC!$N290)</f>
        <v>LMAX</v>
      </c>
      <c r="B290" t="str">
        <f>IF(Summary_Exchange_Balances_00UTC!$B290="","",Summary_Exchange_Balances_00UTC!$B290)</f>
        <v>LMAX</v>
      </c>
      <c r="C290" t="str">
        <f>IF(Summary_Exchange_Balances_00UTC!$B290="","",Summary_Exchange_Balances_00UTC!$E290)</f>
        <v>USD</v>
      </c>
      <c r="D290" t="str">
        <f>IF(OR(Summary_Exchange_Balances_00UTC!$B290="",Summary_Exchange_Balances_00UTC!$D290=""),"",Summary_Exchange_Balances_00UTC!$D290)</f>
        <v/>
      </c>
      <c r="E290" s="54">
        <f>IF(Summary_Exchange_Balances_00UTC!$B290="","",Summary_Exchange_Balances_00UTC!$C290)</f>
        <v>10137.885630000001</v>
      </c>
      <c r="F290" s="53">
        <f>IF(Summary_Exchange_Balances_00UTC!$B290="","",VLOOKUP(UPPER($A290&amp;$C290),$L:$T,7,FALSE))</f>
        <v>10138.86563</v>
      </c>
      <c r="G290" s="53">
        <f>IF(Summary_Exchange_Balances_00UTC!$B290="","",VLOOKUP(IF(ISERROR(SEARCH(" ", $B290)),UPPER($B290&amp;$C290&amp;$D290),UPPER(LEFT($B290, SEARCH(" ",$B290)-1)&amp;$C290&amp;$D290)),$M:$T,6,FALSE))</f>
        <v>10138.86563</v>
      </c>
      <c r="H290">
        <f>IF(Summary_Exchange_Balances_00UTC!$B290="","",IF(ISERROR($G290),$E290,$G290))</f>
        <v>10138.86563</v>
      </c>
      <c r="I290" s="36">
        <f t="shared" si="12"/>
        <v>9.6667099606997971E-5</v>
      </c>
      <c r="L290" t="str">
        <f t="shared" si="13"/>
        <v>KRKEBCH</v>
      </c>
      <c r="M290" t="str">
        <f t="shared" si="14"/>
        <v>KRKEBCH</v>
      </c>
      <c r="N290" t="s">
        <v>21</v>
      </c>
      <c r="O290" t="s">
        <v>170</v>
      </c>
      <c r="P290" t="s">
        <v>170</v>
      </c>
      <c r="R290" s="43">
        <v>1.7695412699999999</v>
      </c>
      <c r="S290" t="s">
        <v>531</v>
      </c>
      <c r="T290">
        <v>1</v>
      </c>
      <c r="W290" t="s">
        <v>46</v>
      </c>
      <c r="X290" t="s">
        <v>16</v>
      </c>
      <c r="Y290" s="54">
        <v>2.6927651300000002</v>
      </c>
      <c r="Z290">
        <v>0</v>
      </c>
      <c r="AC290"/>
      <c r="AD290"/>
      <c r="AS290" t="str">
        <f>IF(Summary_Exchange_Balances_00UTC!$B290="","","'"&amp;C290&amp;"',")</f>
        <v>'USD',</v>
      </c>
      <c r="AT290">
        <f>IF(Summary_Exchange_Balances_00UTC!$B290="","",IF(ISERROR(HLOOKUP($C290,$AW$1:$LL$2,2,FALSE)),Summary_Exchange_Balances_00UTC!$Q290,IF(OR(HLOOKUP($C290,$AW$1:$LL$2,2,FALSE)="",HLOOKUP($C290,$AW$1:$LL$2,2,FALSE)="null"),Summary_Exchange_Balances_00UTC!$Q290,HLOOKUP($C290,$AW$1:$LL$2,2,FALSE))))</f>
        <v>1</v>
      </c>
    </row>
    <row r="291" spans="1:46" x14ac:dyDescent="0.25">
      <c r="A291" t="str">
        <f>IF(Summary_Exchange_Balances_00UTC!$B291="","",Summary_Exchange_Balances_00UTC!$N291)</f>
        <v>OKEX</v>
      </c>
      <c r="B291" t="str">
        <f>IF(Summary_Exchange_Balances_00UTC!$B291="","",Summary_Exchange_Balances_00UTC!$B291)</f>
        <v>OKEX-2-S1</v>
      </c>
      <c r="C291" t="str">
        <f>IF(Summary_Exchange_Balances_00UTC!$B291="","",Summary_Exchange_Balances_00UTC!$E291)</f>
        <v>BTC</v>
      </c>
      <c r="D291" t="str">
        <f>IF(OR(Summary_Exchange_Balances_00UTC!$B291="",Summary_Exchange_Balances_00UTC!$D291=""),"",Summary_Exchange_Balances_00UTC!$D291)</f>
        <v>Balance</v>
      </c>
      <c r="E291" s="53">
        <f>IF(Summary_Exchange_Balances_00UTC!$B291="","",Summary_Exchange_Balances_00UTC!$C291)</f>
        <v>8.9691284600000003</v>
      </c>
      <c r="F291" s="53">
        <f>IF(Summary_Exchange_Balances_00UTC!$B291="","",VLOOKUP(UPPER($A291&amp;$C291),$L:$T,7,FALSE))</f>
        <v>78.344304512737295</v>
      </c>
      <c r="G291" s="53">
        <f>IF(Summary_Exchange_Balances_00UTC!$B291="","",VLOOKUP(IF(ISERROR(SEARCH(" ", $B291)),UPPER($B291&amp;$C291&amp;$D291),UPPER(LEFT($B291, SEARCH(" ",$B291)-1)&amp;$C291&amp;$D291)),$M:$T,6,FALSE))</f>
        <v>162.57325213757201</v>
      </c>
      <c r="H291">
        <f>IF(Summary_Exchange_Balances_00UTC!$B291="","",IF(ISERROR($G291),$E291,$G291))</f>
        <v>162.57325213757201</v>
      </c>
      <c r="I291" s="36">
        <f t="shared" si="12"/>
        <v>17.125869515929757</v>
      </c>
      <c r="L291" t="str">
        <f t="shared" si="13"/>
        <v>KRKEBTC</v>
      </c>
      <c r="M291" t="str">
        <f t="shared" si="14"/>
        <v>KRKEBTC</v>
      </c>
      <c r="N291" t="s">
        <v>15</v>
      </c>
      <c r="O291" t="s">
        <v>170</v>
      </c>
      <c r="P291" t="s">
        <v>170</v>
      </c>
      <c r="R291" s="43">
        <v>1.8847761800000001E-2</v>
      </c>
      <c r="S291" t="s">
        <v>532</v>
      </c>
      <c r="T291">
        <v>1</v>
      </c>
      <c r="W291" t="s">
        <v>46</v>
      </c>
      <c r="X291" t="s">
        <v>25</v>
      </c>
      <c r="Y291" s="53">
        <v>3634.88810483</v>
      </c>
      <c r="Z291">
        <v>0</v>
      </c>
      <c r="AC291"/>
      <c r="AD291"/>
      <c r="AS291" t="str">
        <f>IF(Summary_Exchange_Balances_00UTC!$B291="","","'"&amp;C291&amp;"',")</f>
        <v>'BTC',</v>
      </c>
      <c r="AT291">
        <f>IF(Summary_Exchange_Balances_00UTC!$B291="","",IF(ISERROR(HLOOKUP($C291,$AW$1:$LL$2,2,FALSE)),Summary_Exchange_Balances_00UTC!$Q291,IF(OR(HLOOKUP($C291,$AW$1:$LL$2,2,FALSE)="",HLOOKUP($C291,$AW$1:$LL$2,2,FALSE)="null"),Summary_Exchange_Balances_00UTC!$Q291,HLOOKUP($C291,$AW$1:$LL$2,2,FALSE))))</f>
        <v>16719.740000000002</v>
      </c>
    </row>
    <row r="292" spans="1:46" x14ac:dyDescent="0.25">
      <c r="A292" t="str">
        <f>IF(Summary_Exchange_Balances_00UTC!$B292="","",Summary_Exchange_Balances_00UTC!$N292)</f>
        <v>OKEX</v>
      </c>
      <c r="B292" t="str">
        <f>IF(Summary_Exchange_Balances_00UTC!$B292="","",Summary_Exchange_Balances_00UTC!$B292)</f>
        <v>OKEX-2-S1</v>
      </c>
      <c r="C292" t="str">
        <f>IF(Summary_Exchange_Balances_00UTC!$B292="","",Summary_Exchange_Balances_00UTC!$E292)</f>
        <v>BTC</v>
      </c>
      <c r="D292" t="str">
        <f>IF(OR(Summary_Exchange_Balances_00UTC!$B292="",Summary_Exchange_Balances_00UTC!$D292=""),"",Summary_Exchange_Balances_00UTC!$D292)</f>
        <v>Unrealized</v>
      </c>
      <c r="E292" s="54">
        <f>IF(Summary_Exchange_Balances_00UTC!$B292="","",Summary_Exchange_Balances_00UTC!$C292)</f>
        <v>0.25889719999999999</v>
      </c>
      <c r="F292" s="53">
        <f>IF(Summary_Exchange_Balances_00UTC!$B292="","",VLOOKUP(UPPER($A292&amp;$C292),$L:$T,7,FALSE))</f>
        <v>78.344304512737295</v>
      </c>
      <c r="G292" s="53">
        <f>IF(Summary_Exchange_Balances_00UTC!$B292="","",VLOOKUP(IF(ISERROR(SEARCH(" ", $B292)),UPPER($B292&amp;$C292&amp;$D292),UPPER(LEFT($B292, SEARCH(" ",$B292)-1)&amp;$C292&amp;$D292)),$M:$T,6,FALSE))</f>
        <v>3.6325539326192899</v>
      </c>
      <c r="H292">
        <f>IF(Summary_Exchange_Balances_00UTC!$B292="","",IF(ISERROR($G292),$E292,$G292))</f>
        <v>3.6325539326192899</v>
      </c>
      <c r="I292" s="36">
        <f t="shared" si="12"/>
        <v>13.030873770049618</v>
      </c>
      <c r="L292" t="str">
        <f t="shared" si="13"/>
        <v>KRKEDOT</v>
      </c>
      <c r="M292" t="str">
        <f t="shared" si="14"/>
        <v>KRKEDOT</v>
      </c>
      <c r="N292" t="s">
        <v>23</v>
      </c>
      <c r="O292" t="s">
        <v>170</v>
      </c>
      <c r="P292" t="s">
        <v>170</v>
      </c>
      <c r="R292" s="43">
        <v>34.99992563</v>
      </c>
      <c r="S292" t="s">
        <v>500</v>
      </c>
      <c r="T292">
        <v>1</v>
      </c>
      <c r="W292" t="s">
        <v>46</v>
      </c>
      <c r="X292" t="s">
        <v>25</v>
      </c>
      <c r="Y292" s="54">
        <v>1.4073850000000001E-2</v>
      </c>
      <c r="Z292">
        <v>0</v>
      </c>
      <c r="AC292"/>
      <c r="AD292"/>
      <c r="AS292" t="str">
        <f>IF(Summary_Exchange_Balances_00UTC!$B292="","","'"&amp;C292&amp;"',")</f>
        <v>'BTC',</v>
      </c>
      <c r="AT292">
        <f>IF(Summary_Exchange_Balances_00UTC!$B292="","",IF(ISERROR(HLOOKUP($C292,$AW$1:$LL$2,2,FALSE)),Summary_Exchange_Balances_00UTC!$Q292,IF(OR(HLOOKUP($C292,$AW$1:$LL$2,2,FALSE)="",HLOOKUP($C292,$AW$1:$LL$2,2,FALSE)="null"),Summary_Exchange_Balances_00UTC!$Q292,HLOOKUP($C292,$AW$1:$LL$2,2,FALSE))))</f>
        <v>16719.740000000002</v>
      </c>
    </row>
    <row r="293" spans="1:46" x14ac:dyDescent="0.25">
      <c r="A293" t="str">
        <f>IF(Summary_Exchange_Balances_00UTC!$B293="","",Summary_Exchange_Balances_00UTC!$N293)</f>
        <v>OKEX</v>
      </c>
      <c r="B293" t="str">
        <f>IF(Summary_Exchange_Balances_00UTC!$B293="","",Summary_Exchange_Balances_00UTC!$B293)</f>
        <v>OKEX-2-S1</v>
      </c>
      <c r="C293" t="str">
        <f>IF(Summary_Exchange_Balances_00UTC!$B293="","",Summary_Exchange_Balances_00UTC!$E293)</f>
        <v>ETH</v>
      </c>
      <c r="D293" t="str">
        <f>IF(OR(Summary_Exchange_Balances_00UTC!$B293="",Summary_Exchange_Balances_00UTC!$D293=""),"",Summary_Exchange_Balances_00UTC!$D293)</f>
        <v>Balance</v>
      </c>
      <c r="E293" s="53">
        <f>IF(Summary_Exchange_Balances_00UTC!$B293="","",Summary_Exchange_Balances_00UTC!$C293)</f>
        <v>20.316267499999999</v>
      </c>
      <c r="F293" s="53">
        <f>IF(Summary_Exchange_Balances_00UTC!$B293="","",VLOOKUP(UPPER($A293&amp;$C293),$L:$T,7,FALSE))</f>
        <v>3799.38488821597</v>
      </c>
      <c r="G293" s="53">
        <f>IF(Summary_Exchange_Balances_00UTC!$B293="","",VLOOKUP(IF(ISERROR(SEARCH(" ", $B293)),UPPER($B293&amp;$C293&amp;$D293),UPPER(LEFT($B293, SEARCH(" ",$B293)-1)&amp;$C293&amp;$D293)),$M:$T,6,FALSE))</f>
        <v>3799.38488821597</v>
      </c>
      <c r="H293">
        <f>IF(Summary_Exchange_Balances_00UTC!$B293="","",IF(ISERROR($G293),$E293,$G293))</f>
        <v>3799.38488821597</v>
      </c>
      <c r="I293" s="36">
        <f t="shared" si="12"/>
        <v>186.01195424877972</v>
      </c>
      <c r="L293" t="str">
        <f t="shared" si="13"/>
        <v>KRKEEOS</v>
      </c>
      <c r="M293" t="str">
        <f t="shared" si="14"/>
        <v>KRKEEOS</v>
      </c>
      <c r="N293" t="s">
        <v>24</v>
      </c>
      <c r="O293" s="29" t="s">
        <v>170</v>
      </c>
      <c r="P293" t="s">
        <v>170</v>
      </c>
      <c r="R293" s="43">
        <v>9.9499194400000004</v>
      </c>
      <c r="S293" t="s">
        <v>533</v>
      </c>
      <c r="T293">
        <v>1</v>
      </c>
      <c r="W293" t="s">
        <v>46</v>
      </c>
      <c r="X293" t="s">
        <v>92</v>
      </c>
      <c r="Y293" s="53">
        <v>387813.07240811997</v>
      </c>
      <c r="Z293">
        <v>0</v>
      </c>
      <c r="AC293"/>
      <c r="AD293"/>
      <c r="AS293" t="str">
        <f>IF(Summary_Exchange_Balances_00UTC!$B293="","","'"&amp;C293&amp;"',")</f>
        <v>'ETH',</v>
      </c>
      <c r="AT293">
        <f>IF(Summary_Exchange_Balances_00UTC!$B293="","",IF(ISERROR(HLOOKUP($C293,$AW$1:$LL$2,2,FALSE)),Summary_Exchange_Balances_00UTC!$Q293,IF(OR(HLOOKUP($C293,$AW$1:$LL$2,2,FALSE)="",HLOOKUP($C293,$AW$1:$LL$2,2,FALSE)="null"),Summary_Exchange_Balances_00UTC!$Q293,HLOOKUP($C293,$AW$1:$LL$2,2,FALSE))))</f>
        <v>1208.73</v>
      </c>
    </row>
    <row r="294" spans="1:46" x14ac:dyDescent="0.25">
      <c r="A294" t="str">
        <f>IF(Summary_Exchange_Balances_00UTC!$B294="","",Summary_Exchange_Balances_00UTC!$N294)</f>
        <v>OKEX</v>
      </c>
      <c r="B294" t="str">
        <f>IF(Summary_Exchange_Balances_00UTC!$B294="","",Summary_Exchange_Balances_00UTC!$B294)</f>
        <v>OKEX-2-S1</v>
      </c>
      <c r="C294" t="str">
        <f>IF(Summary_Exchange_Balances_00UTC!$B294="","",Summary_Exchange_Balances_00UTC!$E294)</f>
        <v>ETH</v>
      </c>
      <c r="D294" t="str">
        <f>IF(OR(Summary_Exchange_Balances_00UTC!$B294="",Summary_Exchange_Balances_00UTC!$D294=""),"",Summary_Exchange_Balances_00UTC!$D294)</f>
        <v>Unrealized</v>
      </c>
      <c r="E294" s="54">
        <f>IF(Summary_Exchange_Balances_00UTC!$B294="","",Summary_Exchange_Balances_00UTC!$C294)</f>
        <v>-0.27192326</v>
      </c>
      <c r="F294" s="53">
        <f>IF(Summary_Exchange_Balances_00UTC!$B294="","",VLOOKUP(UPPER($A294&amp;$C294),$L:$T,7,FALSE))</f>
        <v>3799.38488821597</v>
      </c>
      <c r="G294" s="53">
        <f>IF(Summary_Exchange_Balances_00UTC!$B294="","",VLOOKUP(IF(ISERROR(SEARCH(" ", $B294)),UPPER($B294&amp;$C294&amp;$D294),UPPER(LEFT($B294, SEARCH(" ",$B294)-1)&amp;$C294&amp;$D294)),$M:$T,6,FALSE))</f>
        <v>116.916391131802</v>
      </c>
      <c r="H294">
        <f>IF(Summary_Exchange_Balances_00UTC!$B294="","",IF(ISERROR($G294),$E294,$G294))</f>
        <v>116.916391131802</v>
      </c>
      <c r="I294" s="36">
        <f t="shared" si="12"/>
        <v>-430.96097918141317</v>
      </c>
      <c r="L294" t="str">
        <f t="shared" si="13"/>
        <v>KRKEETH</v>
      </c>
      <c r="M294" t="str">
        <f t="shared" si="14"/>
        <v>KRKEETH</v>
      </c>
      <c r="N294" t="s">
        <v>16</v>
      </c>
      <c r="O294" t="s">
        <v>170</v>
      </c>
      <c r="P294" t="s">
        <v>170</v>
      </c>
      <c r="R294" s="43">
        <v>3.4037359600000001</v>
      </c>
      <c r="S294" t="s">
        <v>420</v>
      </c>
      <c r="T294">
        <v>1</v>
      </c>
      <c r="W294" t="s">
        <v>46</v>
      </c>
      <c r="X294" t="s">
        <v>39</v>
      </c>
      <c r="Y294" s="54">
        <v>45993374.128806897</v>
      </c>
      <c r="Z294">
        <v>0</v>
      </c>
      <c r="AC294"/>
      <c r="AD294"/>
      <c r="AS294" t="str">
        <f>IF(Summary_Exchange_Balances_00UTC!$B294="","","'"&amp;C294&amp;"',")</f>
        <v>'ETH',</v>
      </c>
      <c r="AT294">
        <f>IF(Summary_Exchange_Balances_00UTC!$B294="","",IF(ISERROR(HLOOKUP($C294,$AW$1:$LL$2,2,FALSE)),Summary_Exchange_Balances_00UTC!$Q294,IF(OR(HLOOKUP($C294,$AW$1:$LL$2,2,FALSE)="",HLOOKUP($C294,$AW$1:$LL$2,2,FALSE)="null"),Summary_Exchange_Balances_00UTC!$Q294,HLOOKUP($C294,$AW$1:$LL$2,2,FALSE))))</f>
        <v>1208.73</v>
      </c>
    </row>
    <row r="295" spans="1:46" x14ac:dyDescent="0.25">
      <c r="A295" t="str">
        <f>IF(Summary_Exchange_Balances_00UTC!$B295="","",Summary_Exchange_Balances_00UTC!$N295)</f>
        <v>OKEX</v>
      </c>
      <c r="B295" t="str">
        <f>IF(Summary_Exchange_Balances_00UTC!$B295="","",Summary_Exchange_Balances_00UTC!$B295)</f>
        <v>OKEX-2-S1</v>
      </c>
      <c r="C295" t="str">
        <f>IF(Summary_Exchange_Balances_00UTC!$B295="","",Summary_Exchange_Balances_00UTC!$E295)</f>
        <v>XRP</v>
      </c>
      <c r="D295" t="str">
        <f>IF(OR(Summary_Exchange_Balances_00UTC!$B295="",Summary_Exchange_Balances_00UTC!$D295=""),"",Summary_Exchange_Balances_00UTC!$D295)</f>
        <v>Balance</v>
      </c>
      <c r="E295" s="54">
        <f>IF(Summary_Exchange_Balances_00UTC!$B295="","",Summary_Exchange_Balances_00UTC!$C295)</f>
        <v>0.44933625999999999</v>
      </c>
      <c r="F295" s="53">
        <f>IF(Summary_Exchange_Balances_00UTC!$B295="","",VLOOKUP(UPPER($A295&amp;$C295),$L:$T,7,FALSE))</f>
        <v>0.44933626032875401</v>
      </c>
      <c r="G295" s="53">
        <f>IF(Summary_Exchange_Balances_00UTC!$B295="","",VLOOKUP(IF(ISERROR(SEARCH(" ", $B295)),UPPER($B295&amp;$C295&amp;$D295),UPPER(LEFT($B295, SEARCH(" ",$B295)-1)&amp;$C295&amp;$D295)),$M:$T,6,FALSE))</f>
        <v>0.44933626032875401</v>
      </c>
      <c r="H295">
        <f>IF(Summary_Exchange_Balances_00UTC!$B295="","",IF(ISERROR($G295),$E295,$G295))</f>
        <v>0.44933626032875401</v>
      </c>
      <c r="I295" s="36">
        <f t="shared" si="12"/>
        <v>7.3164365591992422E-10</v>
      </c>
      <c r="L295" t="str">
        <f t="shared" si="13"/>
        <v>KRKEKSM</v>
      </c>
      <c r="M295" t="str">
        <f t="shared" si="14"/>
        <v>KRKEKSM</v>
      </c>
      <c r="N295" t="s">
        <v>44</v>
      </c>
      <c r="O295" t="s">
        <v>170</v>
      </c>
      <c r="P295" t="s">
        <v>170</v>
      </c>
      <c r="R295" s="43">
        <v>3.9966781</v>
      </c>
      <c r="S295" t="s">
        <v>504</v>
      </c>
      <c r="T295">
        <v>1</v>
      </c>
      <c r="W295" t="s">
        <v>46</v>
      </c>
      <c r="X295" t="s">
        <v>39</v>
      </c>
      <c r="Y295" s="54">
        <v>1411806.3795819699</v>
      </c>
      <c r="Z295">
        <v>0</v>
      </c>
      <c r="AC295"/>
      <c r="AD295"/>
      <c r="AS295" t="str">
        <f>IF(Summary_Exchange_Balances_00UTC!$B295="","","'"&amp;C295&amp;"',")</f>
        <v>'XRP',</v>
      </c>
      <c r="AT295">
        <f>IF(Summary_Exchange_Balances_00UTC!$B295="","",IF(ISERROR(HLOOKUP($C295,$AW$1:$LL$2,2,FALSE)),Summary_Exchange_Balances_00UTC!$Q295,IF(OR(HLOOKUP($C295,$AW$1:$LL$2,2,FALSE)="",HLOOKUP($C295,$AW$1:$LL$2,2,FALSE)="null"),Summary_Exchange_Balances_00UTC!$Q295,HLOOKUP($C295,$AW$1:$LL$2,2,FALSE))))</f>
        <v>0.38471588000000001</v>
      </c>
    </row>
    <row r="296" spans="1:46" x14ac:dyDescent="0.25">
      <c r="A296" t="str">
        <f>IF(Summary_Exchange_Balances_00UTC!$B296="","",Summary_Exchange_Balances_00UTC!$N296)</f>
        <v>OKEX</v>
      </c>
      <c r="B296" t="str">
        <f>IF(Summary_Exchange_Balances_00UTC!$B296="","",Summary_Exchange_Balances_00UTC!$B296)</f>
        <v>OKEX-2-S2</v>
      </c>
      <c r="C296" t="str">
        <f>IF(Summary_Exchange_Balances_00UTC!$B296="","",Summary_Exchange_Balances_00UTC!$E296)</f>
        <v>BTC</v>
      </c>
      <c r="D296" t="str">
        <f>IF(OR(Summary_Exchange_Balances_00UTC!$B296="",Summary_Exchange_Balances_00UTC!$D296=""),"",Summary_Exchange_Balances_00UTC!$D296)</f>
        <v>Balance</v>
      </c>
      <c r="E296" s="54">
        <f>IF(Summary_Exchange_Balances_00UTC!$B296="","",Summary_Exchange_Balances_00UTC!$C296)</f>
        <v>5.0953451200000002</v>
      </c>
      <c r="F296" s="53">
        <f>IF(Summary_Exchange_Balances_00UTC!$B296="","",VLOOKUP(UPPER($A296&amp;$C296),$L:$T,7,FALSE))</f>
        <v>78.344304512737295</v>
      </c>
      <c r="G296" s="53">
        <f>IF(Summary_Exchange_Balances_00UTC!$B296="","",VLOOKUP(IF(ISERROR(SEARCH(" ", $B296)),UPPER($B296&amp;$C296&amp;$D296),UPPER(LEFT($B296, SEARCH(" ",$B296)-1)&amp;$C296&amp;$D296)),$M:$T,6,FALSE))</f>
        <v>78.344304512737295</v>
      </c>
      <c r="H296">
        <f>IF(Summary_Exchange_Balances_00UTC!$B296="","",IF(ISERROR($G296),$E296,$G296))</f>
        <v>78.344304512737295</v>
      </c>
      <c r="I296" s="36">
        <f t="shared" si="12"/>
        <v>14.375662034201383</v>
      </c>
      <c r="L296" t="str">
        <f t="shared" si="13"/>
        <v>KRKELTC</v>
      </c>
      <c r="M296" t="str">
        <f t="shared" si="14"/>
        <v>KRKELTC</v>
      </c>
      <c r="N296" t="s">
        <v>25</v>
      </c>
      <c r="O296" t="s">
        <v>170</v>
      </c>
      <c r="P296" t="s">
        <v>170</v>
      </c>
      <c r="R296" s="43">
        <v>9.1421368100000002</v>
      </c>
      <c r="S296" t="s">
        <v>531</v>
      </c>
      <c r="T296">
        <v>1</v>
      </c>
      <c r="W296" t="s">
        <v>46</v>
      </c>
      <c r="X296" t="s">
        <v>102</v>
      </c>
      <c r="Y296" s="54">
        <v>2875.5411443900002</v>
      </c>
      <c r="Z296">
        <v>0</v>
      </c>
      <c r="AC296"/>
      <c r="AD296"/>
      <c r="AS296" t="str">
        <f>IF(Summary_Exchange_Balances_00UTC!$B296="","","'"&amp;C296&amp;"',")</f>
        <v>'BTC',</v>
      </c>
      <c r="AT296">
        <f>IF(Summary_Exchange_Balances_00UTC!$B296="","",IF(ISERROR(HLOOKUP($C296,$AW$1:$LL$2,2,FALSE)),Summary_Exchange_Balances_00UTC!$Q296,IF(OR(HLOOKUP($C296,$AW$1:$LL$2,2,FALSE)="",HLOOKUP($C296,$AW$1:$LL$2,2,FALSE)="null"),Summary_Exchange_Balances_00UTC!$Q296,HLOOKUP($C296,$AW$1:$LL$2,2,FALSE))))</f>
        <v>16719.740000000002</v>
      </c>
    </row>
    <row r="297" spans="1:46" x14ac:dyDescent="0.25">
      <c r="A297" t="str">
        <f>IF(Summary_Exchange_Balances_00UTC!$B297="","",Summary_Exchange_Balances_00UTC!$N297)</f>
        <v>OKEX</v>
      </c>
      <c r="B297" t="str">
        <f>IF(Summary_Exchange_Balances_00UTC!$B297="","",Summary_Exchange_Balances_00UTC!$B297)</f>
        <v>OKEX-2-S2</v>
      </c>
      <c r="C297" t="str">
        <f>IF(Summary_Exchange_Balances_00UTC!$B297="","",Summary_Exchange_Balances_00UTC!$E297)</f>
        <v>BTC</v>
      </c>
      <c r="D297" t="str">
        <f>IF(OR(Summary_Exchange_Balances_00UTC!$B297="",Summary_Exchange_Balances_00UTC!$D297=""),"",Summary_Exchange_Balances_00UTC!$D297)</f>
        <v>Unrealized</v>
      </c>
      <c r="E297" s="53">
        <f>IF(Summary_Exchange_Balances_00UTC!$B297="","",Summary_Exchange_Balances_00UTC!$C297)</f>
        <v>7.7485E-4</v>
      </c>
      <c r="F297" s="53">
        <f>IF(Summary_Exchange_Balances_00UTC!$B297="","",VLOOKUP(UPPER($A297&amp;$C297),$L:$T,7,FALSE))</f>
        <v>78.344304512737295</v>
      </c>
      <c r="G297" s="53">
        <f>IF(Summary_Exchange_Balances_00UTC!$B297="","",VLOOKUP(IF(ISERROR(SEARCH(" ", $B297)),UPPER($B297&amp;$C297&amp;$D297),UPPER(LEFT($B297, SEARCH(" ",$B297)-1)&amp;$C297&amp;$D297)),$M:$T,6,FALSE))</f>
        <v>-0.67489584571495698</v>
      </c>
      <c r="H297">
        <f>IF(Summary_Exchange_Balances_00UTC!$B297="","",IF(ISERROR($G297),$E297,$G297))</f>
        <v>-0.67489584571495698</v>
      </c>
      <c r="I297" s="36">
        <f t="shared" si="12"/>
        <v>-872.00193032839513</v>
      </c>
      <c r="L297" t="str">
        <f t="shared" si="13"/>
        <v>KRKEOXT</v>
      </c>
      <c r="M297" t="str">
        <f t="shared" si="14"/>
        <v>KRKEOXT</v>
      </c>
      <c r="N297" t="s">
        <v>92</v>
      </c>
      <c r="O297" t="s">
        <v>170</v>
      </c>
      <c r="P297" t="s">
        <v>170</v>
      </c>
      <c r="R297" s="43">
        <v>830251.81683887995</v>
      </c>
      <c r="S297" t="s">
        <v>532</v>
      </c>
      <c r="T297">
        <v>1</v>
      </c>
      <c r="W297" t="s">
        <v>46</v>
      </c>
      <c r="X297" t="s">
        <v>27</v>
      </c>
      <c r="Y297" s="53">
        <v>1325303.8365750101</v>
      </c>
      <c r="Z297">
        <v>0</v>
      </c>
      <c r="AC297"/>
      <c r="AD297"/>
      <c r="AS297" t="str">
        <f>IF(Summary_Exchange_Balances_00UTC!$B297="","","'"&amp;C297&amp;"',")</f>
        <v>'BTC',</v>
      </c>
      <c r="AT297">
        <f>IF(Summary_Exchange_Balances_00UTC!$B297="","",IF(ISERROR(HLOOKUP($C297,$AW$1:$LL$2,2,FALSE)),Summary_Exchange_Balances_00UTC!$Q297,IF(OR(HLOOKUP($C297,$AW$1:$LL$2,2,FALSE)="",HLOOKUP($C297,$AW$1:$LL$2,2,FALSE)="null"),Summary_Exchange_Balances_00UTC!$Q297,HLOOKUP($C297,$AW$1:$LL$2,2,FALSE))))</f>
        <v>16719.740000000002</v>
      </c>
    </row>
    <row r="298" spans="1:46" x14ac:dyDescent="0.25">
      <c r="A298" t="str">
        <f>IF(Summary_Exchange_Balances_00UTC!$B298="","",Summary_Exchange_Balances_00UTC!$N298)</f>
        <v>OKEX</v>
      </c>
      <c r="B298" t="str">
        <f>IF(Summary_Exchange_Balances_00UTC!$B298="","",Summary_Exchange_Balances_00UTC!$B298)</f>
        <v>OKEX-2-S2</v>
      </c>
      <c r="C298" t="str">
        <f>IF(Summary_Exchange_Balances_00UTC!$B298="","",Summary_Exchange_Balances_00UTC!$E298)</f>
        <v>ETH</v>
      </c>
      <c r="D298" t="str">
        <f>IF(OR(Summary_Exchange_Balances_00UTC!$B298="",Summary_Exchange_Balances_00UTC!$D298=""),"",Summary_Exchange_Balances_00UTC!$D298)</f>
        <v>Balance</v>
      </c>
      <c r="E298" s="53">
        <f>IF(Summary_Exchange_Balances_00UTC!$B298="","",Summary_Exchange_Balances_00UTC!$C298)</f>
        <v>10</v>
      </c>
      <c r="F298" s="53">
        <f>IF(Summary_Exchange_Balances_00UTC!$B298="","",VLOOKUP(UPPER($A298&amp;$C298),$L:$T,7,FALSE))</f>
        <v>3799.38488821597</v>
      </c>
      <c r="G298" s="53">
        <f>IF(Summary_Exchange_Balances_00UTC!$B298="","",VLOOKUP(IF(ISERROR(SEARCH(" ", $B298)),UPPER($B298&amp;$C298&amp;$D298),UPPER(LEFT($B298, SEARCH(" ",$B298)-1)&amp;$C298&amp;$D298)),$M:$T,6,FALSE))</f>
        <v>150</v>
      </c>
      <c r="H298">
        <f>IF(Summary_Exchange_Balances_00UTC!$B298="","",IF(ISERROR($G298),$E298,$G298))</f>
        <v>150</v>
      </c>
      <c r="I298" s="36">
        <f t="shared" si="12"/>
        <v>14</v>
      </c>
      <c r="L298" t="str">
        <f t="shared" si="13"/>
        <v>KRKESGB</v>
      </c>
      <c r="M298" t="str">
        <f t="shared" si="14"/>
        <v>KRKESGB</v>
      </c>
      <c r="N298" t="s">
        <v>101</v>
      </c>
      <c r="O298" t="s">
        <v>170</v>
      </c>
      <c r="P298" t="s">
        <v>170</v>
      </c>
      <c r="R298" s="43">
        <v>0.10834547999999999</v>
      </c>
      <c r="S298" t="s">
        <v>534</v>
      </c>
      <c r="T298">
        <v>1</v>
      </c>
      <c r="W298" t="s">
        <v>46</v>
      </c>
      <c r="X298" t="s">
        <v>116</v>
      </c>
      <c r="Y298" s="53">
        <v>0.86729455</v>
      </c>
      <c r="Z298">
        <v>0</v>
      </c>
      <c r="AC298"/>
      <c r="AD298"/>
      <c r="AS298" t="str">
        <f>IF(Summary_Exchange_Balances_00UTC!$B298="","","'"&amp;C298&amp;"',")</f>
        <v>'ETH',</v>
      </c>
      <c r="AT298">
        <f>IF(Summary_Exchange_Balances_00UTC!$B298="","",IF(ISERROR(HLOOKUP($C298,$AW$1:$LL$2,2,FALSE)),Summary_Exchange_Balances_00UTC!$Q298,IF(OR(HLOOKUP($C298,$AW$1:$LL$2,2,FALSE)="",HLOOKUP($C298,$AW$1:$LL$2,2,FALSE)="null"),Summary_Exchange_Balances_00UTC!$Q298,HLOOKUP($C298,$AW$1:$LL$2,2,FALSE))))</f>
        <v>1208.73</v>
      </c>
    </row>
    <row r="299" spans="1:46" x14ac:dyDescent="0.25">
      <c r="A299" t="str">
        <f>IF(Summary_Exchange_Balances_00UTC!$B299="","",Summary_Exchange_Balances_00UTC!$N299)</f>
        <v>OKEX</v>
      </c>
      <c r="B299" t="str">
        <f>IF(Summary_Exchange_Balances_00UTC!$B299="","",Summary_Exchange_Balances_00UTC!$B299)</f>
        <v>OKEX-2-S2</v>
      </c>
      <c r="C299" t="str">
        <f>IF(Summary_Exchange_Balances_00UTC!$B299="","",Summary_Exchange_Balances_00UTC!$E299)</f>
        <v>USDT</v>
      </c>
      <c r="D299" t="str">
        <f>IF(OR(Summary_Exchange_Balances_00UTC!$B299="",Summary_Exchange_Balances_00UTC!$D299=""),"",Summary_Exchange_Balances_00UTC!$D299)</f>
        <v>Balance</v>
      </c>
      <c r="E299" s="53">
        <f>IF(Summary_Exchange_Balances_00UTC!$B299="","",Summary_Exchange_Balances_00UTC!$C299)</f>
        <v>237486.28396321001</v>
      </c>
      <c r="F299" s="53">
        <f>IF(Summary_Exchange_Balances_00UTC!$B299="","",VLOOKUP(UPPER($A299&amp;$C299),$L:$T,7,FALSE))</f>
        <v>239659.97105781399</v>
      </c>
      <c r="G299" s="53">
        <f>IF(Summary_Exchange_Balances_00UTC!$B299="","",VLOOKUP(IF(ISERROR(SEARCH(" ", $B299)),UPPER($B299&amp;$C299&amp;$D299),UPPER(LEFT($B299, SEARCH(" ",$B299)-1)&amp;$C299&amp;$D299)),$M:$T,6,FALSE))</f>
        <v>7120958.4019327797</v>
      </c>
      <c r="H299">
        <f>IF(Summary_Exchange_Balances_00UTC!$B299="","",IF(ISERROR($G299),$E299,$G299))</f>
        <v>7120958.4019327797</v>
      </c>
      <c r="I299" s="36">
        <f t="shared" si="12"/>
        <v>28.984714414226623</v>
      </c>
      <c r="L299" t="str">
        <f t="shared" si="13"/>
        <v>KRKEUSD</v>
      </c>
      <c r="M299" t="str">
        <f t="shared" si="14"/>
        <v>KRKEUSD</v>
      </c>
      <c r="N299" t="s">
        <v>98</v>
      </c>
      <c r="O299" t="s">
        <v>170</v>
      </c>
      <c r="P299" t="s">
        <v>170</v>
      </c>
      <c r="R299" s="43">
        <v>116117.0119</v>
      </c>
      <c r="S299" t="s">
        <v>531</v>
      </c>
      <c r="T299">
        <v>1</v>
      </c>
      <c r="W299" t="s">
        <v>46</v>
      </c>
      <c r="X299" t="s">
        <v>15</v>
      </c>
      <c r="Y299" s="53">
        <v>105</v>
      </c>
      <c r="Z299">
        <v>0</v>
      </c>
      <c r="AC299"/>
      <c r="AD299"/>
      <c r="AS299" t="str">
        <f>IF(Summary_Exchange_Balances_00UTC!$B299="","","'"&amp;C299&amp;"',")</f>
        <v>'USDT',</v>
      </c>
      <c r="AT299">
        <f>IF(Summary_Exchange_Balances_00UTC!$B299="","",IF(ISERROR(HLOOKUP($C299,$AW$1:$LL$2,2,FALSE)),Summary_Exchange_Balances_00UTC!$Q299,IF(OR(HLOOKUP($C299,$AW$1:$LL$2,2,FALSE)="",HLOOKUP($C299,$AW$1:$LL$2,2,FALSE)="null"),Summary_Exchange_Balances_00UTC!$Q299,HLOOKUP($C299,$AW$1:$LL$2,2,FALSE))))</f>
        <v>1.0001054103245341</v>
      </c>
    </row>
    <row r="300" spans="1:46" x14ac:dyDescent="0.25">
      <c r="A300" t="str">
        <f>IF(Summary_Exchange_Balances_00UTC!$B300="","",Summary_Exchange_Balances_00UTC!$N300)</f>
        <v>OKEX</v>
      </c>
      <c r="B300" t="str">
        <f>IF(Summary_Exchange_Balances_00UTC!$B300="","",Summary_Exchange_Balances_00UTC!$B300)</f>
        <v>OKEX-2-S2</v>
      </c>
      <c r="C300" t="str">
        <f>IF(Summary_Exchange_Balances_00UTC!$B300="","",Summary_Exchange_Balances_00UTC!$E300)</f>
        <v>USDT</v>
      </c>
      <c r="D300" t="str">
        <f>IF(OR(Summary_Exchange_Balances_00UTC!$B300="",Summary_Exchange_Balances_00UTC!$D300=""),"",Summary_Exchange_Balances_00UTC!$D300)</f>
        <v>Unrealized</v>
      </c>
      <c r="E300" s="53">
        <f>IF(Summary_Exchange_Balances_00UTC!$B300="","",Summary_Exchange_Balances_00UTC!$C300)</f>
        <v>-8464.4245849700001</v>
      </c>
      <c r="F300" s="53">
        <f>IF(Summary_Exchange_Balances_00UTC!$B300="","",VLOOKUP(UPPER($A300&amp;$C300),$L:$T,7,FALSE))</f>
        <v>239659.97105781399</v>
      </c>
      <c r="G300" s="53">
        <f>IF(Summary_Exchange_Balances_00UTC!$B300="","",VLOOKUP(IF(ISERROR(SEARCH(" ", $B300)),UPPER($B300&amp;$C300&amp;$D300),UPPER(LEFT($B300, SEARCH(" ",$B300)-1)&amp;$C300&amp;$D300)),$M:$T,6,FALSE))</f>
        <v>252190.00148474899</v>
      </c>
      <c r="H300">
        <f>IF(Summary_Exchange_Balances_00UTC!$B300="","",IF(ISERROR($G300),$E300,$G300))</f>
        <v>252190.00148474899</v>
      </c>
      <c r="I300" s="36">
        <f t="shared" si="12"/>
        <v>-30.794110509597363</v>
      </c>
      <c r="L300" t="str">
        <f t="shared" si="13"/>
        <v>KRKEUSDT</v>
      </c>
      <c r="M300" t="str">
        <f t="shared" si="14"/>
        <v>KRKEUSDT</v>
      </c>
      <c r="N300" t="s">
        <v>39</v>
      </c>
      <c r="O300" t="s">
        <v>170</v>
      </c>
      <c r="P300" t="s">
        <v>170</v>
      </c>
      <c r="R300" s="43">
        <v>1.182861E-2</v>
      </c>
      <c r="S300" t="s">
        <v>535</v>
      </c>
      <c r="T300">
        <v>1</v>
      </c>
      <c r="W300" t="s">
        <v>46</v>
      </c>
      <c r="X300" t="s">
        <v>23</v>
      </c>
      <c r="Y300" s="53">
        <v>6.8575999999999999E-4</v>
      </c>
      <c r="Z300">
        <v>0</v>
      </c>
      <c r="AC300"/>
      <c r="AD300"/>
      <c r="AS300" t="str">
        <f>IF(Summary_Exchange_Balances_00UTC!$B300="","","'"&amp;C300&amp;"',")</f>
        <v>'USDT',</v>
      </c>
      <c r="AT300">
        <f>IF(Summary_Exchange_Balances_00UTC!$B300="","",IF(ISERROR(HLOOKUP($C300,$AW$1:$LL$2,2,FALSE)),Summary_Exchange_Balances_00UTC!$Q300,IF(OR(HLOOKUP($C300,$AW$1:$LL$2,2,FALSE)="",HLOOKUP($C300,$AW$1:$LL$2,2,FALSE)="null"),Summary_Exchange_Balances_00UTC!$Q300,HLOOKUP($C300,$AW$1:$LL$2,2,FALSE))))</f>
        <v>1.000105410324537</v>
      </c>
    </row>
    <row r="301" spans="1:46" x14ac:dyDescent="0.25">
      <c r="A301" t="str">
        <f>IF(Summary_Exchange_Balances_00UTC!$B301="","",Summary_Exchange_Balances_00UTC!$N301)</f>
        <v>OKEX</v>
      </c>
      <c r="B301" t="str">
        <f>IF(Summary_Exchange_Balances_00UTC!$B301="","",Summary_Exchange_Balances_00UTC!$B301)</f>
        <v>OKEX-2-S3</v>
      </c>
      <c r="C301" t="str">
        <f>IF(Summary_Exchange_Balances_00UTC!$B301="","",Summary_Exchange_Balances_00UTC!$E301)</f>
        <v>BTC</v>
      </c>
      <c r="D301" t="str">
        <f>IF(OR(Summary_Exchange_Balances_00UTC!$B301="",Summary_Exchange_Balances_00UTC!$D301=""),"",Summary_Exchange_Balances_00UTC!$D301)</f>
        <v>Balance</v>
      </c>
      <c r="E301" s="53">
        <f>IF(Summary_Exchange_Balances_00UTC!$B301="","",Summary_Exchange_Balances_00UTC!$C301)</f>
        <v>4.2557053800000002</v>
      </c>
      <c r="F301" s="53">
        <f>IF(Summary_Exchange_Balances_00UTC!$B301="","",VLOOKUP(UPPER($A301&amp;$C301),$L:$T,7,FALSE))</f>
        <v>78.344304512737295</v>
      </c>
      <c r="G301" s="53" t="e">
        <f>IF(Summary_Exchange_Balances_00UTC!$B301="","",VLOOKUP(IF(ISERROR(SEARCH(" ", $B301)),UPPER($B301&amp;$C301&amp;$D301),UPPER(LEFT($B301, SEARCH(" ",$B301)-1)&amp;$C301&amp;$D301)),$M:$T,6,FALSE))</f>
        <v>#N/A</v>
      </c>
      <c r="H301">
        <f>IF(Summary_Exchange_Balances_00UTC!$B301="","",IF(ISERROR($G301),$E301,$G301))</f>
        <v>4.2557053800000002</v>
      </c>
      <c r="I301" s="36" t="e">
        <f t="shared" si="12"/>
        <v>#N/A</v>
      </c>
      <c r="L301" t="str">
        <f t="shared" si="13"/>
        <v>KRKEXLM</v>
      </c>
      <c r="M301" t="str">
        <f t="shared" si="14"/>
        <v>KRKEXLM</v>
      </c>
      <c r="N301" t="s">
        <v>166</v>
      </c>
      <c r="O301" t="s">
        <v>170</v>
      </c>
      <c r="P301" t="s">
        <v>170</v>
      </c>
      <c r="R301" s="43">
        <v>8.93329E-3</v>
      </c>
      <c r="S301" t="s">
        <v>421</v>
      </c>
      <c r="T301">
        <v>1</v>
      </c>
      <c r="W301" t="s">
        <v>46</v>
      </c>
      <c r="X301" t="s">
        <v>16</v>
      </c>
      <c r="Y301" s="53">
        <v>7.2000000000000005E-4</v>
      </c>
      <c r="Z301">
        <v>0</v>
      </c>
      <c r="AC301"/>
      <c r="AD301"/>
      <c r="AS301" t="str">
        <f>IF(Summary_Exchange_Balances_00UTC!$B301="","","'"&amp;C301&amp;"',")</f>
        <v>'BTC',</v>
      </c>
      <c r="AT301">
        <f>IF(Summary_Exchange_Balances_00UTC!$B301="","",IF(ISERROR(HLOOKUP($C301,$AW$1:$LL$2,2,FALSE)),Summary_Exchange_Balances_00UTC!$Q301,IF(OR(HLOOKUP($C301,$AW$1:$LL$2,2,FALSE)="",HLOOKUP($C301,$AW$1:$LL$2,2,FALSE)="null"),Summary_Exchange_Balances_00UTC!$Q301,HLOOKUP($C301,$AW$1:$LL$2,2,FALSE))))</f>
        <v>16719.740000000002</v>
      </c>
    </row>
    <row r="302" spans="1:46" x14ac:dyDescent="0.25">
      <c r="A302" t="str">
        <f>IF(Summary_Exchange_Balances_00UTC!$B302="","",Summary_Exchange_Balances_00UTC!$N302)</f>
        <v>OKEX</v>
      </c>
      <c r="B302" t="str">
        <f>IF(Summary_Exchange_Balances_00UTC!$B302="","",Summary_Exchange_Balances_00UTC!$B302)</f>
        <v>OKEX-2-S3</v>
      </c>
      <c r="C302" t="str">
        <f>IF(Summary_Exchange_Balances_00UTC!$B302="","",Summary_Exchange_Balances_00UTC!$E302)</f>
        <v>USDT</v>
      </c>
      <c r="D302" t="str">
        <f>IF(OR(Summary_Exchange_Balances_00UTC!$B302="",Summary_Exchange_Balances_00UTC!$D302=""),"",Summary_Exchange_Balances_00UTC!$D302)</f>
        <v>Unrealized</v>
      </c>
      <c r="E302" s="53">
        <f>IF(Summary_Exchange_Balances_00UTC!$B302="","",Summary_Exchange_Balances_00UTC!$C302)</f>
        <v>-18052.890061800001</v>
      </c>
      <c r="F302" s="53">
        <f>IF(Summary_Exchange_Balances_00UTC!$B302="","",VLOOKUP(UPPER($A302&amp;$C302),$L:$T,7,FALSE))</f>
        <v>239659.97105781399</v>
      </c>
      <c r="G302" s="53" t="e">
        <f>IF(Summary_Exchange_Balances_00UTC!$B302="","",VLOOKUP(IF(ISERROR(SEARCH(" ", $B302)),UPPER($B302&amp;$C302&amp;$D302),UPPER(LEFT($B302, SEARCH(" ",$B302)-1)&amp;$C302&amp;$D302)),$M:$T,6,FALSE))</f>
        <v>#N/A</v>
      </c>
      <c r="H302">
        <f>IF(Summary_Exchange_Balances_00UTC!$B302="","",IF(ISERROR($G302),$E302,$G302))</f>
        <v>-18052.890061800001</v>
      </c>
      <c r="I302" s="36" t="e">
        <f t="shared" si="12"/>
        <v>#N/A</v>
      </c>
      <c r="L302" t="str">
        <f t="shared" si="13"/>
        <v>KRKEXRP</v>
      </c>
      <c r="M302" t="str">
        <f t="shared" si="14"/>
        <v>KRKEXRP</v>
      </c>
      <c r="N302" t="s">
        <v>102</v>
      </c>
      <c r="O302" t="s">
        <v>170</v>
      </c>
      <c r="P302" t="s">
        <v>170</v>
      </c>
      <c r="R302" s="43">
        <v>0.71704489000000005</v>
      </c>
      <c r="S302" t="s">
        <v>501</v>
      </c>
      <c r="T302">
        <v>1</v>
      </c>
      <c r="W302" t="s">
        <v>46</v>
      </c>
      <c r="X302" t="s">
        <v>275</v>
      </c>
      <c r="Y302" s="53">
        <v>8.7929999999999993E-5</v>
      </c>
      <c r="Z302">
        <v>0</v>
      </c>
      <c r="AC302"/>
      <c r="AD302"/>
      <c r="AS302" t="str">
        <f>IF(Summary_Exchange_Balances_00UTC!$B302="","","'"&amp;C302&amp;"',")</f>
        <v>'USDT',</v>
      </c>
      <c r="AT302">
        <f>IF(Summary_Exchange_Balances_00UTC!$B302="","",IF(ISERROR(HLOOKUP($C302,$AW$1:$LL$2,2,FALSE)),Summary_Exchange_Balances_00UTC!$Q302,IF(OR(HLOOKUP($C302,$AW$1:$LL$2,2,FALSE)="",HLOOKUP($C302,$AW$1:$LL$2,2,FALSE)="null"),Summary_Exchange_Balances_00UTC!$Q302,HLOOKUP($C302,$AW$1:$LL$2,2,FALSE))))</f>
        <v>1.0001054103245346</v>
      </c>
    </row>
    <row r="303" spans="1:46" x14ac:dyDescent="0.25">
      <c r="A303" t="str">
        <f>IF(Summary_Exchange_Balances_00UTC!$B303="","",Summary_Exchange_Balances_00UTC!$N303)</f>
        <v>OKEX</v>
      </c>
      <c r="B303" t="str">
        <f>IF(Summary_Exchange_Balances_00UTC!$B303="","",Summary_Exchange_Balances_00UTC!$B303)</f>
        <v>OKEX-2-M</v>
      </c>
      <c r="C303" t="str">
        <f>IF(Summary_Exchange_Balances_00UTC!$B303="","",Summary_Exchange_Balances_00UTC!$E303)</f>
        <v>BTC</v>
      </c>
      <c r="D303" t="str">
        <f>IF(OR(Summary_Exchange_Balances_00UTC!$B303="",Summary_Exchange_Balances_00UTC!$D303=""),"",Summary_Exchange_Balances_00UTC!$D303)</f>
        <v>Balance</v>
      </c>
      <c r="E303" s="53">
        <f>IF(Summary_Exchange_Balances_00UTC!$B303="","",Summary_Exchange_Balances_00UTC!$C303)</f>
        <v>764.01100843999996</v>
      </c>
      <c r="F303" s="53">
        <f>IF(Summary_Exchange_Balances_00UTC!$B303="","",VLOOKUP(UPPER($A303&amp;$C303),$L:$T,7,FALSE))</f>
        <v>78.344304512737295</v>
      </c>
      <c r="G303" s="53" t="e">
        <f>IF(Summary_Exchange_Balances_00UTC!$B303="","",VLOOKUP(IF(ISERROR(SEARCH(" ", $B303)),UPPER($B303&amp;$C303&amp;$D303),UPPER(LEFT($B303, SEARCH(" ",$B303)-1)&amp;$C303&amp;$D303)),$M:$T,6,FALSE))</f>
        <v>#N/A</v>
      </c>
      <c r="H303">
        <f>IF(Summary_Exchange_Balances_00UTC!$B303="","",IF(ISERROR($G303),$E303,$G303))</f>
        <v>764.01100843999996</v>
      </c>
      <c r="I303" s="36" t="e">
        <f t="shared" si="12"/>
        <v>#N/A</v>
      </c>
      <c r="L303" t="str">
        <f t="shared" si="13"/>
        <v>LMACBCH</v>
      </c>
      <c r="M303" t="str">
        <f t="shared" si="14"/>
        <v>LMACBCH</v>
      </c>
      <c r="N303" t="s">
        <v>21</v>
      </c>
      <c r="O303" t="s">
        <v>175</v>
      </c>
      <c r="P303" t="s">
        <v>175</v>
      </c>
      <c r="R303" s="43">
        <v>0.1</v>
      </c>
      <c r="S303" t="s">
        <v>422</v>
      </c>
      <c r="T303">
        <v>1</v>
      </c>
      <c r="W303" t="s">
        <v>46</v>
      </c>
      <c r="X303" t="s">
        <v>28</v>
      </c>
      <c r="Y303" s="53">
        <v>7.5870867500000001</v>
      </c>
      <c r="Z303">
        <v>0</v>
      </c>
      <c r="AC303"/>
      <c r="AD303"/>
      <c r="AS303" t="str">
        <f>IF(Summary_Exchange_Balances_00UTC!$B303="","","'"&amp;C303&amp;"',")</f>
        <v>'BTC',</v>
      </c>
      <c r="AT303">
        <f>IF(Summary_Exchange_Balances_00UTC!$B303="","",IF(ISERROR(HLOOKUP($C303,$AW$1:$LL$2,2,FALSE)),Summary_Exchange_Balances_00UTC!$Q303,IF(OR(HLOOKUP($C303,$AW$1:$LL$2,2,FALSE)="",HLOOKUP($C303,$AW$1:$LL$2,2,FALSE)="null"),Summary_Exchange_Balances_00UTC!$Q303,HLOOKUP($C303,$AW$1:$LL$2,2,FALSE))))</f>
        <v>16719.740000000002</v>
      </c>
    </row>
    <row r="304" spans="1:46" x14ac:dyDescent="0.25">
      <c r="A304" t="str">
        <f>IF(Summary_Exchange_Balances_00UTC!$B304="","",Summary_Exchange_Balances_00UTC!$N304)</f>
        <v>OKEX</v>
      </c>
      <c r="B304" t="str">
        <f>IF(Summary_Exchange_Balances_00UTC!$B304="","",Summary_Exchange_Balances_00UTC!$B304)</f>
        <v>OKEX-2-M</v>
      </c>
      <c r="C304" t="str">
        <f>IF(Summary_Exchange_Balances_00UTC!$B304="","",Summary_Exchange_Balances_00UTC!$E304)</f>
        <v>BTC</v>
      </c>
      <c r="D304" t="str">
        <f>IF(OR(Summary_Exchange_Balances_00UTC!$B304="",Summary_Exchange_Balances_00UTC!$D304=""),"",Summary_Exchange_Balances_00UTC!$D304)</f>
        <v>Unrealized</v>
      </c>
      <c r="E304" s="54">
        <f>IF(Summary_Exchange_Balances_00UTC!$B304="","",Summary_Exchange_Balances_00UTC!$C304)</f>
        <v>1.3770048500000001</v>
      </c>
      <c r="F304" s="53">
        <f>IF(Summary_Exchange_Balances_00UTC!$B304="","",VLOOKUP(UPPER($A304&amp;$C304),$L:$T,7,FALSE))</f>
        <v>78.344304512737295</v>
      </c>
      <c r="G304" s="53">
        <f>IF(Summary_Exchange_Balances_00UTC!$B304="","",VLOOKUP(IF(ISERROR(SEARCH(" ", $B304)),UPPER($B304&amp;$C304&amp;$D304),UPPER(LEFT($B304, SEARCH(" ",$B304)-1)&amp;$C304&amp;$D304)),$M:$T,6,FALSE))</f>
        <v>0.170663284855152</v>
      </c>
      <c r="H304">
        <f>IF(Summary_Exchange_Balances_00UTC!$B304="","",IF(ISERROR($G304),$E304,$G304))</f>
        <v>0.170663284855152</v>
      </c>
      <c r="I304" s="36">
        <f t="shared" si="12"/>
        <v>-0.87606195805690013</v>
      </c>
      <c r="L304" t="str">
        <f t="shared" si="13"/>
        <v>LMACBTC</v>
      </c>
      <c r="M304" t="str">
        <f t="shared" si="14"/>
        <v>LMACBTC</v>
      </c>
      <c r="N304" t="s">
        <v>15</v>
      </c>
      <c r="O304" t="s">
        <v>175</v>
      </c>
      <c r="P304" t="s">
        <v>175</v>
      </c>
      <c r="R304" s="43">
        <v>7.4249999999999998</v>
      </c>
      <c r="S304" t="s">
        <v>536</v>
      </c>
      <c r="T304">
        <v>1</v>
      </c>
      <c r="W304" t="s">
        <v>46</v>
      </c>
      <c r="X304" t="s">
        <v>38</v>
      </c>
      <c r="Y304" s="54">
        <v>8.1457000000000003E-4</v>
      </c>
      <c r="Z304">
        <v>0</v>
      </c>
      <c r="AC304"/>
      <c r="AD304"/>
      <c r="AS304" t="str">
        <f>IF(Summary_Exchange_Balances_00UTC!$B304="","","'"&amp;C304&amp;"',")</f>
        <v>'BTC',</v>
      </c>
      <c r="AT304">
        <f>IF(Summary_Exchange_Balances_00UTC!$B304="","",IF(ISERROR(HLOOKUP($C304,$AW$1:$LL$2,2,FALSE)),Summary_Exchange_Balances_00UTC!$Q304,IF(OR(HLOOKUP($C304,$AW$1:$LL$2,2,FALSE)="",HLOOKUP($C304,$AW$1:$LL$2,2,FALSE)="null"),Summary_Exchange_Balances_00UTC!$Q304,HLOOKUP($C304,$AW$1:$LL$2,2,FALSE))))</f>
        <v>16719.740000000002</v>
      </c>
    </row>
    <row r="305" spans="1:46" x14ac:dyDescent="0.25">
      <c r="A305" t="str">
        <f>IF(Summary_Exchange_Balances_00UTC!$B305="","",Summary_Exchange_Balances_00UTC!$N305)</f>
        <v>OKEX</v>
      </c>
      <c r="B305" t="str">
        <f>IF(Summary_Exchange_Balances_00UTC!$B305="","",Summary_Exchange_Balances_00UTC!$B305)</f>
        <v>OKEX-2-M</v>
      </c>
      <c r="C305" t="str">
        <f>IF(Summary_Exchange_Balances_00UTC!$B305="","",Summary_Exchange_Balances_00UTC!$E305)</f>
        <v>EOS</v>
      </c>
      <c r="D305" t="str">
        <f>IF(OR(Summary_Exchange_Balances_00UTC!$B305="",Summary_Exchange_Balances_00UTC!$D305=""),"",Summary_Exchange_Balances_00UTC!$D305)</f>
        <v>Balance</v>
      </c>
      <c r="E305" s="54">
        <f>IF(Summary_Exchange_Balances_00UTC!$B305="","",Summary_Exchange_Balances_00UTC!$C305)</f>
        <v>38721.420911499998</v>
      </c>
      <c r="F305" s="53">
        <f>IF(Summary_Exchange_Balances_00UTC!$B305="","",VLOOKUP(UPPER($A305&amp;$C305),$L:$T,7,FALSE))</f>
        <v>130592.876106934</v>
      </c>
      <c r="G305" s="53" t="e">
        <f>IF(Summary_Exchange_Balances_00UTC!$B305="","",VLOOKUP(IF(ISERROR(SEARCH(" ", $B305)),UPPER($B305&amp;$C305&amp;$D305),UPPER(LEFT($B305, SEARCH(" ",$B305)-1)&amp;$C305&amp;$D305)),$M:$T,6,FALSE))</f>
        <v>#N/A</v>
      </c>
      <c r="H305">
        <f>IF(Summary_Exchange_Balances_00UTC!$B305="","",IF(ISERROR($G305),$E305,$G305))</f>
        <v>38721.420911499998</v>
      </c>
      <c r="I305" s="36" t="e">
        <f t="shared" si="12"/>
        <v>#N/A</v>
      </c>
      <c r="L305" t="str">
        <f t="shared" si="13"/>
        <v>LMACETH</v>
      </c>
      <c r="M305" t="str">
        <f t="shared" si="14"/>
        <v>LMACETH</v>
      </c>
      <c r="N305" t="s">
        <v>16</v>
      </c>
      <c r="O305" t="s">
        <v>175</v>
      </c>
      <c r="P305" t="s">
        <v>175</v>
      </c>
      <c r="R305" s="43">
        <v>5.0000000000000001E-4</v>
      </c>
      <c r="S305" t="s">
        <v>536</v>
      </c>
      <c r="T305">
        <v>1</v>
      </c>
      <c r="W305" t="s">
        <v>46</v>
      </c>
      <c r="X305" t="s">
        <v>39</v>
      </c>
      <c r="Y305" s="54">
        <v>6.3999999999999997E-5</v>
      </c>
      <c r="Z305">
        <v>0</v>
      </c>
      <c r="AC305"/>
      <c r="AD305"/>
      <c r="AS305" t="str">
        <f>IF(Summary_Exchange_Balances_00UTC!$B305="","","'"&amp;C305&amp;"',")</f>
        <v>'EOS',</v>
      </c>
      <c r="AT305">
        <f>IF(Summary_Exchange_Balances_00UTC!$B305="","",IF(ISERROR(HLOOKUP($C305,$AW$1:$LL$2,2,FALSE)),Summary_Exchange_Balances_00UTC!$Q305,IF(OR(HLOOKUP($C305,$AW$1:$LL$2,2,FALSE)="",HLOOKUP($C305,$AW$1:$LL$2,2,FALSE)="null"),Summary_Exchange_Balances_00UTC!$Q305,HLOOKUP($C305,$AW$1:$LL$2,2,FALSE))))</f>
        <v>0.90154135000000002</v>
      </c>
    </row>
    <row r="306" spans="1:46" x14ac:dyDescent="0.25">
      <c r="A306" t="str">
        <f>IF(Summary_Exchange_Balances_00UTC!$B306="","",Summary_Exchange_Balances_00UTC!$N306)</f>
        <v>OKEX</v>
      </c>
      <c r="B306" t="str">
        <f>IF(Summary_Exchange_Balances_00UTC!$B306="","",Summary_Exchange_Balances_00UTC!$B306)</f>
        <v>OKEX-2-M</v>
      </c>
      <c r="C306" t="str">
        <f>IF(Summary_Exchange_Balances_00UTC!$B306="","",Summary_Exchange_Balances_00UTC!$E306)</f>
        <v>ETH</v>
      </c>
      <c r="D306" t="str">
        <f>IF(OR(Summary_Exchange_Balances_00UTC!$B306="",Summary_Exchange_Balances_00UTC!$D306=""),"",Summary_Exchange_Balances_00UTC!$D306)</f>
        <v>Balance</v>
      </c>
      <c r="E306" s="53">
        <f>IF(Summary_Exchange_Balances_00UTC!$B306="","",Summary_Exchange_Balances_00UTC!$C306)</f>
        <v>2557.3184111800001</v>
      </c>
      <c r="F306" s="53">
        <f>IF(Summary_Exchange_Balances_00UTC!$B306="","",VLOOKUP(UPPER($A306&amp;$C306),$L:$T,7,FALSE))</f>
        <v>3799.38488821597</v>
      </c>
      <c r="G306" s="53" t="e">
        <f>IF(Summary_Exchange_Balances_00UTC!$B306="","",VLOOKUP(IF(ISERROR(SEARCH(" ", $B306)),UPPER($B306&amp;$C306&amp;$D306),UPPER(LEFT($B306, SEARCH(" ",$B306)-1)&amp;$C306&amp;$D306)),$M:$T,6,FALSE))</f>
        <v>#N/A</v>
      </c>
      <c r="H306">
        <f>IF(Summary_Exchange_Balances_00UTC!$B306="","",IF(ISERROR($G306),$E306,$G306))</f>
        <v>2557.3184111800001</v>
      </c>
      <c r="I306" s="36" t="e">
        <f t="shared" si="12"/>
        <v>#N/A</v>
      </c>
      <c r="L306" t="str">
        <f t="shared" si="13"/>
        <v>LMACLTC</v>
      </c>
      <c r="M306" t="str">
        <f t="shared" si="14"/>
        <v>LMACLTC</v>
      </c>
      <c r="N306" t="s">
        <v>25</v>
      </c>
      <c r="O306" t="s">
        <v>175</v>
      </c>
      <c r="P306" t="s">
        <v>175</v>
      </c>
      <c r="R306" s="43">
        <v>914.82898999999998</v>
      </c>
      <c r="S306" t="s">
        <v>536</v>
      </c>
      <c r="T306">
        <v>1</v>
      </c>
      <c r="W306" t="s">
        <v>46</v>
      </c>
      <c r="X306" t="s">
        <v>165</v>
      </c>
      <c r="Y306" s="53">
        <v>5.47</v>
      </c>
      <c r="Z306">
        <v>0</v>
      </c>
      <c r="AC306"/>
      <c r="AD306"/>
      <c r="AS306" t="str">
        <f>IF(Summary_Exchange_Balances_00UTC!$B306="","","'"&amp;C306&amp;"',")</f>
        <v>'ETH',</v>
      </c>
      <c r="AT306">
        <f>IF(Summary_Exchange_Balances_00UTC!$B306="","",IF(ISERROR(HLOOKUP($C306,$AW$1:$LL$2,2,FALSE)),Summary_Exchange_Balances_00UTC!$Q306,IF(OR(HLOOKUP($C306,$AW$1:$LL$2,2,FALSE)="",HLOOKUP($C306,$AW$1:$LL$2,2,FALSE)="null"),Summary_Exchange_Balances_00UTC!$Q306,HLOOKUP($C306,$AW$1:$LL$2,2,FALSE))))</f>
        <v>1208.73</v>
      </c>
    </row>
    <row r="307" spans="1:46" x14ac:dyDescent="0.25">
      <c r="A307" t="str">
        <f>IF(Summary_Exchange_Balances_00UTC!$B307="","",Summary_Exchange_Balances_00UTC!$N307)</f>
        <v>OKEX</v>
      </c>
      <c r="B307" t="str">
        <f>IF(Summary_Exchange_Balances_00UTC!$B307="","",Summary_Exchange_Balances_00UTC!$B307)</f>
        <v>OKEX-2-M</v>
      </c>
      <c r="C307" t="str">
        <f>IF(Summary_Exchange_Balances_00UTC!$B307="","",Summary_Exchange_Balances_00UTC!$E307)</f>
        <v>ETH</v>
      </c>
      <c r="D307" t="str">
        <f>IF(OR(Summary_Exchange_Balances_00UTC!$B307="",Summary_Exchange_Balances_00UTC!$D307=""),"",Summary_Exchange_Balances_00UTC!$D307)</f>
        <v>Unrealized</v>
      </c>
      <c r="E307" s="54">
        <f>IF(Summary_Exchange_Balances_00UTC!$B307="","",Summary_Exchange_Balances_00UTC!$C307)</f>
        <v>-15.32692119</v>
      </c>
      <c r="F307" s="53">
        <f>IF(Summary_Exchange_Balances_00UTC!$B307="","",VLOOKUP(UPPER($A307&amp;$C307),$L:$T,7,FALSE))</f>
        <v>3799.38488821597</v>
      </c>
      <c r="G307" s="53">
        <f>IF(Summary_Exchange_Balances_00UTC!$B307="","",VLOOKUP(IF(ISERROR(SEARCH(" ", $B307)),UPPER($B307&amp;$C307&amp;$D307),UPPER(LEFT($B307, SEARCH(" ",$B307)-1)&amp;$C307&amp;$D307)),$M:$T,6,FALSE))</f>
        <v>-6.4922050880687099</v>
      </c>
      <c r="H307">
        <f>IF(Summary_Exchange_Balances_00UTC!$B307="","",IF(ISERROR($G307),$E307,$G307))</f>
        <v>-6.4922050880687099</v>
      </c>
      <c r="I307" s="36">
        <f t="shared" si="12"/>
        <v>-0.57641818551892032</v>
      </c>
      <c r="L307" t="str">
        <f t="shared" si="13"/>
        <v>LMACUSD</v>
      </c>
      <c r="M307" t="str">
        <f t="shared" si="14"/>
        <v>LMACUSD</v>
      </c>
      <c r="N307" t="s">
        <v>98</v>
      </c>
      <c r="O307" t="s">
        <v>175</v>
      </c>
      <c r="P307" t="s">
        <v>175</v>
      </c>
      <c r="R307" s="43">
        <v>2.63E-3</v>
      </c>
      <c r="S307" t="s">
        <v>536</v>
      </c>
      <c r="T307">
        <v>1</v>
      </c>
      <c r="W307" t="s">
        <v>46</v>
      </c>
      <c r="X307" t="s">
        <v>102</v>
      </c>
      <c r="Y307" s="54">
        <v>6.9987000000000001E-4</v>
      </c>
      <c r="Z307">
        <v>0</v>
      </c>
      <c r="AC307"/>
      <c r="AD307"/>
      <c r="AS307" t="str">
        <f>IF(Summary_Exchange_Balances_00UTC!$B307="","","'"&amp;C307&amp;"',")</f>
        <v>'ETH',</v>
      </c>
      <c r="AT307">
        <f>IF(Summary_Exchange_Balances_00UTC!$B307="","",IF(ISERROR(HLOOKUP($C307,$AW$1:$LL$2,2,FALSE)),Summary_Exchange_Balances_00UTC!$Q307,IF(OR(HLOOKUP($C307,$AW$1:$LL$2,2,FALSE)="",HLOOKUP($C307,$AW$1:$LL$2,2,FALSE)="null"),Summary_Exchange_Balances_00UTC!$Q307,HLOOKUP($C307,$AW$1:$LL$2,2,FALSE))))</f>
        <v>1208.73</v>
      </c>
    </row>
    <row r="308" spans="1:46" x14ac:dyDescent="0.25">
      <c r="A308" t="str">
        <f>IF(Summary_Exchange_Balances_00UTC!$B308="","",Summary_Exchange_Balances_00UTC!$N308)</f>
        <v>OKEX</v>
      </c>
      <c r="B308" t="str">
        <f>IF(Summary_Exchange_Balances_00UTC!$B308="","",Summary_Exchange_Balances_00UTC!$B308)</f>
        <v>OKEX-2-M</v>
      </c>
      <c r="C308" t="str">
        <f>IF(Summary_Exchange_Balances_00UTC!$B308="","",Summary_Exchange_Balances_00UTC!$E308)</f>
        <v>LTC</v>
      </c>
      <c r="D308" t="str">
        <f>IF(OR(Summary_Exchange_Balances_00UTC!$B308="",Summary_Exchange_Balances_00UTC!$D308=""),"",Summary_Exchange_Balances_00UTC!$D308)</f>
        <v>Balance</v>
      </c>
      <c r="E308" s="53">
        <f>IF(Summary_Exchange_Balances_00UTC!$B308="","",Summary_Exchange_Balances_00UTC!$C308)</f>
        <v>137.25004552999999</v>
      </c>
      <c r="F308" s="53">
        <f>IF(Summary_Exchange_Balances_00UTC!$B308="","",VLOOKUP(UPPER($A308&amp;$C308),$L:$T,7,FALSE))</f>
        <v>12.467970902777701</v>
      </c>
      <c r="G308" s="53" t="e">
        <f>IF(Summary_Exchange_Balances_00UTC!$B308="","",VLOOKUP(IF(ISERROR(SEARCH(" ", $B308)),UPPER($B308&amp;$C308&amp;$D308),UPPER(LEFT($B308, SEARCH(" ",$B308)-1)&amp;$C308&amp;$D308)),$M:$T,6,FALSE))</f>
        <v>#N/A</v>
      </c>
      <c r="H308">
        <f>IF(Summary_Exchange_Balances_00UTC!$B308="","",IF(ISERROR($G308),$E308,$G308))</f>
        <v>137.25004552999999</v>
      </c>
      <c r="I308" s="36" t="e">
        <f t="shared" si="12"/>
        <v>#N/A</v>
      </c>
      <c r="L308" t="str">
        <f t="shared" si="13"/>
        <v>LMACXRP</v>
      </c>
      <c r="M308" t="str">
        <f t="shared" si="14"/>
        <v>LMACXRP</v>
      </c>
      <c r="N308" t="s">
        <v>102</v>
      </c>
      <c r="O308" t="s">
        <v>175</v>
      </c>
      <c r="P308" t="s">
        <v>175</v>
      </c>
      <c r="R308" s="43">
        <v>493543</v>
      </c>
      <c r="S308" t="s">
        <v>536</v>
      </c>
      <c r="T308">
        <v>1</v>
      </c>
      <c r="W308" t="s">
        <v>179</v>
      </c>
      <c r="X308" t="s">
        <v>16</v>
      </c>
      <c r="Y308" s="53">
        <v>7.1361999999999999E-4</v>
      </c>
      <c r="Z308">
        <v>0</v>
      </c>
      <c r="AC308"/>
      <c r="AD308"/>
      <c r="AS308" t="str">
        <f>IF(Summary_Exchange_Balances_00UTC!$B308="","","'"&amp;C308&amp;"',")</f>
        <v>'LTC',</v>
      </c>
      <c r="AT308">
        <f>IF(Summary_Exchange_Balances_00UTC!$B308="","",IF(ISERROR(HLOOKUP($C308,$AW$1:$LL$2,2,FALSE)),Summary_Exchange_Balances_00UTC!$Q308,IF(OR(HLOOKUP($C308,$AW$1:$LL$2,2,FALSE)="",HLOOKUP($C308,$AW$1:$LL$2,2,FALSE)="null"),Summary_Exchange_Balances_00UTC!$Q308,HLOOKUP($C308,$AW$1:$LL$2,2,FALSE))))</f>
        <v>62.35</v>
      </c>
    </row>
    <row r="309" spans="1:46" x14ac:dyDescent="0.25">
      <c r="A309" t="str">
        <f>IF(Summary_Exchange_Balances_00UTC!$B309="","",Summary_Exchange_Balances_00UTC!$N309)</f>
        <v>OKEX</v>
      </c>
      <c r="B309" t="str">
        <f>IF(Summary_Exchange_Balances_00UTC!$B309="","",Summary_Exchange_Balances_00UTC!$B309)</f>
        <v>OKEX-2-M</v>
      </c>
      <c r="C309" t="str">
        <f>IF(Summary_Exchange_Balances_00UTC!$B309="","",Summary_Exchange_Balances_00UTC!$E309)</f>
        <v>OXT</v>
      </c>
      <c r="D309" t="str">
        <f>IF(OR(Summary_Exchange_Balances_00UTC!$B309="",Summary_Exchange_Balances_00UTC!$D309=""),"",Summary_Exchange_Balances_00UTC!$D309)</f>
        <v>Balance</v>
      </c>
      <c r="E309" s="53">
        <f>IF(Summary_Exchange_Balances_00UTC!$B309="","",Summary_Exchange_Balances_00UTC!$C309)</f>
        <v>635986.32306369999</v>
      </c>
      <c r="F309" s="53">
        <f>IF(Summary_Exchange_Balances_00UTC!$B309="","",VLOOKUP(UPPER($A309&amp;$C309),$L:$T,7,FALSE))</f>
        <v>415317.511551501</v>
      </c>
      <c r="G309" s="53" t="e">
        <f>IF(Summary_Exchange_Balances_00UTC!$B309="","",VLOOKUP(IF(ISERROR(SEARCH(" ", $B309)),UPPER($B309&amp;$C309&amp;$D309),UPPER(LEFT($B309, SEARCH(" ",$B309)-1)&amp;$C309&amp;$D309)),$M:$T,6,FALSE))</f>
        <v>#N/A</v>
      </c>
      <c r="H309">
        <f>IF(Summary_Exchange_Balances_00UTC!$B309="","",IF(ISERROR($G309),$E309,$G309))</f>
        <v>635986.32306369999</v>
      </c>
      <c r="I309" s="36" t="e">
        <f t="shared" si="12"/>
        <v>#N/A</v>
      </c>
      <c r="L309" t="str">
        <f t="shared" si="13"/>
        <v>LMAXUSD</v>
      </c>
      <c r="M309" t="str">
        <f t="shared" si="14"/>
        <v>LMAXUSD</v>
      </c>
      <c r="N309" t="s">
        <v>98</v>
      </c>
      <c r="O309" t="s">
        <v>176</v>
      </c>
      <c r="P309" t="s">
        <v>176</v>
      </c>
      <c r="R309" s="43">
        <v>10138.86563</v>
      </c>
      <c r="S309" t="s">
        <v>536</v>
      </c>
      <c r="T309">
        <v>1</v>
      </c>
      <c r="W309" t="s">
        <v>179</v>
      </c>
      <c r="X309" t="s">
        <v>110</v>
      </c>
      <c r="Y309" s="53">
        <v>0.01</v>
      </c>
      <c r="Z309">
        <v>0</v>
      </c>
      <c r="AC309"/>
      <c r="AD309"/>
      <c r="AS309" t="str">
        <f>IF(Summary_Exchange_Balances_00UTC!$B309="","","'"&amp;C309&amp;"',")</f>
        <v>'OXT',</v>
      </c>
      <c r="AT309">
        <f>IF(Summary_Exchange_Balances_00UTC!$B309="","",IF(ISERROR(HLOOKUP($C309,$AW$1:$LL$2,2,FALSE)),Summary_Exchange_Balances_00UTC!$Q309,IF(OR(HLOOKUP($C309,$AW$1:$LL$2,2,FALSE)="",HLOOKUP($C309,$AW$1:$LL$2,2,FALSE)="null"),Summary_Exchange_Balances_00UTC!$Q309,HLOOKUP($C309,$AW$1:$LL$2,2,FALSE))))</f>
        <v>8.09E-2</v>
      </c>
    </row>
    <row r="310" spans="1:46" x14ac:dyDescent="0.25">
      <c r="A310" t="str">
        <f>IF(Summary_Exchange_Balances_00UTC!$B310="","",Summary_Exchange_Balances_00UTC!$N310)</f>
        <v>OKEX</v>
      </c>
      <c r="B310" t="str">
        <f>IF(Summary_Exchange_Balances_00UTC!$B310="","",Summary_Exchange_Balances_00UTC!$B310)</f>
        <v>OKEX-2-M</v>
      </c>
      <c r="C310" t="str">
        <f>IF(Summary_Exchange_Balances_00UTC!$B310="","",Summary_Exchange_Balances_00UTC!$E310)</f>
        <v>USDT</v>
      </c>
      <c r="D310" t="str">
        <f>IF(OR(Summary_Exchange_Balances_00UTC!$B310="",Summary_Exchange_Balances_00UTC!$D310=""),"",Summary_Exchange_Balances_00UTC!$D310)</f>
        <v>Unrealized</v>
      </c>
      <c r="E310" s="53">
        <f>IF(Summary_Exchange_Balances_00UTC!$B310="","",Summary_Exchange_Balances_00UTC!$C310)</f>
        <v>204481.77734043999</v>
      </c>
      <c r="F310" s="53">
        <f>IF(Summary_Exchange_Balances_00UTC!$B310="","",VLOOKUP(UPPER($A310&amp;$C310),$L:$T,7,FALSE))</f>
        <v>239659.97105781399</v>
      </c>
      <c r="G310" s="53">
        <f>IF(Summary_Exchange_Balances_00UTC!$B310="","",VLOOKUP(IF(ISERROR(SEARCH(" ", $B310)),UPPER($B310&amp;$C310&amp;$D310),UPPER(LEFT($B310, SEARCH(" ",$B310)-1)&amp;$C310&amp;$D310)),$M:$T,6,FALSE))</f>
        <v>239659.97105781399</v>
      </c>
      <c r="H310">
        <f>IF(Summary_Exchange_Balances_00UTC!$B310="","",IF(ISERROR($G310),$E310,$G310))</f>
        <v>239659.97105781399</v>
      </c>
      <c r="I310" s="36">
        <f t="shared" si="12"/>
        <v>0.17203583700666941</v>
      </c>
      <c r="L310" t="str">
        <f t="shared" si="13"/>
        <v>OKEXBCH</v>
      </c>
      <c r="M310" t="str">
        <f t="shared" si="14"/>
        <v>OKEX-2-M-WBCHBALANCE</v>
      </c>
      <c r="N310" t="s">
        <v>21</v>
      </c>
      <c r="O310" t="s">
        <v>46</v>
      </c>
      <c r="P310" t="s">
        <v>177</v>
      </c>
      <c r="Q310" t="s">
        <v>75</v>
      </c>
      <c r="R310" s="43">
        <v>1.7837759999999401</v>
      </c>
      <c r="S310" t="s">
        <v>537</v>
      </c>
      <c r="T310">
        <v>1</v>
      </c>
      <c r="W310" t="s">
        <v>179</v>
      </c>
      <c r="X310" t="s">
        <v>180</v>
      </c>
      <c r="Y310" s="53">
        <v>0.01</v>
      </c>
      <c r="Z310">
        <v>0</v>
      </c>
      <c r="AC310"/>
      <c r="AD310"/>
      <c r="AS310" t="str">
        <f>IF(Summary_Exchange_Balances_00UTC!$B310="","","'"&amp;C310&amp;"',")</f>
        <v>'USDT',</v>
      </c>
      <c r="AT310">
        <f>IF(Summary_Exchange_Balances_00UTC!$B310="","",IF(ISERROR(HLOOKUP($C310,$AW$1:$LL$2,2,FALSE)),Summary_Exchange_Balances_00UTC!$Q310,IF(OR(HLOOKUP($C310,$AW$1:$LL$2,2,FALSE)="",HLOOKUP($C310,$AW$1:$LL$2,2,FALSE)="null"),Summary_Exchange_Balances_00UTC!$Q310,HLOOKUP($C310,$AW$1:$LL$2,2,FALSE))))</f>
        <v>1.0001054103245353</v>
      </c>
    </row>
    <row r="311" spans="1:46" x14ac:dyDescent="0.25">
      <c r="A311" t="str">
        <f>IF(Summary_Exchange_Balances_00UTC!$B311="","",Summary_Exchange_Balances_00UTC!$N311)</f>
        <v>OKEX</v>
      </c>
      <c r="B311" t="str">
        <f>IF(Summary_Exchange_Balances_00UTC!$B311="","",Summary_Exchange_Balances_00UTC!$B311)</f>
        <v>OKEX-2-M</v>
      </c>
      <c r="C311" t="str">
        <f>IF(Summary_Exchange_Balances_00UTC!$B311="","",Summary_Exchange_Balances_00UTC!$E311)</f>
        <v>XRP</v>
      </c>
      <c r="D311" t="str">
        <f>IF(OR(Summary_Exchange_Balances_00UTC!$B311="",Summary_Exchange_Balances_00UTC!$D311=""),"",Summary_Exchange_Balances_00UTC!$D311)</f>
        <v>Balance</v>
      </c>
      <c r="E311" s="53">
        <f>IF(Summary_Exchange_Balances_00UTC!$B311="","",Summary_Exchange_Balances_00UTC!$C311)</f>
        <v>14324.333393569999</v>
      </c>
      <c r="F311" s="53">
        <f>IF(Summary_Exchange_Balances_00UTC!$B311="","",VLOOKUP(UPPER($A311&amp;$C311),$L:$T,7,FALSE))</f>
        <v>0.44933626032875401</v>
      </c>
      <c r="G311" s="53" t="e">
        <f>IF(Summary_Exchange_Balances_00UTC!$B311="","",VLOOKUP(IF(ISERROR(SEARCH(" ", $B311)),UPPER($B311&amp;$C311&amp;$D311),UPPER(LEFT($B311, SEARCH(" ",$B311)-1)&amp;$C311&amp;$D311)),$M:$T,6,FALSE))</f>
        <v>#N/A</v>
      </c>
      <c r="H311">
        <f>IF(Summary_Exchange_Balances_00UTC!$B311="","",IF(ISERROR($G311),$E311,$G311))</f>
        <v>14324.333393569999</v>
      </c>
      <c r="I311" s="36" t="e">
        <f t="shared" si="12"/>
        <v>#N/A</v>
      </c>
      <c r="L311" t="str">
        <f t="shared" si="13"/>
        <v>OKEXBTC</v>
      </c>
      <c r="M311" t="str">
        <f t="shared" si="14"/>
        <v>OKEX-2-S2BTCBALANCE</v>
      </c>
      <c r="N311" t="s">
        <v>15</v>
      </c>
      <c r="O311" t="s">
        <v>46</v>
      </c>
      <c r="P311" t="s">
        <v>53</v>
      </c>
      <c r="Q311" t="s">
        <v>75</v>
      </c>
      <c r="R311" s="43">
        <v>78.344304512737295</v>
      </c>
      <c r="S311" t="s">
        <v>538</v>
      </c>
      <c r="T311">
        <v>1</v>
      </c>
      <c r="W311" t="s">
        <v>179</v>
      </c>
      <c r="X311" t="s">
        <v>182</v>
      </c>
      <c r="Y311" s="53">
        <v>0.10983253</v>
      </c>
      <c r="Z311">
        <v>0</v>
      </c>
      <c r="AC311"/>
      <c r="AD311"/>
      <c r="AS311" t="str">
        <f>IF(Summary_Exchange_Balances_00UTC!$B311="","","'"&amp;C311&amp;"',")</f>
        <v>'XRP',</v>
      </c>
      <c r="AT311">
        <f>IF(Summary_Exchange_Balances_00UTC!$B311="","",IF(ISERROR(HLOOKUP($C311,$AW$1:$LL$2,2,FALSE)),Summary_Exchange_Balances_00UTC!$Q311,IF(OR(HLOOKUP($C311,$AW$1:$LL$2,2,FALSE)="",HLOOKUP($C311,$AW$1:$LL$2,2,FALSE)="null"),Summary_Exchange_Balances_00UTC!$Q311,HLOOKUP($C311,$AW$1:$LL$2,2,FALSE))))</f>
        <v>0.38471588000000001</v>
      </c>
    </row>
    <row r="312" spans="1:46" x14ac:dyDescent="0.25">
      <c r="A312" t="str">
        <f>IF(Summary_Exchange_Balances_00UTC!$B312="","",Summary_Exchange_Balances_00UTC!$N312)</f>
        <v>OKEX</v>
      </c>
      <c r="B312" t="str">
        <f>IF(Summary_Exchange_Balances_00UTC!$B312="","",Summary_Exchange_Balances_00UTC!$B312)</f>
        <v>OKEX-2-M</v>
      </c>
      <c r="C312" t="str">
        <f>IF(Summary_Exchange_Balances_00UTC!$B312="","",Summary_Exchange_Balances_00UTC!$E312)</f>
        <v>ZIL</v>
      </c>
      <c r="D312" t="str">
        <f>IF(OR(Summary_Exchange_Balances_00UTC!$B312="",Summary_Exchange_Balances_00UTC!$D312=""),"",Summary_Exchange_Balances_00UTC!$D312)</f>
        <v>Balance</v>
      </c>
      <c r="E312" s="53">
        <f>IF(Summary_Exchange_Balances_00UTC!$B312="","",Summary_Exchange_Balances_00UTC!$C312)</f>
        <v>1887327.67139451</v>
      </c>
      <c r="F312" s="53">
        <f>IF(Summary_Exchange_Balances_00UTC!$B312="","",VLOOKUP(UPPER($A312&amp;$C312),$L:$T,7,FALSE))</f>
        <v>1792163.802832</v>
      </c>
      <c r="G312" s="53" t="e">
        <f>IF(Summary_Exchange_Balances_00UTC!$B312="","",VLOOKUP(IF(ISERROR(SEARCH(" ", $B312)),UPPER($B312&amp;$C312&amp;$D312),UPPER(LEFT($B312, SEARCH(" ",$B312)-1)&amp;$C312&amp;$D312)),$M:$T,6,FALSE))</f>
        <v>#N/A</v>
      </c>
      <c r="H312">
        <f>IF(Summary_Exchange_Balances_00UTC!$B312="","",IF(ISERROR($G312),$E312,$G312))</f>
        <v>1887327.67139451</v>
      </c>
      <c r="I312" s="36" t="e">
        <f t="shared" si="12"/>
        <v>#N/A</v>
      </c>
      <c r="L312" t="str">
        <f t="shared" si="13"/>
        <v>OKEXBTC</v>
      </c>
      <c r="M312" t="str">
        <f t="shared" si="14"/>
        <v>OKEX-2-S1BTCUNREALIZED</v>
      </c>
      <c r="N312" t="s">
        <v>15</v>
      </c>
      <c r="O312" t="s">
        <v>46</v>
      </c>
      <c r="P312" t="s">
        <v>50</v>
      </c>
      <c r="Q312" t="s">
        <v>93</v>
      </c>
      <c r="R312" s="43">
        <v>3.6325539326192899</v>
      </c>
      <c r="S312" t="s">
        <v>539</v>
      </c>
      <c r="T312">
        <v>1</v>
      </c>
      <c r="W312" t="s">
        <v>179</v>
      </c>
      <c r="X312" t="s">
        <v>98</v>
      </c>
      <c r="Y312" s="53">
        <v>6.5778299999999998E-3</v>
      </c>
      <c r="Z312">
        <v>0</v>
      </c>
      <c r="AC312"/>
      <c r="AD312"/>
      <c r="AS312" t="str">
        <f>IF(Summary_Exchange_Balances_00UTC!$B312="","","'"&amp;C312&amp;"',")</f>
        <v>'ZIL',</v>
      </c>
      <c r="AT312">
        <f>IF(Summary_Exchange_Balances_00UTC!$B312="","",IF(ISERROR(HLOOKUP($C312,$AW$1:$LL$2,2,FALSE)),Summary_Exchange_Balances_00UTC!$Q312,IF(OR(HLOOKUP($C312,$AW$1:$LL$2,2,FALSE)="",HLOOKUP($C312,$AW$1:$LL$2,2,FALSE)="null"),Summary_Exchange_Balances_00UTC!$Q312,HLOOKUP($C312,$AW$1:$LL$2,2,FALSE))))</f>
        <v>2.1343125000000001E-2</v>
      </c>
    </row>
    <row r="313" spans="1:46" x14ac:dyDescent="0.25">
      <c r="A313" t="str">
        <f>IF(Summary_Exchange_Balances_00UTC!$B313="","",Summary_Exchange_Balances_00UTC!$N313)</f>
        <v>OKEX</v>
      </c>
      <c r="B313" t="str">
        <f>IF(Summary_Exchange_Balances_00UTC!$B313="","",Summary_Exchange_Balances_00UTC!$B313)</f>
        <v>OKEX-2-M-W</v>
      </c>
      <c r="C313" t="str">
        <f>IF(Summary_Exchange_Balances_00UTC!$B313="","",Summary_Exchange_Balances_00UTC!$E313)</f>
        <v>BCH</v>
      </c>
      <c r="D313" t="str">
        <f>IF(OR(Summary_Exchange_Balances_00UTC!$B313="",Summary_Exchange_Balances_00UTC!$D313=""),"",Summary_Exchange_Balances_00UTC!$D313)</f>
        <v>Balance</v>
      </c>
      <c r="E313" s="53">
        <f>IF(Summary_Exchange_Balances_00UTC!$B313="","",Summary_Exchange_Balances_00UTC!$C313)</f>
        <v>7.381E-5</v>
      </c>
      <c r="F313" s="53">
        <f>IF(Summary_Exchange_Balances_00UTC!$B313="","",VLOOKUP(UPPER($A313&amp;$C313),$L:$T,7,FALSE))</f>
        <v>1.7837759999999401</v>
      </c>
      <c r="G313" s="53">
        <f>IF(Summary_Exchange_Balances_00UTC!$B313="","",VLOOKUP(IF(ISERROR(SEARCH(" ", $B313)),UPPER($B313&amp;$C313&amp;$D313),UPPER(LEFT($B313, SEARCH(" ",$B313)-1)&amp;$C313&amp;$D313)),$M:$T,6,FALSE))</f>
        <v>1.7837759999999401</v>
      </c>
      <c r="H313">
        <f>IF(Summary_Exchange_Balances_00UTC!$B313="","",IF(ISERROR($G313),$E313,$G313))</f>
        <v>1.7837759999999401</v>
      </c>
      <c r="I313" s="36">
        <f t="shared" si="12"/>
        <v>24166.131824955159</v>
      </c>
      <c r="L313" t="str">
        <f t="shared" si="13"/>
        <v>OKEXBTC</v>
      </c>
      <c r="M313" t="str">
        <f t="shared" si="14"/>
        <v>OKEX-2-MBTCUNREALIZED</v>
      </c>
      <c r="N313" t="s">
        <v>15</v>
      </c>
      <c r="O313" t="s">
        <v>46</v>
      </c>
      <c r="P313" t="s">
        <v>47</v>
      </c>
      <c r="Q313" t="s">
        <v>93</v>
      </c>
      <c r="R313" s="43">
        <v>0.170663284855152</v>
      </c>
      <c r="S313" t="s">
        <v>537</v>
      </c>
      <c r="T313">
        <v>1</v>
      </c>
      <c r="W313" t="s">
        <v>179</v>
      </c>
      <c r="X313" t="s">
        <v>39</v>
      </c>
      <c r="Y313" s="53">
        <v>9.9996000000000004E-4</v>
      </c>
      <c r="Z313">
        <v>0</v>
      </c>
      <c r="AC313"/>
      <c r="AD313"/>
      <c r="AS313" t="str">
        <f>IF(Summary_Exchange_Balances_00UTC!$B313="","","'"&amp;C313&amp;"',")</f>
        <v>'BCH',</v>
      </c>
      <c r="AT313">
        <f>IF(Summary_Exchange_Balances_00UTC!$B313="","",IF(ISERROR(HLOOKUP($C313,$AW$1:$LL$2,2,FALSE)),Summary_Exchange_Balances_00UTC!$Q313,IF(OR(HLOOKUP($C313,$AW$1:$LL$2,2,FALSE)="",HLOOKUP($C313,$AW$1:$LL$2,2,FALSE)="null"),Summary_Exchange_Balances_00UTC!$Q313,HLOOKUP($C313,$AW$1:$LL$2,2,FALSE))))</f>
        <v>103.98</v>
      </c>
    </row>
    <row r="314" spans="1:46" x14ac:dyDescent="0.25">
      <c r="A314" t="str">
        <f>IF(Summary_Exchange_Balances_00UTC!$B314="","",Summary_Exchange_Balances_00UTC!$N314)</f>
        <v>OKEX</v>
      </c>
      <c r="B314" t="str">
        <f>IF(Summary_Exchange_Balances_00UTC!$B314="","",Summary_Exchange_Balances_00UTC!$B314)</f>
        <v>OKEX-2-M-W</v>
      </c>
      <c r="C314" t="str">
        <f>IF(Summary_Exchange_Balances_00UTC!$B314="","",Summary_Exchange_Balances_00UTC!$E314)</f>
        <v>BSV</v>
      </c>
      <c r="D314" t="str">
        <f>IF(OR(Summary_Exchange_Balances_00UTC!$B314="",Summary_Exchange_Balances_00UTC!$D314=""),"",Summary_Exchange_Balances_00UTC!$D314)</f>
        <v>Balance</v>
      </c>
      <c r="E314" s="53">
        <f>IF(Summary_Exchange_Balances_00UTC!$B314="","",Summary_Exchange_Balances_00UTC!$C314)</f>
        <v>0.86729455</v>
      </c>
      <c r="F314" s="53" t="e">
        <f>IF(Summary_Exchange_Balances_00UTC!$B314="","",VLOOKUP(UPPER($A314&amp;$C314),$L:$T,7,FALSE))</f>
        <v>#N/A</v>
      </c>
      <c r="G314" s="53" t="e">
        <f>IF(Summary_Exchange_Balances_00UTC!$B314="","",VLOOKUP(IF(ISERROR(SEARCH(" ", $B314)),UPPER($B314&amp;$C314&amp;$D314),UPPER(LEFT($B314, SEARCH(" ",$B314)-1)&amp;$C314&amp;$D314)),$M:$T,6,FALSE))</f>
        <v>#N/A</v>
      </c>
      <c r="H314">
        <f>IF(Summary_Exchange_Balances_00UTC!$B314="","",IF(ISERROR($G314),$E314,$G314))</f>
        <v>0.86729455</v>
      </c>
      <c r="I314" s="36" t="e">
        <f t="shared" si="12"/>
        <v>#N/A</v>
      </c>
      <c r="L314" t="str">
        <f t="shared" si="13"/>
        <v>OKEXBTC</v>
      </c>
      <c r="M314" t="str">
        <f t="shared" si="14"/>
        <v>OKEX-2-S1BTCBALANCE</v>
      </c>
      <c r="N314" t="s">
        <v>15</v>
      </c>
      <c r="O314" t="s">
        <v>46</v>
      </c>
      <c r="P314" t="s">
        <v>50</v>
      </c>
      <c r="Q314" t="s">
        <v>75</v>
      </c>
      <c r="R314" s="43">
        <v>162.57325213757201</v>
      </c>
      <c r="S314" t="s">
        <v>539</v>
      </c>
      <c r="T314">
        <v>1</v>
      </c>
      <c r="W314" t="s">
        <v>179</v>
      </c>
      <c r="X314" t="s">
        <v>166</v>
      </c>
      <c r="Y314" s="53">
        <v>9.9999999999999995E-8</v>
      </c>
      <c r="Z314">
        <v>0</v>
      </c>
      <c r="AC314"/>
      <c r="AD314"/>
      <c r="AS314" t="str">
        <f>IF(Summary_Exchange_Balances_00UTC!$B314="","","'"&amp;C314&amp;"',")</f>
        <v>'BSV',</v>
      </c>
      <c r="AT314">
        <f>IF(Summary_Exchange_Balances_00UTC!$B314="","",IF(ISERROR(HLOOKUP($C314,$AW$1:$LL$2,2,FALSE)),Summary_Exchange_Balances_00UTC!$Q314,IF(OR(HLOOKUP($C314,$AW$1:$LL$2,2,FALSE)="",HLOOKUP($C314,$AW$1:$LL$2,2,FALSE)="null"),Summary_Exchange_Balances_00UTC!$Q314,HLOOKUP($C314,$AW$1:$LL$2,2,FALSE))))</f>
        <v>39.841106000000003</v>
      </c>
    </row>
    <row r="315" spans="1:46" x14ac:dyDescent="0.25">
      <c r="A315" t="str">
        <f>IF(Summary_Exchange_Balances_00UTC!$B315="","",Summary_Exchange_Balances_00UTC!$N315)</f>
        <v>OKEX</v>
      </c>
      <c r="B315" t="str">
        <f>IF(Summary_Exchange_Balances_00UTC!$B315="","",Summary_Exchange_Balances_00UTC!$B315)</f>
        <v>OKEX-2-M-W</v>
      </c>
      <c r="C315" t="str">
        <f>IF(Summary_Exchange_Balances_00UTC!$B315="","",Summary_Exchange_Balances_00UTC!$E315)</f>
        <v>DOT</v>
      </c>
      <c r="D315" t="str">
        <f>IF(OR(Summary_Exchange_Balances_00UTC!$B315="",Summary_Exchange_Balances_00UTC!$D315=""),"",Summary_Exchange_Balances_00UTC!$D315)</f>
        <v>Balance</v>
      </c>
      <c r="E315" s="54">
        <f>IF(Summary_Exchange_Balances_00UTC!$B315="","",Summary_Exchange_Balances_00UTC!$C315)</f>
        <v>6.8575999999999999E-4</v>
      </c>
      <c r="F315" s="53">
        <f>IF(Summary_Exchange_Balances_00UTC!$B315="","",VLOOKUP(UPPER($A315&amp;$C315),$L:$T,7,FALSE))</f>
        <v>-33.000417452400299</v>
      </c>
      <c r="G315" s="53">
        <f>IF(Summary_Exchange_Balances_00UTC!$B315="","",VLOOKUP(IF(ISERROR(SEARCH(" ", $B315)),UPPER($B315&amp;$C315&amp;$D315),UPPER(LEFT($B315, SEARCH(" ",$B315)-1)&amp;$C315&amp;$D315)),$M:$T,6,FALSE))</f>
        <v>-33.000417452400299</v>
      </c>
      <c r="H315">
        <f>IF(Summary_Exchange_Balances_00UTC!$B315="","",IF(ISERROR($G315),$E315,$G315))</f>
        <v>-33.000417452400299</v>
      </c>
      <c r="I315" s="36">
        <f t="shared" si="12"/>
        <v>-48123.400624708796</v>
      </c>
      <c r="L315" t="str">
        <f t="shared" si="13"/>
        <v>OKEXBTC</v>
      </c>
      <c r="M315" t="str">
        <f t="shared" si="14"/>
        <v>OKEX-2-M-WBTCBALANCE</v>
      </c>
      <c r="N315" t="s">
        <v>15</v>
      </c>
      <c r="O315" t="s">
        <v>46</v>
      </c>
      <c r="P315" t="s">
        <v>177</v>
      </c>
      <c r="Q315" t="s">
        <v>75</v>
      </c>
      <c r="R315" s="43">
        <v>141.16512505093999</v>
      </c>
      <c r="S315" t="s">
        <v>537</v>
      </c>
      <c r="T315">
        <v>1</v>
      </c>
      <c r="W315" t="s">
        <v>185</v>
      </c>
      <c r="X315" t="s">
        <v>184</v>
      </c>
      <c r="Y315" s="54">
        <v>3189967.2936231201</v>
      </c>
      <c r="Z315">
        <v>0</v>
      </c>
      <c r="AC315"/>
      <c r="AD315"/>
      <c r="AS315" t="str">
        <f>IF(Summary_Exchange_Balances_00UTC!$B315="","","'"&amp;C315&amp;"',")</f>
        <v>'DOT',</v>
      </c>
      <c r="AT315">
        <f>IF(Summary_Exchange_Balances_00UTC!$B315="","",IF(ISERROR(HLOOKUP($C315,$AW$1:$LL$2,2,FALSE)),Summary_Exchange_Balances_00UTC!$Q315,IF(OR(HLOOKUP($C315,$AW$1:$LL$2,2,FALSE)="",HLOOKUP($C315,$AW$1:$LL$2,2,FALSE)="null"),Summary_Exchange_Balances_00UTC!$Q315,HLOOKUP($C315,$AW$1:$LL$2,2,FALSE))))</f>
        <v>5.6989999999999998</v>
      </c>
    </row>
    <row r="316" spans="1:46" x14ac:dyDescent="0.25">
      <c r="A316" t="str">
        <f>IF(Summary_Exchange_Balances_00UTC!$B316="","",Summary_Exchange_Balances_00UTC!$N316)</f>
        <v>OKEX</v>
      </c>
      <c r="B316" t="str">
        <f>IF(Summary_Exchange_Balances_00UTC!$B316="","",Summary_Exchange_Balances_00UTC!$B316)</f>
        <v>OKEX-2-M-W</v>
      </c>
      <c r="C316" t="str">
        <f>IF(Summary_Exchange_Balances_00UTC!$B316="","",Summary_Exchange_Balances_00UTC!$E316)</f>
        <v>ETHW</v>
      </c>
      <c r="D316" t="str">
        <f>IF(OR(Summary_Exchange_Balances_00UTC!$B316="",Summary_Exchange_Balances_00UTC!$D316=""),"",Summary_Exchange_Balances_00UTC!$D316)</f>
        <v>Balance</v>
      </c>
      <c r="E316" s="53">
        <f>IF(Summary_Exchange_Balances_00UTC!$B316="","",Summary_Exchange_Balances_00UTC!$C316)</f>
        <v>8.7929999999999993E-5</v>
      </c>
      <c r="F316" s="53" t="e">
        <f>IF(Summary_Exchange_Balances_00UTC!$B316="","",VLOOKUP(UPPER($A316&amp;$C316),$L:$T,7,FALSE))</f>
        <v>#N/A</v>
      </c>
      <c r="G316" s="53" t="e">
        <f>IF(Summary_Exchange_Balances_00UTC!$B316="","",VLOOKUP(IF(ISERROR(SEARCH(" ", $B316)),UPPER($B316&amp;$C316&amp;$D316),UPPER(LEFT($B316, SEARCH(" ",$B316)-1)&amp;$C316&amp;$D316)),$M:$T,6,FALSE))</f>
        <v>#N/A</v>
      </c>
      <c r="H316">
        <f>IF(Summary_Exchange_Balances_00UTC!$B316="","",IF(ISERROR($G316),$E316,$G316))</f>
        <v>8.7929999999999993E-5</v>
      </c>
      <c r="I316" s="36" t="e">
        <f t="shared" si="12"/>
        <v>#N/A</v>
      </c>
      <c r="L316" t="str">
        <f t="shared" si="13"/>
        <v>OKEXBTC</v>
      </c>
      <c r="M316" t="str">
        <f t="shared" si="14"/>
        <v>OKEX-2-S2BTCUNREALIZED</v>
      </c>
      <c r="N316" t="s">
        <v>15</v>
      </c>
      <c r="O316" t="s">
        <v>46</v>
      </c>
      <c r="P316" t="s">
        <v>53</v>
      </c>
      <c r="Q316" t="s">
        <v>93</v>
      </c>
      <c r="R316" s="43">
        <v>-0.67489584571495698</v>
      </c>
      <c r="S316" t="s">
        <v>538</v>
      </c>
      <c r="T316">
        <v>1</v>
      </c>
      <c r="W316" t="s">
        <v>187</v>
      </c>
      <c r="X316" t="s">
        <v>87</v>
      </c>
      <c r="Y316" s="53">
        <v>59</v>
      </c>
      <c r="Z316">
        <v>0</v>
      </c>
      <c r="AC316"/>
      <c r="AD316"/>
      <c r="AS316" t="str">
        <f>IF(Summary_Exchange_Balances_00UTC!$B316="","","'"&amp;C316&amp;"',")</f>
        <v>'ETHW',</v>
      </c>
      <c r="AT316">
        <f>IF(Summary_Exchange_Balances_00UTC!$B316="","",IF(ISERROR(HLOOKUP($C316,$AW$1:$LL$2,2,FALSE)),Summary_Exchange_Balances_00UTC!$Q316,IF(OR(HLOOKUP($C316,$AW$1:$LL$2,2,FALSE)="",HLOOKUP($C316,$AW$1:$LL$2,2,FALSE)="null"),Summary_Exchange_Balances_00UTC!$Q316,HLOOKUP($C316,$AW$1:$LL$2,2,FALSE))))</f>
        <v>3.540512169248061</v>
      </c>
    </row>
    <row r="317" spans="1:46" x14ac:dyDescent="0.25">
      <c r="A317" t="str">
        <f>IF(Summary_Exchange_Balances_00UTC!$B317="","",Summary_Exchange_Balances_00UTC!$N317)</f>
        <v>OKEX</v>
      </c>
      <c r="B317" t="str">
        <f>IF(Summary_Exchange_Balances_00UTC!$B317="","",Summary_Exchange_Balances_00UTC!$B317)</f>
        <v>OKEX-2-M-W</v>
      </c>
      <c r="C317" t="str">
        <f>IF(Summary_Exchange_Balances_00UTC!$B317="","",Summary_Exchange_Balances_00UTC!$E317)</f>
        <v>LINK</v>
      </c>
      <c r="D317" t="str">
        <f>IF(OR(Summary_Exchange_Balances_00UTC!$B317="",Summary_Exchange_Balances_00UTC!$D317=""),"",Summary_Exchange_Balances_00UTC!$D317)</f>
        <v>Balance</v>
      </c>
      <c r="E317" s="53">
        <f>IF(Summary_Exchange_Balances_00UTC!$B317="","",Summary_Exchange_Balances_00UTC!$C317)</f>
        <v>7.5870867500000001</v>
      </c>
      <c r="F317" s="53" t="e">
        <f>IF(Summary_Exchange_Balances_00UTC!$B317="","",VLOOKUP(UPPER($A317&amp;$C317),$L:$T,7,FALSE))</f>
        <v>#N/A</v>
      </c>
      <c r="G317" s="53" t="e">
        <f>IF(Summary_Exchange_Balances_00UTC!$B317="","",VLOOKUP(IF(ISERROR(SEARCH(" ", $B317)),UPPER($B317&amp;$C317&amp;$D317),UPPER(LEFT($B317, SEARCH(" ",$B317)-1)&amp;$C317&amp;$D317)),$M:$T,6,FALSE))</f>
        <v>#N/A</v>
      </c>
      <c r="H317">
        <f>IF(Summary_Exchange_Balances_00UTC!$B317="","",IF(ISERROR($G317),$E317,$G317))</f>
        <v>7.5870867500000001</v>
      </c>
      <c r="I317" s="36" t="e">
        <f t="shared" si="12"/>
        <v>#N/A</v>
      </c>
      <c r="L317" t="str">
        <f t="shared" si="13"/>
        <v>OKEXDOT</v>
      </c>
      <c r="M317" t="str">
        <f t="shared" si="14"/>
        <v>OKEX-2-M-WDOTBALANCE</v>
      </c>
      <c r="N317" t="s">
        <v>23</v>
      </c>
      <c r="O317" t="s">
        <v>46</v>
      </c>
      <c r="P317" t="s">
        <v>177</v>
      </c>
      <c r="Q317" t="s">
        <v>75</v>
      </c>
      <c r="R317" s="43">
        <v>-33.000417452400299</v>
      </c>
      <c r="S317" t="s">
        <v>537</v>
      </c>
      <c r="T317">
        <v>1</v>
      </c>
      <c r="W317" t="s">
        <v>187</v>
      </c>
      <c r="X317" t="s">
        <v>275</v>
      </c>
      <c r="Y317" s="53">
        <v>1267.7570125100001</v>
      </c>
      <c r="Z317">
        <v>0</v>
      </c>
      <c r="AC317"/>
      <c r="AD317"/>
      <c r="AS317" t="str">
        <f>IF(Summary_Exchange_Balances_00UTC!$B317="","","'"&amp;C317&amp;"',")</f>
        <v>'LINK',</v>
      </c>
      <c r="AT317">
        <f>IF(Summary_Exchange_Balances_00UTC!$B317="","",IF(ISERROR(HLOOKUP($C317,$AW$1:$LL$2,2,FALSE)),Summary_Exchange_Balances_00UTC!$Q317,IF(OR(HLOOKUP($C317,$AW$1:$LL$2,2,FALSE)="",HLOOKUP($C317,$AW$1:$LL$2,2,FALSE)="null"),Summary_Exchange_Balances_00UTC!$Q317,HLOOKUP($C317,$AW$1:$LL$2,2,FALSE))))</f>
        <v>6.2919999999999998</v>
      </c>
    </row>
    <row r="318" spans="1:46" x14ac:dyDescent="0.25">
      <c r="A318" t="str">
        <f>IF(Summary_Exchange_Balances_00UTC!$B318="","",Summary_Exchange_Balances_00UTC!$N318)</f>
        <v>OKEX</v>
      </c>
      <c r="B318" t="str">
        <f>IF(Summary_Exchange_Balances_00UTC!$B318="","",Summary_Exchange_Balances_00UTC!$B318)</f>
        <v>OKEX-2-M-W</v>
      </c>
      <c r="C318" t="str">
        <f>IF(Summary_Exchange_Balances_00UTC!$B318="","",Summary_Exchange_Balances_00UTC!$E318)</f>
        <v>LTC</v>
      </c>
      <c r="D318" t="str">
        <f>IF(OR(Summary_Exchange_Balances_00UTC!$B318="",Summary_Exchange_Balances_00UTC!$D318=""),"",Summary_Exchange_Balances_00UTC!$D318)</f>
        <v>Balance</v>
      </c>
      <c r="E318" s="53">
        <f>IF(Summary_Exchange_Balances_00UTC!$B318="","",Summary_Exchange_Balances_00UTC!$C318)</f>
        <v>6.758E-5</v>
      </c>
      <c r="F318" s="53">
        <f>IF(Summary_Exchange_Balances_00UTC!$B318="","",VLOOKUP(UPPER($A318&amp;$C318),$L:$T,7,FALSE))</f>
        <v>12.467970902777701</v>
      </c>
      <c r="G318" s="53">
        <f>IF(Summary_Exchange_Balances_00UTC!$B318="","",VLOOKUP(IF(ISERROR(SEARCH(" ", $B318)),UPPER($B318&amp;$C318&amp;$D318),UPPER(LEFT($B318, SEARCH(" ",$B318)-1)&amp;$C318&amp;$D318)),$M:$T,6,FALSE))</f>
        <v>12.467970902777701</v>
      </c>
      <c r="H318">
        <f>IF(Summary_Exchange_Balances_00UTC!$B318="","",IF(ISERROR($G318),$E318,$G318))</f>
        <v>12.467970902777701</v>
      </c>
      <c r="I318" s="36">
        <f t="shared" si="12"/>
        <v>184491.02282890945</v>
      </c>
      <c r="L318" t="str">
        <f t="shared" si="13"/>
        <v>OKEXEOS</v>
      </c>
      <c r="M318" t="str">
        <f t="shared" si="14"/>
        <v>OKEX-2-M-WEOSBALANCE</v>
      </c>
      <c r="N318" t="s">
        <v>24</v>
      </c>
      <c r="O318" t="s">
        <v>46</v>
      </c>
      <c r="P318" t="s">
        <v>177</v>
      </c>
      <c r="Q318" t="s">
        <v>75</v>
      </c>
      <c r="R318" s="43">
        <v>130592.876106934</v>
      </c>
      <c r="S318" t="s">
        <v>537</v>
      </c>
      <c r="T318">
        <v>1</v>
      </c>
      <c r="W318" t="s">
        <v>187</v>
      </c>
      <c r="X318" t="s">
        <v>39</v>
      </c>
      <c r="Y318" s="53">
        <v>9315180.2629010305</v>
      </c>
      <c r="Z318">
        <v>0</v>
      </c>
      <c r="AC318"/>
      <c r="AD318"/>
      <c r="AS318" t="str">
        <f>IF(Summary_Exchange_Balances_00UTC!$B318="","","'"&amp;C318&amp;"',")</f>
        <v>'LTC',</v>
      </c>
      <c r="AT318">
        <f>IF(Summary_Exchange_Balances_00UTC!$B318="","",IF(ISERROR(HLOOKUP($C318,$AW$1:$LL$2,2,FALSE)),Summary_Exchange_Balances_00UTC!$Q318,IF(OR(HLOOKUP($C318,$AW$1:$LL$2,2,FALSE)="",HLOOKUP($C318,$AW$1:$LL$2,2,FALSE)="null"),Summary_Exchange_Balances_00UTC!$Q318,HLOOKUP($C318,$AW$1:$LL$2,2,FALSE))))</f>
        <v>62.35</v>
      </c>
    </row>
    <row r="319" spans="1:46" x14ac:dyDescent="0.25">
      <c r="A319" t="str">
        <f>IF(Summary_Exchange_Balances_00UTC!$B319="","",Summary_Exchange_Balances_00UTC!$N319)</f>
        <v>OKEX</v>
      </c>
      <c r="B319" t="str">
        <f>IF(Summary_Exchange_Balances_00UTC!$B319="","",Summary_Exchange_Balances_00UTC!$B319)</f>
        <v>OKEX-2-M-W</v>
      </c>
      <c r="C319" t="str">
        <f>IF(Summary_Exchange_Balances_00UTC!$B319="","",Summary_Exchange_Balances_00UTC!$E319)</f>
        <v>SHIB</v>
      </c>
      <c r="D319" t="str">
        <f>IF(OR(Summary_Exchange_Balances_00UTC!$B319="",Summary_Exchange_Balances_00UTC!$D319=""),"",Summary_Exchange_Balances_00UTC!$D319)</f>
        <v>Balance</v>
      </c>
      <c r="E319" s="53">
        <f>IF(Summary_Exchange_Balances_00UTC!$B319="","",Summary_Exchange_Balances_00UTC!$C319)</f>
        <v>8.1457000000000003E-4</v>
      </c>
      <c r="F319" s="53">
        <f>IF(Summary_Exchange_Balances_00UTC!$B319="","",VLOOKUP(UPPER($A319&amp;$C319),$L:$T,7,FALSE))</f>
        <v>-10031548141.706499</v>
      </c>
      <c r="G319" s="53">
        <f>IF(Summary_Exchange_Balances_00UTC!$B319="","",VLOOKUP(IF(ISERROR(SEARCH(" ", $B319)),UPPER($B319&amp;$C319&amp;$D319),UPPER(LEFT($B319, SEARCH(" ",$B319)-1)&amp;$C319&amp;$D319)),$M:$T,6,FALSE))</f>
        <v>-10031548141.706499</v>
      </c>
      <c r="H319">
        <f>IF(Summary_Exchange_Balances_00UTC!$B319="","",IF(ISERROR($G319),$E319,$G319))</f>
        <v>-10031548141.706499</v>
      </c>
      <c r="I319" s="36">
        <f t="shared" si="12"/>
        <v>-12315145588110.676</v>
      </c>
      <c r="L319" t="str">
        <f t="shared" si="13"/>
        <v>OKEXETC</v>
      </c>
      <c r="M319" t="str">
        <f t="shared" si="14"/>
        <v>OKEX-2-M-WETCBALANCE</v>
      </c>
      <c r="N319" t="s">
        <v>30</v>
      </c>
      <c r="O319" t="s">
        <v>46</v>
      </c>
      <c r="P319" t="s">
        <v>177</v>
      </c>
      <c r="Q319" t="s">
        <v>75</v>
      </c>
      <c r="R319" s="43">
        <v>-0.40712095703794399</v>
      </c>
      <c r="S319" t="s">
        <v>537</v>
      </c>
      <c r="T319">
        <v>1</v>
      </c>
      <c r="W319" t="s">
        <v>187</v>
      </c>
      <c r="X319" t="s">
        <v>188</v>
      </c>
      <c r="Y319" s="53">
        <v>1644286.05309931</v>
      </c>
      <c r="Z319">
        <v>0</v>
      </c>
      <c r="AC319"/>
      <c r="AD319"/>
      <c r="AS319" t="str">
        <f>IF(Summary_Exchange_Balances_00UTC!$B319="","","'"&amp;C319&amp;"',")</f>
        <v>'SHIB',</v>
      </c>
      <c r="AT319">
        <f>IF(Summary_Exchange_Balances_00UTC!$B319="","",IF(ISERROR(HLOOKUP($C319,$AW$1:$LL$2,2,FALSE)),Summary_Exchange_Balances_00UTC!$Q319,IF(OR(HLOOKUP($C319,$AW$1:$LL$2,2,FALSE)="",HLOOKUP($C319,$AW$1:$LL$2,2,FALSE)="null"),Summary_Exchange_Balances_00UTC!$Q319,HLOOKUP($C319,$AW$1:$LL$2,2,FALSE))))</f>
        <v>9.1027119999999996E-6</v>
      </c>
    </row>
    <row r="320" spans="1:46" x14ac:dyDescent="0.25">
      <c r="A320" t="str">
        <f>IF(Summary_Exchange_Balances_00UTC!$B320="","",Summary_Exchange_Balances_00UTC!$N320)</f>
        <v>OKEX</v>
      </c>
      <c r="B320" t="str">
        <f>IF(Summary_Exchange_Balances_00UTC!$B320="","",Summary_Exchange_Balances_00UTC!$B320)</f>
        <v>OKEX-2-M-W</v>
      </c>
      <c r="C320" t="str">
        <f>IF(Summary_Exchange_Balances_00UTC!$B320="","",Summary_Exchange_Balances_00UTC!$E320)</f>
        <v>XEC</v>
      </c>
      <c r="D320" t="str">
        <f>IF(OR(Summary_Exchange_Balances_00UTC!$B320="",Summary_Exchange_Balances_00UTC!$D320=""),"",Summary_Exchange_Balances_00UTC!$D320)</f>
        <v>Balance</v>
      </c>
      <c r="E320" s="53">
        <f>IF(Summary_Exchange_Balances_00UTC!$B320="","",Summary_Exchange_Balances_00UTC!$C320)</f>
        <v>5.47</v>
      </c>
      <c r="F320" s="53" t="e">
        <f>IF(Summary_Exchange_Balances_00UTC!$B320="","",VLOOKUP(UPPER($A320&amp;$C320),$L:$T,7,FALSE))</f>
        <v>#N/A</v>
      </c>
      <c r="G320" s="53" t="e">
        <f>IF(Summary_Exchange_Balances_00UTC!$B320="","",VLOOKUP(IF(ISERROR(SEARCH(" ", $B320)),UPPER($B320&amp;$C320&amp;$D320),UPPER(LEFT($B320, SEARCH(" ",$B320)-1)&amp;$C320&amp;$D320)),$M:$T,6,FALSE))</f>
        <v>#N/A</v>
      </c>
      <c r="H320">
        <f>IF(Summary_Exchange_Balances_00UTC!$B320="","",IF(ISERROR($G320),$E320,$G320))</f>
        <v>5.47</v>
      </c>
      <c r="I320" s="36" t="e">
        <f t="shared" si="12"/>
        <v>#N/A</v>
      </c>
      <c r="L320" t="str">
        <f t="shared" si="13"/>
        <v>OKEXETH</v>
      </c>
      <c r="M320" t="str">
        <f t="shared" si="14"/>
        <v>OKEX-2-S1ETHBALANCE</v>
      </c>
      <c r="N320" t="s">
        <v>16</v>
      </c>
      <c r="O320" t="s">
        <v>46</v>
      </c>
      <c r="P320" t="s">
        <v>50</v>
      </c>
      <c r="Q320" t="s">
        <v>75</v>
      </c>
      <c r="R320" s="43">
        <v>3799.38488821597</v>
      </c>
      <c r="S320" t="s">
        <v>539</v>
      </c>
      <c r="T320">
        <v>1</v>
      </c>
      <c r="W320" t="s">
        <v>189</v>
      </c>
      <c r="X320" t="s">
        <v>190</v>
      </c>
      <c r="Y320" s="53">
        <v>4.0782600000000002E-3</v>
      </c>
      <c r="Z320">
        <v>0</v>
      </c>
      <c r="AC320"/>
      <c r="AD320"/>
      <c r="AS320" t="str">
        <f>IF(Summary_Exchange_Balances_00UTC!$B320="","","'"&amp;C320&amp;"',")</f>
        <v>'XEC',</v>
      </c>
      <c r="AT320">
        <f>IF(Summary_Exchange_Balances_00UTC!$B320="","",IF(ISERROR(HLOOKUP($C320,$AW$1:$LL$2,2,FALSE)),Summary_Exchange_Balances_00UTC!$Q320,IF(OR(HLOOKUP($C320,$AW$1:$LL$2,2,FALSE)="",HLOOKUP($C320,$AW$1:$LL$2,2,FALSE)="null"),Summary_Exchange_Balances_00UTC!$Q320,HLOOKUP($C320,$AW$1:$LL$2,2,FALSE))))</f>
        <v>2.8637358E-5</v>
      </c>
    </row>
    <row r="321" spans="1:46" x14ac:dyDescent="0.25">
      <c r="A321" t="str">
        <f>IF(Summary_Exchange_Balances_00UTC!$B321="","",Summary_Exchange_Balances_00UTC!$N321)</f>
        <v>OKEX</v>
      </c>
      <c r="B321" t="str">
        <f>IF(Summary_Exchange_Balances_00UTC!$B321="","",Summary_Exchange_Balances_00UTC!$B321)</f>
        <v>OKEX-2-M-W</v>
      </c>
      <c r="C321" t="str">
        <f>IF(Summary_Exchange_Balances_00UTC!$B321="","",Summary_Exchange_Balances_00UTC!$E321)</f>
        <v>XRP</v>
      </c>
      <c r="D321" t="str">
        <f>IF(OR(Summary_Exchange_Balances_00UTC!$B321="",Summary_Exchange_Balances_00UTC!$D321=""),"",Summary_Exchange_Balances_00UTC!$D321)</f>
        <v>Balance</v>
      </c>
      <c r="E321" s="53">
        <f>IF(Summary_Exchange_Balances_00UTC!$B321="","",Summary_Exchange_Balances_00UTC!$C321)</f>
        <v>6.9987000000000001E-4</v>
      </c>
      <c r="F321" s="53">
        <f>IF(Summary_Exchange_Balances_00UTC!$B321="","",VLOOKUP(UPPER($A321&amp;$C321),$L:$T,7,FALSE))</f>
        <v>0.44933626032875401</v>
      </c>
      <c r="G321" s="53">
        <f>IF(Summary_Exchange_Balances_00UTC!$B321="","",VLOOKUP(IF(ISERROR(SEARCH(" ", $B321)),UPPER($B321&amp;$C321&amp;$D321),UPPER(LEFT($B321, SEARCH(" ",$B321)-1)&amp;$C321&amp;$D321)),$M:$T,6,FALSE))</f>
        <v>3130.2836829052399</v>
      </c>
      <c r="H321">
        <f>IF(Summary_Exchange_Balances_00UTC!$B321="","",IF(ISERROR($G321),$E321,$G321))</f>
        <v>3130.2836829052399</v>
      </c>
      <c r="I321" s="36">
        <f t="shared" si="12"/>
        <v>4472663.4704091325</v>
      </c>
      <c r="L321" t="str">
        <f t="shared" si="13"/>
        <v>OKEXETH</v>
      </c>
      <c r="M321" t="str">
        <f t="shared" si="14"/>
        <v>OKEX-2-METHUNREALIZED</v>
      </c>
      <c r="N321" t="s">
        <v>16</v>
      </c>
      <c r="O321" t="s">
        <v>46</v>
      </c>
      <c r="P321" t="s">
        <v>47</v>
      </c>
      <c r="Q321" t="s">
        <v>93</v>
      </c>
      <c r="R321" s="43">
        <v>-6.4922050880687099</v>
      </c>
      <c r="S321" t="s">
        <v>537</v>
      </c>
      <c r="T321">
        <v>1</v>
      </c>
      <c r="W321" t="s">
        <v>189</v>
      </c>
      <c r="X321" t="s">
        <v>15</v>
      </c>
      <c r="Y321" s="53">
        <v>7.9466503799999986</v>
      </c>
      <c r="Z321">
        <v>0</v>
      </c>
      <c r="AC321"/>
      <c r="AD321"/>
      <c r="AS321" t="str">
        <f>IF(Summary_Exchange_Balances_00UTC!$B321="","","'"&amp;C321&amp;"',")</f>
        <v>'XRP',</v>
      </c>
      <c r="AT321">
        <f>IF(Summary_Exchange_Balances_00UTC!$B321="","",IF(ISERROR(HLOOKUP($C321,$AW$1:$LL$2,2,FALSE)),Summary_Exchange_Balances_00UTC!$Q321,IF(OR(HLOOKUP($C321,$AW$1:$LL$2,2,FALSE)="",HLOOKUP($C321,$AW$1:$LL$2,2,FALSE)="null"),Summary_Exchange_Balances_00UTC!$Q321,HLOOKUP($C321,$AW$1:$LL$2,2,FALSE))))</f>
        <v>0.38471588000000001</v>
      </c>
    </row>
    <row r="322" spans="1:46" x14ac:dyDescent="0.25">
      <c r="A322" t="str">
        <f>IF(Summary_Exchange_Balances_00UTC!$B322="","",Summary_Exchange_Balances_00UTC!$N322)</f>
        <v>PITX</v>
      </c>
      <c r="B322" t="str">
        <f>IF(Summary_Exchange_Balances_00UTC!$B322="","",Summary_Exchange_Balances_00UTC!$B322)</f>
        <v>PITX-E</v>
      </c>
      <c r="C322" t="str">
        <f>IF(Summary_Exchange_Balances_00UTC!$B322="","",Summary_Exchange_Balances_00UTC!$E322)</f>
        <v>ETH</v>
      </c>
      <c r="D322" t="str">
        <f>IF(OR(Summary_Exchange_Balances_00UTC!$B322="",Summary_Exchange_Balances_00UTC!$D322=""),"",Summary_Exchange_Balances_00UTC!$D322)</f>
        <v/>
      </c>
      <c r="E322" s="53">
        <f>IF(Summary_Exchange_Balances_00UTC!$B322="","",Summary_Exchange_Balances_00UTC!$C322)</f>
        <v>7.1361999999999999E-4</v>
      </c>
      <c r="F322" s="53" t="e">
        <f>IF(Summary_Exchange_Balances_00UTC!$B322="","",VLOOKUP(UPPER($A322&amp;$C322),$L:$T,7,FALSE))</f>
        <v>#N/A</v>
      </c>
      <c r="G322" s="53" t="e">
        <f>IF(Summary_Exchange_Balances_00UTC!$B322="","",VLOOKUP(IF(ISERROR(SEARCH(" ", $B322)),UPPER($B322&amp;$C322&amp;$D322),UPPER(LEFT($B322, SEARCH(" ",$B322)-1)&amp;$C322&amp;$D322)),$M:$T,6,FALSE))</f>
        <v>#N/A</v>
      </c>
      <c r="H322">
        <f>IF(Summary_Exchange_Balances_00UTC!$B322="","",IF(ISERROR($G322),$E322,$G322))</f>
        <v>7.1361999999999999E-4</v>
      </c>
      <c r="I322" s="36" t="e">
        <f t="shared" ref="I322:I385" si="15">(G322-E322)/E322</f>
        <v>#N/A</v>
      </c>
      <c r="L322" t="str">
        <f t="shared" ref="L322:L382" si="16">UPPER($O322&amp;$N322)</f>
        <v>OKEXETH</v>
      </c>
      <c r="M322" t="str">
        <f t="shared" ref="M322:M382" si="17">UPPER($P322&amp;$N322&amp;Q322)</f>
        <v>OKEX-2-S2ETHBALANCE</v>
      </c>
      <c r="N322" t="s">
        <v>16</v>
      </c>
      <c r="O322" t="s">
        <v>46</v>
      </c>
      <c r="P322" t="s">
        <v>53</v>
      </c>
      <c r="Q322" t="s">
        <v>75</v>
      </c>
      <c r="R322" s="43">
        <v>150</v>
      </c>
      <c r="S322" t="s">
        <v>538</v>
      </c>
      <c r="T322">
        <v>1</v>
      </c>
      <c r="W322" t="s">
        <v>189</v>
      </c>
      <c r="X322" t="s">
        <v>32</v>
      </c>
      <c r="Y322" s="53">
        <v>0.06</v>
      </c>
      <c r="Z322">
        <v>0</v>
      </c>
      <c r="AC322"/>
      <c r="AD322"/>
      <c r="AS322" t="str">
        <f>IF(Summary_Exchange_Balances_00UTC!$B322="","","'"&amp;C322&amp;"',")</f>
        <v>'ETH',</v>
      </c>
      <c r="AT322">
        <f>IF(Summary_Exchange_Balances_00UTC!$B322="","",IF(ISERROR(HLOOKUP($C322,$AW$1:$LL$2,2,FALSE)),Summary_Exchange_Balances_00UTC!$Q322,IF(OR(HLOOKUP($C322,$AW$1:$LL$2,2,FALSE)="",HLOOKUP($C322,$AW$1:$LL$2,2,FALSE)="null"),Summary_Exchange_Balances_00UTC!$Q322,HLOOKUP($C322,$AW$1:$LL$2,2,FALSE))))</f>
        <v>1208.73</v>
      </c>
    </row>
    <row r="323" spans="1:46" x14ac:dyDescent="0.25">
      <c r="A323" t="str">
        <f>IF(Summary_Exchange_Balances_00UTC!$B323="","",Summary_Exchange_Balances_00UTC!$N323)</f>
        <v>PITX</v>
      </c>
      <c r="B323" t="str">
        <f>IF(Summary_Exchange_Balances_00UTC!$B323="","",Summary_Exchange_Balances_00UTC!$B323)</f>
        <v>PITX-E</v>
      </c>
      <c r="C323" t="str">
        <f>IF(Summary_Exchange_Balances_00UTC!$B323="","",Summary_Exchange_Balances_00UTC!$E323)</f>
        <v>EUR</v>
      </c>
      <c r="D323" t="str">
        <f>IF(OR(Summary_Exchange_Balances_00UTC!$B323="",Summary_Exchange_Balances_00UTC!$D323=""),"",Summary_Exchange_Balances_00UTC!$D323)</f>
        <v/>
      </c>
      <c r="E323" s="54">
        <f>IF(Summary_Exchange_Balances_00UTC!$B323="","",Summary_Exchange_Balances_00UTC!$C323)</f>
        <v>0.01</v>
      </c>
      <c r="F323" s="53" t="e">
        <f>IF(Summary_Exchange_Balances_00UTC!$B323="","",VLOOKUP(UPPER($A323&amp;$C323),$L:$T,7,FALSE))</f>
        <v>#N/A</v>
      </c>
      <c r="G323" s="53" t="e">
        <f>IF(Summary_Exchange_Balances_00UTC!$B323="","",VLOOKUP(IF(ISERROR(SEARCH(" ", $B323)),UPPER($B323&amp;$C323&amp;$D323),UPPER(LEFT($B323, SEARCH(" ",$B323)-1)&amp;$C323&amp;$D323)),$M:$T,6,FALSE))</f>
        <v>#N/A</v>
      </c>
      <c r="H323">
        <f>IF(Summary_Exchange_Balances_00UTC!$B323="","",IF(ISERROR($G323),$E323,$G323))</f>
        <v>0.01</v>
      </c>
      <c r="I323" s="36" t="e">
        <f t="shared" si="15"/>
        <v>#N/A</v>
      </c>
      <c r="L323" t="str">
        <f t="shared" si="16"/>
        <v>OKEXETH</v>
      </c>
      <c r="M323" t="str">
        <f t="shared" si="17"/>
        <v>OKEX-2-M-WETHBALANCE</v>
      </c>
      <c r="N323" t="s">
        <v>16</v>
      </c>
      <c r="O323" t="s">
        <v>46</v>
      </c>
      <c r="P323" t="s">
        <v>177</v>
      </c>
      <c r="Q323" t="s">
        <v>75</v>
      </c>
      <c r="R323" s="43">
        <v>182.71384167151601</v>
      </c>
      <c r="S323" t="s">
        <v>537</v>
      </c>
      <c r="T323">
        <v>1</v>
      </c>
      <c r="W323" t="s">
        <v>189</v>
      </c>
      <c r="X323" t="s">
        <v>23</v>
      </c>
      <c r="Y323" s="54">
        <v>2.0019999999999998</v>
      </c>
      <c r="Z323">
        <v>0</v>
      </c>
      <c r="AC323"/>
      <c r="AD323"/>
      <c r="AS323" t="str">
        <f>IF(Summary_Exchange_Balances_00UTC!$B323="","","'"&amp;C323&amp;"',")</f>
        <v>'EUR',</v>
      </c>
      <c r="AT323">
        <f>IF(Summary_Exchange_Balances_00UTC!$B323="","",IF(ISERROR(HLOOKUP($C323,$AW$1:$LL$2,2,FALSE)),Summary_Exchange_Balances_00UTC!$Q323,IF(OR(HLOOKUP($C323,$AW$1:$LL$2,2,FALSE)="",HLOOKUP($C323,$AW$1:$LL$2,2,FALSE)="null"),Summary_Exchange_Balances_00UTC!$Q323,HLOOKUP($C323,$AW$1:$LL$2,2,FALSE))))</f>
        <v>1.0682700000000001</v>
      </c>
    </row>
    <row r="324" spans="1:46" x14ac:dyDescent="0.25">
      <c r="A324" t="str">
        <f>IF(Summary_Exchange_Balances_00UTC!$B324="","",Summary_Exchange_Balances_00UTC!$N324)</f>
        <v>PITX</v>
      </c>
      <c r="B324" t="str">
        <f>IF(Summary_Exchange_Balances_00UTC!$B324="","",Summary_Exchange_Balances_00UTC!$B324)</f>
        <v>PITX-E</v>
      </c>
      <c r="C324" t="str">
        <f>IF(Summary_Exchange_Balances_00UTC!$B324="","",Summary_Exchange_Balances_00UTC!$E324)</f>
        <v>GBP</v>
      </c>
      <c r="D324" t="str">
        <f>IF(OR(Summary_Exchange_Balances_00UTC!$B324="",Summary_Exchange_Balances_00UTC!$D324=""),"",Summary_Exchange_Balances_00UTC!$D324)</f>
        <v/>
      </c>
      <c r="E324" s="54">
        <f>IF(Summary_Exchange_Balances_00UTC!$B324="","",Summary_Exchange_Balances_00UTC!$C324)</f>
        <v>0.01</v>
      </c>
      <c r="F324" s="53" t="e">
        <f>IF(Summary_Exchange_Balances_00UTC!$B324="","",VLOOKUP(UPPER($A324&amp;$C324),$L:$T,7,FALSE))</f>
        <v>#N/A</v>
      </c>
      <c r="G324" s="53" t="e">
        <f>IF(Summary_Exchange_Balances_00UTC!$B324="","",VLOOKUP(IF(ISERROR(SEARCH(" ", $B324)),UPPER($B324&amp;$C324&amp;$D324),UPPER(LEFT($B324, SEARCH(" ",$B324)-1)&amp;$C324&amp;$D324)),$M:$T,6,FALSE))</f>
        <v>#N/A</v>
      </c>
      <c r="H324">
        <f>IF(Summary_Exchange_Balances_00UTC!$B324="","",IF(ISERROR($G324),$E324,$G324))</f>
        <v>0.01</v>
      </c>
      <c r="I324" s="36" t="e">
        <f t="shared" si="15"/>
        <v>#N/A</v>
      </c>
      <c r="L324" t="str">
        <f t="shared" si="16"/>
        <v>OKEXETH</v>
      </c>
      <c r="M324" t="str">
        <f t="shared" si="17"/>
        <v>OKEX-2-S1ETHUNREALIZED</v>
      </c>
      <c r="N324" t="s">
        <v>16</v>
      </c>
      <c r="O324" t="s">
        <v>46</v>
      </c>
      <c r="P324" t="s">
        <v>50</v>
      </c>
      <c r="Q324" t="s">
        <v>93</v>
      </c>
      <c r="R324" s="43">
        <v>116.916391131802</v>
      </c>
      <c r="S324" t="s">
        <v>539</v>
      </c>
      <c r="T324">
        <v>1</v>
      </c>
      <c r="W324" t="s">
        <v>189</v>
      </c>
      <c r="X324" t="s">
        <v>24</v>
      </c>
      <c r="Y324" s="54">
        <v>3.5000000000000001E-3</v>
      </c>
      <c r="Z324">
        <v>0</v>
      </c>
      <c r="AC324"/>
      <c r="AD324"/>
      <c r="AS324" t="str">
        <f>IF(Summary_Exchange_Balances_00UTC!$B324="","","'"&amp;C324&amp;"',")</f>
        <v>'GBP',</v>
      </c>
      <c r="AT324">
        <f>IF(Summary_Exchange_Balances_00UTC!$B324="","",IF(ISERROR(HLOOKUP($C324,$AW$1:$LL$2,2,FALSE)),Summary_Exchange_Balances_00UTC!$Q324,IF(OR(HLOOKUP($C324,$AW$1:$LL$2,2,FALSE)="",HLOOKUP($C324,$AW$1:$LL$2,2,FALSE)="null"),Summary_Exchange_Balances_00UTC!$Q324,HLOOKUP($C324,$AW$1:$LL$2,2,FALSE))))</f>
        <v>1.2427649999999899</v>
      </c>
    </row>
    <row r="325" spans="1:46" x14ac:dyDescent="0.25">
      <c r="A325" t="str">
        <f>IF(Summary_Exchange_Balances_00UTC!$B325="","",Summary_Exchange_Balances_00UTC!$N325)</f>
        <v>PITX</v>
      </c>
      <c r="B325" t="str">
        <f>IF(Summary_Exchange_Balances_00UTC!$B325="","",Summary_Exchange_Balances_00UTC!$B325)</f>
        <v>PITX-E</v>
      </c>
      <c r="C325" t="str">
        <f>IF(Summary_Exchange_Balances_00UTC!$B325="","",Summary_Exchange_Balances_00UTC!$E325)</f>
        <v>TRY</v>
      </c>
      <c r="D325" t="str">
        <f>IF(OR(Summary_Exchange_Balances_00UTC!$B325="",Summary_Exchange_Balances_00UTC!$D325=""),"",Summary_Exchange_Balances_00UTC!$D325)</f>
        <v/>
      </c>
      <c r="E325" s="54">
        <f>IF(Summary_Exchange_Balances_00UTC!$B325="","",Summary_Exchange_Balances_00UTC!$C325)</f>
        <v>0.10983253</v>
      </c>
      <c r="F325" s="53" t="e">
        <f>IF(Summary_Exchange_Balances_00UTC!$B325="","",VLOOKUP(UPPER($A325&amp;$C325),$L:$T,7,FALSE))</f>
        <v>#N/A</v>
      </c>
      <c r="G325" s="53" t="e">
        <f>IF(Summary_Exchange_Balances_00UTC!$B325="","",VLOOKUP(IF(ISERROR(SEARCH(" ", $B325)),UPPER($B325&amp;$C325&amp;$D325),UPPER(LEFT($B325, SEARCH(" ",$B325)-1)&amp;$C325&amp;$D325)),$M:$T,6,FALSE))</f>
        <v>#N/A</v>
      </c>
      <c r="H325">
        <f>IF(Summary_Exchange_Balances_00UTC!$B325="","",IF(ISERROR($G325),$E325,$G325))</f>
        <v>0.10983253</v>
      </c>
      <c r="I325" s="36" t="e">
        <f t="shared" si="15"/>
        <v>#N/A</v>
      </c>
      <c r="L325" t="str">
        <f t="shared" si="16"/>
        <v>OKEXFIL</v>
      </c>
      <c r="M325" t="str">
        <f t="shared" si="17"/>
        <v>OKEX-2-M-WFILBALANCE</v>
      </c>
      <c r="N325" t="s">
        <v>31</v>
      </c>
      <c r="O325" t="s">
        <v>46</v>
      </c>
      <c r="P325" t="s">
        <v>177</v>
      </c>
      <c r="Q325" t="s">
        <v>75</v>
      </c>
      <c r="R325" s="43">
        <v>-3.6904378167286998E-2</v>
      </c>
      <c r="S325" t="s">
        <v>537</v>
      </c>
      <c r="T325">
        <v>1</v>
      </c>
      <c r="W325" t="s">
        <v>189</v>
      </c>
      <c r="X325" t="s">
        <v>30</v>
      </c>
      <c r="Y325" s="54">
        <v>5.8799999999999999E-5</v>
      </c>
      <c r="Z325">
        <v>0</v>
      </c>
      <c r="AC325"/>
      <c r="AD325"/>
      <c r="AS325" t="str">
        <f>IF(Summary_Exchange_Balances_00UTC!$B325="","","'"&amp;C325&amp;"',")</f>
        <v>'TRY',</v>
      </c>
      <c r="AT325">
        <f>IF(Summary_Exchange_Balances_00UTC!$B325="","",IF(ISERROR(HLOOKUP($C325,$AW$1:$LL$2,2,FALSE)),Summary_Exchange_Balances_00UTC!$Q325,IF(OR(HLOOKUP($C325,$AW$1:$LL$2,2,FALSE)="",HLOOKUP($C325,$AW$1:$LL$2,2,FALSE)="null"),Summary_Exchange_Balances_00UTC!$Q325,HLOOKUP($C325,$AW$1:$LL$2,2,FALSE))))</f>
        <v>5.3134253253703613E-2</v>
      </c>
    </row>
    <row r="326" spans="1:46" x14ac:dyDescent="0.25">
      <c r="A326" t="str">
        <f>IF(Summary_Exchange_Balances_00UTC!$B326="","",Summary_Exchange_Balances_00UTC!$N326)</f>
        <v>PITX</v>
      </c>
      <c r="B326" t="str">
        <f>IF(Summary_Exchange_Balances_00UTC!$B326="","",Summary_Exchange_Balances_00UTC!$B326)</f>
        <v>PITX-E</v>
      </c>
      <c r="C326" t="str">
        <f>IF(Summary_Exchange_Balances_00UTC!$B326="","",Summary_Exchange_Balances_00UTC!$E326)</f>
        <v>USD</v>
      </c>
      <c r="D326" t="str">
        <f>IF(OR(Summary_Exchange_Balances_00UTC!$B326="",Summary_Exchange_Balances_00UTC!$D326=""),"",Summary_Exchange_Balances_00UTC!$D326)</f>
        <v/>
      </c>
      <c r="E326" s="54">
        <f>IF(Summary_Exchange_Balances_00UTC!$B326="","",Summary_Exchange_Balances_00UTC!$C326)</f>
        <v>6.5778299999999998E-3</v>
      </c>
      <c r="F326" s="53" t="e">
        <f>IF(Summary_Exchange_Balances_00UTC!$B326="","",VLOOKUP(UPPER($A326&amp;$C326),$L:$T,7,FALSE))</f>
        <v>#N/A</v>
      </c>
      <c r="G326" s="53" t="e">
        <f>IF(Summary_Exchange_Balances_00UTC!$B326="","",VLOOKUP(IF(ISERROR(SEARCH(" ", $B326)),UPPER($B326&amp;$C326&amp;$D326),UPPER(LEFT($B326, SEARCH(" ",$B326)-1)&amp;$C326&amp;$D326)),$M:$T,6,FALSE))</f>
        <v>#N/A</v>
      </c>
      <c r="H326">
        <f>IF(Summary_Exchange_Balances_00UTC!$B326="","",IF(ISERROR($G326),$E326,$G326))</f>
        <v>6.5778299999999998E-3</v>
      </c>
      <c r="I326" s="36" t="e">
        <f t="shared" si="15"/>
        <v>#N/A</v>
      </c>
      <c r="L326" t="str">
        <f t="shared" si="16"/>
        <v>OKEXLTC</v>
      </c>
      <c r="M326" t="str">
        <f t="shared" si="17"/>
        <v>OKEX-2-M-WLTCBALANCE</v>
      </c>
      <c r="N326" t="s">
        <v>25</v>
      </c>
      <c r="O326" t="s">
        <v>46</v>
      </c>
      <c r="P326" t="s">
        <v>177</v>
      </c>
      <c r="Q326" t="s">
        <v>75</v>
      </c>
      <c r="R326" s="43">
        <v>12.467970902777701</v>
      </c>
      <c r="S326" t="s">
        <v>537</v>
      </c>
      <c r="T326">
        <v>1</v>
      </c>
      <c r="W326" t="s">
        <v>189</v>
      </c>
      <c r="X326" t="s">
        <v>16</v>
      </c>
      <c r="Y326" s="54">
        <v>6621.5465003899999</v>
      </c>
      <c r="Z326">
        <v>0</v>
      </c>
      <c r="AC326"/>
      <c r="AD326"/>
      <c r="AS326" t="str">
        <f>IF(Summary_Exchange_Balances_00UTC!$B326="","","'"&amp;C326&amp;"',")</f>
        <v>'USD',</v>
      </c>
      <c r="AT326">
        <f>IF(Summary_Exchange_Balances_00UTC!$B326="","",IF(ISERROR(HLOOKUP($C326,$AW$1:$LL$2,2,FALSE)),Summary_Exchange_Balances_00UTC!$Q326,IF(OR(HLOOKUP($C326,$AW$1:$LL$2,2,FALSE)="",HLOOKUP($C326,$AW$1:$LL$2,2,FALSE)="null"),Summary_Exchange_Balances_00UTC!$Q326,HLOOKUP($C326,$AW$1:$LL$2,2,FALSE))))</f>
        <v>1</v>
      </c>
    </row>
    <row r="327" spans="1:46" x14ac:dyDescent="0.25">
      <c r="A327" t="str">
        <f>IF(Summary_Exchange_Balances_00UTC!$B327="","",Summary_Exchange_Balances_00UTC!$N327)</f>
        <v>PITX</v>
      </c>
      <c r="B327" t="str">
        <f>IF(Summary_Exchange_Balances_00UTC!$B327="","",Summary_Exchange_Balances_00UTC!$B327)</f>
        <v>PITX-E</v>
      </c>
      <c r="C327" t="str">
        <f>IF(Summary_Exchange_Balances_00UTC!$B327="","",Summary_Exchange_Balances_00UTC!$E327)</f>
        <v>USDT</v>
      </c>
      <c r="D327" t="str">
        <f>IF(OR(Summary_Exchange_Balances_00UTC!$B327="",Summary_Exchange_Balances_00UTC!$D327=""),"",Summary_Exchange_Balances_00UTC!$D327)</f>
        <v/>
      </c>
      <c r="E327" s="54">
        <f>IF(Summary_Exchange_Balances_00UTC!$B327="","",Summary_Exchange_Balances_00UTC!$C327)</f>
        <v>9.9996000000000004E-4</v>
      </c>
      <c r="F327" s="53" t="e">
        <f>IF(Summary_Exchange_Balances_00UTC!$B327="","",VLOOKUP(UPPER($A327&amp;$C327),$L:$T,7,FALSE))</f>
        <v>#N/A</v>
      </c>
      <c r="G327" s="53" t="e">
        <f>IF(Summary_Exchange_Balances_00UTC!$B327="","",VLOOKUP(IF(ISERROR(SEARCH(" ", $B327)),UPPER($B327&amp;$C327&amp;$D327),UPPER(LEFT($B327, SEARCH(" ",$B327)-1)&amp;$C327&amp;$D327)),$M:$T,6,FALSE))</f>
        <v>#N/A</v>
      </c>
      <c r="H327">
        <f>IF(Summary_Exchange_Balances_00UTC!$B327="","",IF(ISERROR($G327),$E327,$G327))</f>
        <v>9.9996000000000004E-4</v>
      </c>
      <c r="I327" s="36" t="e">
        <f t="shared" si="15"/>
        <v>#N/A</v>
      </c>
      <c r="L327" t="str">
        <f t="shared" si="16"/>
        <v>OKEXOXT</v>
      </c>
      <c r="M327" t="str">
        <f t="shared" si="17"/>
        <v>OKEX-2-M-WOXTBALANCE</v>
      </c>
      <c r="N327" t="s">
        <v>92</v>
      </c>
      <c r="O327" t="s">
        <v>46</v>
      </c>
      <c r="P327" t="s">
        <v>177</v>
      </c>
      <c r="Q327" t="s">
        <v>75</v>
      </c>
      <c r="R327" s="43">
        <v>415317.511551501</v>
      </c>
      <c r="S327" t="s">
        <v>537</v>
      </c>
      <c r="T327">
        <v>1</v>
      </c>
      <c r="W327" t="s">
        <v>189</v>
      </c>
      <c r="X327" t="s">
        <v>275</v>
      </c>
      <c r="Y327" s="54">
        <v>0.42501022999999999</v>
      </c>
      <c r="Z327">
        <v>0</v>
      </c>
      <c r="AC327"/>
      <c r="AD327"/>
      <c r="AS327" t="str">
        <f>IF(Summary_Exchange_Balances_00UTC!$B327="","","'"&amp;C327&amp;"',")</f>
        <v>'USDT',</v>
      </c>
      <c r="AT327">
        <f>IF(Summary_Exchange_Balances_00UTC!$B327="","",IF(ISERROR(HLOOKUP($C327,$AW$1:$LL$2,2,FALSE)),Summary_Exchange_Balances_00UTC!$Q327,IF(OR(HLOOKUP($C327,$AW$1:$LL$2,2,FALSE)="",HLOOKUP($C327,$AW$1:$LL$2,2,FALSE)="null"),Summary_Exchange_Balances_00UTC!$Q327,HLOOKUP($C327,$AW$1:$LL$2,2,FALSE))))</f>
        <v>1.000105410324533</v>
      </c>
    </row>
    <row r="328" spans="1:46" x14ac:dyDescent="0.25">
      <c r="A328" t="str">
        <f>IF(Summary_Exchange_Balances_00UTC!$B328="","",Summary_Exchange_Balances_00UTC!$N328)</f>
        <v>PITX</v>
      </c>
      <c r="B328" t="str">
        <f>IF(Summary_Exchange_Balances_00UTC!$B328="","",Summary_Exchange_Balances_00UTC!$B328)</f>
        <v>PITX-E</v>
      </c>
      <c r="C328" t="str">
        <f>IF(Summary_Exchange_Balances_00UTC!$B328="","",Summary_Exchange_Balances_00UTC!$E328)</f>
        <v>XLM</v>
      </c>
      <c r="D328" t="str">
        <f>IF(OR(Summary_Exchange_Balances_00UTC!$B328="",Summary_Exchange_Balances_00UTC!$D328=""),"",Summary_Exchange_Balances_00UTC!$D328)</f>
        <v/>
      </c>
      <c r="E328" s="54">
        <f>IF(Summary_Exchange_Balances_00UTC!$B328="","",Summary_Exchange_Balances_00UTC!$C328)</f>
        <v>9.9999999999999995E-8</v>
      </c>
      <c r="F328" s="53" t="e">
        <f>IF(Summary_Exchange_Balances_00UTC!$B328="","",VLOOKUP(UPPER($A328&amp;$C328),$L:$T,7,FALSE))</f>
        <v>#N/A</v>
      </c>
      <c r="G328" s="53" t="e">
        <f>IF(Summary_Exchange_Balances_00UTC!$B328="","",VLOOKUP(IF(ISERROR(SEARCH(" ", $B328)),UPPER($B328&amp;$C328&amp;$D328),UPPER(LEFT($B328, SEARCH(" ",$B328)-1)&amp;$C328&amp;$D328)),$M:$T,6,FALSE))</f>
        <v>#N/A</v>
      </c>
      <c r="H328">
        <f>IF(Summary_Exchange_Balances_00UTC!$B328="","",IF(ISERROR($G328),$E328,$G328))</f>
        <v>9.9999999999999995E-8</v>
      </c>
      <c r="I328" s="36" t="e">
        <f t="shared" si="15"/>
        <v>#N/A</v>
      </c>
      <c r="L328" t="str">
        <f t="shared" si="16"/>
        <v>OKEXSHIB</v>
      </c>
      <c r="M328" t="str">
        <f t="shared" si="17"/>
        <v>OKEX-2-M-WSHIBBALANCE</v>
      </c>
      <c r="N328" t="s">
        <v>38</v>
      </c>
      <c r="O328" t="s">
        <v>46</v>
      </c>
      <c r="P328" t="s">
        <v>177</v>
      </c>
      <c r="Q328" t="s">
        <v>75</v>
      </c>
      <c r="R328" s="43">
        <v>-10031548141.706499</v>
      </c>
      <c r="S328" t="s">
        <v>537</v>
      </c>
      <c r="T328">
        <v>1</v>
      </c>
      <c r="W328" t="s">
        <v>189</v>
      </c>
      <c r="X328" t="s">
        <v>261</v>
      </c>
      <c r="Y328" s="54">
        <v>5024</v>
      </c>
      <c r="Z328">
        <v>0</v>
      </c>
      <c r="AC328"/>
      <c r="AD328"/>
      <c r="AS328" t="str">
        <f>IF(Summary_Exchange_Balances_00UTC!$B328="","","'"&amp;C328&amp;"',")</f>
        <v>'XLM',</v>
      </c>
      <c r="AT328">
        <f>IF(Summary_Exchange_Balances_00UTC!$B328="","",IF(ISERROR(HLOOKUP($C328,$AW$1:$LL$2,2,FALSE)),Summary_Exchange_Balances_00UTC!$Q328,IF(OR(HLOOKUP($C328,$AW$1:$LL$2,2,FALSE)="",HLOOKUP($C328,$AW$1:$LL$2,2,FALSE)="null"),Summary_Exchange_Balances_00UTC!$Q328,HLOOKUP($C328,$AW$1:$LL$2,2,FALSE))))</f>
        <v>9.0786800000000001E-2</v>
      </c>
    </row>
    <row r="329" spans="1:46" x14ac:dyDescent="0.25">
      <c r="A329" t="str">
        <f>IF(Summary_Exchange_Balances_00UTC!$B329="","",Summary_Exchange_Balances_00UTC!$N329)</f>
        <v>SHFT WALLET</v>
      </c>
      <c r="B329" t="str">
        <f>IF(Summary_Exchange_Balances_00UTC!$B329="","",Summary_Exchange_Balances_00UTC!$B329)</f>
        <v>SHFT-1-W</v>
      </c>
      <c r="C329" t="str">
        <f>IF(Summary_Exchange_Balances_00UTC!$B329="","",Summary_Exchange_Balances_00UTC!$E329)</f>
        <v>SHFT</v>
      </c>
      <c r="D329" t="str">
        <f>IF(OR(Summary_Exchange_Balances_00UTC!$B329="",Summary_Exchange_Balances_00UTC!$D329=""),"",Summary_Exchange_Balances_00UTC!$D329)</f>
        <v/>
      </c>
      <c r="E329" s="54">
        <f>IF(Summary_Exchange_Balances_00UTC!$B329="","",Summary_Exchange_Balances_00UTC!$C329)</f>
        <v>3393052.5294192201</v>
      </c>
      <c r="F329" s="53" t="e">
        <f>IF(Summary_Exchange_Balances_00UTC!$B329="","",VLOOKUP(UPPER($A329&amp;$C329),$L:$T,7,FALSE))</f>
        <v>#N/A</v>
      </c>
      <c r="G329" s="53" t="e">
        <f>IF(Summary_Exchange_Balances_00UTC!$B329="","",VLOOKUP(IF(ISERROR(SEARCH(" ", $B329)),UPPER($B329&amp;$C329&amp;$D329),UPPER(LEFT($B329, SEARCH(" ",$B329)-1)&amp;$C329&amp;$D329)),$M:$T,6,FALSE))</f>
        <v>#N/A</v>
      </c>
      <c r="H329">
        <f>IF(Summary_Exchange_Balances_00UTC!$B329="","",IF(ISERROR($G329),$E329,$G329))</f>
        <v>3393052.5294192201</v>
      </c>
      <c r="I329" s="36" t="e">
        <f t="shared" si="15"/>
        <v>#N/A</v>
      </c>
      <c r="L329" t="str">
        <f t="shared" si="16"/>
        <v>OKEXUSDC</v>
      </c>
      <c r="M329" t="str">
        <f t="shared" si="17"/>
        <v>OKEX-2-M-WUSDCBALANCE</v>
      </c>
      <c r="N329" t="s">
        <v>95</v>
      </c>
      <c r="O329" t="s">
        <v>46</v>
      </c>
      <c r="P329" t="s">
        <v>177</v>
      </c>
      <c r="Q329" t="s">
        <v>75</v>
      </c>
      <c r="R329" s="43">
        <v>-66841.156334572195</v>
      </c>
      <c r="S329" t="s">
        <v>537</v>
      </c>
      <c r="T329">
        <v>1</v>
      </c>
      <c r="W329" t="s">
        <v>189</v>
      </c>
      <c r="X329" t="s">
        <v>194</v>
      </c>
      <c r="Y329" s="54">
        <v>8.9826517900000002</v>
      </c>
      <c r="Z329">
        <v>0</v>
      </c>
      <c r="AC329"/>
      <c r="AD329"/>
      <c r="AS329" t="str">
        <f>IF(Summary_Exchange_Balances_00UTC!$B329="","","'"&amp;C329&amp;"',")</f>
        <v>'SHFT',</v>
      </c>
      <c r="AT329">
        <f>IF(Summary_Exchange_Balances_00UTC!$B329="","",IF(ISERROR(HLOOKUP($C329,$AW$1:$LL$2,2,FALSE)),Summary_Exchange_Balances_00UTC!$Q329,IF(OR(HLOOKUP($C329,$AW$1:$LL$2,2,FALSE)="",HLOOKUP($C329,$AW$1:$LL$2,2,FALSE)="null"),Summary_Exchange_Balances_00UTC!$Q329,HLOOKUP($C329,$AW$1:$LL$2,2,FALSE))))</f>
        <v>9.2566564793401182E-3</v>
      </c>
    </row>
    <row r="330" spans="1:46" x14ac:dyDescent="0.25">
      <c r="A330" t="str">
        <f>IF(Summary_Exchange_Balances_00UTC!$B330="","",Summary_Exchange_Balances_00UTC!$N330)</f>
        <v>WOOX</v>
      </c>
      <c r="B330" t="str">
        <f>IF(Summary_Exchange_Balances_00UTC!$B330="","",Summary_Exchange_Balances_00UTC!$B330)</f>
        <v>WOOX-1-M-E</v>
      </c>
      <c r="C330" t="str">
        <f>IF(Summary_Exchange_Balances_00UTC!$B330="","",Summary_Exchange_Balances_00UTC!$E330)</f>
        <v>ADA</v>
      </c>
      <c r="D330" t="str">
        <f>IF(OR(Summary_Exchange_Balances_00UTC!$B330="",Summary_Exchange_Balances_00UTC!$D330=""),"",Summary_Exchange_Balances_00UTC!$D330)</f>
        <v/>
      </c>
      <c r="E330" s="53">
        <f>IF(Summary_Exchange_Balances_00UTC!$B330="","",Summary_Exchange_Balances_00UTC!$C330)</f>
        <v>59</v>
      </c>
      <c r="F330" s="53">
        <f>IF(Summary_Exchange_Balances_00UTC!$B330="","",VLOOKUP(UPPER($A330&amp;$C330),$L:$T,7,FALSE))</f>
        <v>59</v>
      </c>
      <c r="G330" s="53">
        <f>IF(Summary_Exchange_Balances_00UTC!$B330="","",VLOOKUP(IF(ISERROR(SEARCH(" ", $B330)),UPPER($B330&amp;$C330&amp;$D330),UPPER(LEFT($B330, SEARCH(" ",$B330)-1)&amp;$C330&amp;$D330)),$M:$T,6,FALSE))</f>
        <v>59</v>
      </c>
      <c r="H330">
        <f>IF(Summary_Exchange_Balances_00UTC!$B330="","",IF(ISERROR($G330),$E330,$G330))</f>
        <v>59</v>
      </c>
      <c r="I330" s="36">
        <f t="shared" si="15"/>
        <v>0</v>
      </c>
      <c r="L330" t="str">
        <f t="shared" si="16"/>
        <v>OKEXUSDT</v>
      </c>
      <c r="M330" t="str">
        <f t="shared" si="17"/>
        <v>OKEX-2-MUSDTUNREALIZED</v>
      </c>
      <c r="N330" t="s">
        <v>39</v>
      </c>
      <c r="O330" t="s">
        <v>46</v>
      </c>
      <c r="P330" t="s">
        <v>47</v>
      </c>
      <c r="Q330" t="s">
        <v>93</v>
      </c>
      <c r="R330" s="43">
        <v>239659.97105781399</v>
      </c>
      <c r="S330" t="s">
        <v>537</v>
      </c>
      <c r="T330">
        <v>1</v>
      </c>
      <c r="W330" t="s">
        <v>189</v>
      </c>
      <c r="X330" t="s">
        <v>112</v>
      </c>
      <c r="Y330" s="53">
        <v>2.53888889</v>
      </c>
      <c r="Z330">
        <v>0</v>
      </c>
      <c r="AC330"/>
      <c r="AD330"/>
      <c r="AS330" t="str">
        <f>IF(Summary_Exchange_Balances_00UTC!$B330="","","'"&amp;C330&amp;"',")</f>
        <v>'ADA',</v>
      </c>
      <c r="AT330">
        <f>IF(Summary_Exchange_Balances_00UTC!$B330="","",IF(ISERROR(HLOOKUP($C330,$AW$1:$LL$2,2,FALSE)),Summary_Exchange_Balances_00UTC!$Q330,IF(OR(HLOOKUP($C330,$AW$1:$LL$2,2,FALSE)="",HLOOKUP($C330,$AW$1:$LL$2,2,FALSE)="null"),Summary_Exchange_Balances_00UTC!$Q330,HLOOKUP($C330,$AW$1:$LL$2,2,FALSE))))</f>
        <v>0.32653653999999999</v>
      </c>
    </row>
    <row r="331" spans="1:46" x14ac:dyDescent="0.25">
      <c r="A331" t="str">
        <f>IF(Summary_Exchange_Balances_00UTC!$B331="","",Summary_Exchange_Balances_00UTC!$N331)</f>
        <v>WOOX</v>
      </c>
      <c r="B331" t="str">
        <f>IF(Summary_Exchange_Balances_00UTC!$B331="","",Summary_Exchange_Balances_00UTC!$B331)</f>
        <v>WOOX-1-M-E</v>
      </c>
      <c r="C331" t="str">
        <f>IF(Summary_Exchange_Balances_00UTC!$B331="","",Summary_Exchange_Balances_00UTC!$E331)</f>
        <v>BTC</v>
      </c>
      <c r="D331" t="str">
        <f>IF(OR(Summary_Exchange_Balances_00UTC!$B331="",Summary_Exchange_Balances_00UTC!$D331=""),"",Summary_Exchange_Balances_00UTC!$D331)</f>
        <v/>
      </c>
      <c r="E331" s="53">
        <f>IF(Summary_Exchange_Balances_00UTC!$B331="","",Summary_Exchange_Balances_00UTC!$C331)</f>
        <v>349.04641047000001</v>
      </c>
      <c r="F331" s="53">
        <f>IF(Summary_Exchange_Balances_00UTC!$B331="","",VLOOKUP(UPPER($A331&amp;$C331),$L:$T,7,FALSE))</f>
        <v>-96.668975360000005</v>
      </c>
      <c r="G331" s="53">
        <f>IF(Summary_Exchange_Balances_00UTC!$B331="","",VLOOKUP(IF(ISERROR(SEARCH(" ", $B331)),UPPER($B331&amp;$C331&amp;$D331),UPPER(LEFT($B331, SEARCH(" ",$B331)-1)&amp;$C331&amp;$D331)),$M:$T,6,FALSE))</f>
        <v>-96.668975360000005</v>
      </c>
      <c r="H331">
        <f>IF(Summary_Exchange_Balances_00UTC!$B331="","",IF(ISERROR($G331),$E331,$G331))</f>
        <v>-96.668975360000005</v>
      </c>
      <c r="I331" s="36">
        <f t="shared" si="15"/>
        <v>-1.2769516386942146</v>
      </c>
      <c r="L331" t="str">
        <f t="shared" si="16"/>
        <v>OKEXUSDT</v>
      </c>
      <c r="M331" t="str">
        <f t="shared" si="17"/>
        <v>OKEX-2-S2USDTUNREALIZED</v>
      </c>
      <c r="N331" t="s">
        <v>39</v>
      </c>
      <c r="O331" t="s">
        <v>46</v>
      </c>
      <c r="P331" t="s">
        <v>53</v>
      </c>
      <c r="Q331" t="s">
        <v>93</v>
      </c>
      <c r="R331" s="43">
        <v>252190.00148474899</v>
      </c>
      <c r="S331" t="s">
        <v>538</v>
      </c>
      <c r="T331">
        <v>1</v>
      </c>
      <c r="W331" t="s">
        <v>189</v>
      </c>
      <c r="X331" t="s">
        <v>138</v>
      </c>
      <c r="Y331" s="53">
        <v>79.958187959999989</v>
      </c>
      <c r="Z331">
        <v>0</v>
      </c>
      <c r="AC331"/>
      <c r="AD331"/>
      <c r="AS331" t="str">
        <f>IF(Summary_Exchange_Balances_00UTC!$B331="","","'"&amp;C331&amp;"',")</f>
        <v>'BTC',</v>
      </c>
      <c r="AT331">
        <f>IF(Summary_Exchange_Balances_00UTC!$B331="","",IF(ISERROR(HLOOKUP($C331,$AW$1:$LL$2,2,FALSE)),Summary_Exchange_Balances_00UTC!$Q331,IF(OR(HLOOKUP($C331,$AW$1:$LL$2,2,FALSE)="",HLOOKUP($C331,$AW$1:$LL$2,2,FALSE)="null"),Summary_Exchange_Balances_00UTC!$Q331,HLOOKUP($C331,$AW$1:$LL$2,2,FALSE))))</f>
        <v>16719.740000000002</v>
      </c>
    </row>
    <row r="332" spans="1:46" x14ac:dyDescent="0.25">
      <c r="A332" t="str">
        <f>IF(Summary_Exchange_Balances_00UTC!$B332="","",Summary_Exchange_Balances_00UTC!$N332)</f>
        <v>WOOX</v>
      </c>
      <c r="B332" t="str">
        <f>IF(Summary_Exchange_Balances_00UTC!$B332="","",Summary_Exchange_Balances_00UTC!$B332)</f>
        <v>WOOX-1-M-E</v>
      </c>
      <c r="C332" t="str">
        <f>IF(Summary_Exchange_Balances_00UTC!$B332="","",Summary_Exchange_Balances_00UTC!$E332)</f>
        <v>ETH</v>
      </c>
      <c r="D332" t="str">
        <f>IF(OR(Summary_Exchange_Balances_00UTC!$B332="",Summary_Exchange_Balances_00UTC!$D332=""),"",Summary_Exchange_Balances_00UTC!$D332)</f>
        <v/>
      </c>
      <c r="E332" s="53">
        <f>IF(Summary_Exchange_Balances_00UTC!$B332="","",Summary_Exchange_Balances_00UTC!$C332)</f>
        <v>2104.7725880100002</v>
      </c>
      <c r="F332" s="53">
        <f>IF(Summary_Exchange_Balances_00UTC!$B332="","",VLOOKUP(UPPER($A332&amp;$C332),$L:$T,7,FALSE))</f>
        <v>-2075.0325963300002</v>
      </c>
      <c r="G332" s="53">
        <f>IF(Summary_Exchange_Balances_00UTC!$B332="","",VLOOKUP(IF(ISERROR(SEARCH(" ", $B332)),UPPER($B332&amp;$C332&amp;$D332),UPPER(LEFT($B332, SEARCH(" ",$B332)-1)&amp;$C332&amp;$D332)),$M:$T,6,FALSE))</f>
        <v>-2075.0325963300002</v>
      </c>
      <c r="H332">
        <f>IF(Summary_Exchange_Balances_00UTC!$B332="","",IF(ISERROR($G332),$E332,$G332))</f>
        <v>-2075.0325963300002</v>
      </c>
      <c r="I332" s="36">
        <f t="shared" si="15"/>
        <v>-1.9858702114188413</v>
      </c>
      <c r="L332" t="str">
        <f t="shared" si="16"/>
        <v>OKEXUSDT</v>
      </c>
      <c r="M332" t="str">
        <f t="shared" si="17"/>
        <v>OKEX-2-M-WUSDTBALANCE</v>
      </c>
      <c r="N332" t="s">
        <v>39</v>
      </c>
      <c r="O332" t="s">
        <v>46</v>
      </c>
      <c r="P332" t="s">
        <v>177</v>
      </c>
      <c r="Q332" t="s">
        <v>75</v>
      </c>
      <c r="R332" s="43">
        <v>17732112.5015359</v>
      </c>
      <c r="S332" t="s">
        <v>537</v>
      </c>
      <c r="T332">
        <v>1</v>
      </c>
      <c r="W332" t="s">
        <v>189</v>
      </c>
      <c r="X332" t="s">
        <v>44</v>
      </c>
      <c r="Y332" s="53">
        <v>1.9338685099999999</v>
      </c>
      <c r="Z332">
        <v>0</v>
      </c>
      <c r="AC332"/>
      <c r="AD332"/>
      <c r="AS332" t="str">
        <f>IF(Summary_Exchange_Balances_00UTC!$B332="","","'"&amp;C332&amp;"',")</f>
        <v>'ETH',</v>
      </c>
      <c r="AT332">
        <f>IF(Summary_Exchange_Balances_00UTC!$B332="","",IF(ISERROR(HLOOKUP($C332,$AW$1:$LL$2,2,FALSE)),Summary_Exchange_Balances_00UTC!$Q332,IF(OR(HLOOKUP($C332,$AW$1:$LL$2,2,FALSE)="",HLOOKUP($C332,$AW$1:$LL$2,2,FALSE)="null"),Summary_Exchange_Balances_00UTC!$Q332,HLOOKUP($C332,$AW$1:$LL$2,2,FALSE))))</f>
        <v>1208.73</v>
      </c>
    </row>
    <row r="333" spans="1:46" x14ac:dyDescent="0.25">
      <c r="A333" t="str">
        <f>IF(Summary_Exchange_Balances_00UTC!$B333="","",Summary_Exchange_Balances_00UTC!$N333)</f>
        <v>WOOX</v>
      </c>
      <c r="B333" t="str">
        <f>IF(Summary_Exchange_Balances_00UTC!$B333="","",Summary_Exchange_Balances_00UTC!$B333)</f>
        <v>WOOX-1-M-E</v>
      </c>
      <c r="C333" t="str">
        <f>IF(Summary_Exchange_Balances_00UTC!$B333="","",Summary_Exchange_Balances_00UTC!$E333)</f>
        <v>ETHW</v>
      </c>
      <c r="D333" t="str">
        <f>IF(OR(Summary_Exchange_Balances_00UTC!$B333="",Summary_Exchange_Balances_00UTC!$D333=""),"",Summary_Exchange_Balances_00UTC!$D333)</f>
        <v/>
      </c>
      <c r="E333" s="53">
        <f>IF(Summary_Exchange_Balances_00UTC!$B333="","",Summary_Exchange_Balances_00UTC!$C333)</f>
        <v>1267.7570125100001</v>
      </c>
      <c r="F333" s="53">
        <f>IF(Summary_Exchange_Balances_00UTC!$B333="","",VLOOKUP(UPPER($A333&amp;$C333),$L:$T,7,FALSE))</f>
        <v>1267.7570125100001</v>
      </c>
      <c r="G333" s="53">
        <f>IF(Summary_Exchange_Balances_00UTC!$B333="","",VLOOKUP(IF(ISERROR(SEARCH(" ", $B333)),UPPER($B333&amp;$C333&amp;$D333),UPPER(LEFT($B333, SEARCH(" ",$B333)-1)&amp;$C333&amp;$D333)),$M:$T,6,FALSE))</f>
        <v>1267.7570125100001</v>
      </c>
      <c r="H333">
        <f>IF(Summary_Exchange_Balances_00UTC!$B333="","",IF(ISERROR($G333),$E333,$G333))</f>
        <v>1267.7570125100001</v>
      </c>
      <c r="I333" s="36">
        <f t="shared" si="15"/>
        <v>0</v>
      </c>
      <c r="L333" t="str">
        <f t="shared" si="16"/>
        <v>OKEXUSDT</v>
      </c>
      <c r="M333" t="str">
        <f t="shared" si="17"/>
        <v>OKEX-2-S2USDTBALANCE</v>
      </c>
      <c r="N333" t="s">
        <v>39</v>
      </c>
      <c r="O333" t="s">
        <v>46</v>
      </c>
      <c r="P333" t="s">
        <v>53</v>
      </c>
      <c r="Q333" t="s">
        <v>75</v>
      </c>
      <c r="R333" s="43">
        <v>7120958.4019327797</v>
      </c>
      <c r="S333" t="s">
        <v>538</v>
      </c>
      <c r="T333">
        <v>1</v>
      </c>
      <c r="W333" t="s">
        <v>189</v>
      </c>
      <c r="X333" t="s">
        <v>28</v>
      </c>
      <c r="Y333" s="53">
        <v>53.117741070000001</v>
      </c>
      <c r="Z333">
        <v>0</v>
      </c>
      <c r="AC333"/>
      <c r="AD333"/>
      <c r="AS333" t="str">
        <f>IF(Summary_Exchange_Balances_00UTC!$B333="","","'"&amp;C333&amp;"',")</f>
        <v>'ETHW',</v>
      </c>
      <c r="AT333">
        <f>IF(Summary_Exchange_Balances_00UTC!$B333="","",IF(ISERROR(HLOOKUP($C333,$AW$1:$LL$2,2,FALSE)),Summary_Exchange_Balances_00UTC!$Q333,IF(OR(HLOOKUP($C333,$AW$1:$LL$2,2,FALSE)="",HLOOKUP($C333,$AW$1:$LL$2,2,FALSE)="null"),Summary_Exchange_Balances_00UTC!$Q333,HLOOKUP($C333,$AW$1:$LL$2,2,FALSE))))</f>
        <v>3.5405121692480597</v>
      </c>
    </row>
    <row r="334" spans="1:46" x14ac:dyDescent="0.25">
      <c r="A334" t="str">
        <f>IF(Summary_Exchange_Balances_00UTC!$B334="","",Summary_Exchange_Balances_00UTC!$N334)</f>
        <v>WOOX</v>
      </c>
      <c r="B334" t="str">
        <f>IF(Summary_Exchange_Balances_00UTC!$B334="","",Summary_Exchange_Balances_00UTC!$B334)</f>
        <v>WOOX-1-M-E</v>
      </c>
      <c r="C334" t="str">
        <f>IF(Summary_Exchange_Balances_00UTC!$B334="","",Summary_Exchange_Balances_00UTC!$E334)</f>
        <v>WOO</v>
      </c>
      <c r="D334" t="str">
        <f>IF(OR(Summary_Exchange_Balances_00UTC!$B334="",Summary_Exchange_Balances_00UTC!$D334=""),"",Summary_Exchange_Balances_00UTC!$D334)</f>
        <v/>
      </c>
      <c r="E334" s="53">
        <f>IF(Summary_Exchange_Balances_00UTC!$B334="","",Summary_Exchange_Balances_00UTC!$C334)</f>
        <v>1644286.05309931</v>
      </c>
      <c r="F334" s="53">
        <f>IF(Summary_Exchange_Balances_00UTC!$B334="","",VLOOKUP(UPPER($A334&amp;$C334),$L:$T,7,FALSE))</f>
        <v>1644286.05309931</v>
      </c>
      <c r="G334" s="53">
        <f>IF(Summary_Exchange_Balances_00UTC!$B334="","",VLOOKUP(IF(ISERROR(SEARCH(" ", $B334)),UPPER($B334&amp;$C334&amp;$D334),UPPER(LEFT($B334, SEARCH(" ",$B334)-1)&amp;$C334&amp;$D334)),$M:$T,6,FALSE))</f>
        <v>1644286.05309931</v>
      </c>
      <c r="H334">
        <f>IF(Summary_Exchange_Balances_00UTC!$B334="","",IF(ISERROR($G334),$E334,$G334))</f>
        <v>1644286.05309931</v>
      </c>
      <c r="I334" s="36">
        <f t="shared" si="15"/>
        <v>0</v>
      </c>
      <c r="L334" t="str">
        <f t="shared" si="16"/>
        <v>OKEXXRP</v>
      </c>
      <c r="M334" t="str">
        <f t="shared" si="17"/>
        <v>OKEX-2-S1XRPBALANCE</v>
      </c>
      <c r="N334" t="s">
        <v>102</v>
      </c>
      <c r="O334" t="s">
        <v>46</v>
      </c>
      <c r="P334" t="s">
        <v>50</v>
      </c>
      <c r="Q334" t="s">
        <v>75</v>
      </c>
      <c r="R334" s="43">
        <v>0.44933626032875401</v>
      </c>
      <c r="S334" t="s">
        <v>539</v>
      </c>
      <c r="T334">
        <v>1</v>
      </c>
      <c r="W334" t="s">
        <v>189</v>
      </c>
      <c r="X334" t="s">
        <v>25</v>
      </c>
      <c r="Y334" s="53">
        <v>1111.40706884</v>
      </c>
      <c r="Z334">
        <v>0</v>
      </c>
      <c r="AC334"/>
      <c r="AD334"/>
      <c r="AS334" t="str">
        <f>IF(Summary_Exchange_Balances_00UTC!$B334="","","'"&amp;C334&amp;"',")</f>
        <v>'WOO',</v>
      </c>
      <c r="AT334">
        <f>IF(Summary_Exchange_Balances_00UTC!$B334="","",IF(ISERROR(HLOOKUP($C334,$AW$1:$LL$2,2,FALSE)),Summary_Exchange_Balances_00UTC!$Q334,IF(OR(HLOOKUP($C334,$AW$1:$LL$2,2,FALSE)="",HLOOKUP($C334,$AW$1:$LL$2,2,FALSE)="null"),Summary_Exchange_Balances_00UTC!$Q334,HLOOKUP($C334,$AW$1:$LL$2,2,FALSE))))</f>
        <v>0.12440039999999999</v>
      </c>
    </row>
    <row r="335" spans="1:46" x14ac:dyDescent="0.25">
      <c r="A335" t="str">
        <f>IF(Summary_Exchange_Balances_00UTC!$B335="","",Summary_Exchange_Balances_00UTC!$N335)</f>
        <v>FBLK</v>
      </c>
      <c r="B335" t="str">
        <f>IF(Summary_Exchange_Balances_00UTC!$B335="","",Summary_Exchange_Balances_00UTC!$B335)</f>
        <v>FBLK</v>
      </c>
      <c r="C335" t="str">
        <f>IF(Summary_Exchange_Balances_00UTC!$B335="","",Summary_Exchange_Balances_00UTC!$E335)</f>
        <v>AAVE</v>
      </c>
      <c r="D335" t="str">
        <f>IF(OR(Summary_Exchange_Balances_00UTC!$B335="",Summary_Exchange_Balances_00UTC!$D335=""),"",Summary_Exchange_Balances_00UTC!$D335)</f>
        <v/>
      </c>
      <c r="E335" s="53">
        <f>IF(Summary_Exchange_Balances_00UTC!$B335="","",Summary_Exchange_Balances_00UTC!$C335)</f>
        <v>21.553935809999999</v>
      </c>
      <c r="F335" s="53">
        <f>IF(Summary_Exchange_Balances_00UTC!$B335="","",VLOOKUP(UPPER($A335&amp;$C335),$L:$T,7,FALSE))</f>
        <v>157.89936084000001</v>
      </c>
      <c r="G335" s="53">
        <f>IF(Summary_Exchange_Balances_00UTC!$B335="","",VLOOKUP(IF(ISERROR(SEARCH(" ", $B335)),UPPER($B335&amp;$C335&amp;$D335),UPPER(LEFT($B335, SEARCH(" ",$B335)-1)&amp;$C335&amp;$D335)),$M:$T,6,FALSE))</f>
        <v>157.89936084000001</v>
      </c>
      <c r="H335">
        <f>IF(Summary_Exchange_Balances_00UTC!$B335="","",IF(ISERROR($G335),$E335,$G335))</f>
        <v>157.89936084000001</v>
      </c>
      <c r="I335" s="36">
        <f t="shared" si="15"/>
        <v>6.3257785599761425</v>
      </c>
      <c r="L335" t="str">
        <f t="shared" si="16"/>
        <v>OKEXXRP</v>
      </c>
      <c r="M335" t="str">
        <f t="shared" si="17"/>
        <v>OKEX-2-M-WXRPBALANCE</v>
      </c>
      <c r="N335" t="s">
        <v>102</v>
      </c>
      <c r="O335" t="s">
        <v>46</v>
      </c>
      <c r="P335" t="s">
        <v>177</v>
      </c>
      <c r="Q335" t="s">
        <v>75</v>
      </c>
      <c r="R335" s="43">
        <v>3130.2836829052399</v>
      </c>
      <c r="S335" t="s">
        <v>537</v>
      </c>
      <c r="T335">
        <v>1</v>
      </c>
      <c r="W335" t="s">
        <v>189</v>
      </c>
      <c r="X335" t="s">
        <v>196</v>
      </c>
      <c r="Y335" s="53">
        <v>5.6554146699999999</v>
      </c>
      <c r="Z335">
        <v>0</v>
      </c>
      <c r="AC335"/>
      <c r="AD335"/>
      <c r="AS335" t="str">
        <f>IF(Summary_Exchange_Balances_00UTC!$B335="","","'"&amp;C335&amp;"',")</f>
        <v>'AAVE',</v>
      </c>
      <c r="AT335">
        <f>IF(Summary_Exchange_Balances_00UTC!$B335="","",IF(ISERROR(HLOOKUP($C335,$AW$1:$LL$2,2,FALSE)),Summary_Exchange_Balances_00UTC!$Q335,IF(OR(HLOOKUP($C335,$AW$1:$LL$2,2,FALSE)="",HLOOKUP($C335,$AW$1:$LL$2,2,FALSE)="null"),Summary_Exchange_Balances_00UTC!$Q335,HLOOKUP($C335,$AW$1:$LL$2,2,FALSE))))</f>
        <v>59.23</v>
      </c>
    </row>
    <row r="336" spans="1:46" x14ac:dyDescent="0.25">
      <c r="A336" t="str">
        <f>IF(Summary_Exchange_Balances_00UTC!$B336="","",Summary_Exchange_Balances_00UTC!$N336)</f>
        <v>FBLK</v>
      </c>
      <c r="B336" t="str">
        <f>IF(Summary_Exchange_Balances_00UTC!$B336="","",Summary_Exchange_Balances_00UTC!$B336)</f>
        <v>FBLK</v>
      </c>
      <c r="C336" t="str">
        <f>IF(Summary_Exchange_Balances_00UTC!$B336="","",Summary_Exchange_Balances_00UTC!$E336)</f>
        <v>ADA</v>
      </c>
      <c r="D336" t="str">
        <f>IF(OR(Summary_Exchange_Balances_00UTC!$B336="",Summary_Exchange_Balances_00UTC!$D336=""),"",Summary_Exchange_Balances_00UTC!$D336)</f>
        <v/>
      </c>
      <c r="E336" s="53">
        <f>IF(Summary_Exchange_Balances_00UTC!$B336="","",Summary_Exchange_Balances_00UTC!$C336)</f>
        <v>72355.023579999994</v>
      </c>
      <c r="F336" s="53">
        <f>IF(Summary_Exchange_Balances_00UTC!$B336="","",VLOOKUP(UPPER($A336&amp;$C336),$L:$T,7,FALSE))</f>
        <v>996.18084699999997</v>
      </c>
      <c r="G336" s="53">
        <f>IF(Summary_Exchange_Balances_00UTC!$B336="","",VLOOKUP(IF(ISERROR(SEARCH(" ", $B336)),UPPER($B336&amp;$C336&amp;$D336),UPPER(LEFT($B336, SEARCH(" ",$B336)-1)&amp;$C336&amp;$D336)),$M:$T,6,FALSE))</f>
        <v>996.18084699999997</v>
      </c>
      <c r="H336">
        <f>IF(Summary_Exchange_Balances_00UTC!$B336="","",IF(ISERROR($G336),$E336,$G336))</f>
        <v>996.18084699999997</v>
      </c>
      <c r="I336" s="36">
        <f t="shared" si="15"/>
        <v>-0.98623204308822376</v>
      </c>
      <c r="L336" t="str">
        <f t="shared" si="16"/>
        <v>OKEXXRP</v>
      </c>
      <c r="M336" t="str">
        <f t="shared" si="17"/>
        <v>OKEX-2-S2XRPBALANCE</v>
      </c>
      <c r="N336" t="s">
        <v>102</v>
      </c>
      <c r="O336" t="s">
        <v>46</v>
      </c>
      <c r="P336" t="s">
        <v>53</v>
      </c>
      <c r="Q336" t="s">
        <v>75</v>
      </c>
      <c r="R336" s="43">
        <v>5297132.9727466302</v>
      </c>
      <c r="S336" t="s">
        <v>423</v>
      </c>
      <c r="T336">
        <v>1</v>
      </c>
      <c r="W336" t="s">
        <v>189</v>
      </c>
      <c r="X336" t="s">
        <v>153</v>
      </c>
      <c r="Y336" s="53">
        <v>4.7709999999999999</v>
      </c>
      <c r="Z336">
        <v>0</v>
      </c>
      <c r="AC336"/>
      <c r="AD336"/>
      <c r="AS336" t="str">
        <f>IF(Summary_Exchange_Balances_00UTC!$B336="","","'"&amp;C336&amp;"',")</f>
        <v>'ADA',</v>
      </c>
      <c r="AT336">
        <f>IF(Summary_Exchange_Balances_00UTC!$B336="","",IF(ISERROR(HLOOKUP($C336,$AW$1:$LL$2,2,FALSE)),Summary_Exchange_Balances_00UTC!$Q336,IF(OR(HLOOKUP($C336,$AW$1:$LL$2,2,FALSE)="",HLOOKUP($C336,$AW$1:$LL$2,2,FALSE)="null"),Summary_Exchange_Balances_00UTC!$Q336,HLOOKUP($C336,$AW$1:$LL$2,2,FALSE))))</f>
        <v>0.32653653999999999</v>
      </c>
    </row>
    <row r="337" spans="1:46" x14ac:dyDescent="0.25">
      <c r="A337" t="str">
        <f>IF(Summary_Exchange_Balances_00UTC!$B337="","",Summary_Exchange_Balances_00UTC!$N337)</f>
        <v>FBLK</v>
      </c>
      <c r="B337" t="str">
        <f>IF(Summary_Exchange_Balances_00UTC!$B337="","",Summary_Exchange_Balances_00UTC!$B337)</f>
        <v>FBLK</v>
      </c>
      <c r="C337" t="str">
        <f>IF(Summary_Exchange_Balances_00UTC!$B337="","",Summary_Exchange_Balances_00UTC!$E337)</f>
        <v>ALGO</v>
      </c>
      <c r="D337" t="str">
        <f>IF(OR(Summary_Exchange_Balances_00UTC!$B337="",Summary_Exchange_Balances_00UTC!$D337=""),"",Summary_Exchange_Balances_00UTC!$D337)</f>
        <v/>
      </c>
      <c r="E337" s="53">
        <f>IF(Summary_Exchange_Balances_00UTC!$B337="","",Summary_Exchange_Balances_00UTC!$C337)</f>
        <v>7939.9443799999999</v>
      </c>
      <c r="F337" s="53" t="e">
        <f>IF(Summary_Exchange_Balances_00UTC!$B337="","",VLOOKUP(UPPER($A337&amp;$C337),$L:$T,7,FALSE))</f>
        <v>#N/A</v>
      </c>
      <c r="G337" s="53" t="e">
        <f>IF(Summary_Exchange_Balances_00UTC!$B337="","",VLOOKUP(IF(ISERROR(SEARCH(" ", $B337)),UPPER($B337&amp;$C337&amp;$D337),UPPER(LEFT($B337, SEARCH(" ",$B337)-1)&amp;$C337&amp;$D337)),$M:$T,6,FALSE))</f>
        <v>#N/A</v>
      </c>
      <c r="H337">
        <f>IF(Summary_Exchange_Balances_00UTC!$B337="","",IF(ISERROR($G337),$E337,$G337))</f>
        <v>7939.9443799999999</v>
      </c>
      <c r="I337" s="36" t="e">
        <f t="shared" si="15"/>
        <v>#N/A</v>
      </c>
      <c r="L337" t="str">
        <f t="shared" si="16"/>
        <v>OKEXZIL</v>
      </c>
      <c r="M337" t="str">
        <f t="shared" si="17"/>
        <v>OKEX-2-M-WZILBALANCE</v>
      </c>
      <c r="N337" t="s">
        <v>27</v>
      </c>
      <c r="O337" t="s">
        <v>46</v>
      </c>
      <c r="P337" t="s">
        <v>177</v>
      </c>
      <c r="Q337" t="s">
        <v>75</v>
      </c>
      <c r="R337" s="43">
        <v>1792163.802832</v>
      </c>
      <c r="S337" t="s">
        <v>537</v>
      </c>
      <c r="T337">
        <v>1</v>
      </c>
      <c r="W337" t="s">
        <v>189</v>
      </c>
      <c r="X337" t="s">
        <v>92</v>
      </c>
      <c r="Y337" s="53">
        <v>76.700156329999999</v>
      </c>
      <c r="Z337">
        <v>0</v>
      </c>
      <c r="AC337"/>
      <c r="AD337"/>
      <c r="AS337" t="str">
        <f>IF(Summary_Exchange_Balances_00UTC!$B337="","","'"&amp;C337&amp;"',")</f>
        <v>'ALGO',</v>
      </c>
      <c r="AT337">
        <f>IF(Summary_Exchange_Balances_00UTC!$B337="","",IF(ISERROR(HLOOKUP($C337,$AW$1:$LL$2,2,FALSE)),Summary_Exchange_Balances_00UTC!$Q337,IF(OR(HLOOKUP($C337,$AW$1:$LL$2,2,FALSE)="",HLOOKUP($C337,$AW$1:$LL$2,2,FALSE)="null"),Summary_Exchange_Balances_00UTC!$Q337,HLOOKUP($C337,$AW$1:$LL$2,2,FALSE))))</f>
        <v>0.26910000000000001</v>
      </c>
    </row>
    <row r="338" spans="1:46" x14ac:dyDescent="0.25">
      <c r="A338" t="str">
        <f>IF(Summary_Exchange_Balances_00UTC!$B338="","",Summary_Exchange_Balances_00UTC!$N338)</f>
        <v>FBLK</v>
      </c>
      <c r="B338" t="str">
        <f>IF(Summary_Exchange_Balances_00UTC!$B338="","",Summary_Exchange_Balances_00UTC!$B338)</f>
        <v>FBLK</v>
      </c>
      <c r="C338" t="str">
        <f>IF(Summary_Exchange_Balances_00UTC!$B338="","",Summary_Exchange_Balances_00UTC!$E338)</f>
        <v>AVAX</v>
      </c>
      <c r="D338" t="str">
        <f>IF(OR(Summary_Exchange_Balances_00UTC!$B338="",Summary_Exchange_Balances_00UTC!$D338=""),"",Summary_Exchange_Balances_00UTC!$D338)</f>
        <v/>
      </c>
      <c r="E338" s="53">
        <f>IF(Summary_Exchange_Balances_00UTC!$B338="","",Summary_Exchange_Balances_00UTC!$C338)</f>
        <v>1336.2276758400001</v>
      </c>
      <c r="F338" s="53">
        <f>IF(Summary_Exchange_Balances_00UTC!$B338="","",VLOOKUP(UPPER($A338&amp;$C338),$L:$T,7,FALSE))</f>
        <v>28.207490373799999</v>
      </c>
      <c r="G338" s="53">
        <f>IF(Summary_Exchange_Balances_00UTC!$B338="","",VLOOKUP(IF(ISERROR(SEARCH(" ", $B338)),UPPER($B338&amp;$C338&amp;$D338),UPPER(LEFT($B338, SEARCH(" ",$B338)-1)&amp;$C338&amp;$D338)),$M:$T,6,FALSE))</f>
        <v>28.207490373799999</v>
      </c>
      <c r="H338">
        <f>IF(Summary_Exchange_Balances_00UTC!$B338="","",IF(ISERROR($G338),$E338,$G338))</f>
        <v>28.207490373799999</v>
      </c>
      <c r="I338" s="36">
        <f t="shared" si="15"/>
        <v>-0.97889020644923563</v>
      </c>
      <c r="L338" t="str">
        <f t="shared" si="16"/>
        <v>SILVERGATE CHECKINGUSD</v>
      </c>
      <c r="M338" t="str">
        <f t="shared" si="17"/>
        <v>SILVERGATE CHECKINGUSD</v>
      </c>
      <c r="N338" t="s">
        <v>98</v>
      </c>
      <c r="O338" t="s">
        <v>417</v>
      </c>
      <c r="P338" t="s">
        <v>417</v>
      </c>
      <c r="R338" s="43">
        <v>47262.04</v>
      </c>
      <c r="S338" t="s">
        <v>540</v>
      </c>
      <c r="T338">
        <v>1</v>
      </c>
      <c r="W338" t="s">
        <v>189</v>
      </c>
      <c r="X338" t="s">
        <v>157</v>
      </c>
      <c r="Y338" s="53">
        <v>2.8970426800000002</v>
      </c>
      <c r="Z338">
        <v>0</v>
      </c>
      <c r="AC338"/>
      <c r="AD338"/>
      <c r="AS338" t="str">
        <f>IF(Summary_Exchange_Balances_00UTC!$B338="","","'"&amp;C338&amp;"',")</f>
        <v>'AVAX',</v>
      </c>
      <c r="AT338">
        <f>IF(Summary_Exchange_Balances_00UTC!$B338="","",IF(ISERROR(HLOOKUP($C338,$AW$1:$LL$2,2,FALSE)),Summary_Exchange_Balances_00UTC!$Q338,IF(OR(HLOOKUP($C338,$AW$1:$LL$2,2,FALSE)="",HLOOKUP($C338,$AW$1:$LL$2,2,FALSE)="null"),Summary_Exchange_Balances_00UTC!$Q338,HLOOKUP($C338,$AW$1:$LL$2,2,FALSE))))</f>
        <v>13.03</v>
      </c>
    </row>
    <row r="339" spans="1:46" x14ac:dyDescent="0.25">
      <c r="A339" t="str">
        <f>IF(Summary_Exchange_Balances_00UTC!$B339="","",Summary_Exchange_Balances_00UTC!$N339)</f>
        <v>FBLK</v>
      </c>
      <c r="B339" t="str">
        <f>IF(Summary_Exchange_Balances_00UTC!$B339="","",Summary_Exchange_Balances_00UTC!$B339)</f>
        <v>FBLK</v>
      </c>
      <c r="C339" t="str">
        <f>IF(Summary_Exchange_Balances_00UTC!$B339="","",Summary_Exchange_Balances_00UTC!$E339)</f>
        <v>BAT</v>
      </c>
      <c r="D339" t="str">
        <f>IF(OR(Summary_Exchange_Balances_00UTC!$B339="",Summary_Exchange_Balances_00UTC!$D339=""),"",Summary_Exchange_Balances_00UTC!$D339)</f>
        <v/>
      </c>
      <c r="E339" s="53">
        <f>IF(Summary_Exchange_Balances_00UTC!$B339="","",Summary_Exchange_Balances_00UTC!$C339)</f>
        <v>8346.3712095800001</v>
      </c>
      <c r="F339" s="53" t="e">
        <f>IF(Summary_Exchange_Balances_00UTC!$B339="","",VLOOKUP(UPPER($A339&amp;$C339),$L:$T,7,FALSE))</f>
        <v>#N/A</v>
      </c>
      <c r="G339" s="53" t="e">
        <f>IF(Summary_Exchange_Balances_00UTC!$B339="","",VLOOKUP(IF(ISERROR(SEARCH(" ", $B339)),UPPER($B339&amp;$C339&amp;$D339),UPPER(LEFT($B339, SEARCH(" ",$B339)-1)&amp;$C339&amp;$D339)),$M:$T,6,FALSE))</f>
        <v>#N/A</v>
      </c>
      <c r="H339">
        <f>IF(Summary_Exchange_Balances_00UTC!$B339="","",IF(ISERROR($G339),$E339,$G339))</f>
        <v>8346.3712095800001</v>
      </c>
      <c r="I339" s="36" t="e">
        <f t="shared" si="15"/>
        <v>#N/A</v>
      </c>
      <c r="L339" t="str">
        <f t="shared" si="16"/>
        <v>SILVERGATE NETWORKEUR</v>
      </c>
      <c r="M339" t="str">
        <f t="shared" si="17"/>
        <v>SILVERGATE NETWORKEUR</v>
      </c>
      <c r="N339" t="s">
        <v>110</v>
      </c>
      <c r="O339" t="s">
        <v>418</v>
      </c>
      <c r="P339" t="s">
        <v>418</v>
      </c>
      <c r="R339" s="43">
        <v>24571.64</v>
      </c>
      <c r="S339" t="s">
        <v>540</v>
      </c>
      <c r="T339">
        <v>1</v>
      </c>
      <c r="W339" t="s">
        <v>189</v>
      </c>
      <c r="X339" t="s">
        <v>162</v>
      </c>
      <c r="Y339" s="53">
        <v>0.82786806999999996</v>
      </c>
      <c r="Z339">
        <v>0</v>
      </c>
      <c r="AC339"/>
      <c r="AD339"/>
      <c r="AS339" t="str">
        <f>IF(Summary_Exchange_Balances_00UTC!$B339="","","'"&amp;C339&amp;"',")</f>
        <v>'BAT',</v>
      </c>
      <c r="AT339">
        <f>IF(Summary_Exchange_Balances_00UTC!$B339="","",IF(ISERROR(HLOOKUP($C339,$AW$1:$LL$2,2,FALSE)),Summary_Exchange_Balances_00UTC!$Q339,IF(OR(HLOOKUP($C339,$AW$1:$LL$2,2,FALSE)="",HLOOKUP($C339,$AW$1:$LL$2,2,FALSE)="null"),Summary_Exchange_Balances_00UTC!$Q339,HLOOKUP($C339,$AW$1:$LL$2,2,FALSE))))</f>
        <v>0.22422048</v>
      </c>
    </row>
    <row r="340" spans="1:46" x14ac:dyDescent="0.25">
      <c r="A340" t="str">
        <f>IF(Summary_Exchange_Balances_00UTC!$B340="","",Summary_Exchange_Balances_00UTC!$N340)</f>
        <v>FBLK</v>
      </c>
      <c r="B340" t="str">
        <f>IF(Summary_Exchange_Balances_00UTC!$B340="","",Summary_Exchange_Balances_00UTC!$B340)</f>
        <v>FBLK</v>
      </c>
      <c r="C340" t="str">
        <f>IF(Summary_Exchange_Balances_00UTC!$B340="","",Summary_Exchange_Balances_00UTC!$E340)</f>
        <v>BCH</v>
      </c>
      <c r="D340" t="str">
        <f>IF(OR(Summary_Exchange_Balances_00UTC!$B340="",Summary_Exchange_Balances_00UTC!$D340=""),"",Summary_Exchange_Balances_00UTC!$D340)</f>
        <v/>
      </c>
      <c r="E340" s="53">
        <f>IF(Summary_Exchange_Balances_00UTC!$B340="","",Summary_Exchange_Balances_00UTC!$C340)</f>
        <v>0.826766</v>
      </c>
      <c r="F340" s="53">
        <f>IF(Summary_Exchange_Balances_00UTC!$B340="","",VLOOKUP(UPPER($A340&amp;$C340),$L:$T,7,FALSE))</f>
        <v>1.7000000000000001E-4</v>
      </c>
      <c r="G340" s="53">
        <f>IF(Summary_Exchange_Balances_00UTC!$B340="","",VLOOKUP(IF(ISERROR(SEARCH(" ", $B340)),UPPER($B340&amp;$C340&amp;$D340),UPPER(LEFT($B340, SEARCH(" ",$B340)-1)&amp;$C340&amp;$D340)),$M:$T,6,FALSE))</f>
        <v>1.7000000000000001E-4</v>
      </c>
      <c r="H340">
        <f>IF(Summary_Exchange_Balances_00UTC!$B340="","",IF(ISERROR($G340),$E340,$G340))</f>
        <v>1.7000000000000001E-4</v>
      </c>
      <c r="I340" s="36">
        <f t="shared" si="15"/>
        <v>-0.99979437954632866</v>
      </c>
      <c r="L340" t="str">
        <f t="shared" si="16"/>
        <v>SILVERGATE NETWORKUSD</v>
      </c>
      <c r="M340" t="str">
        <f t="shared" si="17"/>
        <v>SILVERGATE NETWORKUSD</v>
      </c>
      <c r="N340" t="s">
        <v>98</v>
      </c>
      <c r="O340" t="s">
        <v>418</v>
      </c>
      <c r="P340" t="s">
        <v>418</v>
      </c>
      <c r="R340" s="43">
        <v>421683.91</v>
      </c>
      <c r="S340" t="s">
        <v>540</v>
      </c>
      <c r="T340">
        <v>1</v>
      </c>
      <c r="W340" t="s">
        <v>189</v>
      </c>
      <c r="X340" t="s">
        <v>95</v>
      </c>
      <c r="Y340" s="53">
        <v>5089258.3810449997</v>
      </c>
      <c r="Z340">
        <v>0</v>
      </c>
      <c r="AC340"/>
      <c r="AD340"/>
      <c r="AS340" t="str">
        <f>IF(Summary_Exchange_Balances_00UTC!$B340="","","'"&amp;C340&amp;"',")</f>
        <v>'BCH',</v>
      </c>
      <c r="AT340">
        <f>IF(Summary_Exchange_Balances_00UTC!$B340="","",IF(ISERROR(HLOOKUP($C340,$AW$1:$LL$2,2,FALSE)),Summary_Exchange_Balances_00UTC!$Q340,IF(OR(HLOOKUP($C340,$AW$1:$LL$2,2,FALSE)="",HLOOKUP($C340,$AW$1:$LL$2,2,FALSE)="null"),Summary_Exchange_Balances_00UTC!$Q340,HLOOKUP($C340,$AW$1:$LL$2,2,FALSE))))</f>
        <v>103.98</v>
      </c>
    </row>
    <row r="341" spans="1:46" x14ac:dyDescent="0.25">
      <c r="A341" t="str">
        <f>IF(Summary_Exchange_Balances_00UTC!$B341="","",Summary_Exchange_Balances_00UTC!$N341)</f>
        <v>FBLK</v>
      </c>
      <c r="B341" t="str">
        <f>IF(Summary_Exchange_Balances_00UTC!$B341="","",Summary_Exchange_Balances_00UTC!$B341)</f>
        <v>FBLK</v>
      </c>
      <c r="C341" t="str">
        <f>IF(Summary_Exchange_Balances_00UTC!$B341="","",Summary_Exchange_Balances_00UTC!$E341)</f>
        <v>BTC</v>
      </c>
      <c r="D341" t="str">
        <f>IF(OR(Summary_Exchange_Balances_00UTC!$B341="",Summary_Exchange_Balances_00UTC!$D341=""),"",Summary_Exchange_Balances_00UTC!$D341)</f>
        <v/>
      </c>
      <c r="E341" s="54">
        <f>IF(Summary_Exchange_Balances_00UTC!$B341="","",Summary_Exchange_Balances_00UTC!$C341)</f>
        <v>598.26817843000003</v>
      </c>
      <c r="F341" s="53">
        <f>IF(Summary_Exchange_Balances_00UTC!$B341="","",VLOOKUP(UPPER($A341&amp;$C341),$L:$T,7,FALSE))</f>
        <v>295.97365636000001</v>
      </c>
      <c r="G341" s="53">
        <f>IF(Summary_Exchange_Balances_00UTC!$B341="","",VLOOKUP(IF(ISERROR(SEARCH(" ", $B341)),UPPER($B341&amp;$C341&amp;$D341),UPPER(LEFT($B341, SEARCH(" ",$B341)-1)&amp;$C341&amp;$D341)),$M:$T,6,FALSE))</f>
        <v>295.97365636000001</v>
      </c>
      <c r="H341">
        <f>IF(Summary_Exchange_Balances_00UTC!$B341="","",IF(ISERROR($G341),$E341,$G341))</f>
        <v>295.97365636000001</v>
      </c>
      <c r="I341" s="36">
        <f t="shared" si="15"/>
        <v>-0.50528263572917043</v>
      </c>
      <c r="L341" t="str">
        <f t="shared" si="16"/>
        <v>WOOXADA</v>
      </c>
      <c r="M341" t="str">
        <f t="shared" si="17"/>
        <v>WOOX-1-M-EADA</v>
      </c>
      <c r="N341" t="s">
        <v>87</v>
      </c>
      <c r="O341" t="s">
        <v>187</v>
      </c>
      <c r="P341" t="s">
        <v>186</v>
      </c>
      <c r="R341" s="43">
        <v>59</v>
      </c>
      <c r="S341" t="s">
        <v>541</v>
      </c>
      <c r="T341">
        <v>1</v>
      </c>
      <c r="W341" t="s">
        <v>189</v>
      </c>
      <c r="X341" t="s">
        <v>39</v>
      </c>
      <c r="Y341" s="54">
        <v>35119.677000000003</v>
      </c>
      <c r="Z341">
        <v>0</v>
      </c>
      <c r="AC341"/>
      <c r="AD341"/>
      <c r="AS341" t="str">
        <f>IF(Summary_Exchange_Balances_00UTC!$B341="","","'"&amp;C341&amp;"',")</f>
        <v>'BTC',</v>
      </c>
      <c r="AT341">
        <f>IF(Summary_Exchange_Balances_00UTC!$B341="","",IF(ISERROR(HLOOKUP($C341,$AW$1:$LL$2,2,FALSE)),Summary_Exchange_Balances_00UTC!$Q341,IF(OR(HLOOKUP($C341,$AW$1:$LL$2,2,FALSE)="",HLOOKUP($C341,$AW$1:$LL$2,2,FALSE)="null"),Summary_Exchange_Balances_00UTC!$Q341,HLOOKUP($C341,$AW$1:$LL$2,2,FALSE))))</f>
        <v>16719.740000000002</v>
      </c>
    </row>
    <row r="342" spans="1:46" x14ac:dyDescent="0.25">
      <c r="A342" t="str">
        <f>IF(Summary_Exchange_Balances_00UTC!$B342="","",Summary_Exchange_Balances_00UTC!$N342)</f>
        <v>FBLK</v>
      </c>
      <c r="B342" t="str">
        <f>IF(Summary_Exchange_Balances_00UTC!$B342="","",Summary_Exchange_Balances_00UTC!$B342)</f>
        <v>FBLK</v>
      </c>
      <c r="C342" t="str">
        <f>IF(Summary_Exchange_Balances_00UTC!$B342="","",Summary_Exchange_Balances_00UTC!$E342)</f>
        <v>COMP</v>
      </c>
      <c r="D342" t="str">
        <f>IF(OR(Summary_Exchange_Balances_00UTC!$B342="",Summary_Exchange_Balances_00UTC!$D342=""),"",Summary_Exchange_Balances_00UTC!$D342)</f>
        <v/>
      </c>
      <c r="E342" s="54">
        <f>IF(Summary_Exchange_Balances_00UTC!$B342="","",Summary_Exchange_Balances_00UTC!$C342)</f>
        <v>107.31036570000001</v>
      </c>
      <c r="F342" s="53">
        <f>IF(Summary_Exchange_Balances_00UTC!$B342="","",VLOOKUP(UPPER($A342&amp;$C342),$L:$T,7,FALSE))</f>
        <v>2.9860000000000002</v>
      </c>
      <c r="G342" s="53">
        <f>IF(Summary_Exchange_Balances_00UTC!$B342="","",VLOOKUP(IF(ISERROR(SEARCH(" ", $B342)),UPPER($B342&amp;$C342&amp;$D342),UPPER(LEFT($B342, SEARCH(" ",$B342)-1)&amp;$C342&amp;$D342)),$M:$T,6,FALSE))</f>
        <v>2.9860000000000002</v>
      </c>
      <c r="H342">
        <f>IF(Summary_Exchange_Balances_00UTC!$B342="","",IF(ISERROR($G342),$E342,$G342))</f>
        <v>2.9860000000000002</v>
      </c>
      <c r="I342" s="36">
        <f t="shared" si="15"/>
        <v>-0.97217416993668859</v>
      </c>
      <c r="L342" t="str">
        <f t="shared" si="16"/>
        <v>WOOXBTC</v>
      </c>
      <c r="M342" t="str">
        <f t="shared" si="17"/>
        <v>WOOX-1-M-EBTC</v>
      </c>
      <c r="N342" t="s">
        <v>15</v>
      </c>
      <c r="O342" t="s">
        <v>187</v>
      </c>
      <c r="P342" t="s">
        <v>186</v>
      </c>
      <c r="R342" s="43">
        <v>-96.668975360000005</v>
      </c>
      <c r="S342" t="s">
        <v>541</v>
      </c>
      <c r="T342">
        <v>1</v>
      </c>
      <c r="W342" t="s">
        <v>189</v>
      </c>
      <c r="X342" t="s">
        <v>166</v>
      </c>
      <c r="Y342" s="54">
        <v>4.0349905000000001</v>
      </c>
      <c r="Z342">
        <v>0</v>
      </c>
      <c r="AC342"/>
      <c r="AD342"/>
      <c r="AS342" t="str">
        <f>IF(Summary_Exchange_Balances_00UTC!$B342="","","'"&amp;C342&amp;"',")</f>
        <v>'COMP',</v>
      </c>
      <c r="AT342">
        <f>IF(Summary_Exchange_Balances_00UTC!$B342="","",IF(ISERROR(HLOOKUP($C342,$AW$1:$LL$2,2,FALSE)),Summary_Exchange_Balances_00UTC!$Q342,IF(OR(HLOOKUP($C342,$AW$1:$LL$2,2,FALSE)="",HLOOKUP($C342,$AW$1:$LL$2,2,FALSE)="null"),Summary_Exchange_Balances_00UTC!$Q342,HLOOKUP($C342,$AW$1:$LL$2,2,FALSE))))</f>
        <v>39.366320000000002</v>
      </c>
    </row>
    <row r="343" spans="1:46" x14ac:dyDescent="0.25">
      <c r="A343" t="str">
        <f>IF(Summary_Exchange_Balances_00UTC!$B343="","",Summary_Exchange_Balances_00UTC!$N343)</f>
        <v>FBLK</v>
      </c>
      <c r="B343" t="str">
        <f>IF(Summary_Exchange_Balances_00UTC!$B343="","",Summary_Exchange_Balances_00UTC!$B343)</f>
        <v>FBLK</v>
      </c>
      <c r="C343" t="str">
        <f>IF(Summary_Exchange_Balances_00UTC!$B343="","",Summary_Exchange_Balances_00UTC!$E343)</f>
        <v>DASH</v>
      </c>
      <c r="D343" t="str">
        <f>IF(OR(Summary_Exchange_Balances_00UTC!$B343="",Summary_Exchange_Balances_00UTC!$D343=""),"",Summary_Exchange_Balances_00UTC!$D343)</f>
        <v/>
      </c>
      <c r="E343" s="54">
        <f>IF(Summary_Exchange_Balances_00UTC!$B343="","",Summary_Exchange_Balances_00UTC!$C343)</f>
        <v>2.5788782800000001</v>
      </c>
      <c r="F343" s="53" t="e">
        <f>IF(Summary_Exchange_Balances_00UTC!$B343="","",VLOOKUP(UPPER($A343&amp;$C343),$L:$T,7,FALSE))</f>
        <v>#N/A</v>
      </c>
      <c r="G343" s="53" t="e">
        <f>IF(Summary_Exchange_Balances_00UTC!$B343="","",VLOOKUP(IF(ISERROR(SEARCH(" ", $B343)),UPPER($B343&amp;$C343&amp;$D343),UPPER(LEFT($B343, SEARCH(" ",$B343)-1)&amp;$C343&amp;$D343)),$M:$T,6,FALSE))</f>
        <v>#N/A</v>
      </c>
      <c r="H343">
        <f>IF(Summary_Exchange_Balances_00UTC!$B343="","",IF(ISERROR($G343),$E343,$G343))</f>
        <v>2.5788782800000001</v>
      </c>
      <c r="I343" s="36" t="e">
        <f t="shared" si="15"/>
        <v>#N/A</v>
      </c>
      <c r="L343" t="str">
        <f t="shared" si="16"/>
        <v>WOOXETH</v>
      </c>
      <c r="M343" t="str">
        <f t="shared" si="17"/>
        <v>WOOX-1-M-EETH</v>
      </c>
      <c r="N343" t="s">
        <v>16</v>
      </c>
      <c r="O343" t="s">
        <v>187</v>
      </c>
      <c r="P343" t="s">
        <v>186</v>
      </c>
      <c r="R343" s="43">
        <v>-2075.0325963300002</v>
      </c>
      <c r="S343" t="s">
        <v>541</v>
      </c>
      <c r="T343">
        <v>1</v>
      </c>
      <c r="W343" t="s">
        <v>189</v>
      </c>
      <c r="X343" t="s">
        <v>102</v>
      </c>
      <c r="Y343" s="54">
        <v>313.68989199999999</v>
      </c>
      <c r="Z343">
        <v>0</v>
      </c>
      <c r="AC343"/>
      <c r="AD343"/>
      <c r="AS343" t="str">
        <f>IF(Summary_Exchange_Balances_00UTC!$B343="","","'"&amp;C343&amp;"',")</f>
        <v>'DASH',</v>
      </c>
      <c r="AT343">
        <f>IF(Summary_Exchange_Balances_00UTC!$B343="","",IF(ISERROR(HLOOKUP($C343,$AW$1:$LL$2,2,FALSE)),Summary_Exchange_Balances_00UTC!$Q343,IF(OR(HLOOKUP($C343,$AW$1:$LL$2,2,FALSE)="",HLOOKUP($C343,$AW$1:$LL$2,2,FALSE)="null"),Summary_Exchange_Balances_00UTC!$Q343,HLOOKUP($C343,$AW$1:$LL$2,2,FALSE))))</f>
        <v>33.817394</v>
      </c>
    </row>
    <row r="344" spans="1:46" x14ac:dyDescent="0.25">
      <c r="A344" t="str">
        <f>IF(Summary_Exchange_Balances_00UTC!$B344="","",Summary_Exchange_Balances_00UTC!$N344)</f>
        <v>FBLK</v>
      </c>
      <c r="B344" t="str">
        <f>IF(Summary_Exchange_Balances_00UTC!$B344="","",Summary_Exchange_Balances_00UTC!$B344)</f>
        <v>FBLK</v>
      </c>
      <c r="C344" t="str">
        <f>IF(Summary_Exchange_Balances_00UTC!$B344="","",Summary_Exchange_Balances_00UTC!$E344)</f>
        <v>DOGE</v>
      </c>
      <c r="D344" t="str">
        <f>IF(OR(Summary_Exchange_Balances_00UTC!$B344="",Summary_Exchange_Balances_00UTC!$D344=""),"",Summary_Exchange_Balances_00UTC!$D344)</f>
        <v/>
      </c>
      <c r="E344" s="53">
        <f>IF(Summary_Exchange_Balances_00UTC!$B344="","",Summary_Exchange_Balances_00UTC!$C344)</f>
        <v>5680.2592693400002</v>
      </c>
      <c r="F344" s="53" t="e">
        <f>IF(Summary_Exchange_Balances_00UTC!$B344="","",VLOOKUP(UPPER($A344&amp;$C344),$L:$T,7,FALSE))</f>
        <v>#N/A</v>
      </c>
      <c r="G344" s="53" t="e">
        <f>IF(Summary_Exchange_Balances_00UTC!$B344="","",VLOOKUP(IF(ISERROR(SEARCH(" ", $B344)),UPPER($B344&amp;$C344&amp;$D344),UPPER(LEFT($B344, SEARCH(" ",$B344)-1)&amp;$C344&amp;$D344)),$M:$T,6,FALSE))</f>
        <v>#N/A</v>
      </c>
      <c r="H344">
        <f>IF(Summary_Exchange_Balances_00UTC!$B344="","",IF(ISERROR($G344),$E344,$G344))</f>
        <v>5680.2592693400002</v>
      </c>
      <c r="I344" s="36" t="e">
        <f t="shared" si="15"/>
        <v>#N/A</v>
      </c>
      <c r="L344" t="str">
        <f t="shared" si="16"/>
        <v>WOOXETHW</v>
      </c>
      <c r="M344" t="str">
        <f t="shared" si="17"/>
        <v>WOOX-1-M-EETHW</v>
      </c>
      <c r="N344" t="s">
        <v>275</v>
      </c>
      <c r="O344" t="s">
        <v>187</v>
      </c>
      <c r="P344" t="s">
        <v>186</v>
      </c>
      <c r="R344" s="43">
        <v>1267.7570125100001</v>
      </c>
      <c r="S344" t="s">
        <v>541</v>
      </c>
      <c r="T344">
        <v>1</v>
      </c>
      <c r="W344" t="s">
        <v>189</v>
      </c>
      <c r="X344" t="s">
        <v>174</v>
      </c>
      <c r="Y344" s="53">
        <v>7.66849E-3</v>
      </c>
      <c r="Z344">
        <v>0</v>
      </c>
      <c r="AC344"/>
      <c r="AD344"/>
      <c r="AS344" t="str">
        <f>IF(Summary_Exchange_Balances_00UTC!$B344="","","'"&amp;C344&amp;"',")</f>
        <v>'DOGE',</v>
      </c>
      <c r="AT344">
        <f>IF(Summary_Exchange_Balances_00UTC!$B344="","",IF(ISERROR(HLOOKUP($C344,$AW$1:$LL$2,2,FALSE)),Summary_Exchange_Balances_00UTC!$Q344,IF(OR(HLOOKUP($C344,$AW$1:$LL$2,2,FALSE)="",HLOOKUP($C344,$AW$1:$LL$2,2,FALSE)="null"),Summary_Exchange_Balances_00UTC!$Q344,HLOOKUP($C344,$AW$1:$LL$2,2,FALSE))))</f>
        <v>8.5419999999999996E-2</v>
      </c>
    </row>
    <row r="345" spans="1:46" x14ac:dyDescent="0.25">
      <c r="A345" t="str">
        <f>IF(Summary_Exchange_Balances_00UTC!$B345="","",Summary_Exchange_Balances_00UTC!$N345)</f>
        <v>FBLK</v>
      </c>
      <c r="B345" t="str">
        <f>IF(Summary_Exchange_Balances_00UTC!$B345="","",Summary_Exchange_Balances_00UTC!$B345)</f>
        <v>FBLK</v>
      </c>
      <c r="C345" t="str">
        <f>IF(Summary_Exchange_Balances_00UTC!$B345="","",Summary_Exchange_Balances_00UTC!$E345)</f>
        <v>DOT</v>
      </c>
      <c r="D345" t="str">
        <f>IF(OR(Summary_Exchange_Balances_00UTC!$B345="",Summary_Exchange_Balances_00UTC!$D345=""),"",Summary_Exchange_Balances_00UTC!$D345)</f>
        <v/>
      </c>
      <c r="E345" s="53">
        <f>IF(Summary_Exchange_Balances_00UTC!$B345="","",Summary_Exchange_Balances_00UTC!$C345)</f>
        <v>2.0019999999999998</v>
      </c>
      <c r="F345" s="53">
        <f>IF(Summary_Exchange_Balances_00UTC!$B345="","",VLOOKUP(UPPER($A345&amp;$C345),$L:$T,7,FALSE))</f>
        <v>2.0019999999999998</v>
      </c>
      <c r="G345" s="53">
        <f>IF(Summary_Exchange_Balances_00UTC!$B345="","",VLOOKUP(IF(ISERROR(SEARCH(" ", $B345)),UPPER($B345&amp;$C345&amp;$D345),UPPER(LEFT($B345, SEARCH(" ",$B345)-1)&amp;$C345&amp;$D345)),$M:$T,6,FALSE))</f>
        <v>2.0019999999999998</v>
      </c>
      <c r="H345">
        <f>IF(Summary_Exchange_Balances_00UTC!$B345="","",IF(ISERROR($G345),$E345,$G345))</f>
        <v>2.0019999999999998</v>
      </c>
      <c r="I345" s="36">
        <f t="shared" si="15"/>
        <v>0</v>
      </c>
      <c r="L345" t="str">
        <f t="shared" si="16"/>
        <v>WOOXUSDT</v>
      </c>
      <c r="M345" t="str">
        <f t="shared" si="17"/>
        <v>WOOX-1-M-EUSDT</v>
      </c>
      <c r="N345" t="s">
        <v>39</v>
      </c>
      <c r="O345" t="s">
        <v>187</v>
      </c>
      <c r="P345" t="s">
        <v>186</v>
      </c>
      <c r="R345" s="43">
        <v>6788958.3301300397</v>
      </c>
      <c r="S345" t="s">
        <v>541</v>
      </c>
      <c r="T345">
        <v>1</v>
      </c>
      <c r="W345" t="s">
        <v>89</v>
      </c>
      <c r="X345" t="s">
        <v>119</v>
      </c>
      <c r="Y345" s="53">
        <v>-200</v>
      </c>
      <c r="Z345">
        <v>0</v>
      </c>
      <c r="AC345"/>
      <c r="AD345"/>
      <c r="AS345" t="str">
        <f>IF(Summary_Exchange_Balances_00UTC!$B345="","","'"&amp;C345&amp;"',")</f>
        <v>'DOT',</v>
      </c>
      <c r="AT345">
        <f>IF(Summary_Exchange_Balances_00UTC!$B345="","",IF(ISERROR(HLOOKUP($C345,$AW$1:$LL$2,2,FALSE)),Summary_Exchange_Balances_00UTC!$Q345,IF(OR(HLOOKUP($C345,$AW$1:$LL$2,2,FALSE)="",HLOOKUP($C345,$AW$1:$LL$2,2,FALSE)="null"),Summary_Exchange_Balances_00UTC!$Q345,HLOOKUP($C345,$AW$1:$LL$2,2,FALSE))))</f>
        <v>5.6989999999999998</v>
      </c>
    </row>
    <row r="346" spans="1:46" x14ac:dyDescent="0.25">
      <c r="A346" t="str">
        <f>IF(Summary_Exchange_Balances_00UTC!$B346="","",Summary_Exchange_Balances_00UTC!$N346)</f>
        <v>FBLK</v>
      </c>
      <c r="B346" t="str">
        <f>IF(Summary_Exchange_Balances_00UTC!$B346="","",Summary_Exchange_Balances_00UTC!$B346)</f>
        <v>FBLK</v>
      </c>
      <c r="C346" t="str">
        <f>IF(Summary_Exchange_Balances_00UTC!$B346="","",Summary_Exchange_Balances_00UTC!$E346)</f>
        <v>ENJ</v>
      </c>
      <c r="D346" t="str">
        <f>IF(OR(Summary_Exchange_Balances_00UTC!$B346="",Summary_Exchange_Balances_00UTC!$D346=""),"",Summary_Exchange_Balances_00UTC!$D346)</f>
        <v/>
      </c>
      <c r="E346" s="54">
        <f>IF(Summary_Exchange_Balances_00UTC!$B346="","",Summary_Exchange_Balances_00UTC!$C346)</f>
        <v>170.34154862</v>
      </c>
      <c r="F346" s="53">
        <f>IF(Summary_Exchange_Balances_00UTC!$B346="","",VLOOKUP(UPPER($A346&amp;$C346),$L:$T,7,FALSE))</f>
        <v>119.1955</v>
      </c>
      <c r="G346" s="53">
        <f>IF(Summary_Exchange_Balances_00UTC!$B346="","",VLOOKUP(IF(ISERROR(SEARCH(" ", $B346)),UPPER($B346&amp;$C346&amp;$D346),UPPER(LEFT($B346, SEARCH(" ",$B346)-1)&amp;$C346&amp;$D346)),$M:$T,6,FALSE))</f>
        <v>119.1955</v>
      </c>
      <c r="H346">
        <f>IF(Summary_Exchange_Balances_00UTC!$B346="","",IF(ISERROR($G346),$E346,$G346))</f>
        <v>119.1955</v>
      </c>
      <c r="I346" s="36">
        <f t="shared" si="15"/>
        <v>-0.3002558626145711</v>
      </c>
      <c r="L346" t="str">
        <f t="shared" si="16"/>
        <v>WOOXWOO</v>
      </c>
      <c r="M346" t="str">
        <f t="shared" si="17"/>
        <v>WOOX-1-M-EWOO</v>
      </c>
      <c r="N346" t="s">
        <v>188</v>
      </c>
      <c r="O346" t="s">
        <v>187</v>
      </c>
      <c r="P346" t="s">
        <v>186</v>
      </c>
      <c r="R346" s="43">
        <v>1644286.05309931</v>
      </c>
      <c r="S346" t="s">
        <v>541</v>
      </c>
      <c r="T346">
        <v>1</v>
      </c>
      <c r="W346" t="s">
        <v>89</v>
      </c>
      <c r="X346" t="s">
        <v>87</v>
      </c>
      <c r="Y346" s="54">
        <v>-20000</v>
      </c>
      <c r="Z346">
        <v>0</v>
      </c>
      <c r="AC346"/>
      <c r="AD346"/>
      <c r="AS346" t="str">
        <f>IF(Summary_Exchange_Balances_00UTC!$B346="","","'"&amp;C346&amp;"',")</f>
        <v>'ENJ',</v>
      </c>
      <c r="AT346">
        <f>IF(Summary_Exchange_Balances_00UTC!$B346="","",IF(ISERROR(HLOOKUP($C346,$AW$1:$LL$2,2,FALSE)),Summary_Exchange_Balances_00UTC!$Q346,IF(OR(HLOOKUP($C346,$AW$1:$LL$2,2,FALSE)="",HLOOKUP($C346,$AW$1:$LL$2,2,FALSE)="null"),Summary_Exchange_Balances_00UTC!$Q346,HLOOKUP($C346,$AW$1:$LL$2,2,FALSE))))</f>
        <v>0.30611965000000002</v>
      </c>
    </row>
    <row r="347" spans="1:46" x14ac:dyDescent="0.25">
      <c r="A347" t="str">
        <f>IF(Summary_Exchange_Balances_00UTC!$B347="","",Summary_Exchange_Balances_00UTC!$N347)</f>
        <v>FBLK</v>
      </c>
      <c r="B347" t="str">
        <f>IF(Summary_Exchange_Balances_00UTC!$B347="","",Summary_Exchange_Balances_00UTC!$B347)</f>
        <v>FBLK</v>
      </c>
      <c r="C347" t="str">
        <f>IF(Summary_Exchange_Balances_00UTC!$B347="","",Summary_Exchange_Balances_00UTC!$E347)</f>
        <v>EOS</v>
      </c>
      <c r="D347" t="str">
        <f>IF(OR(Summary_Exchange_Balances_00UTC!$B347="",Summary_Exchange_Balances_00UTC!$D347=""),"",Summary_Exchange_Balances_00UTC!$D347)</f>
        <v/>
      </c>
      <c r="E347" s="54">
        <f>IF(Summary_Exchange_Balances_00UTC!$B347="","",Summary_Exchange_Balances_00UTC!$C347)</f>
        <v>885.21320000000003</v>
      </c>
      <c r="F347" s="53">
        <f>IF(Summary_Exchange_Balances_00UTC!$B347="","",VLOOKUP(UPPER($A347&amp;$C347),$L:$T,7,FALSE))</f>
        <v>3.5000000000000001E-3</v>
      </c>
      <c r="G347" s="53">
        <f>IF(Summary_Exchange_Balances_00UTC!$B347="","",VLOOKUP(IF(ISERROR(SEARCH(" ", $B347)),UPPER($B347&amp;$C347&amp;$D347),UPPER(LEFT($B347, SEARCH(" ",$B347)-1)&amp;$C347&amp;$D347)),$M:$T,6,FALSE))</f>
        <v>3.5000000000000001E-3</v>
      </c>
      <c r="H347">
        <f>IF(Summary_Exchange_Balances_00UTC!$B347="","",IF(ISERROR($G347),$E347,$G347))</f>
        <v>3.5000000000000001E-3</v>
      </c>
      <c r="I347" s="36">
        <f t="shared" si="15"/>
        <v>-0.99999604615023807</v>
      </c>
      <c r="L347" t="str">
        <f t="shared" si="16"/>
        <v/>
      </c>
      <c r="M347" t="str">
        <f t="shared" si="17"/>
        <v/>
      </c>
      <c r="W347" t="s">
        <v>89</v>
      </c>
      <c r="X347" t="s">
        <v>190</v>
      </c>
      <c r="Y347" s="54">
        <v>-500</v>
      </c>
      <c r="Z347">
        <v>0</v>
      </c>
      <c r="AC347"/>
      <c r="AD347"/>
      <c r="AS347" t="str">
        <f>IF(Summary_Exchange_Balances_00UTC!$B347="","","'"&amp;C347&amp;"',")</f>
        <v>'EOS',</v>
      </c>
      <c r="AT347">
        <f>IF(Summary_Exchange_Balances_00UTC!$B347="","",IF(ISERROR(HLOOKUP($C347,$AW$1:$LL$2,2,FALSE)),Summary_Exchange_Balances_00UTC!$Q347,IF(OR(HLOOKUP($C347,$AW$1:$LL$2,2,FALSE)="",HLOOKUP($C347,$AW$1:$LL$2,2,FALSE)="null"),Summary_Exchange_Balances_00UTC!$Q347,HLOOKUP($C347,$AW$1:$LL$2,2,FALSE))))</f>
        <v>0.90154135000000002</v>
      </c>
    </row>
    <row r="348" spans="1:46" x14ac:dyDescent="0.25">
      <c r="A348" t="str">
        <f>IF(Summary_Exchange_Balances_00UTC!$B348="","",Summary_Exchange_Balances_00UTC!$N348)</f>
        <v>FBLK</v>
      </c>
      <c r="B348" t="str">
        <f>IF(Summary_Exchange_Balances_00UTC!$B348="","",Summary_Exchange_Balances_00UTC!$B348)</f>
        <v>FBLK</v>
      </c>
      <c r="C348" t="str">
        <f>IF(Summary_Exchange_Balances_00UTC!$B348="","",Summary_Exchange_Balances_00UTC!$E348)</f>
        <v>ETC</v>
      </c>
      <c r="D348" t="str">
        <f>IF(OR(Summary_Exchange_Balances_00UTC!$B348="",Summary_Exchange_Balances_00UTC!$D348=""),"",Summary_Exchange_Balances_00UTC!$D348)</f>
        <v/>
      </c>
      <c r="E348" s="53">
        <f>IF(Summary_Exchange_Balances_00UTC!$B348="","",Summary_Exchange_Balances_00UTC!$C348)</f>
        <v>5.8852999999999998E-4</v>
      </c>
      <c r="F348" s="53">
        <f>IF(Summary_Exchange_Balances_00UTC!$B348="","",VLOOKUP(UPPER($A348&amp;$C348),$L:$T,7,FALSE))</f>
        <v>5.8799999999999999E-5</v>
      </c>
      <c r="G348" s="53">
        <f>IF(Summary_Exchange_Balances_00UTC!$B348="","",VLOOKUP(IF(ISERROR(SEARCH(" ", $B348)),UPPER($B348&amp;$C348&amp;$D348),UPPER(LEFT($B348, SEARCH(" ",$B348)-1)&amp;$C348&amp;$D348)),$M:$T,6,FALSE))</f>
        <v>5.8799999999999999E-5</v>
      </c>
      <c r="H348">
        <f>IF(Summary_Exchange_Balances_00UTC!$B348="","",IF(ISERROR($G348),$E348,$G348))</f>
        <v>5.8799999999999999E-5</v>
      </c>
      <c r="I348" s="36">
        <f t="shared" si="15"/>
        <v>-0.90009005488250382</v>
      </c>
      <c r="L348" t="str">
        <f t="shared" si="16"/>
        <v/>
      </c>
      <c r="M348" t="str">
        <f t="shared" si="17"/>
        <v/>
      </c>
      <c r="W348" t="s">
        <v>89</v>
      </c>
      <c r="X348" t="s">
        <v>127</v>
      </c>
      <c r="Y348" s="53">
        <v>-30000</v>
      </c>
      <c r="Z348">
        <v>0</v>
      </c>
      <c r="AC348"/>
      <c r="AD348"/>
      <c r="AS348" t="str">
        <f>IF(Summary_Exchange_Balances_00UTC!$B348="","","'"&amp;C348&amp;"',")</f>
        <v>'ETC',</v>
      </c>
      <c r="AT348">
        <f>IF(Summary_Exchange_Balances_00UTC!$B348="","",IF(ISERROR(HLOOKUP($C348,$AW$1:$LL$2,2,FALSE)),Summary_Exchange_Balances_00UTC!$Q348,IF(OR(HLOOKUP($C348,$AW$1:$LL$2,2,FALSE)="",HLOOKUP($C348,$AW$1:$LL$2,2,FALSE)="null"),Summary_Exchange_Balances_00UTC!$Q348,HLOOKUP($C348,$AW$1:$LL$2,2,FALSE))))</f>
        <v>19.614688999999998</v>
      </c>
    </row>
    <row r="349" spans="1:46" x14ac:dyDescent="0.25">
      <c r="A349" t="str">
        <f>IF(Summary_Exchange_Balances_00UTC!$B349="","",Summary_Exchange_Balances_00UTC!$N349)</f>
        <v>FBLK</v>
      </c>
      <c r="B349" t="str">
        <f>IF(Summary_Exchange_Balances_00UTC!$B349="","",Summary_Exchange_Balances_00UTC!$B349)</f>
        <v>FBLK</v>
      </c>
      <c r="C349" t="str">
        <f>IF(Summary_Exchange_Balances_00UTC!$B349="","",Summary_Exchange_Balances_00UTC!$E349)</f>
        <v>ETH</v>
      </c>
      <c r="D349" t="str">
        <f>IF(OR(Summary_Exchange_Balances_00UTC!$B349="",Summary_Exchange_Balances_00UTC!$D349=""),"",Summary_Exchange_Balances_00UTC!$D349)</f>
        <v/>
      </c>
      <c r="E349" s="53">
        <f>IF(Summary_Exchange_Balances_00UTC!$B349="","",Summary_Exchange_Balances_00UTC!$C349)</f>
        <v>3813.7481754699902</v>
      </c>
      <c r="F349" s="53">
        <f>IF(Summary_Exchange_Balances_00UTC!$B349="","",VLOOKUP(UPPER($A349&amp;$C349),$L:$T,7,FALSE))</f>
        <v>456.85530205179998</v>
      </c>
      <c r="G349" s="53">
        <f>IF(Summary_Exchange_Balances_00UTC!$B349="","",VLOOKUP(IF(ISERROR(SEARCH(" ", $B349)),UPPER($B349&amp;$C349&amp;$D349),UPPER(LEFT($B349, SEARCH(" ",$B349)-1)&amp;$C349&amp;$D349)),$M:$T,6,FALSE))</f>
        <v>456.85530205179998</v>
      </c>
      <c r="H349">
        <f>IF(Summary_Exchange_Balances_00UTC!$B349="","",IF(ISERROR($G349),$E349,$G349))</f>
        <v>456.85530205179998</v>
      </c>
      <c r="I349" s="36">
        <f t="shared" si="15"/>
        <v>-0.880208319733775</v>
      </c>
      <c r="L349" t="str">
        <f t="shared" si="16"/>
        <v/>
      </c>
      <c r="M349" t="str">
        <f t="shared" si="17"/>
        <v/>
      </c>
      <c r="W349" t="s">
        <v>89</v>
      </c>
      <c r="X349" t="s">
        <v>21</v>
      </c>
      <c r="Y349" s="53">
        <v>-90</v>
      </c>
      <c r="Z349">
        <v>0</v>
      </c>
      <c r="AC349"/>
      <c r="AD349"/>
      <c r="AS349" t="str">
        <f>IF(Summary_Exchange_Balances_00UTC!$B349="","","'"&amp;C349&amp;"',")</f>
        <v>'ETH',</v>
      </c>
      <c r="AT349">
        <f>IF(Summary_Exchange_Balances_00UTC!$B349="","",IF(ISERROR(HLOOKUP($C349,$AW$1:$LL$2,2,FALSE)),Summary_Exchange_Balances_00UTC!$Q349,IF(OR(HLOOKUP($C349,$AW$1:$LL$2,2,FALSE)="",HLOOKUP($C349,$AW$1:$LL$2,2,FALSE)="null"),Summary_Exchange_Balances_00UTC!$Q349,HLOOKUP($C349,$AW$1:$LL$2,2,FALSE))))</f>
        <v>1208.73</v>
      </c>
    </row>
    <row r="350" spans="1:46" x14ac:dyDescent="0.25">
      <c r="A350" t="str">
        <f>IF(Summary_Exchange_Balances_00UTC!$B350="","",Summary_Exchange_Balances_00UTC!$N350)</f>
        <v>FBLK</v>
      </c>
      <c r="B350" t="str">
        <f>IF(Summary_Exchange_Balances_00UTC!$B350="","",Summary_Exchange_Balances_00UTC!$B350)</f>
        <v>FBLK</v>
      </c>
      <c r="C350" t="str">
        <f>IF(Summary_Exchange_Balances_00UTC!$B350="","",Summary_Exchange_Balances_00UTC!$E350)</f>
        <v>ETHW</v>
      </c>
      <c r="D350" t="str">
        <f>IF(OR(Summary_Exchange_Balances_00UTC!$B350="",Summary_Exchange_Balances_00UTC!$D350=""),"",Summary_Exchange_Balances_00UTC!$D350)</f>
        <v/>
      </c>
      <c r="E350" s="53">
        <f>IF(Summary_Exchange_Balances_00UTC!$B350="","",Summary_Exchange_Balances_00UTC!$C350)</f>
        <v>0.42501022999999999</v>
      </c>
      <c r="F350" s="53">
        <f>IF(Summary_Exchange_Balances_00UTC!$B350="","",VLOOKUP(UPPER($A350&amp;$C350),$L:$T,7,FALSE))</f>
        <v>4.0610759158</v>
      </c>
      <c r="G350" s="53">
        <f>IF(Summary_Exchange_Balances_00UTC!$B350="","",VLOOKUP(IF(ISERROR(SEARCH(" ", $B350)),UPPER($B350&amp;$C350&amp;$D350),UPPER(LEFT($B350, SEARCH(" ",$B350)-1)&amp;$C350&amp;$D350)),$M:$T,6,FALSE))</f>
        <v>4.0610759158</v>
      </c>
      <c r="H350">
        <f>IF(Summary_Exchange_Balances_00UTC!$B350="","",IF(ISERROR($G350),$E350,$G350))</f>
        <v>4.0610759158</v>
      </c>
      <c r="I350" s="36">
        <f t="shared" si="15"/>
        <v>8.5552427427452749</v>
      </c>
      <c r="L350" t="str">
        <f t="shared" si="16"/>
        <v/>
      </c>
      <c r="M350" t="str">
        <f t="shared" si="17"/>
        <v/>
      </c>
      <c r="W350" t="s">
        <v>89</v>
      </c>
      <c r="X350" t="s">
        <v>15</v>
      </c>
      <c r="Y350" s="53">
        <v>-82.706702309999997</v>
      </c>
      <c r="Z350">
        <v>0</v>
      </c>
      <c r="AC350"/>
      <c r="AD350"/>
      <c r="AS350" t="str">
        <f>IF(Summary_Exchange_Balances_00UTC!$B350="","","'"&amp;C350&amp;"',")</f>
        <v>'ETHW',</v>
      </c>
      <c r="AT350">
        <f>IF(Summary_Exchange_Balances_00UTC!$B350="","",IF(ISERROR(HLOOKUP($C350,$AW$1:$LL$2,2,FALSE)),Summary_Exchange_Balances_00UTC!$Q350,IF(OR(HLOOKUP($C350,$AW$1:$LL$2,2,FALSE)="",HLOOKUP($C350,$AW$1:$LL$2,2,FALSE)="null"),Summary_Exchange_Balances_00UTC!$Q350,HLOOKUP($C350,$AW$1:$LL$2,2,FALSE))))</f>
        <v>3.5405121692480437</v>
      </c>
    </row>
    <row r="351" spans="1:46" x14ac:dyDescent="0.25">
      <c r="A351" t="str">
        <f>IF(Summary_Exchange_Balances_00UTC!$B351="","",Summary_Exchange_Balances_00UTC!$N351)</f>
        <v>FBLK</v>
      </c>
      <c r="B351" t="str">
        <f>IF(Summary_Exchange_Balances_00UTC!$B351="","",Summary_Exchange_Balances_00UTC!$B351)</f>
        <v>FBLK</v>
      </c>
      <c r="C351" t="str">
        <f>IF(Summary_Exchange_Balances_00UTC!$B351="","",Summary_Exchange_Balances_00UTC!$E351)</f>
        <v>EUROC</v>
      </c>
      <c r="D351" t="str">
        <f>IF(OR(Summary_Exchange_Balances_00UTC!$B351="",Summary_Exchange_Balances_00UTC!$D351=""),"",Summary_Exchange_Balances_00UTC!$D351)</f>
        <v/>
      </c>
      <c r="E351" s="54">
        <f>IF(Summary_Exchange_Balances_00UTC!$B351="","",Summary_Exchange_Balances_00UTC!$C351)</f>
        <v>5024</v>
      </c>
      <c r="F351" s="53" t="e">
        <f>IF(Summary_Exchange_Balances_00UTC!$B351="","",VLOOKUP(UPPER($A351&amp;$C351),$L:$T,7,FALSE))</f>
        <v>#N/A</v>
      </c>
      <c r="G351" s="53" t="e">
        <f>IF(Summary_Exchange_Balances_00UTC!$B351="","",VLOOKUP(IF(ISERROR(SEARCH(" ", $B351)),UPPER($B351&amp;$C351&amp;$D351),UPPER(LEFT($B351, SEARCH(" ",$B351)-1)&amp;$C351&amp;$D351)),$M:$T,6,FALSE))</f>
        <v>#N/A</v>
      </c>
      <c r="H351">
        <f>IF(Summary_Exchange_Balances_00UTC!$B351="","",IF(ISERROR($G351),$E351,$G351))</f>
        <v>5024</v>
      </c>
      <c r="I351" s="36" t="e">
        <f t="shared" si="15"/>
        <v>#N/A</v>
      </c>
      <c r="L351" t="str">
        <f t="shared" si="16"/>
        <v/>
      </c>
      <c r="M351" t="str">
        <f t="shared" si="17"/>
        <v/>
      </c>
      <c r="W351" t="s">
        <v>89</v>
      </c>
      <c r="X351" t="s">
        <v>91</v>
      </c>
      <c r="Y351" s="54">
        <v>-5463307.5175532</v>
      </c>
      <c r="Z351">
        <v>0</v>
      </c>
      <c r="AC351"/>
      <c r="AD351"/>
      <c r="AS351" t="str">
        <f>IF(Summary_Exchange_Balances_00UTC!$B351="","","'"&amp;C351&amp;"',")</f>
        <v>'EUROC',</v>
      </c>
      <c r="AT351">
        <f>IF(Summary_Exchange_Balances_00UTC!$B351="","",IF(ISERROR(HLOOKUP($C351,$AW$1:$LL$2,2,FALSE)),Summary_Exchange_Balances_00UTC!$Q351,IF(OR(HLOOKUP($C351,$AW$1:$LL$2,2,FALSE)="",HLOOKUP($C351,$AW$1:$LL$2,2,FALSE)="null"),Summary_Exchange_Balances_00UTC!$Q351,HLOOKUP($C351,$AW$1:$LL$2,2,FALSE))))</f>
        <v>1.0683314432701254</v>
      </c>
    </row>
    <row r="352" spans="1:46" x14ac:dyDescent="0.25">
      <c r="A352" t="str">
        <f>IF(Summary_Exchange_Balances_00UTC!$B352="","",Summary_Exchange_Balances_00UTC!$N352)</f>
        <v>FBLK</v>
      </c>
      <c r="B352" t="str">
        <f>IF(Summary_Exchange_Balances_00UTC!$B352="","",Summary_Exchange_Balances_00UTC!$B352)</f>
        <v>FBLK</v>
      </c>
      <c r="C352" t="str">
        <f>IF(Summary_Exchange_Balances_00UTC!$B352="","",Summary_Exchange_Balances_00UTC!$E352)</f>
        <v>FTM</v>
      </c>
      <c r="D352" t="str">
        <f>IF(OR(Summary_Exchange_Balances_00UTC!$B352="",Summary_Exchange_Balances_00UTC!$D352=""),"",Summary_Exchange_Balances_00UTC!$D352)</f>
        <v/>
      </c>
      <c r="E352" s="54">
        <f>IF(Summary_Exchange_Balances_00UTC!$B352="","",Summary_Exchange_Balances_00UTC!$C352)</f>
        <v>3969.6552405000002</v>
      </c>
      <c r="F352" s="53" t="e">
        <f>IF(Summary_Exchange_Balances_00UTC!$B352="","",VLOOKUP(UPPER($A352&amp;$C352),$L:$T,7,FALSE))</f>
        <v>#N/A</v>
      </c>
      <c r="G352" s="53" t="e">
        <f>IF(Summary_Exchange_Balances_00UTC!$B352="","",VLOOKUP(IF(ISERROR(SEARCH(" ", $B352)),UPPER($B352&amp;$C352&amp;$D352),UPPER(LEFT($B352, SEARCH(" ",$B352)-1)&amp;$C352&amp;$D352)),$M:$T,6,FALSE))</f>
        <v>#N/A</v>
      </c>
      <c r="H352">
        <f>IF(Summary_Exchange_Balances_00UTC!$B352="","",IF(ISERROR($G352),$E352,$G352))</f>
        <v>3969.6552405000002</v>
      </c>
      <c r="I352" s="36" t="e">
        <f t="shared" si="15"/>
        <v>#N/A</v>
      </c>
      <c r="L352" t="str">
        <f t="shared" si="16"/>
        <v/>
      </c>
      <c r="M352" t="str">
        <f t="shared" si="17"/>
        <v/>
      </c>
      <c r="W352" t="s">
        <v>89</v>
      </c>
      <c r="X352" t="s">
        <v>32</v>
      </c>
      <c r="Y352" s="54">
        <v>-4800</v>
      </c>
      <c r="Z352">
        <v>0</v>
      </c>
      <c r="AC352"/>
      <c r="AD352"/>
      <c r="AS352" t="str">
        <f>IF(Summary_Exchange_Balances_00UTC!$B352="","","'"&amp;C352&amp;"',")</f>
        <v>'FTM',</v>
      </c>
      <c r="AT352">
        <f>IF(Summary_Exchange_Balances_00UTC!$B352="","",IF(ISERROR(HLOOKUP($C352,$AW$1:$LL$2,2,FALSE)),Summary_Exchange_Balances_00UTC!$Q352,IF(OR(HLOOKUP($C352,$AW$1:$LL$2,2,FALSE)="",HLOOKUP($C352,$AW$1:$LL$2,2,FALSE)="null"),Summary_Exchange_Balances_00UTC!$Q352,HLOOKUP($C352,$AW$1:$LL$2,2,FALSE))))</f>
        <v>0.17945811</v>
      </c>
    </row>
    <row r="353" spans="1:46" x14ac:dyDescent="0.25">
      <c r="A353" t="str">
        <f>IF(Summary_Exchange_Balances_00UTC!$B353="","",Summary_Exchange_Balances_00UTC!$N353)</f>
        <v>FBLK</v>
      </c>
      <c r="B353" t="str">
        <f>IF(Summary_Exchange_Balances_00UTC!$B353="","",Summary_Exchange_Balances_00UTC!$B353)</f>
        <v>FBLK</v>
      </c>
      <c r="C353" t="str">
        <f>IF(Summary_Exchange_Balances_00UTC!$B353="","",Summary_Exchange_Balances_00UTC!$E353)</f>
        <v>FTT</v>
      </c>
      <c r="D353" t="str">
        <f>IF(OR(Summary_Exchange_Balances_00UTC!$B353="",Summary_Exchange_Balances_00UTC!$D353=""),"",Summary_Exchange_Balances_00UTC!$D353)</f>
        <v/>
      </c>
      <c r="E353" s="53">
        <f>IF(Summary_Exchange_Balances_00UTC!$B353="","",Summary_Exchange_Balances_00UTC!$C353)</f>
        <v>2.53888889</v>
      </c>
      <c r="F353" s="53">
        <f>IF(Summary_Exchange_Balances_00UTC!$B353="","",VLOOKUP(UPPER($A353&amp;$C353),$L:$T,7,FALSE))</f>
        <v>2.53888889</v>
      </c>
      <c r="G353" s="53">
        <f>IF(Summary_Exchange_Balances_00UTC!$B353="","",VLOOKUP(IF(ISERROR(SEARCH(" ", $B353)),UPPER($B353&amp;$C353&amp;$D353),UPPER(LEFT($B353, SEARCH(" ",$B353)-1)&amp;$C353&amp;$D353)),$M:$T,6,FALSE))</f>
        <v>2.53888889</v>
      </c>
      <c r="H353">
        <f>IF(Summary_Exchange_Balances_00UTC!$B353="","",IF(ISERROR($G353),$E353,$G353))</f>
        <v>2.53888889</v>
      </c>
      <c r="I353" s="36">
        <f t="shared" si="15"/>
        <v>0</v>
      </c>
      <c r="L353" t="str">
        <f t="shared" si="16"/>
        <v/>
      </c>
      <c r="M353" t="str">
        <f t="shared" si="17"/>
        <v/>
      </c>
      <c r="W353" t="s">
        <v>89</v>
      </c>
      <c r="X353" t="s">
        <v>193</v>
      </c>
      <c r="Y353" s="53">
        <v>-180000</v>
      </c>
      <c r="Z353">
        <v>0</v>
      </c>
      <c r="AC353"/>
      <c r="AD353"/>
      <c r="AS353" t="str">
        <f>IF(Summary_Exchange_Balances_00UTC!$B353="","","'"&amp;C353&amp;"',")</f>
        <v>'FTT',</v>
      </c>
      <c r="AT353">
        <f>IF(Summary_Exchange_Balances_00UTC!$B353="","",IF(ISERROR(HLOOKUP($C353,$AW$1:$LL$2,2,FALSE)),Summary_Exchange_Balances_00UTC!$Q353,IF(OR(HLOOKUP($C353,$AW$1:$LL$2,2,FALSE)="",HLOOKUP($C353,$AW$1:$LL$2,2,FALSE)="null"),Summary_Exchange_Balances_00UTC!$Q353,HLOOKUP($C353,$AW$1:$LL$2,2,FALSE))))</f>
        <v>1.5288371999999999</v>
      </c>
    </row>
    <row r="354" spans="1:46" x14ac:dyDescent="0.25">
      <c r="A354" t="str">
        <f>IF(Summary_Exchange_Balances_00UTC!$B354="","",Summary_Exchange_Balances_00UTC!$N354)</f>
        <v>FBLK</v>
      </c>
      <c r="B354" t="str">
        <f>IF(Summary_Exchange_Balances_00UTC!$B354="","",Summary_Exchange_Balances_00UTC!$B354)</f>
        <v>FBLK</v>
      </c>
      <c r="C354" t="str">
        <f>IF(Summary_Exchange_Balances_00UTC!$B354="","",Summary_Exchange_Balances_00UTC!$E354)</f>
        <v>GRT</v>
      </c>
      <c r="D354" t="str">
        <f>IF(OR(Summary_Exchange_Balances_00UTC!$B354="",Summary_Exchange_Balances_00UTC!$D354=""),"",Summary_Exchange_Balances_00UTC!$D354)</f>
        <v/>
      </c>
      <c r="E354" s="53">
        <f>IF(Summary_Exchange_Balances_00UTC!$B354="","",Summary_Exchange_Balances_00UTC!$C354)</f>
        <v>401.2307831</v>
      </c>
      <c r="F354" s="53" t="e">
        <f>IF(Summary_Exchange_Balances_00UTC!$B354="","",VLOOKUP(UPPER($A354&amp;$C354),$L:$T,7,FALSE))</f>
        <v>#N/A</v>
      </c>
      <c r="G354" s="53" t="e">
        <f>IF(Summary_Exchange_Balances_00UTC!$B354="","",VLOOKUP(IF(ISERROR(SEARCH(" ", $B354)),UPPER($B354&amp;$C354&amp;$D354),UPPER(LEFT($B354, SEARCH(" ",$B354)-1)&amp;$C354&amp;$D354)),$M:$T,6,FALSE))</f>
        <v>#N/A</v>
      </c>
      <c r="H354">
        <f>IF(Summary_Exchange_Balances_00UTC!$B354="","",IF(ISERROR($G354),$E354,$G354))</f>
        <v>401.2307831</v>
      </c>
      <c r="I354" s="36" t="e">
        <f t="shared" si="15"/>
        <v>#N/A</v>
      </c>
      <c r="L354" t="str">
        <f t="shared" si="16"/>
        <v/>
      </c>
      <c r="M354" t="str">
        <f t="shared" si="17"/>
        <v/>
      </c>
      <c r="W354" t="s">
        <v>89</v>
      </c>
      <c r="X354" t="s">
        <v>23</v>
      </c>
      <c r="Y354" s="53">
        <v>-2000</v>
      </c>
      <c r="Z354">
        <v>0</v>
      </c>
      <c r="AC354"/>
      <c r="AD354"/>
      <c r="AS354" t="str">
        <f>IF(Summary_Exchange_Balances_00UTC!$B354="","","'"&amp;C354&amp;"',")</f>
        <v>'GRT',</v>
      </c>
      <c r="AT354">
        <f>IF(Summary_Exchange_Balances_00UTC!$B354="","",IF(ISERROR(HLOOKUP($C354,$AW$1:$LL$2,2,FALSE)),Summary_Exchange_Balances_00UTC!$Q354,IF(OR(HLOOKUP($C354,$AW$1:$LL$2,2,FALSE)="",HLOOKUP($C354,$AW$1:$LL$2,2,FALSE)="null"),Summary_Exchange_Balances_00UTC!$Q354,HLOOKUP($C354,$AW$1:$LL$2,2,FALSE))))</f>
        <v>6.08E-2</v>
      </c>
    </row>
    <row r="355" spans="1:46" x14ac:dyDescent="0.25">
      <c r="A355" t="str">
        <f>IF(Summary_Exchange_Balances_00UTC!$B355="","",Summary_Exchange_Balances_00UTC!$N355)</f>
        <v>FBLK</v>
      </c>
      <c r="B355" t="str">
        <f>IF(Summary_Exchange_Balances_00UTC!$B355="","",Summary_Exchange_Balances_00UTC!$B355)</f>
        <v>FBLK</v>
      </c>
      <c r="C355" t="str">
        <f>IF(Summary_Exchange_Balances_00UTC!$B355="","",Summary_Exchange_Balances_00UTC!$E355)</f>
        <v>HBAR</v>
      </c>
      <c r="D355" t="str">
        <f>IF(OR(Summary_Exchange_Balances_00UTC!$B355="",Summary_Exchange_Balances_00UTC!$D355=""),"",Summary_Exchange_Balances_00UTC!$D355)</f>
        <v/>
      </c>
      <c r="E355" s="53">
        <f>IF(Summary_Exchange_Balances_00UTC!$B355="","",Summary_Exchange_Balances_00UTC!$C355)</f>
        <v>6955.5320218500001</v>
      </c>
      <c r="F355" s="53">
        <f>IF(Summary_Exchange_Balances_00UTC!$B355="","",VLOOKUP(UPPER($A355&amp;$C355),$L:$T,7,FALSE))</f>
        <v>79.65610461</v>
      </c>
      <c r="G355" s="53">
        <f>IF(Summary_Exchange_Balances_00UTC!$B355="","",VLOOKUP(IF(ISERROR(SEARCH(" ", $B355)),UPPER($B355&amp;$C355&amp;$D355),UPPER(LEFT($B355, SEARCH(" ",$B355)-1)&amp;$C355&amp;$D355)),$M:$T,6,FALSE))</f>
        <v>79.65610461</v>
      </c>
      <c r="H355">
        <f>IF(Summary_Exchange_Balances_00UTC!$B355="","",IF(ISERROR($G355),$E355,$G355))</f>
        <v>79.65610461</v>
      </c>
      <c r="I355" s="36">
        <f t="shared" si="15"/>
        <v>-0.98854780563733025</v>
      </c>
      <c r="L355" t="str">
        <f t="shared" si="16"/>
        <v/>
      </c>
      <c r="M355" t="str">
        <f t="shared" si="17"/>
        <v/>
      </c>
      <c r="W355" t="s">
        <v>89</v>
      </c>
      <c r="X355" t="s">
        <v>195</v>
      </c>
      <c r="Y355" s="53">
        <v>-20000</v>
      </c>
      <c r="Z355">
        <v>0</v>
      </c>
      <c r="AC355"/>
      <c r="AD355"/>
      <c r="AS355" t="str">
        <f>IF(Summary_Exchange_Balances_00UTC!$B355="","","'"&amp;C355&amp;"',")</f>
        <v>'HBAR',</v>
      </c>
      <c r="AT355">
        <f>IF(Summary_Exchange_Balances_00UTC!$B355="","",IF(ISERROR(HLOOKUP($C355,$AW$1:$LL$2,2,FALSE)),Summary_Exchange_Balances_00UTC!$Q355,IF(OR(HLOOKUP($C355,$AW$1:$LL$2,2,FALSE)="",HLOOKUP($C355,$AW$1:$LL$2,2,FALSE)="null"),Summary_Exchange_Balances_00UTC!$Q355,HLOOKUP($C355,$AW$1:$LL$2,2,FALSE))))</f>
        <v>4.9363444999999999E-2</v>
      </c>
    </row>
    <row r="356" spans="1:46" x14ac:dyDescent="0.25">
      <c r="A356" t="str">
        <f>IF(Summary_Exchange_Balances_00UTC!$B356="","",Summary_Exchange_Balances_00UTC!$N356)</f>
        <v>FBLK</v>
      </c>
      <c r="B356" t="str">
        <f>IF(Summary_Exchange_Balances_00UTC!$B356="","",Summary_Exchange_Balances_00UTC!$B356)</f>
        <v>FBLK</v>
      </c>
      <c r="C356" t="str">
        <f>IF(Summary_Exchange_Balances_00UTC!$B356="","",Summary_Exchange_Balances_00UTC!$E356)</f>
        <v>KSM</v>
      </c>
      <c r="D356" t="str">
        <f>IF(OR(Summary_Exchange_Balances_00UTC!$B356="",Summary_Exchange_Balances_00UTC!$D356=""),"",Summary_Exchange_Balances_00UTC!$D356)</f>
        <v/>
      </c>
      <c r="E356" s="53">
        <f>IF(Summary_Exchange_Balances_00UTC!$B356="","",Summary_Exchange_Balances_00UTC!$C356)</f>
        <v>9.2269799999999992E-3</v>
      </c>
      <c r="F356" s="53">
        <f>IF(Summary_Exchange_Balances_00UTC!$B356="","",VLOOKUP(UPPER($A356&amp;$C356),$L:$T,7,FALSE))</f>
        <v>0.17254888430000001</v>
      </c>
      <c r="G356" s="53">
        <f>IF(Summary_Exchange_Balances_00UTC!$B356="","",VLOOKUP(IF(ISERROR(SEARCH(" ", $B356)),UPPER($B356&amp;$C356&amp;$D356),UPPER(LEFT($B356, SEARCH(" ",$B356)-1)&amp;$C356&amp;$D356)),$M:$T,6,FALSE))</f>
        <v>0.17254888430000001</v>
      </c>
      <c r="H356">
        <f>IF(Summary_Exchange_Balances_00UTC!$B356="","",IF(ISERROR($G356),$E356,$G356))</f>
        <v>0.17254888430000001</v>
      </c>
      <c r="I356" s="36">
        <f t="shared" si="15"/>
        <v>17.700472343063499</v>
      </c>
      <c r="L356" t="str">
        <f t="shared" si="16"/>
        <v/>
      </c>
      <c r="M356" t="str">
        <f t="shared" si="17"/>
        <v/>
      </c>
      <c r="W356" t="s">
        <v>89</v>
      </c>
      <c r="X356" t="s">
        <v>38</v>
      </c>
      <c r="Y356" s="53">
        <v>-6000000000</v>
      </c>
      <c r="Z356">
        <v>0</v>
      </c>
      <c r="AC356"/>
      <c r="AD356"/>
      <c r="AS356" t="str">
        <f>IF(Summary_Exchange_Balances_00UTC!$B356="","","'"&amp;C356&amp;"',")</f>
        <v>'KSM',</v>
      </c>
      <c r="AT356">
        <f>IF(Summary_Exchange_Balances_00UTC!$B356="","",IF(ISERROR(HLOOKUP($C356,$AW$1:$LL$2,2,FALSE)),Summary_Exchange_Balances_00UTC!$Q356,IF(OR(HLOOKUP($C356,$AW$1:$LL$2,2,FALSE)="",HLOOKUP($C356,$AW$1:$LL$2,2,FALSE)="null"),Summary_Exchange_Balances_00UTC!$Q356,HLOOKUP($C356,$AW$1:$LL$2,2,FALSE))))</f>
        <v>24.360496999999999</v>
      </c>
    </row>
    <row r="357" spans="1:46" x14ac:dyDescent="0.25">
      <c r="A357" t="str">
        <f>IF(Summary_Exchange_Balances_00UTC!$B357="","",Summary_Exchange_Balances_00UTC!$N357)</f>
        <v>FBLK</v>
      </c>
      <c r="B357" t="str">
        <f>IF(Summary_Exchange_Balances_00UTC!$B357="","",Summary_Exchange_Balances_00UTC!$B357)</f>
        <v>FBLK</v>
      </c>
      <c r="C357" t="str">
        <f>IF(Summary_Exchange_Balances_00UTC!$B357="","",Summary_Exchange_Balances_00UTC!$E357)</f>
        <v>LINK</v>
      </c>
      <c r="D357" t="str">
        <f>IF(OR(Summary_Exchange_Balances_00UTC!$B357="",Summary_Exchange_Balances_00UTC!$D357=""),"",Summary_Exchange_Balances_00UTC!$D357)</f>
        <v/>
      </c>
      <c r="E357" s="53">
        <f>IF(Summary_Exchange_Balances_00UTC!$B357="","",Summary_Exchange_Balances_00UTC!$C357)</f>
        <v>991.68718306000005</v>
      </c>
      <c r="F357" s="53">
        <f>IF(Summary_Exchange_Balances_00UTC!$B357="","",VLOOKUP(UPPER($A357&amp;$C357),$L:$T,7,FALSE))</f>
        <v>53.109719769999998</v>
      </c>
      <c r="G357" s="53">
        <f>IF(Summary_Exchange_Balances_00UTC!$B357="","",VLOOKUP(IF(ISERROR(SEARCH(" ", $B357)),UPPER($B357&amp;$C357&amp;$D357),UPPER(LEFT($B357, SEARCH(" ",$B357)-1)&amp;$C357&amp;$D357)),$M:$T,6,FALSE))</f>
        <v>53.109719769999998</v>
      </c>
      <c r="H357">
        <f>IF(Summary_Exchange_Balances_00UTC!$B357="","",IF(ISERROR($G357),$E357,$G357))</f>
        <v>53.109719769999998</v>
      </c>
      <c r="I357" s="36">
        <f t="shared" si="15"/>
        <v>-0.94644508805072791</v>
      </c>
      <c r="L357" t="str">
        <f t="shared" si="16"/>
        <v/>
      </c>
      <c r="M357" t="str">
        <f t="shared" si="17"/>
        <v/>
      </c>
      <c r="W357" t="s">
        <v>89</v>
      </c>
      <c r="X357" t="s">
        <v>157</v>
      </c>
      <c r="Y357" s="53">
        <v>-60</v>
      </c>
      <c r="Z357">
        <v>0</v>
      </c>
      <c r="AC357"/>
      <c r="AD357"/>
      <c r="AS357" t="str">
        <f>IF(Summary_Exchange_Balances_00UTC!$B357="","","'"&amp;C357&amp;"',")</f>
        <v>'LINK',</v>
      </c>
      <c r="AT357">
        <f>IF(Summary_Exchange_Balances_00UTC!$B357="","",IF(ISERROR(HLOOKUP($C357,$AW$1:$LL$2,2,FALSE)),Summary_Exchange_Balances_00UTC!$Q357,IF(OR(HLOOKUP($C357,$AW$1:$LL$2,2,FALSE)="",HLOOKUP($C357,$AW$1:$LL$2,2,FALSE)="null"),Summary_Exchange_Balances_00UTC!$Q357,HLOOKUP($C357,$AW$1:$LL$2,2,FALSE))))</f>
        <v>6.2919999999999998</v>
      </c>
    </row>
    <row r="358" spans="1:46" x14ac:dyDescent="0.25">
      <c r="A358" t="str">
        <f>IF(Summary_Exchange_Balances_00UTC!$B358="","",Summary_Exchange_Balances_00UTC!$N358)</f>
        <v>FBLK</v>
      </c>
      <c r="B358" t="str">
        <f>IF(Summary_Exchange_Balances_00UTC!$B358="","",Summary_Exchange_Balances_00UTC!$B358)</f>
        <v>FBLK</v>
      </c>
      <c r="C358" t="str">
        <f>IF(Summary_Exchange_Balances_00UTC!$B358="","",Summary_Exchange_Balances_00UTC!$E358)</f>
        <v>LTC</v>
      </c>
      <c r="D358" t="str">
        <f>IF(OR(Summary_Exchange_Balances_00UTC!$B358="",Summary_Exchange_Balances_00UTC!$D358=""),"",Summary_Exchange_Balances_00UTC!$D358)</f>
        <v/>
      </c>
      <c r="E358" s="53">
        <f>IF(Summary_Exchange_Balances_00UTC!$B358="","",Summary_Exchange_Balances_00UTC!$C358)</f>
        <v>6.3299567400000001</v>
      </c>
      <c r="F358" s="53">
        <f>IF(Summary_Exchange_Balances_00UTC!$B358="","",VLOOKUP(UPPER($A358&amp;$C358),$L:$T,7,FALSE))</f>
        <v>170.99492828999999</v>
      </c>
      <c r="G358" s="53">
        <f>IF(Summary_Exchange_Balances_00UTC!$B358="","",VLOOKUP(IF(ISERROR(SEARCH(" ", $B358)),UPPER($B358&amp;$C358&amp;$D358),UPPER(LEFT($B358, SEARCH(" ",$B358)-1)&amp;$C358&amp;$D358)),$M:$T,6,FALSE))</f>
        <v>170.99492828999999</v>
      </c>
      <c r="H358">
        <f>IF(Summary_Exchange_Balances_00UTC!$B358="","",IF(ISERROR($G358),$E358,$G358))</f>
        <v>170.99492828999999</v>
      </c>
      <c r="I358" s="36">
        <f t="shared" si="15"/>
        <v>26.013601405749888</v>
      </c>
      <c r="L358" t="str">
        <f t="shared" si="16"/>
        <v/>
      </c>
      <c r="M358" t="str">
        <f t="shared" si="17"/>
        <v/>
      </c>
      <c r="W358" t="s">
        <v>89</v>
      </c>
      <c r="X358" t="s">
        <v>199</v>
      </c>
      <c r="Y358" s="53">
        <v>-100</v>
      </c>
      <c r="Z358">
        <v>0</v>
      </c>
      <c r="AC358"/>
      <c r="AD358"/>
      <c r="AS358" t="str">
        <f>IF(Summary_Exchange_Balances_00UTC!$B358="","","'"&amp;C358&amp;"',")</f>
        <v>'LTC',</v>
      </c>
      <c r="AT358">
        <f>IF(Summary_Exchange_Balances_00UTC!$B358="","",IF(ISERROR(HLOOKUP($C358,$AW$1:$LL$2,2,FALSE)),Summary_Exchange_Balances_00UTC!$Q358,IF(OR(HLOOKUP($C358,$AW$1:$LL$2,2,FALSE)="",HLOOKUP($C358,$AW$1:$LL$2,2,FALSE)="null"),Summary_Exchange_Balances_00UTC!$Q358,HLOOKUP($C358,$AW$1:$LL$2,2,FALSE))))</f>
        <v>62.35</v>
      </c>
    </row>
    <row r="359" spans="1:46" x14ac:dyDescent="0.25">
      <c r="A359" t="str">
        <f>IF(Summary_Exchange_Balances_00UTC!$B359="","",Summary_Exchange_Balances_00UTC!$N359)</f>
        <v>FBLK</v>
      </c>
      <c r="B359" t="str">
        <f>IF(Summary_Exchange_Balances_00UTC!$B359="","",Summary_Exchange_Balances_00UTC!$B359)</f>
        <v>FBLK</v>
      </c>
      <c r="C359" t="str">
        <f>IF(Summary_Exchange_Balances_00UTC!$B359="","",Summary_Exchange_Balances_00UTC!$E359)</f>
        <v>MANA</v>
      </c>
      <c r="D359" t="str">
        <f>IF(OR(Summary_Exchange_Balances_00UTC!$B359="",Summary_Exchange_Balances_00UTC!$D359=""),"",Summary_Exchange_Balances_00UTC!$D359)</f>
        <v/>
      </c>
      <c r="E359" s="54">
        <f>IF(Summary_Exchange_Balances_00UTC!$B359="","",Summary_Exchange_Balances_00UTC!$C359)</f>
        <v>1894.9818869999999</v>
      </c>
      <c r="F359" s="53">
        <f>IF(Summary_Exchange_Balances_00UTC!$B359="","",VLOOKUP(UPPER($A359&amp;$C359),$L:$T,7,FALSE))</f>
        <v>546.32089549</v>
      </c>
      <c r="G359" s="53">
        <f>IF(Summary_Exchange_Balances_00UTC!$B359="","",VLOOKUP(IF(ISERROR(SEARCH(" ", $B359)),UPPER($B359&amp;$C359&amp;$D359),UPPER(LEFT($B359, SEARCH(" ",$B359)-1)&amp;$C359&amp;$D359)),$M:$T,6,FALSE))</f>
        <v>546.32089549</v>
      </c>
      <c r="H359">
        <f>IF(Summary_Exchange_Balances_00UTC!$B359="","",IF(ISERROR($G359),$E359,$G359))</f>
        <v>546.32089549</v>
      </c>
      <c r="I359" s="36">
        <f t="shared" si="15"/>
        <v>-0.71170125728489342</v>
      </c>
      <c r="L359" t="str">
        <f t="shared" si="16"/>
        <v/>
      </c>
      <c r="M359" t="str">
        <f t="shared" si="17"/>
        <v/>
      </c>
      <c r="W359" t="s">
        <v>301</v>
      </c>
      <c r="X359" t="s">
        <v>191</v>
      </c>
      <c r="Y359" s="54">
        <v>-11782.51460554</v>
      </c>
      <c r="Z359">
        <v>0</v>
      </c>
      <c r="AC359"/>
      <c r="AD359"/>
      <c r="AS359" t="str">
        <f>IF(Summary_Exchange_Balances_00UTC!$B359="","","'"&amp;C359&amp;"',")</f>
        <v>'MANA',</v>
      </c>
      <c r="AT359">
        <f>IF(Summary_Exchange_Balances_00UTC!$B359="","",IF(ISERROR(HLOOKUP($C359,$AW$1:$LL$2,2,FALSE)),Summary_Exchange_Balances_00UTC!$Q359,IF(OR(HLOOKUP($C359,$AW$1:$LL$2,2,FALSE)="",HLOOKUP($C359,$AW$1:$LL$2,2,FALSE)="null"),Summary_Exchange_Balances_00UTC!$Q359,HLOOKUP($C359,$AW$1:$LL$2,2,FALSE))))</f>
        <v>0.41775250000000003</v>
      </c>
    </row>
    <row r="360" spans="1:46" x14ac:dyDescent="0.25">
      <c r="A360" t="str">
        <f>IF(Summary_Exchange_Balances_00UTC!$B360="","",Summary_Exchange_Balances_00UTC!$N360)</f>
        <v>FBLK</v>
      </c>
      <c r="B360" t="str">
        <f>IF(Summary_Exchange_Balances_00UTC!$B360="","",Summary_Exchange_Balances_00UTC!$B360)</f>
        <v>FBLK</v>
      </c>
      <c r="C360" t="str">
        <f>IF(Summary_Exchange_Balances_00UTC!$B360="","",Summary_Exchange_Balances_00UTC!$E360)</f>
        <v>MATIC</v>
      </c>
      <c r="D360" t="str">
        <f>IF(OR(Summary_Exchange_Balances_00UTC!$B360="",Summary_Exchange_Balances_00UTC!$D360=""),"",Summary_Exchange_Balances_00UTC!$D360)</f>
        <v/>
      </c>
      <c r="E360" s="54">
        <f>IF(Summary_Exchange_Balances_00UTC!$B360="","",Summary_Exchange_Balances_00UTC!$C360)</f>
        <v>9754.9953736700008</v>
      </c>
      <c r="F360" s="53">
        <f>IF(Summary_Exchange_Balances_00UTC!$B360="","",VLOOKUP(UPPER($A360&amp;$C360),$L:$T,7,FALSE))</f>
        <v>5.6554146698999999</v>
      </c>
      <c r="G360" s="53">
        <f>IF(Summary_Exchange_Balances_00UTC!$B360="","",VLOOKUP(IF(ISERROR(SEARCH(" ", $B360)),UPPER($B360&amp;$C360&amp;$D360),UPPER(LEFT($B360, SEARCH(" ",$B360)-1)&amp;$C360&amp;$D360)),$M:$T,6,FALSE))</f>
        <v>5.6554146698999999</v>
      </c>
      <c r="H360">
        <f>IF(Summary_Exchange_Balances_00UTC!$B360="","",IF(ISERROR($G360),$E360,$G360))</f>
        <v>5.6554146698999999</v>
      </c>
      <c r="I360" s="36">
        <f t="shared" si="15"/>
        <v>-0.9994202545000519</v>
      </c>
      <c r="L360" t="str">
        <f t="shared" si="16"/>
        <v/>
      </c>
      <c r="M360" t="str">
        <f t="shared" si="17"/>
        <v/>
      </c>
      <c r="W360" t="s">
        <v>111</v>
      </c>
      <c r="X360" t="s">
        <v>21</v>
      </c>
      <c r="Y360" s="54">
        <v>-3086.8876707200002</v>
      </c>
      <c r="Z360">
        <v>0</v>
      </c>
      <c r="AC360"/>
      <c r="AD360"/>
      <c r="AS360" t="str">
        <f>IF(Summary_Exchange_Balances_00UTC!$B360="","","'"&amp;C360&amp;"',")</f>
        <v>'MATIC',</v>
      </c>
      <c r="AT360">
        <f>IF(Summary_Exchange_Balances_00UTC!$B360="","",IF(ISERROR(HLOOKUP($C360,$AW$1:$LL$2,2,FALSE)),Summary_Exchange_Balances_00UTC!$Q360,IF(OR(HLOOKUP($C360,$AW$1:$LL$2,2,FALSE)="",HLOOKUP($C360,$AW$1:$LL$2,2,FALSE)="null"),Summary_Exchange_Balances_00UTC!$Q360,HLOOKUP($C360,$AW$1:$LL$2,2,FALSE))))</f>
        <v>0.88490000000000002</v>
      </c>
    </row>
    <row r="361" spans="1:46" x14ac:dyDescent="0.25">
      <c r="A361" t="str">
        <f>IF(Summary_Exchange_Balances_00UTC!$B361="","",Summary_Exchange_Balances_00UTC!$N361)</f>
        <v>FBLK</v>
      </c>
      <c r="B361" t="str">
        <f>IF(Summary_Exchange_Balances_00UTC!$B361="","",Summary_Exchange_Balances_00UTC!$B361)</f>
        <v>FBLK</v>
      </c>
      <c r="C361" t="str">
        <f>IF(Summary_Exchange_Balances_00UTC!$B361="","",Summary_Exchange_Balances_00UTC!$E361)</f>
        <v>MKR</v>
      </c>
      <c r="D361" t="str">
        <f>IF(OR(Summary_Exchange_Balances_00UTC!$B361="",Summary_Exchange_Balances_00UTC!$D361=""),"",Summary_Exchange_Balances_00UTC!$D361)</f>
        <v/>
      </c>
      <c r="E361" s="54">
        <f>IF(Summary_Exchange_Balances_00UTC!$B361="","",Summary_Exchange_Balances_00UTC!$C361)</f>
        <v>0.77666018999999997</v>
      </c>
      <c r="F361" s="53" t="e">
        <f>IF(Summary_Exchange_Balances_00UTC!$B361="","",VLOOKUP(UPPER($A361&amp;$C361),$L:$T,7,FALSE))</f>
        <v>#N/A</v>
      </c>
      <c r="G361" s="53" t="e">
        <f>IF(Summary_Exchange_Balances_00UTC!$B361="","",VLOOKUP(IF(ISERROR(SEARCH(" ", $B361)),UPPER($B361&amp;$C361&amp;$D361),UPPER(LEFT($B361, SEARCH(" ",$B361)-1)&amp;$C361&amp;$D361)),$M:$T,6,FALSE))</f>
        <v>#N/A</v>
      </c>
      <c r="H361">
        <f>IF(Summary_Exchange_Balances_00UTC!$B361="","",IF(ISERROR($G361),$E361,$G361))</f>
        <v>0.77666018999999997</v>
      </c>
      <c r="I361" s="36" t="e">
        <f t="shared" si="15"/>
        <v>#N/A</v>
      </c>
      <c r="L361" t="str">
        <f t="shared" si="16"/>
        <v/>
      </c>
      <c r="M361" t="str">
        <f t="shared" si="17"/>
        <v/>
      </c>
      <c r="W361" t="s">
        <v>111</v>
      </c>
      <c r="X361" t="s">
        <v>16</v>
      </c>
      <c r="Y361" s="54">
        <v>-11923.311404599999</v>
      </c>
      <c r="Z361">
        <v>0</v>
      </c>
      <c r="AC361"/>
      <c r="AD361"/>
      <c r="AS361" t="str">
        <f>IF(Summary_Exchange_Balances_00UTC!$B361="","","'"&amp;C361&amp;"',")</f>
        <v>'MKR',</v>
      </c>
      <c r="AT361">
        <f>IF(Summary_Exchange_Balances_00UTC!$B361="","",IF(ISERROR(HLOOKUP($C361,$AW$1:$LL$2,2,FALSE)),Summary_Exchange_Balances_00UTC!$Q361,IF(OR(HLOOKUP($C361,$AW$1:$LL$2,2,FALSE)="",HLOOKUP($C361,$AW$1:$LL$2,2,FALSE)="null"),Summary_Exchange_Balances_00UTC!$Q361,HLOOKUP($C361,$AW$1:$LL$2,2,FALSE))))</f>
        <v>657.48676</v>
      </c>
    </row>
    <row r="362" spans="1:46" x14ac:dyDescent="0.25">
      <c r="A362" t="str">
        <f>IF(Summary_Exchange_Balances_00UTC!$B362="","",Summary_Exchange_Balances_00UTC!$N362)</f>
        <v>FBLK</v>
      </c>
      <c r="B362" t="str">
        <f>IF(Summary_Exchange_Balances_00UTC!$B362="","",Summary_Exchange_Balances_00UTC!$B362)</f>
        <v>FBLK</v>
      </c>
      <c r="C362" t="str">
        <f>IF(Summary_Exchange_Balances_00UTC!$B362="","",Summary_Exchange_Balances_00UTC!$E362)</f>
        <v>OMG</v>
      </c>
      <c r="D362" t="str">
        <f>IF(OR(Summary_Exchange_Balances_00UTC!$B362="",Summary_Exchange_Balances_00UTC!$D362=""),"",Summary_Exchange_Balances_00UTC!$D362)</f>
        <v/>
      </c>
      <c r="E362" s="54">
        <f>IF(Summary_Exchange_Balances_00UTC!$B362="","",Summary_Exchange_Balances_00UTC!$C362)</f>
        <v>106.971</v>
      </c>
      <c r="F362" s="53">
        <f>IF(Summary_Exchange_Balances_00UTC!$B362="","",VLOOKUP(UPPER($A362&amp;$C362),$L:$T,7,FALSE))</f>
        <v>4.7709999999999999</v>
      </c>
      <c r="G362" s="53">
        <f>IF(Summary_Exchange_Balances_00UTC!$B362="","",VLOOKUP(IF(ISERROR(SEARCH(" ", $B362)),UPPER($B362&amp;$C362&amp;$D362),UPPER(LEFT($B362, SEARCH(" ",$B362)-1)&amp;$C362&amp;$D362)),$M:$T,6,FALSE))</f>
        <v>4.7709999999999999</v>
      </c>
      <c r="H362">
        <f>IF(Summary_Exchange_Balances_00UTC!$B362="","",IF(ISERROR($G362),$E362,$G362))</f>
        <v>4.7709999999999999</v>
      </c>
      <c r="I362" s="36">
        <f t="shared" si="15"/>
        <v>-0.95539912686616002</v>
      </c>
      <c r="L362" t="str">
        <f t="shared" si="16"/>
        <v/>
      </c>
      <c r="M362" t="str">
        <f t="shared" si="17"/>
        <v/>
      </c>
      <c r="W362" t="s">
        <v>111</v>
      </c>
      <c r="X362" t="s">
        <v>28</v>
      </c>
      <c r="Y362" s="54">
        <v>-30046.69684552</v>
      </c>
      <c r="Z362">
        <v>0</v>
      </c>
      <c r="AC362"/>
      <c r="AD362"/>
      <c r="AS362" t="str">
        <f>IF(Summary_Exchange_Balances_00UTC!$B362="","","'"&amp;C362&amp;"',")</f>
        <v>'OMG',</v>
      </c>
      <c r="AT362">
        <f>IF(Summary_Exchange_Balances_00UTC!$B362="","",IF(ISERROR(HLOOKUP($C362,$AW$1:$LL$2,2,FALSE)),Summary_Exchange_Balances_00UTC!$Q362,IF(OR(HLOOKUP($C362,$AW$1:$LL$2,2,FALSE)="",HLOOKUP($C362,$AW$1:$LL$2,2,FALSE)="null"),Summary_Exchange_Balances_00UTC!$Q362,HLOOKUP($C362,$AW$1:$LL$2,2,FALSE))))</f>
        <v>1.1276999999999999</v>
      </c>
    </row>
    <row r="363" spans="1:46" x14ac:dyDescent="0.25">
      <c r="A363" t="str">
        <f>IF(Summary_Exchange_Balances_00UTC!$B363="","",Summary_Exchange_Balances_00UTC!$N363)</f>
        <v>FBLK</v>
      </c>
      <c r="B363" t="str">
        <f>IF(Summary_Exchange_Balances_00UTC!$B363="","",Summary_Exchange_Balances_00UTC!$B363)</f>
        <v>FBLK</v>
      </c>
      <c r="C363" t="str">
        <f>IF(Summary_Exchange_Balances_00UTC!$B363="","",Summary_Exchange_Balances_00UTC!$E363)</f>
        <v>OXT</v>
      </c>
      <c r="D363" t="str">
        <f>IF(OR(Summary_Exchange_Balances_00UTC!$B363="",Summary_Exchange_Balances_00UTC!$D363=""),"",Summary_Exchange_Balances_00UTC!$D363)</f>
        <v/>
      </c>
      <c r="E363" s="54">
        <f>IF(Summary_Exchange_Balances_00UTC!$B363="","",Summary_Exchange_Balances_00UTC!$C363)</f>
        <v>24.565999999999999</v>
      </c>
      <c r="F363" s="53">
        <f>IF(Summary_Exchange_Balances_00UTC!$B363="","",VLOOKUP(UPPER($A363&amp;$C363),$L:$T,7,FALSE))</f>
        <v>76.700156329999999</v>
      </c>
      <c r="G363" s="53">
        <f>IF(Summary_Exchange_Balances_00UTC!$B363="","",VLOOKUP(IF(ISERROR(SEARCH(" ", $B363)),UPPER($B363&amp;$C363&amp;$D363),UPPER(LEFT($B363, SEARCH(" ",$B363)-1)&amp;$C363&amp;$D363)),$M:$T,6,FALSE))</f>
        <v>76.700156329999999</v>
      </c>
      <c r="H363">
        <f>IF(Summary_Exchange_Balances_00UTC!$B363="","",IF(ISERROR($G363),$E363,$G363))</f>
        <v>76.700156329999999</v>
      </c>
      <c r="I363" s="36">
        <f t="shared" si="15"/>
        <v>2.1222077802654074</v>
      </c>
      <c r="L363" t="str">
        <f t="shared" si="16"/>
        <v/>
      </c>
      <c r="M363" t="str">
        <f t="shared" si="17"/>
        <v/>
      </c>
      <c r="W363" t="s">
        <v>111</v>
      </c>
      <c r="X363" t="s">
        <v>153</v>
      </c>
      <c r="Y363" s="54">
        <v>-160712.46089824001</v>
      </c>
      <c r="Z363">
        <v>0</v>
      </c>
      <c r="AC363"/>
      <c r="AD363"/>
      <c r="AS363" t="str">
        <f>IF(Summary_Exchange_Balances_00UTC!$B363="","","'"&amp;C363&amp;"',")</f>
        <v>'OXT',</v>
      </c>
      <c r="AT363">
        <f>IF(Summary_Exchange_Balances_00UTC!$B363="","",IF(ISERROR(HLOOKUP($C363,$AW$1:$LL$2,2,FALSE)),Summary_Exchange_Balances_00UTC!$Q363,IF(OR(HLOOKUP($C363,$AW$1:$LL$2,2,FALSE)="",HLOOKUP($C363,$AW$1:$LL$2,2,FALSE)="null"),Summary_Exchange_Balances_00UTC!$Q363,HLOOKUP($C363,$AW$1:$LL$2,2,FALSE))))</f>
        <v>8.09E-2</v>
      </c>
    </row>
    <row r="364" spans="1:46" x14ac:dyDescent="0.25">
      <c r="A364" t="str">
        <f>IF(Summary_Exchange_Balances_00UTC!$B364="","",Summary_Exchange_Balances_00UTC!$N364)</f>
        <v>FBLK</v>
      </c>
      <c r="B364" t="str">
        <f>IF(Summary_Exchange_Balances_00UTC!$B364="","",Summary_Exchange_Balances_00UTC!$B364)</f>
        <v>FBLK</v>
      </c>
      <c r="C364" t="str">
        <f>IF(Summary_Exchange_Balances_00UTC!$B364="","",Summary_Exchange_Balances_00UTC!$E364)</f>
        <v>SHIB</v>
      </c>
      <c r="D364" t="str">
        <f>IF(OR(Summary_Exchange_Balances_00UTC!$B364="",Summary_Exchange_Balances_00UTC!$D364=""),"",Summary_Exchange_Balances_00UTC!$D364)</f>
        <v/>
      </c>
      <c r="E364" s="54">
        <f>IF(Summary_Exchange_Balances_00UTC!$B364="","",Summary_Exchange_Balances_00UTC!$C364)</f>
        <v>664916118.04308903</v>
      </c>
      <c r="F364" s="53" t="e">
        <f>IF(Summary_Exchange_Balances_00UTC!$B364="","",VLOOKUP(UPPER($A364&amp;$C364),$L:$T,7,FALSE))</f>
        <v>#N/A</v>
      </c>
      <c r="G364" s="53" t="e">
        <f>IF(Summary_Exchange_Balances_00UTC!$B364="","",VLOOKUP(IF(ISERROR(SEARCH(" ", $B364)),UPPER($B364&amp;$C364&amp;$D364),UPPER(LEFT($B364, SEARCH(" ",$B364)-1)&amp;$C364&amp;$D364)),$M:$T,6,FALSE))</f>
        <v>#N/A</v>
      </c>
      <c r="H364">
        <f>IF(Summary_Exchange_Balances_00UTC!$B364="","",IF(ISERROR($G364),$E364,$G364))</f>
        <v>664916118.04308903</v>
      </c>
      <c r="I364" s="36" t="e">
        <f t="shared" si="15"/>
        <v>#N/A</v>
      </c>
      <c r="L364" t="str">
        <f t="shared" si="16"/>
        <v/>
      </c>
      <c r="M364" t="str">
        <f t="shared" si="17"/>
        <v/>
      </c>
      <c r="W364" t="s">
        <v>111</v>
      </c>
      <c r="X364" t="s">
        <v>174</v>
      </c>
      <c r="Y364" s="54">
        <v>-4.0319251200000004</v>
      </c>
      <c r="Z364">
        <v>0</v>
      </c>
      <c r="AC364"/>
      <c r="AD364"/>
      <c r="AS364" t="str">
        <f>IF(Summary_Exchange_Balances_00UTC!$B364="","","'"&amp;C364&amp;"',")</f>
        <v>'SHIB',</v>
      </c>
      <c r="AT364">
        <f>IF(Summary_Exchange_Balances_00UTC!$B364="","",IF(ISERROR(HLOOKUP($C364,$AW$1:$LL$2,2,FALSE)),Summary_Exchange_Balances_00UTC!$Q364,IF(OR(HLOOKUP($C364,$AW$1:$LL$2,2,FALSE)="",HLOOKUP($C364,$AW$1:$LL$2,2,FALSE)="null"),Summary_Exchange_Balances_00UTC!$Q364,HLOOKUP($C364,$AW$1:$LL$2,2,FALSE))))</f>
        <v>9.1027119999999996E-6</v>
      </c>
    </row>
    <row r="365" spans="1:46" x14ac:dyDescent="0.25">
      <c r="A365" t="str">
        <f>IF(Summary_Exchange_Balances_00UTC!$B365="","",Summary_Exchange_Balances_00UTC!$N365)</f>
        <v>FBLK</v>
      </c>
      <c r="B365" t="str">
        <f>IF(Summary_Exchange_Balances_00UTC!$B365="","",Summary_Exchange_Balances_00UTC!$B365)</f>
        <v>FBLK</v>
      </c>
      <c r="C365" t="str">
        <f>IF(Summary_Exchange_Balances_00UTC!$B365="","",Summary_Exchange_Balances_00UTC!$E365)</f>
        <v>SOL</v>
      </c>
      <c r="D365" t="str">
        <f>IF(OR(Summary_Exchange_Balances_00UTC!$B365="",Summary_Exchange_Balances_00UTC!$D365=""),"",Summary_Exchange_Balances_00UTC!$D365)</f>
        <v/>
      </c>
      <c r="E365" s="54">
        <f>IF(Summary_Exchange_Balances_00UTC!$B365="","",Summary_Exchange_Balances_00UTC!$C365)</f>
        <v>464.53931548000003</v>
      </c>
      <c r="F365" s="53">
        <f>IF(Summary_Exchange_Balances_00UTC!$B365="","",VLOOKUP(UPPER($A365&amp;$C365),$L:$T,7,FALSE))</f>
        <v>2.8970426800000002</v>
      </c>
      <c r="G365" s="53">
        <f>IF(Summary_Exchange_Balances_00UTC!$B365="","",VLOOKUP(IF(ISERROR(SEARCH(" ", $B365)),UPPER($B365&amp;$C365&amp;$D365),UPPER(LEFT($B365, SEARCH(" ",$B365)-1)&amp;$C365&amp;$D365)),$M:$T,6,FALSE))</f>
        <v>2.8970426800000002</v>
      </c>
      <c r="H365">
        <f>IF(Summary_Exchange_Balances_00UTC!$B365="","",IF(ISERROR($G365),$E365,$G365))</f>
        <v>2.8970426800000002</v>
      </c>
      <c r="I365" s="36">
        <f t="shared" si="15"/>
        <v>-0.99376362218770098</v>
      </c>
      <c r="L365" t="str">
        <f t="shared" si="16"/>
        <v/>
      </c>
      <c r="M365" t="str">
        <f t="shared" si="17"/>
        <v/>
      </c>
      <c r="W365" t="s">
        <v>121</v>
      </c>
      <c r="X365" t="s">
        <v>39</v>
      </c>
      <c r="Y365" s="54">
        <v>-9528648.0788313001</v>
      </c>
      <c r="Z365">
        <v>0</v>
      </c>
      <c r="AC365"/>
      <c r="AD365"/>
      <c r="AS365" t="str">
        <f>IF(Summary_Exchange_Balances_00UTC!$B365="","","'"&amp;C365&amp;"',")</f>
        <v>'SOL',</v>
      </c>
      <c r="AT365">
        <f>IF(Summary_Exchange_Balances_00UTC!$B365="","",IF(ISERROR(HLOOKUP($C365,$AW$1:$LL$2,2,FALSE)),Summary_Exchange_Balances_00UTC!$Q365,IF(OR(HLOOKUP($C365,$AW$1:$LL$2,2,FALSE)="",HLOOKUP($C365,$AW$1:$LL$2,2,FALSE)="null"),Summary_Exchange_Balances_00UTC!$Q365,HLOOKUP($C365,$AW$1:$LL$2,2,FALSE))))</f>
        <v>13.78</v>
      </c>
    </row>
    <row r="366" spans="1:46" x14ac:dyDescent="0.25">
      <c r="A366" t="str">
        <f>IF(Summary_Exchange_Balances_00UTC!$B366="","",Summary_Exchange_Balances_00UTC!$N366)</f>
        <v>FBLK</v>
      </c>
      <c r="B366" t="str">
        <f>IF(Summary_Exchange_Balances_00UTC!$B366="","",Summary_Exchange_Balances_00UTC!$B366)</f>
        <v>FBLK</v>
      </c>
      <c r="C366" t="str">
        <f>IF(Summary_Exchange_Balances_00UTC!$B366="","",Summary_Exchange_Balances_00UTC!$E366)</f>
        <v>SUSHI</v>
      </c>
      <c r="D366" t="str">
        <f>IF(OR(Summary_Exchange_Balances_00UTC!$B366="",Summary_Exchange_Balances_00UTC!$D366=""),"",Summary_Exchange_Balances_00UTC!$D366)</f>
        <v/>
      </c>
      <c r="E366" s="54">
        <f>IF(Summary_Exchange_Balances_00UTC!$B366="","",Summary_Exchange_Balances_00UTC!$C366)</f>
        <v>1600.35402912</v>
      </c>
      <c r="F366" s="53" t="e">
        <f>IF(Summary_Exchange_Balances_00UTC!$B366="","",VLOOKUP(UPPER($A366&amp;$C366),$L:$T,7,FALSE))</f>
        <v>#N/A</v>
      </c>
      <c r="G366" s="53" t="e">
        <f>IF(Summary_Exchange_Balances_00UTC!$B366="","",VLOOKUP(IF(ISERROR(SEARCH(" ", $B366)),UPPER($B366&amp;$C366&amp;$D366),UPPER(LEFT($B366, SEARCH(" ",$B366)-1)&amp;$C366&amp;$D366)),$M:$T,6,FALSE))</f>
        <v>#N/A</v>
      </c>
      <c r="H366">
        <f>IF(Summary_Exchange_Balances_00UTC!$B366="","",IF(ISERROR($G366),$E366,$G366))</f>
        <v>1600.35402912</v>
      </c>
      <c r="I366" s="36" t="e">
        <f t="shared" si="15"/>
        <v>#N/A</v>
      </c>
      <c r="L366" t="str">
        <f t="shared" si="16"/>
        <v/>
      </c>
      <c r="M366" t="str">
        <f t="shared" si="17"/>
        <v/>
      </c>
      <c r="W366" t="s">
        <v>115</v>
      </c>
      <c r="X366" t="s">
        <v>21</v>
      </c>
      <c r="Y366" s="54">
        <v>-29.37</v>
      </c>
      <c r="Z366">
        <v>0</v>
      </c>
      <c r="AC366"/>
      <c r="AD366"/>
      <c r="AS366" t="str">
        <f>IF(Summary_Exchange_Balances_00UTC!$B366="","","'"&amp;C366&amp;"',")</f>
        <v>'SUSHI',</v>
      </c>
      <c r="AT366">
        <f>IF(Summary_Exchange_Balances_00UTC!$B366="","",IF(ISERROR(HLOOKUP($C366,$AW$1:$LL$2,2,FALSE)),Summary_Exchange_Balances_00UTC!$Q366,IF(OR(HLOOKUP($C366,$AW$1:$LL$2,2,FALSE)="",HLOOKUP($C366,$AW$1:$LL$2,2,FALSE)="null"),Summary_Exchange_Balances_00UTC!$Q366,HLOOKUP($C366,$AW$1:$LL$2,2,FALSE))))</f>
        <v>1.248</v>
      </c>
    </row>
    <row r="367" spans="1:46" x14ac:dyDescent="0.25">
      <c r="A367" t="str">
        <f>IF(Summary_Exchange_Balances_00UTC!$B367="","",Summary_Exchange_Balances_00UTC!$N367)</f>
        <v>FBLK</v>
      </c>
      <c r="B367" t="str">
        <f>IF(Summary_Exchange_Balances_00UTC!$B367="","",Summary_Exchange_Balances_00UTC!$B367)</f>
        <v>FBLK</v>
      </c>
      <c r="C367" t="str">
        <f>IF(Summary_Exchange_Balances_00UTC!$B367="","",Summary_Exchange_Balances_00UTC!$E367)</f>
        <v>UNI</v>
      </c>
      <c r="D367" t="str">
        <f>IF(OR(Summary_Exchange_Balances_00UTC!$B367="",Summary_Exchange_Balances_00UTC!$D367=""),"",Summary_Exchange_Balances_00UTC!$D367)</f>
        <v/>
      </c>
      <c r="E367" s="54">
        <f>IF(Summary_Exchange_Balances_00UTC!$B367="","",Summary_Exchange_Balances_00UTC!$C367)</f>
        <v>733.96397166999998</v>
      </c>
      <c r="F367" s="53">
        <f>IF(Summary_Exchange_Balances_00UTC!$B367="","",VLOOKUP(UPPER($A367&amp;$C367),$L:$T,7,FALSE))</f>
        <v>0.82786806999999996</v>
      </c>
      <c r="G367" s="53">
        <f>IF(Summary_Exchange_Balances_00UTC!$B367="","",VLOOKUP(IF(ISERROR(SEARCH(" ", $B367)),UPPER($B367&amp;$C367&amp;$D367),UPPER(LEFT($B367, SEARCH(" ",$B367)-1)&amp;$C367&amp;$D367)),$M:$T,6,FALSE))</f>
        <v>0.82786806999999996</v>
      </c>
      <c r="H367">
        <f>IF(Summary_Exchange_Balances_00UTC!$B367="","",IF(ISERROR($G367),$E367,$G367))</f>
        <v>0.82786806999999996</v>
      </c>
      <c r="I367" s="36">
        <f t="shared" si="15"/>
        <v>-0.99887205898115627</v>
      </c>
      <c r="L367" t="str">
        <f t="shared" si="16"/>
        <v/>
      </c>
      <c r="M367" t="str">
        <f t="shared" si="17"/>
        <v/>
      </c>
      <c r="W367" t="s">
        <v>115</v>
      </c>
      <c r="X367" t="s">
        <v>116</v>
      </c>
      <c r="Y367" s="54">
        <v>-546.37</v>
      </c>
      <c r="Z367">
        <v>0</v>
      </c>
      <c r="AC367"/>
      <c r="AD367"/>
      <c r="AS367" t="str">
        <f>IF(Summary_Exchange_Balances_00UTC!$B367="","","'"&amp;C367&amp;"',")</f>
        <v>'UNI',</v>
      </c>
      <c r="AT367">
        <f>IF(Summary_Exchange_Balances_00UTC!$B367="","",IF(ISERROR(HLOOKUP($C367,$AW$1:$LL$2,2,FALSE)),Summary_Exchange_Balances_00UTC!$Q367,IF(OR(HLOOKUP($C367,$AW$1:$LL$2,2,FALSE)="",HLOOKUP($C367,$AW$1:$LL$2,2,FALSE)="null"),Summary_Exchange_Balances_00UTC!$Q367,HLOOKUP($C367,$AW$1:$LL$2,2,FALSE))))</f>
        <v>5.7869999999999999</v>
      </c>
    </row>
    <row r="368" spans="1:46" x14ac:dyDescent="0.25">
      <c r="A368" t="str">
        <f>IF(Summary_Exchange_Balances_00UTC!$B368="","",Summary_Exchange_Balances_00UTC!$N368)</f>
        <v>FBLK</v>
      </c>
      <c r="B368" t="str">
        <f>IF(Summary_Exchange_Balances_00UTC!$B368="","",Summary_Exchange_Balances_00UTC!$B368)</f>
        <v>FBLK</v>
      </c>
      <c r="C368" t="str">
        <f>IF(Summary_Exchange_Balances_00UTC!$B368="","",Summary_Exchange_Balances_00UTC!$E368)</f>
        <v>USDC</v>
      </c>
      <c r="D368" t="str">
        <f>IF(OR(Summary_Exchange_Balances_00UTC!$B368="",Summary_Exchange_Balances_00UTC!$D368=""),"",Summary_Exchange_Balances_00UTC!$D368)</f>
        <v/>
      </c>
      <c r="E368" s="53">
        <f>IF(Summary_Exchange_Balances_00UTC!$B368="","",Summary_Exchange_Balances_00UTC!$C368)</f>
        <v>28895.690009999998</v>
      </c>
      <c r="F368" s="53">
        <f>IF(Summary_Exchange_Balances_00UTC!$B368="","",VLOOKUP(UPPER($A368&amp;$C368),$L:$T,7,FALSE))</f>
        <v>4380579.9452900002</v>
      </c>
      <c r="G368" s="53">
        <f>IF(Summary_Exchange_Balances_00UTC!$B368="","",VLOOKUP(IF(ISERROR(SEARCH(" ", $B368)),UPPER($B368&amp;$C368&amp;$D368),UPPER(LEFT($B368, SEARCH(" ",$B368)-1)&amp;$C368&amp;$D368)),$M:$T,6,FALSE))</f>
        <v>4380579.9452900002</v>
      </c>
      <c r="H368">
        <f>IF(Summary_Exchange_Balances_00UTC!$B368="","",IF(ISERROR($G368),$E368,$G368))</f>
        <v>4380579.9452900002</v>
      </c>
      <c r="I368" s="36">
        <f t="shared" si="15"/>
        <v>150.59976950797861</v>
      </c>
      <c r="L368" t="str">
        <f t="shared" si="16"/>
        <v/>
      </c>
      <c r="M368" t="str">
        <f t="shared" si="17"/>
        <v/>
      </c>
      <c r="W368" t="s">
        <v>115</v>
      </c>
      <c r="X368" t="s">
        <v>24</v>
      </c>
      <c r="Y368" s="53">
        <v>-457203</v>
      </c>
      <c r="Z368">
        <v>0</v>
      </c>
      <c r="AC368"/>
      <c r="AD368"/>
      <c r="AS368" t="str">
        <f>IF(Summary_Exchange_Balances_00UTC!$B368="","","'"&amp;C368&amp;"',")</f>
        <v>'USDC',</v>
      </c>
      <c r="AT368">
        <f>IF(Summary_Exchange_Balances_00UTC!$B368="","",IF(ISERROR(HLOOKUP($C368,$AW$1:$LL$2,2,FALSE)),Summary_Exchange_Balances_00UTC!$Q368,IF(OR(HLOOKUP($C368,$AW$1:$LL$2,2,FALSE)="",HLOOKUP($C368,$AW$1:$LL$2,2,FALSE)="null"),Summary_Exchange_Balances_00UTC!$Q368,HLOOKUP($C368,$AW$1:$LL$2,2,FALSE))))</f>
        <v>0.9999795253044349</v>
      </c>
    </row>
    <row r="369" spans="1:46" x14ac:dyDescent="0.25">
      <c r="A369" t="str">
        <f>IF(Summary_Exchange_Balances_00UTC!$B369="","",Summary_Exchange_Balances_00UTC!$N369)</f>
        <v>FBLK</v>
      </c>
      <c r="B369" t="str">
        <f>IF(Summary_Exchange_Balances_00UTC!$B369="","",Summary_Exchange_Balances_00UTC!$B369)</f>
        <v>FBLK</v>
      </c>
      <c r="C369" t="str">
        <f>IF(Summary_Exchange_Balances_00UTC!$B369="","",Summary_Exchange_Balances_00UTC!$E369)</f>
        <v>USDT</v>
      </c>
      <c r="D369" t="str">
        <f>IF(OR(Summary_Exchange_Balances_00UTC!$B369="",Summary_Exchange_Balances_00UTC!$D369=""),"",Summary_Exchange_Balances_00UTC!$D369)</f>
        <v/>
      </c>
      <c r="E369" s="54">
        <f>IF(Summary_Exchange_Balances_00UTC!$B369="","",Summary_Exchange_Balances_00UTC!$C369)</f>
        <v>4892269.848123</v>
      </c>
      <c r="F369" s="53" t="e">
        <f>IF(Summary_Exchange_Balances_00UTC!$B369="","",VLOOKUP(UPPER($A369&amp;$C369),$L:$T,7,FALSE))</f>
        <v>#N/A</v>
      </c>
      <c r="G369" s="53" t="e">
        <f>IF(Summary_Exchange_Balances_00UTC!$B369="","",VLOOKUP(IF(ISERROR(SEARCH(" ", $B369)),UPPER($B369&amp;$C369&amp;$D369),UPPER(LEFT($B369, SEARCH(" ",$B369)-1)&amp;$C369&amp;$D369)),$M:$T,6,FALSE))</f>
        <v>#N/A</v>
      </c>
      <c r="H369">
        <f>IF(Summary_Exchange_Balances_00UTC!$B369="","",IF(ISERROR($G369),$E369,$G369))</f>
        <v>4892269.848123</v>
      </c>
      <c r="I369" s="36" t="e">
        <f t="shared" si="15"/>
        <v>#N/A</v>
      </c>
      <c r="L369" t="str">
        <f t="shared" si="16"/>
        <v/>
      </c>
      <c r="M369" t="str">
        <f t="shared" si="17"/>
        <v/>
      </c>
      <c r="W369" t="s">
        <v>115</v>
      </c>
      <c r="X369" t="s">
        <v>16</v>
      </c>
      <c r="Y369" s="54">
        <v>-1466.27</v>
      </c>
      <c r="Z369">
        <v>0</v>
      </c>
      <c r="AC369"/>
      <c r="AD369"/>
      <c r="AS369" t="str">
        <f>IF(Summary_Exchange_Balances_00UTC!$B369="","","'"&amp;C369&amp;"',")</f>
        <v>'USDT',</v>
      </c>
      <c r="AT369">
        <f>IF(Summary_Exchange_Balances_00UTC!$B369="","",IF(ISERROR(HLOOKUP($C369,$AW$1:$LL$2,2,FALSE)),Summary_Exchange_Balances_00UTC!$Q369,IF(OR(HLOOKUP($C369,$AW$1:$LL$2,2,FALSE)="",HLOOKUP($C369,$AW$1:$LL$2,2,FALSE)="null"),Summary_Exchange_Balances_00UTC!$Q369,HLOOKUP($C369,$AW$1:$LL$2,2,FALSE))))</f>
        <v>1.0001054103245364</v>
      </c>
    </row>
    <row r="370" spans="1:46" x14ac:dyDescent="0.25">
      <c r="A370" t="str">
        <f>IF(Summary_Exchange_Balances_00UTC!$B370="","",Summary_Exchange_Balances_00UTC!$N370)</f>
        <v>FBLK</v>
      </c>
      <c r="B370" t="str">
        <f>IF(Summary_Exchange_Balances_00UTC!$B370="","",Summary_Exchange_Balances_00UTC!$B370)</f>
        <v>FBLK</v>
      </c>
      <c r="C370" t="str">
        <f>IF(Summary_Exchange_Balances_00UTC!$B370="","",Summary_Exchange_Balances_00UTC!$E370)</f>
        <v>XLM</v>
      </c>
      <c r="D370" t="str">
        <f>IF(OR(Summary_Exchange_Balances_00UTC!$B370="",Summary_Exchange_Balances_00UTC!$D370=""),"",Summary_Exchange_Balances_00UTC!$D370)</f>
        <v/>
      </c>
      <c r="E370" s="54">
        <f>IF(Summary_Exchange_Balances_00UTC!$B370="","",Summary_Exchange_Balances_00UTC!$C370)</f>
        <v>5546.1452737</v>
      </c>
      <c r="F370" s="53">
        <f>IF(Summary_Exchange_Balances_00UTC!$B370="","",VLOOKUP(UPPER($A370&amp;$C370),$L:$T,7,FALSE))</f>
        <v>4.0349905000000001</v>
      </c>
      <c r="G370" s="53">
        <f>IF(Summary_Exchange_Balances_00UTC!$B370="","",VLOOKUP(IF(ISERROR(SEARCH(" ", $B370)),UPPER($B370&amp;$C370&amp;$D370),UPPER(LEFT($B370, SEARCH(" ",$B370)-1)&amp;$C370&amp;$D370)),$M:$T,6,FALSE))</f>
        <v>4.0349905000000001</v>
      </c>
      <c r="H370">
        <f>IF(Summary_Exchange_Balances_00UTC!$B370="","",IF(ISERROR($G370),$E370,$G370))</f>
        <v>4.0349905000000001</v>
      </c>
      <c r="I370" s="36">
        <f t="shared" si="15"/>
        <v>-0.9992724693817282</v>
      </c>
      <c r="L370" t="str">
        <f t="shared" si="16"/>
        <v/>
      </c>
      <c r="M370" t="str">
        <f t="shared" si="17"/>
        <v/>
      </c>
      <c r="W370" t="s">
        <v>115</v>
      </c>
      <c r="X370" t="s">
        <v>28</v>
      </c>
      <c r="Y370" s="54">
        <v>-2073</v>
      </c>
      <c r="Z370">
        <v>0</v>
      </c>
      <c r="AC370"/>
      <c r="AD370"/>
      <c r="AS370" t="str">
        <f>IF(Summary_Exchange_Balances_00UTC!$B370="","","'"&amp;C370&amp;"',")</f>
        <v>'XLM',</v>
      </c>
      <c r="AT370">
        <f>IF(Summary_Exchange_Balances_00UTC!$B370="","",IF(ISERROR(HLOOKUP($C370,$AW$1:$LL$2,2,FALSE)),Summary_Exchange_Balances_00UTC!$Q370,IF(OR(HLOOKUP($C370,$AW$1:$LL$2,2,FALSE)="",HLOOKUP($C370,$AW$1:$LL$2,2,FALSE)="null"),Summary_Exchange_Balances_00UTC!$Q370,HLOOKUP($C370,$AW$1:$LL$2,2,FALSE))))</f>
        <v>9.0786800000000001E-2</v>
      </c>
    </row>
    <row r="371" spans="1:46" x14ac:dyDescent="0.25">
      <c r="A371" t="str">
        <f>IF(Summary_Exchange_Balances_00UTC!$B371="","",Summary_Exchange_Balances_00UTC!$N371)</f>
        <v>FBLK</v>
      </c>
      <c r="B371" t="str">
        <f>IF(Summary_Exchange_Balances_00UTC!$B371="","",Summary_Exchange_Balances_00UTC!$B371)</f>
        <v>FBLK</v>
      </c>
      <c r="C371" t="str">
        <f>IF(Summary_Exchange_Balances_00UTC!$B371="","",Summary_Exchange_Balances_00UTC!$E371)</f>
        <v>XRP</v>
      </c>
      <c r="D371" t="str">
        <f>IF(OR(Summary_Exchange_Balances_00UTC!$B371="",Summary_Exchange_Balances_00UTC!$D371=""),"",Summary_Exchange_Balances_00UTC!$D371)</f>
        <v/>
      </c>
      <c r="E371" s="54">
        <f>IF(Summary_Exchange_Balances_00UTC!$B371="","",Summary_Exchange_Balances_00UTC!$C371)</f>
        <v>313.68986200000001</v>
      </c>
      <c r="F371" s="53">
        <f>IF(Summary_Exchange_Balances_00UTC!$B371="","",VLOOKUP(UPPER($A371&amp;$C371),$L:$T,7,FALSE))</f>
        <v>313.68989199999999</v>
      </c>
      <c r="G371" s="53">
        <f>IF(Summary_Exchange_Balances_00UTC!$B371="","",VLOOKUP(IF(ISERROR(SEARCH(" ", $B371)),UPPER($B371&amp;$C371&amp;$D371),UPPER(LEFT($B371, SEARCH(" ",$B371)-1)&amp;$C371&amp;$D371)),$M:$T,6,FALSE))</f>
        <v>313.68989199999999</v>
      </c>
      <c r="H371">
        <f>IF(Summary_Exchange_Balances_00UTC!$B371="","",IF(ISERROR($G371),$E371,$G371))</f>
        <v>313.68989199999999</v>
      </c>
      <c r="I371" s="36">
        <f t="shared" si="15"/>
        <v>9.5635860814337375E-8</v>
      </c>
      <c r="L371" t="str">
        <f t="shared" si="16"/>
        <v/>
      </c>
      <c r="M371" t="str">
        <f t="shared" si="17"/>
        <v/>
      </c>
      <c r="W371" t="s">
        <v>115</v>
      </c>
      <c r="X371" t="s">
        <v>25</v>
      </c>
      <c r="Y371" s="54">
        <v>-5500</v>
      </c>
      <c r="Z371">
        <v>0</v>
      </c>
      <c r="AC371"/>
      <c r="AD371"/>
      <c r="AS371" t="str">
        <f>IF(Summary_Exchange_Balances_00UTC!$B371="","","'"&amp;C371&amp;"',")</f>
        <v>'XRP',</v>
      </c>
      <c r="AT371">
        <f>IF(Summary_Exchange_Balances_00UTC!$B371="","",IF(ISERROR(HLOOKUP($C371,$AW$1:$LL$2,2,FALSE)),Summary_Exchange_Balances_00UTC!$Q371,IF(OR(HLOOKUP($C371,$AW$1:$LL$2,2,FALSE)="",HLOOKUP($C371,$AW$1:$LL$2,2,FALSE)="null"),Summary_Exchange_Balances_00UTC!$Q371,HLOOKUP($C371,$AW$1:$LL$2,2,FALSE))))</f>
        <v>0.38471588000000001</v>
      </c>
    </row>
    <row r="372" spans="1:46" x14ac:dyDescent="0.25">
      <c r="A372" t="str">
        <f>IF(Summary_Exchange_Balances_00UTC!$B372="","",Summary_Exchange_Balances_00UTC!$N372)</f>
        <v>FBLK</v>
      </c>
      <c r="B372" t="str">
        <f>IF(Summary_Exchange_Balances_00UTC!$B372="","",Summary_Exchange_Balances_00UTC!$B372)</f>
        <v>FBLK</v>
      </c>
      <c r="C372" t="str">
        <f>IF(Summary_Exchange_Balances_00UTC!$B372="","",Summary_Exchange_Balances_00UTC!$E372)</f>
        <v>XTZ</v>
      </c>
      <c r="D372" t="str">
        <f>IF(OR(Summary_Exchange_Balances_00UTC!$B372="",Summary_Exchange_Balances_00UTC!$D372=""),"",Summary_Exchange_Balances_00UTC!$D372)</f>
        <v/>
      </c>
      <c r="E372" s="54">
        <f>IF(Summary_Exchange_Balances_00UTC!$B372="","",Summary_Exchange_Balances_00UTC!$C372)</f>
        <v>74.496399999999994</v>
      </c>
      <c r="F372" s="53" t="e">
        <f>IF(Summary_Exchange_Balances_00UTC!$B372="","",VLOOKUP(UPPER($A372&amp;$C372),$L:$T,7,FALSE))</f>
        <v>#N/A</v>
      </c>
      <c r="G372" s="53" t="e">
        <f>IF(Summary_Exchange_Balances_00UTC!$B372="","",VLOOKUP(IF(ISERROR(SEARCH(" ", $B372)),UPPER($B372&amp;$C372&amp;$D372),UPPER(LEFT($B372, SEARCH(" ",$B372)-1)&amp;$C372&amp;$D372)),$M:$T,6,FALSE))</f>
        <v>#N/A</v>
      </c>
      <c r="H372">
        <f>IF(Summary_Exchange_Balances_00UTC!$B372="","",IF(ISERROR($G372),$E372,$G372))</f>
        <v>74.496399999999994</v>
      </c>
      <c r="I372" s="36" t="e">
        <f t="shared" si="15"/>
        <v>#N/A</v>
      </c>
      <c r="L372" t="str">
        <f t="shared" si="16"/>
        <v/>
      </c>
      <c r="M372" t="str">
        <f t="shared" si="17"/>
        <v/>
      </c>
      <c r="W372" t="s">
        <v>115</v>
      </c>
      <c r="X372" t="s">
        <v>39</v>
      </c>
      <c r="Y372" s="54">
        <v>-8415239.2631500997</v>
      </c>
      <c r="Z372">
        <v>0</v>
      </c>
      <c r="AC372"/>
      <c r="AD372"/>
      <c r="AS372" t="str">
        <f>IF(Summary_Exchange_Balances_00UTC!$B372="","","'"&amp;C372&amp;"',")</f>
        <v>'XTZ',</v>
      </c>
      <c r="AT372">
        <f>IF(Summary_Exchange_Balances_00UTC!$B372="","",IF(ISERROR(HLOOKUP($C372,$AW$1:$LL$2,2,FALSE)),Summary_Exchange_Balances_00UTC!$Q372,IF(OR(HLOOKUP($C372,$AW$1:$LL$2,2,FALSE)="",HLOOKUP($C372,$AW$1:$LL$2,2,FALSE)="null"),Summary_Exchange_Balances_00UTC!$Q372,HLOOKUP($C372,$AW$1:$LL$2,2,FALSE))))</f>
        <v>0.98099999999999998</v>
      </c>
    </row>
    <row r="373" spans="1:46" x14ac:dyDescent="0.25">
      <c r="A373" t="str">
        <f>IF(Summary_Exchange_Balances_00UTC!$B373="","",Summary_Exchange_Balances_00UTC!$N373)</f>
        <v>FBLK</v>
      </c>
      <c r="B373" t="str">
        <f>IF(Summary_Exchange_Balances_00UTC!$B373="","",Summary_Exchange_Balances_00UTC!$B373)</f>
        <v>FBLK</v>
      </c>
      <c r="C373" t="str">
        <f>IF(Summary_Exchange_Balances_00UTC!$B373="","",Summary_Exchange_Balances_00UTC!$E373)</f>
        <v>YFI</v>
      </c>
      <c r="D373" t="str">
        <f>IF(OR(Summary_Exchange_Balances_00UTC!$B373="",Summary_Exchange_Balances_00UTC!$D373=""),"",Summary_Exchange_Balances_00UTC!$D373)</f>
        <v/>
      </c>
      <c r="E373" s="54">
        <f>IF(Summary_Exchange_Balances_00UTC!$B373="","",Summary_Exchange_Balances_00UTC!$C373)</f>
        <v>1.9935830000000002E-2</v>
      </c>
      <c r="F373" s="53">
        <f>IF(Summary_Exchange_Balances_00UTC!$B373="","",VLOOKUP(UPPER($A373&amp;$C373),$L:$T,7,FALSE))</f>
        <v>7.0684900000000002E-3</v>
      </c>
      <c r="G373" s="53">
        <f>IF(Summary_Exchange_Balances_00UTC!$B373="","",VLOOKUP(IF(ISERROR(SEARCH(" ", $B373)),UPPER($B373&amp;$C373&amp;$D373),UPPER(LEFT($B373, SEARCH(" ",$B373)-1)&amp;$C373&amp;$D373)),$M:$T,6,FALSE))</f>
        <v>7.0684900000000002E-3</v>
      </c>
      <c r="H373">
        <f>IF(Summary_Exchange_Balances_00UTC!$B373="","",IF(ISERROR($G373),$E373,$G373))</f>
        <v>7.0684900000000002E-3</v>
      </c>
      <c r="I373" s="36">
        <f t="shared" si="15"/>
        <v>-0.64543788746192154</v>
      </c>
      <c r="L373" t="str">
        <f t="shared" si="16"/>
        <v/>
      </c>
      <c r="M373" t="str">
        <f t="shared" si="17"/>
        <v/>
      </c>
      <c r="Y373" s="54"/>
      <c r="AC373"/>
      <c r="AD373"/>
      <c r="AS373" t="str">
        <f>IF(Summary_Exchange_Balances_00UTC!$B373="","","'"&amp;C373&amp;"',")</f>
        <v>'YFI',</v>
      </c>
      <c r="AT373">
        <f>IF(Summary_Exchange_Balances_00UTC!$B373="","",IF(ISERROR(HLOOKUP($C373,$AW$1:$LL$2,2,FALSE)),Summary_Exchange_Balances_00UTC!$Q373,IF(OR(HLOOKUP($C373,$AW$1:$LL$2,2,FALSE)="",HLOOKUP($C373,$AW$1:$LL$2,2,FALSE)="null"),Summary_Exchange_Balances_00UTC!$Q373,HLOOKUP($C373,$AW$1:$LL$2,2,FALSE))))</f>
        <v>6065.0834999999997</v>
      </c>
    </row>
    <row r="374" spans="1:46" x14ac:dyDescent="0.25">
      <c r="A374" t="str">
        <f>IF(Summary_Exchange_Balances_00UTC!$B374="","",Summary_Exchange_Balances_00UTC!$N374)</f>
        <v>BINE</v>
      </c>
      <c r="B374" t="str">
        <f>IF(Summary_Exchange_Balances_00UTC!$B374="","",Summary_Exchange_Balances_00UTC!$B374)</f>
        <v>BINE-2-S1-M Margin Loan</v>
      </c>
      <c r="C374" t="str">
        <f>IF(Summary_Exchange_Balances_00UTC!$B374="","",Summary_Exchange_Balances_00UTC!$E374)</f>
        <v>AAVE</v>
      </c>
      <c r="D374" t="str">
        <f>IF(OR(Summary_Exchange_Balances_00UTC!$B374="",Summary_Exchange_Balances_00UTC!$D374=""),"",Summary_Exchange_Balances_00UTC!$D374)</f>
        <v/>
      </c>
      <c r="E374" s="54">
        <f>IF(Summary_Exchange_Balances_00UTC!$B374="","",Summary_Exchange_Balances_00UTC!$C374)</f>
        <v>-600</v>
      </c>
      <c r="F374" s="53">
        <f>IF(Summary_Exchange_Balances_00UTC!$B374="","",VLOOKUP(UPPER($A374&amp;$C374),$L:$T,7,FALSE))</f>
        <v>192.07893852000001</v>
      </c>
      <c r="G374" s="53" t="e">
        <f>IF(Summary_Exchange_Balances_00UTC!$B374="","",VLOOKUP(IF(ISERROR(SEARCH(" ", $B374)),UPPER($B374&amp;$C374&amp;$D374),UPPER(LEFT($B374, SEARCH(" ",$B374)-1)&amp;$C374&amp;$D374)),$M:$T,6,FALSE))</f>
        <v>#N/A</v>
      </c>
      <c r="H374">
        <f>IF(Summary_Exchange_Balances_00UTC!$B374="","",IF(ISERROR($G374),$E374,$G374))</f>
        <v>-600</v>
      </c>
      <c r="I374" s="36" t="e">
        <f t="shared" si="15"/>
        <v>#N/A</v>
      </c>
      <c r="L374" t="str">
        <f t="shared" si="16"/>
        <v/>
      </c>
      <c r="M374" t="str">
        <f t="shared" si="17"/>
        <v/>
      </c>
      <c r="Y374" s="54"/>
      <c r="AC374"/>
      <c r="AD374"/>
      <c r="AS374" t="str">
        <f>IF(Summary_Exchange_Balances_00UTC!$B374="","","'"&amp;C374&amp;"',")</f>
        <v>'AAVE',</v>
      </c>
      <c r="AT374">
        <f>IF(Summary_Exchange_Balances_00UTC!$B374="","",IF(ISERROR(HLOOKUP($C374,$AW$1:$LL$2,2,FALSE)),Summary_Exchange_Balances_00UTC!$Q374,IF(OR(HLOOKUP($C374,$AW$1:$LL$2,2,FALSE)="",HLOOKUP($C374,$AW$1:$LL$2,2,FALSE)="null"),Summary_Exchange_Balances_00UTC!$Q374,HLOOKUP($C374,$AW$1:$LL$2,2,FALSE))))</f>
        <v>59.23</v>
      </c>
    </row>
    <row r="375" spans="1:46" x14ac:dyDescent="0.25">
      <c r="A375" t="str">
        <f>IF(Summary_Exchange_Balances_00UTC!$B375="","",Summary_Exchange_Balances_00UTC!$N375)</f>
        <v>BINE</v>
      </c>
      <c r="B375" t="str">
        <f>IF(Summary_Exchange_Balances_00UTC!$B375="","",Summary_Exchange_Balances_00UTC!$B375)</f>
        <v>BINE-2-S1-M Margin Loan</v>
      </c>
      <c r="C375" t="str">
        <f>IF(Summary_Exchange_Balances_00UTC!$B375="","",Summary_Exchange_Balances_00UTC!$E375)</f>
        <v>ADA</v>
      </c>
      <c r="D375" t="str">
        <f>IF(OR(Summary_Exchange_Balances_00UTC!$B375="",Summary_Exchange_Balances_00UTC!$D375=""),"",Summary_Exchange_Balances_00UTC!$D375)</f>
        <v/>
      </c>
      <c r="E375" s="54">
        <f>IF(Summary_Exchange_Balances_00UTC!$B375="","",Summary_Exchange_Balances_00UTC!$C375)</f>
        <v>-300000</v>
      </c>
      <c r="F375" s="53">
        <f>IF(Summary_Exchange_Balances_00UTC!$B375="","",VLOOKUP(UPPER($A375&amp;$C375),$L:$T,7,FALSE))</f>
        <v>27311.975235000002</v>
      </c>
      <c r="G375" s="53" t="e">
        <f>IF(Summary_Exchange_Balances_00UTC!$B375="","",VLOOKUP(IF(ISERROR(SEARCH(" ", $B375)),UPPER($B375&amp;$C375&amp;$D375),UPPER(LEFT($B375, SEARCH(" ",$B375)-1)&amp;$C375&amp;$D375)),$M:$T,6,FALSE))</f>
        <v>#N/A</v>
      </c>
      <c r="H375">
        <f>IF(Summary_Exchange_Balances_00UTC!$B375="","",IF(ISERROR($G375),$E375,$G375))</f>
        <v>-300000</v>
      </c>
      <c r="I375" s="36" t="e">
        <f t="shared" si="15"/>
        <v>#N/A</v>
      </c>
      <c r="L375" t="str">
        <f t="shared" si="16"/>
        <v/>
      </c>
      <c r="M375" t="str">
        <f t="shared" si="17"/>
        <v/>
      </c>
      <c r="Y375" s="54"/>
      <c r="AC375"/>
      <c r="AD375"/>
      <c r="AS375" t="str">
        <f>IF(Summary_Exchange_Balances_00UTC!$B375="","","'"&amp;C375&amp;"',")</f>
        <v>'ADA',</v>
      </c>
      <c r="AT375">
        <f>IF(Summary_Exchange_Balances_00UTC!$B375="","",IF(ISERROR(HLOOKUP($C375,$AW$1:$LL$2,2,FALSE)),Summary_Exchange_Balances_00UTC!$Q375,IF(OR(HLOOKUP($C375,$AW$1:$LL$2,2,FALSE)="",HLOOKUP($C375,$AW$1:$LL$2,2,FALSE)="null"),Summary_Exchange_Balances_00UTC!$Q375,HLOOKUP($C375,$AW$1:$LL$2,2,FALSE))))</f>
        <v>0.32653653999999999</v>
      </c>
    </row>
    <row r="376" spans="1:46" x14ac:dyDescent="0.25">
      <c r="A376" t="str">
        <f>IF(Summary_Exchange_Balances_00UTC!$B376="","",Summary_Exchange_Balances_00UTC!$N376)</f>
        <v>BINE</v>
      </c>
      <c r="B376" t="str">
        <f>IF(Summary_Exchange_Balances_00UTC!$B376="","",Summary_Exchange_Balances_00UTC!$B376)</f>
        <v>BINE-2-S1-M Margin Loan</v>
      </c>
      <c r="C376" t="str">
        <f>IF(Summary_Exchange_Balances_00UTC!$B376="","",Summary_Exchange_Balances_00UTC!$E376)</f>
        <v>ALGO</v>
      </c>
      <c r="D376" t="str">
        <f>IF(OR(Summary_Exchange_Balances_00UTC!$B376="",Summary_Exchange_Balances_00UTC!$D376=""),"",Summary_Exchange_Balances_00UTC!$D376)</f>
        <v/>
      </c>
      <c r="E376" s="54">
        <f>IF(Summary_Exchange_Balances_00UTC!$B376="","",Summary_Exchange_Balances_00UTC!$C376)</f>
        <v>-140000</v>
      </c>
      <c r="F376" s="53">
        <f>IF(Summary_Exchange_Balances_00UTC!$B376="","",VLOOKUP(UPPER($A376&amp;$C376),$L:$T,7,FALSE))</f>
        <v>25.399726000000001</v>
      </c>
      <c r="G376" s="53" t="e">
        <f>IF(Summary_Exchange_Balances_00UTC!$B376="","",VLOOKUP(IF(ISERROR(SEARCH(" ", $B376)),UPPER($B376&amp;$C376&amp;$D376),UPPER(LEFT($B376, SEARCH(" ",$B376)-1)&amp;$C376&amp;$D376)),$M:$T,6,FALSE))</f>
        <v>#N/A</v>
      </c>
      <c r="H376">
        <f>IF(Summary_Exchange_Balances_00UTC!$B376="","",IF(ISERROR($G376),$E376,$G376))</f>
        <v>-140000</v>
      </c>
      <c r="I376" s="36" t="e">
        <f t="shared" si="15"/>
        <v>#N/A</v>
      </c>
      <c r="L376" t="str">
        <f t="shared" si="16"/>
        <v/>
      </c>
      <c r="M376" t="str">
        <f t="shared" si="17"/>
        <v/>
      </c>
      <c r="Y376" s="54"/>
      <c r="AC376"/>
      <c r="AD376"/>
      <c r="AS376" t="str">
        <f>IF(Summary_Exchange_Balances_00UTC!$B376="","","'"&amp;C376&amp;"',")</f>
        <v>'ALGO',</v>
      </c>
      <c r="AT376">
        <f>IF(Summary_Exchange_Balances_00UTC!$B376="","",IF(ISERROR(HLOOKUP($C376,$AW$1:$LL$2,2,FALSE)),Summary_Exchange_Balances_00UTC!$Q376,IF(OR(HLOOKUP($C376,$AW$1:$LL$2,2,FALSE)="",HLOOKUP($C376,$AW$1:$LL$2,2,FALSE)="null"),Summary_Exchange_Balances_00UTC!$Q376,HLOOKUP($C376,$AW$1:$LL$2,2,FALSE))))</f>
        <v>0.26910000000000001</v>
      </c>
    </row>
    <row r="377" spans="1:46" x14ac:dyDescent="0.25">
      <c r="A377" t="str">
        <f>IF(Summary_Exchange_Balances_00UTC!$B377="","",Summary_Exchange_Balances_00UTC!$N377)</f>
        <v>BINE</v>
      </c>
      <c r="B377" t="str">
        <f>IF(Summary_Exchange_Balances_00UTC!$B377="","",Summary_Exchange_Balances_00UTC!$B377)</f>
        <v>BINE-2-S1-M Margin Loan</v>
      </c>
      <c r="C377" t="str">
        <f>IF(Summary_Exchange_Balances_00UTC!$B377="","",Summary_Exchange_Balances_00UTC!$E377)</f>
        <v>AVAX</v>
      </c>
      <c r="D377" t="str">
        <f>IF(OR(Summary_Exchange_Balances_00UTC!$B377="",Summary_Exchange_Balances_00UTC!$D377=""),"",Summary_Exchange_Balances_00UTC!$D377)</f>
        <v/>
      </c>
      <c r="E377" s="54">
        <f>IF(Summary_Exchange_Balances_00UTC!$B377="","",Summary_Exchange_Balances_00UTC!$C377)</f>
        <v>-3000</v>
      </c>
      <c r="F377" s="53">
        <f>IF(Summary_Exchange_Balances_00UTC!$B377="","",VLOOKUP(UPPER($A377&amp;$C377),$L:$T,7,FALSE))</f>
        <v>561.12659170999996</v>
      </c>
      <c r="G377" s="53" t="e">
        <f>IF(Summary_Exchange_Balances_00UTC!$B377="","",VLOOKUP(IF(ISERROR(SEARCH(" ", $B377)),UPPER($B377&amp;$C377&amp;$D377),UPPER(LEFT($B377, SEARCH(" ",$B377)-1)&amp;$C377&amp;$D377)),$M:$T,6,FALSE))</f>
        <v>#N/A</v>
      </c>
      <c r="H377">
        <f>IF(Summary_Exchange_Balances_00UTC!$B377="","",IF(ISERROR($G377),$E377,$G377))</f>
        <v>-3000</v>
      </c>
      <c r="I377" s="36" t="e">
        <f t="shared" si="15"/>
        <v>#N/A</v>
      </c>
      <c r="L377" t="str">
        <f t="shared" si="16"/>
        <v/>
      </c>
      <c r="M377" t="str">
        <f t="shared" si="17"/>
        <v/>
      </c>
      <c r="Y377" s="54"/>
      <c r="AC377"/>
      <c r="AD377"/>
      <c r="AS377" t="str">
        <f>IF(Summary_Exchange_Balances_00UTC!$B377="","","'"&amp;C377&amp;"',")</f>
        <v>'AVAX',</v>
      </c>
      <c r="AT377">
        <f>IF(Summary_Exchange_Balances_00UTC!$B377="","",IF(ISERROR(HLOOKUP($C377,$AW$1:$LL$2,2,FALSE)),Summary_Exchange_Balances_00UTC!$Q377,IF(OR(HLOOKUP($C377,$AW$1:$LL$2,2,FALSE)="",HLOOKUP($C377,$AW$1:$LL$2,2,FALSE)="null"),Summary_Exchange_Balances_00UTC!$Q377,HLOOKUP($C377,$AW$1:$LL$2,2,FALSE))))</f>
        <v>13.03</v>
      </c>
    </row>
    <row r="378" spans="1:46" x14ac:dyDescent="0.25">
      <c r="A378" t="str">
        <f>IF(Summary_Exchange_Balances_00UTC!$B378="","",Summary_Exchange_Balances_00UTC!$N378)</f>
        <v>BINE</v>
      </c>
      <c r="B378" t="str">
        <f>IF(Summary_Exchange_Balances_00UTC!$B378="","",Summary_Exchange_Balances_00UTC!$B378)</f>
        <v>BINE-2-S1-M Margin Loan</v>
      </c>
      <c r="C378" t="str">
        <f>IF(Summary_Exchange_Balances_00UTC!$B378="","",Summary_Exchange_Balances_00UTC!$E378)</f>
        <v>BAT</v>
      </c>
      <c r="D378" t="str">
        <f>IF(OR(Summary_Exchange_Balances_00UTC!$B378="",Summary_Exchange_Balances_00UTC!$D378=""),"",Summary_Exchange_Balances_00UTC!$D378)</f>
        <v/>
      </c>
      <c r="E378" s="54">
        <f>IF(Summary_Exchange_Balances_00UTC!$B378="","",Summary_Exchange_Balances_00UTC!$C378)</f>
        <v>-100000</v>
      </c>
      <c r="F378" s="53">
        <f>IF(Summary_Exchange_Balances_00UTC!$B378="","",VLOOKUP(UPPER($A378&amp;$C378),$L:$T,7,FALSE))</f>
        <v>30018.430035879999</v>
      </c>
      <c r="G378" s="53" t="e">
        <f>IF(Summary_Exchange_Balances_00UTC!$B378="","",VLOOKUP(IF(ISERROR(SEARCH(" ", $B378)),UPPER($B378&amp;$C378&amp;$D378),UPPER(LEFT($B378, SEARCH(" ",$B378)-1)&amp;$C378&amp;$D378)),$M:$T,6,FALSE))</f>
        <v>#N/A</v>
      </c>
      <c r="H378">
        <f>IF(Summary_Exchange_Balances_00UTC!$B378="","",IF(ISERROR($G378),$E378,$G378))</f>
        <v>-100000</v>
      </c>
      <c r="I378" s="36" t="e">
        <f t="shared" si="15"/>
        <v>#N/A</v>
      </c>
      <c r="L378" t="str">
        <f t="shared" si="16"/>
        <v/>
      </c>
      <c r="M378" t="str">
        <f t="shared" si="17"/>
        <v/>
      </c>
      <c r="Y378" s="54"/>
      <c r="AC378"/>
      <c r="AD378"/>
      <c r="AS378" t="str">
        <f>IF(Summary_Exchange_Balances_00UTC!$B378="","","'"&amp;C378&amp;"',")</f>
        <v>'BAT',</v>
      </c>
      <c r="AT378">
        <f>IF(Summary_Exchange_Balances_00UTC!$B378="","",IF(ISERROR(HLOOKUP($C378,$AW$1:$LL$2,2,FALSE)),Summary_Exchange_Balances_00UTC!$Q378,IF(OR(HLOOKUP($C378,$AW$1:$LL$2,2,FALSE)="",HLOOKUP($C378,$AW$1:$LL$2,2,FALSE)="null"),Summary_Exchange_Balances_00UTC!$Q378,HLOOKUP($C378,$AW$1:$LL$2,2,FALSE))))</f>
        <v>0.22422048</v>
      </c>
    </row>
    <row r="379" spans="1:46" x14ac:dyDescent="0.25">
      <c r="A379" t="str">
        <f>IF(Summary_Exchange_Balances_00UTC!$B379="","",Summary_Exchange_Balances_00UTC!$N379)</f>
        <v>BINE</v>
      </c>
      <c r="B379" t="str">
        <f>IF(Summary_Exchange_Balances_00UTC!$B379="","",Summary_Exchange_Balances_00UTC!$B379)</f>
        <v>BINE-2-S1-M Margin Loan</v>
      </c>
      <c r="C379" t="str">
        <f>IF(Summary_Exchange_Balances_00UTC!$B379="","",Summary_Exchange_Balances_00UTC!$E379)</f>
        <v>BCH</v>
      </c>
      <c r="D379" t="str">
        <f>IF(OR(Summary_Exchange_Balances_00UTC!$B379="",Summary_Exchange_Balances_00UTC!$D379=""),"",Summary_Exchange_Balances_00UTC!$D379)</f>
        <v/>
      </c>
      <c r="E379" s="54">
        <f>IF(Summary_Exchange_Balances_00UTC!$B379="","",Summary_Exchange_Balances_00UTC!$C379)</f>
        <v>-90</v>
      </c>
      <c r="F379" s="53">
        <f>IF(Summary_Exchange_Balances_00UTC!$B379="","",VLOOKUP(UPPER($A379&amp;$C379),$L:$T,7,FALSE))</f>
        <v>91.029457179999994</v>
      </c>
      <c r="G379" s="53" t="e">
        <f>IF(Summary_Exchange_Balances_00UTC!$B379="","",VLOOKUP(IF(ISERROR(SEARCH(" ", $B379)),UPPER($B379&amp;$C379&amp;$D379),UPPER(LEFT($B379, SEARCH(" ",$B379)-1)&amp;$C379&amp;$D379)),$M:$T,6,FALSE))</f>
        <v>#N/A</v>
      </c>
      <c r="H379">
        <f>IF(Summary_Exchange_Balances_00UTC!$B379="","",IF(ISERROR($G379),$E379,$G379))</f>
        <v>-90</v>
      </c>
      <c r="I379" s="36" t="e">
        <f t="shared" si="15"/>
        <v>#N/A</v>
      </c>
      <c r="L379" t="str">
        <f t="shared" si="16"/>
        <v/>
      </c>
      <c r="M379" t="str">
        <f t="shared" si="17"/>
        <v/>
      </c>
      <c r="Y379" s="54"/>
      <c r="AC379"/>
      <c r="AD379"/>
      <c r="AS379" t="str">
        <f>IF(Summary_Exchange_Balances_00UTC!$B379="","","'"&amp;C379&amp;"',")</f>
        <v>'BCH',</v>
      </c>
      <c r="AT379">
        <f>IF(Summary_Exchange_Balances_00UTC!$B379="","",IF(ISERROR(HLOOKUP($C379,$AW$1:$LL$2,2,FALSE)),Summary_Exchange_Balances_00UTC!$Q379,IF(OR(HLOOKUP($C379,$AW$1:$LL$2,2,FALSE)="",HLOOKUP($C379,$AW$1:$LL$2,2,FALSE)="null"),Summary_Exchange_Balances_00UTC!$Q379,HLOOKUP($C379,$AW$1:$LL$2,2,FALSE))))</f>
        <v>103.98</v>
      </c>
    </row>
    <row r="380" spans="1:46" x14ac:dyDescent="0.25">
      <c r="A380" t="str">
        <f>IF(Summary_Exchange_Balances_00UTC!$B380="","",Summary_Exchange_Balances_00UTC!$N380)</f>
        <v>BINE</v>
      </c>
      <c r="B380" t="str">
        <f>IF(Summary_Exchange_Balances_00UTC!$B380="","",Summary_Exchange_Balances_00UTC!$B380)</f>
        <v>BINE-2-S1-M Margin Loan</v>
      </c>
      <c r="C380" t="str">
        <f>IF(Summary_Exchange_Balances_00UTC!$B380="","",Summary_Exchange_Balances_00UTC!$E380)</f>
        <v>BUSD</v>
      </c>
      <c r="D380" t="str">
        <f>IF(OR(Summary_Exchange_Balances_00UTC!$B380="",Summary_Exchange_Balances_00UTC!$D380=""),"",Summary_Exchange_Balances_00UTC!$D380)</f>
        <v/>
      </c>
      <c r="E380" s="54">
        <f>IF(Summary_Exchange_Balances_00UTC!$B380="","",Summary_Exchange_Balances_00UTC!$C380)</f>
        <v>-3677799.0840893998</v>
      </c>
      <c r="F380" s="53">
        <f>IF(Summary_Exchange_Balances_00UTC!$B380="","",VLOOKUP(UPPER($A380&amp;$C380),$L:$T,7,FALSE))</f>
        <v>-3165472.0316702998</v>
      </c>
      <c r="G380" s="53" t="e">
        <f>IF(Summary_Exchange_Balances_00UTC!$B380="","",VLOOKUP(IF(ISERROR(SEARCH(" ", $B380)),UPPER($B380&amp;$C380&amp;$D380),UPPER(LEFT($B380, SEARCH(" ",$B380)-1)&amp;$C380&amp;$D380)),$M:$T,6,FALSE))</f>
        <v>#N/A</v>
      </c>
      <c r="H380">
        <f>IF(Summary_Exchange_Balances_00UTC!$B380="","",IF(ISERROR($G380),$E380,$G380))</f>
        <v>-3677799.0840893998</v>
      </c>
      <c r="I380" s="36" t="e">
        <f t="shared" si="15"/>
        <v>#N/A</v>
      </c>
      <c r="L380" t="str">
        <f t="shared" si="16"/>
        <v/>
      </c>
      <c r="M380" t="str">
        <f t="shared" si="17"/>
        <v/>
      </c>
      <c r="Y380" s="54"/>
      <c r="AC380"/>
      <c r="AD380"/>
      <c r="AS380" t="str">
        <f>IF(Summary_Exchange_Balances_00UTC!$B380="","","'"&amp;C380&amp;"',")</f>
        <v>'BUSD',</v>
      </c>
      <c r="AT380">
        <f>IF(Summary_Exchange_Balances_00UTC!$B380="","",IF(ISERROR(HLOOKUP($C380,$AW$1:$LL$2,2,FALSE)),Summary_Exchange_Balances_00UTC!$Q380,IF(OR(HLOOKUP($C380,$AW$1:$LL$2,2,FALSE)="",HLOOKUP($C380,$AW$1:$LL$2,2,FALSE)="null"),Summary_Exchange_Balances_00UTC!$Q380,HLOOKUP($C380,$AW$1:$LL$2,2,FALSE))))</f>
        <v>1.000252004292782</v>
      </c>
    </row>
    <row r="381" spans="1:46" x14ac:dyDescent="0.25">
      <c r="A381" t="str">
        <f>IF(Summary_Exchange_Balances_00UTC!$B381="","",Summary_Exchange_Balances_00UTC!$N381)</f>
        <v>BINE</v>
      </c>
      <c r="B381" t="str">
        <f>IF(Summary_Exchange_Balances_00UTC!$B381="","",Summary_Exchange_Balances_00UTC!$B381)</f>
        <v>BINE-2-S1-M Margin Loan</v>
      </c>
      <c r="C381" t="str">
        <f>IF(Summary_Exchange_Balances_00UTC!$B381="","",Summary_Exchange_Balances_00UTC!$E381)</f>
        <v>COMP</v>
      </c>
      <c r="D381" t="str">
        <f>IF(OR(Summary_Exchange_Balances_00UTC!$B381="",Summary_Exchange_Balances_00UTC!$D381=""),"",Summary_Exchange_Balances_00UTC!$D381)</f>
        <v/>
      </c>
      <c r="E381" s="54">
        <f>IF(Summary_Exchange_Balances_00UTC!$B381="","",Summary_Exchange_Balances_00UTC!$C381)</f>
        <v>-4800</v>
      </c>
      <c r="F381" s="53">
        <f>IF(Summary_Exchange_Balances_00UTC!$B381="","",VLOOKUP(UPPER($A381&amp;$C381),$L:$T,7,FALSE))</f>
        <v>33.816033869999998</v>
      </c>
      <c r="G381" s="53" t="e">
        <f>IF(Summary_Exchange_Balances_00UTC!$B381="","",VLOOKUP(IF(ISERROR(SEARCH(" ", $B381)),UPPER($B381&amp;$C381&amp;$D381),UPPER(LEFT($B381, SEARCH(" ",$B381)-1)&amp;$C381&amp;$D381)),$M:$T,6,FALSE))</f>
        <v>#N/A</v>
      </c>
      <c r="H381">
        <f>IF(Summary_Exchange_Balances_00UTC!$B381="","",IF(ISERROR($G381),$E381,$G381))</f>
        <v>-4800</v>
      </c>
      <c r="I381" s="36" t="e">
        <f t="shared" si="15"/>
        <v>#N/A</v>
      </c>
      <c r="L381" t="str">
        <f t="shared" si="16"/>
        <v/>
      </c>
      <c r="M381" t="str">
        <f t="shared" si="17"/>
        <v/>
      </c>
      <c r="Y381" s="54"/>
      <c r="AC381"/>
      <c r="AD381"/>
      <c r="AS381" t="str">
        <f>IF(Summary_Exchange_Balances_00UTC!$B381="","","'"&amp;C381&amp;"',")</f>
        <v>'COMP',</v>
      </c>
      <c r="AT381">
        <f>IF(Summary_Exchange_Balances_00UTC!$B381="","",IF(ISERROR(HLOOKUP($C381,$AW$1:$LL$2,2,FALSE)),Summary_Exchange_Balances_00UTC!$Q381,IF(OR(HLOOKUP($C381,$AW$1:$LL$2,2,FALSE)="",HLOOKUP($C381,$AW$1:$LL$2,2,FALSE)="null"),Summary_Exchange_Balances_00UTC!$Q381,HLOOKUP($C381,$AW$1:$LL$2,2,FALSE))))</f>
        <v>39.366320000000002</v>
      </c>
    </row>
    <row r="382" spans="1:46" x14ac:dyDescent="0.25">
      <c r="A382" t="str">
        <f>IF(Summary_Exchange_Balances_00UTC!$B382="","",Summary_Exchange_Balances_00UTC!$N382)</f>
        <v>BINE</v>
      </c>
      <c r="B382" t="str">
        <f>IF(Summary_Exchange_Balances_00UTC!$B382="","",Summary_Exchange_Balances_00UTC!$B382)</f>
        <v>BINE-2-S1-M Margin Loan</v>
      </c>
      <c r="C382" t="str">
        <f>IF(Summary_Exchange_Balances_00UTC!$B382="","",Summary_Exchange_Balances_00UTC!$E382)</f>
        <v>DASH</v>
      </c>
      <c r="D382" t="str">
        <f>IF(OR(Summary_Exchange_Balances_00UTC!$B382="",Summary_Exchange_Balances_00UTC!$D382=""),"",Summary_Exchange_Balances_00UTC!$D382)</f>
        <v/>
      </c>
      <c r="E382" s="54">
        <f>IF(Summary_Exchange_Balances_00UTC!$B382="","",Summary_Exchange_Balances_00UTC!$C382)</f>
        <v>-500</v>
      </c>
      <c r="F382" s="53" t="e">
        <f>IF(Summary_Exchange_Balances_00UTC!$B382="","",VLOOKUP(UPPER($A382&amp;$C382),$L:$T,7,FALSE))</f>
        <v>#N/A</v>
      </c>
      <c r="G382" s="53" t="e">
        <f>IF(Summary_Exchange_Balances_00UTC!$B382="","",VLOOKUP(IF(ISERROR(SEARCH(" ", $B382)),UPPER($B382&amp;$C382&amp;$D382),UPPER(LEFT($B382, SEARCH(" ",$B382)-1)&amp;$C382&amp;$D382)),$M:$T,6,FALSE))</f>
        <v>#N/A</v>
      </c>
      <c r="H382">
        <f>IF(Summary_Exchange_Balances_00UTC!$B382="","",IF(ISERROR($G382),$E382,$G382))</f>
        <v>-500</v>
      </c>
      <c r="I382" s="36" t="e">
        <f t="shared" si="15"/>
        <v>#N/A</v>
      </c>
      <c r="L382" t="str">
        <f t="shared" si="16"/>
        <v/>
      </c>
      <c r="M382" t="str">
        <f t="shared" si="17"/>
        <v/>
      </c>
      <c r="Y382" s="54"/>
      <c r="AC382"/>
      <c r="AD382"/>
      <c r="AS382" t="str">
        <f>IF(Summary_Exchange_Balances_00UTC!$B382="","","'"&amp;C382&amp;"',")</f>
        <v>'DASH',</v>
      </c>
      <c r="AT382">
        <f>IF(Summary_Exchange_Balances_00UTC!$B382="","",IF(ISERROR(HLOOKUP($C382,$AW$1:$LL$2,2,FALSE)),Summary_Exchange_Balances_00UTC!$Q382,IF(OR(HLOOKUP($C382,$AW$1:$LL$2,2,FALSE)="",HLOOKUP($C382,$AW$1:$LL$2,2,FALSE)="null"),Summary_Exchange_Balances_00UTC!$Q382,HLOOKUP($C382,$AW$1:$LL$2,2,FALSE))))</f>
        <v>33.817394</v>
      </c>
    </row>
    <row r="383" spans="1:46" x14ac:dyDescent="0.25">
      <c r="A383" t="str">
        <f>IF(Summary_Exchange_Balances_00UTC!$B383="","",Summary_Exchange_Balances_00UTC!$N383)</f>
        <v>BINE</v>
      </c>
      <c r="B383" t="str">
        <f>IF(Summary_Exchange_Balances_00UTC!$B383="","",Summary_Exchange_Balances_00UTC!$B383)</f>
        <v>BINE-2-S1-M Margin Loan</v>
      </c>
      <c r="C383" t="str">
        <f>IF(Summary_Exchange_Balances_00UTC!$B383="","",Summary_Exchange_Balances_00UTC!$E383)</f>
        <v>DOGE</v>
      </c>
      <c r="D383" t="str">
        <f>IF(OR(Summary_Exchange_Balances_00UTC!$B383="",Summary_Exchange_Balances_00UTC!$D383=""),"",Summary_Exchange_Balances_00UTC!$D383)</f>
        <v/>
      </c>
      <c r="E383" s="54">
        <f>IF(Summary_Exchange_Balances_00UTC!$B383="","",Summary_Exchange_Balances_00UTC!$C383)</f>
        <v>-500000</v>
      </c>
      <c r="F383" s="53">
        <f>IF(Summary_Exchange_Balances_00UTC!$B383="","",VLOOKUP(UPPER($A383&amp;$C383),$L:$T,7,FALSE))</f>
        <v>-180000</v>
      </c>
      <c r="G383" s="53" t="e">
        <f>IF(Summary_Exchange_Balances_00UTC!$B383="","",VLOOKUP(IF(ISERROR(SEARCH(" ", $B383)),UPPER($B383&amp;$C383&amp;$D383),UPPER(LEFT($B383, SEARCH(" ",$B383)-1)&amp;$C383&amp;$D383)),$M:$T,6,FALSE))</f>
        <v>#N/A</v>
      </c>
      <c r="H383">
        <f>IF(Summary_Exchange_Balances_00UTC!$B383="","",IF(ISERROR($G383),$E383,$G383))</f>
        <v>-500000</v>
      </c>
      <c r="I383" s="36" t="e">
        <f t="shared" si="15"/>
        <v>#N/A</v>
      </c>
      <c r="Y383" s="54"/>
      <c r="AC383"/>
      <c r="AD383"/>
      <c r="AS383" t="str">
        <f>IF(Summary_Exchange_Balances_00UTC!$B383="","","'"&amp;C383&amp;"',")</f>
        <v>'DOGE',</v>
      </c>
      <c r="AT383">
        <f>IF(Summary_Exchange_Balances_00UTC!$B383="","",IF(ISERROR(HLOOKUP($C383,$AW$1:$LL$2,2,FALSE)),Summary_Exchange_Balances_00UTC!$Q383,IF(OR(HLOOKUP($C383,$AW$1:$LL$2,2,FALSE)="",HLOOKUP($C383,$AW$1:$LL$2,2,FALSE)="null"),Summary_Exchange_Balances_00UTC!$Q383,HLOOKUP($C383,$AW$1:$LL$2,2,FALSE))))</f>
        <v>8.5419999999999996E-2</v>
      </c>
    </row>
    <row r="384" spans="1:46" x14ac:dyDescent="0.25">
      <c r="A384" t="str">
        <f>IF(Summary_Exchange_Balances_00UTC!$B384="","",Summary_Exchange_Balances_00UTC!$N384)</f>
        <v>BINE</v>
      </c>
      <c r="B384" t="str">
        <f>IF(Summary_Exchange_Balances_00UTC!$B384="","",Summary_Exchange_Balances_00UTC!$B384)</f>
        <v>BINE-2-S1-M Margin Loan</v>
      </c>
      <c r="C384" t="str">
        <f>IF(Summary_Exchange_Balances_00UTC!$B384="","",Summary_Exchange_Balances_00UTC!$E384)</f>
        <v>DOT</v>
      </c>
      <c r="D384" t="str">
        <f>IF(OR(Summary_Exchange_Balances_00UTC!$B384="",Summary_Exchange_Balances_00UTC!$D384=""),"",Summary_Exchange_Balances_00UTC!$D384)</f>
        <v/>
      </c>
      <c r="E384" s="54">
        <f>IF(Summary_Exchange_Balances_00UTC!$B384="","",Summary_Exchange_Balances_00UTC!$C384)</f>
        <v>-5000</v>
      </c>
      <c r="F384" s="53">
        <f>IF(Summary_Exchange_Balances_00UTC!$B384="","",VLOOKUP(UPPER($A384&amp;$C384),$L:$T,7,FALSE))</f>
        <v>-2000</v>
      </c>
      <c r="G384" s="53" t="e">
        <f>IF(Summary_Exchange_Balances_00UTC!$B384="","",VLOOKUP(IF(ISERROR(SEARCH(" ", $B384)),UPPER($B384&amp;$C384&amp;$D384),UPPER(LEFT($B384, SEARCH(" ",$B384)-1)&amp;$C384&amp;$D384)),$M:$T,6,FALSE))</f>
        <v>#N/A</v>
      </c>
      <c r="H384">
        <f>IF(Summary_Exchange_Balances_00UTC!$B384="","",IF(ISERROR($G384),$E384,$G384))</f>
        <v>-5000</v>
      </c>
      <c r="I384" s="36" t="e">
        <f t="shared" si="15"/>
        <v>#N/A</v>
      </c>
      <c r="Y384" s="54"/>
      <c r="AC384"/>
      <c r="AD384"/>
      <c r="AS384" t="str">
        <f>IF(Summary_Exchange_Balances_00UTC!$B384="","","'"&amp;C384&amp;"',")</f>
        <v>'DOT',</v>
      </c>
      <c r="AT384">
        <f>IF(Summary_Exchange_Balances_00UTC!$B384="","",IF(ISERROR(HLOOKUP($C384,$AW$1:$LL$2,2,FALSE)),Summary_Exchange_Balances_00UTC!$Q384,IF(OR(HLOOKUP($C384,$AW$1:$LL$2,2,FALSE)="",HLOOKUP($C384,$AW$1:$LL$2,2,FALSE)="null"),Summary_Exchange_Balances_00UTC!$Q384,HLOOKUP($C384,$AW$1:$LL$2,2,FALSE))))</f>
        <v>5.6989999999999998</v>
      </c>
    </row>
    <row r="385" spans="1:46" x14ac:dyDescent="0.25">
      <c r="A385" t="str">
        <f>IF(Summary_Exchange_Balances_00UTC!$B385="","",Summary_Exchange_Balances_00UTC!$N385)</f>
        <v>BINE</v>
      </c>
      <c r="B385" t="str">
        <f>IF(Summary_Exchange_Balances_00UTC!$B385="","",Summary_Exchange_Balances_00UTC!$B385)</f>
        <v>BINE-2-S1-M Margin Loan</v>
      </c>
      <c r="C385" t="str">
        <f>IF(Summary_Exchange_Balances_00UTC!$B385="","",Summary_Exchange_Balances_00UTC!$E385)</f>
        <v>ENJ</v>
      </c>
      <c r="D385" t="str">
        <f>IF(OR(Summary_Exchange_Balances_00UTC!$B385="",Summary_Exchange_Balances_00UTC!$D385=""),"",Summary_Exchange_Balances_00UTC!$D385)</f>
        <v/>
      </c>
      <c r="E385" s="54">
        <f>IF(Summary_Exchange_Balances_00UTC!$B385="","",Summary_Exchange_Balances_00UTC!$C385)</f>
        <v>-30000</v>
      </c>
      <c r="F385" s="53">
        <f>IF(Summary_Exchange_Balances_00UTC!$B385="","",VLOOKUP(UPPER($A385&amp;$C385),$L:$T,7,FALSE))</f>
        <v>23943.410199999998</v>
      </c>
      <c r="G385" s="53" t="e">
        <f>IF(Summary_Exchange_Balances_00UTC!$B385="","",VLOOKUP(IF(ISERROR(SEARCH(" ", $B385)),UPPER($B385&amp;$C385&amp;$D385),UPPER(LEFT($B385, SEARCH(" ",$B385)-1)&amp;$C385&amp;$D385)),$M:$T,6,FALSE))</f>
        <v>#N/A</v>
      </c>
      <c r="H385">
        <f>IF(Summary_Exchange_Balances_00UTC!$B385="","",IF(ISERROR($G385),$E385,$G385))</f>
        <v>-30000</v>
      </c>
      <c r="I385" s="36" t="e">
        <f t="shared" si="15"/>
        <v>#N/A</v>
      </c>
      <c r="Y385" s="54"/>
      <c r="AC385"/>
      <c r="AD385"/>
      <c r="AS385" t="str">
        <f>IF(Summary_Exchange_Balances_00UTC!$B385="","","'"&amp;C385&amp;"',")</f>
        <v>'ENJ',</v>
      </c>
      <c r="AT385">
        <f>IF(Summary_Exchange_Balances_00UTC!$B385="","",IF(ISERROR(HLOOKUP($C385,$AW$1:$LL$2,2,FALSE)),Summary_Exchange_Balances_00UTC!$Q385,IF(OR(HLOOKUP($C385,$AW$1:$LL$2,2,FALSE)="",HLOOKUP($C385,$AW$1:$LL$2,2,FALSE)="null"),Summary_Exchange_Balances_00UTC!$Q385,HLOOKUP($C385,$AW$1:$LL$2,2,FALSE))))</f>
        <v>0.30611965000000002</v>
      </c>
    </row>
    <row r="386" spans="1:46" x14ac:dyDescent="0.25">
      <c r="A386" t="str">
        <f>IF(Summary_Exchange_Balances_00UTC!$B386="","",Summary_Exchange_Balances_00UTC!$N386)</f>
        <v>BINE</v>
      </c>
      <c r="B386" t="str">
        <f>IF(Summary_Exchange_Balances_00UTC!$B386="","",Summary_Exchange_Balances_00UTC!$B386)</f>
        <v>BINE-2-S1-M Margin Loan</v>
      </c>
      <c r="C386" t="str">
        <f>IF(Summary_Exchange_Balances_00UTC!$B386="","",Summary_Exchange_Balances_00UTC!$E386)</f>
        <v>FTM</v>
      </c>
      <c r="D386" t="str">
        <f>IF(OR(Summary_Exchange_Balances_00UTC!$B386="",Summary_Exchange_Balances_00UTC!$D386=""),"",Summary_Exchange_Balances_00UTC!$D386)</f>
        <v/>
      </c>
      <c r="E386" s="54">
        <f>IF(Summary_Exchange_Balances_00UTC!$B386="","",Summary_Exchange_Balances_00UTC!$C386)</f>
        <v>-150000</v>
      </c>
      <c r="F386" s="53">
        <f>IF(Summary_Exchange_Balances_00UTC!$B386="","",VLOOKUP(UPPER($A386&amp;$C386),$L:$T,7,FALSE))</f>
        <v>30000</v>
      </c>
      <c r="G386" s="53" t="e">
        <f>IF(Summary_Exchange_Balances_00UTC!$B386="","",VLOOKUP(IF(ISERROR(SEARCH(" ", $B386)),UPPER($B386&amp;$C386&amp;$D386),UPPER(LEFT($B386, SEARCH(" ",$B386)-1)&amp;$C386&amp;$D386)),$M:$T,6,FALSE))</f>
        <v>#N/A</v>
      </c>
      <c r="H386">
        <f>IF(Summary_Exchange_Balances_00UTC!$B386="","",IF(ISERROR($G386),$E386,$G386))</f>
        <v>-150000</v>
      </c>
      <c r="I386" s="36" t="e">
        <f t="shared" ref="I386:I407" si="18">(G386-E386)/E386</f>
        <v>#N/A</v>
      </c>
      <c r="Y386" s="54"/>
      <c r="AC386"/>
      <c r="AD386"/>
      <c r="AS386" t="str">
        <f>IF(Summary_Exchange_Balances_00UTC!$B386="","","'"&amp;C386&amp;"',")</f>
        <v>'FTM',</v>
      </c>
      <c r="AT386">
        <f>IF(Summary_Exchange_Balances_00UTC!$B386="","",IF(ISERROR(HLOOKUP($C386,$AW$1:$LL$2,2,FALSE)),Summary_Exchange_Balances_00UTC!$Q386,IF(OR(HLOOKUP($C386,$AW$1:$LL$2,2,FALSE)="",HLOOKUP($C386,$AW$1:$LL$2,2,FALSE)="null"),Summary_Exchange_Balances_00UTC!$Q386,HLOOKUP($C386,$AW$1:$LL$2,2,FALSE))))</f>
        <v>0.17945811</v>
      </c>
    </row>
    <row r="387" spans="1:46" x14ac:dyDescent="0.25">
      <c r="A387" t="str">
        <f>IF(Summary_Exchange_Balances_00UTC!$B387="","",Summary_Exchange_Balances_00UTC!$N387)</f>
        <v>BINE</v>
      </c>
      <c r="B387" t="str">
        <f>IF(Summary_Exchange_Balances_00UTC!$B387="","",Summary_Exchange_Balances_00UTC!$B387)</f>
        <v>BINE-2-S1-M Margin Loan</v>
      </c>
      <c r="C387" t="str">
        <f>IF(Summary_Exchange_Balances_00UTC!$B387="","",Summary_Exchange_Balances_00UTC!$E387)</f>
        <v>GRT</v>
      </c>
      <c r="D387" t="str">
        <f>IF(OR(Summary_Exchange_Balances_00UTC!$B387="",Summary_Exchange_Balances_00UTC!$D387=""),"",Summary_Exchange_Balances_00UTC!$D387)</f>
        <v/>
      </c>
      <c r="E387" s="54">
        <f>IF(Summary_Exchange_Balances_00UTC!$B387="","",Summary_Exchange_Balances_00UTC!$C387)</f>
        <v>-240000</v>
      </c>
      <c r="F387" s="53" t="e">
        <f>IF(Summary_Exchange_Balances_00UTC!$B387="","",VLOOKUP(UPPER($A387&amp;$C387),$L:$T,7,FALSE))</f>
        <v>#N/A</v>
      </c>
      <c r="G387" s="53" t="e">
        <f>IF(Summary_Exchange_Balances_00UTC!$B387="","",VLOOKUP(IF(ISERROR(SEARCH(" ", $B387)),UPPER($B387&amp;$C387&amp;$D387),UPPER(LEFT($B387, SEARCH(" ",$B387)-1)&amp;$C387&amp;$D387)),$M:$T,6,FALSE))</f>
        <v>#N/A</v>
      </c>
      <c r="H387">
        <f>IF(Summary_Exchange_Balances_00UTC!$B387="","",IF(ISERROR($G387),$E387,$G387))</f>
        <v>-240000</v>
      </c>
      <c r="I387" s="36" t="e">
        <f t="shared" si="18"/>
        <v>#N/A</v>
      </c>
      <c r="Y387" s="54"/>
      <c r="AC387"/>
      <c r="AD387"/>
      <c r="AS387" t="str">
        <f>IF(Summary_Exchange_Balances_00UTC!$B387="","","'"&amp;C387&amp;"',")</f>
        <v>'GRT',</v>
      </c>
      <c r="AT387">
        <f>IF(Summary_Exchange_Balances_00UTC!$B387="","",IF(ISERROR(HLOOKUP($C387,$AW$1:$LL$2,2,FALSE)),Summary_Exchange_Balances_00UTC!$Q387,IF(OR(HLOOKUP($C387,$AW$1:$LL$2,2,FALSE)="",HLOOKUP($C387,$AW$1:$LL$2,2,FALSE)="null"),Summary_Exchange_Balances_00UTC!$Q387,HLOOKUP($C387,$AW$1:$LL$2,2,FALSE))))</f>
        <v>6.08E-2</v>
      </c>
    </row>
    <row r="388" spans="1:46" x14ac:dyDescent="0.25">
      <c r="A388" t="str">
        <f>IF(Summary_Exchange_Balances_00UTC!$B388="","",Summary_Exchange_Balances_00UTC!$N388)</f>
        <v>BINE</v>
      </c>
      <c r="B388" t="str">
        <f>IF(Summary_Exchange_Balances_00UTC!$B388="","",Summary_Exchange_Balances_00UTC!$B388)</f>
        <v>BINE-2-S1-M Margin Loan</v>
      </c>
      <c r="C388" t="str">
        <f>IF(Summary_Exchange_Balances_00UTC!$B388="","",Summary_Exchange_Balances_00UTC!$E388)</f>
        <v>HBAR</v>
      </c>
      <c r="D388" t="str">
        <f>IF(OR(Summary_Exchange_Balances_00UTC!$B388="",Summary_Exchange_Balances_00UTC!$D388=""),"",Summary_Exchange_Balances_00UTC!$D388)</f>
        <v/>
      </c>
      <c r="E388" s="54">
        <f>IF(Summary_Exchange_Balances_00UTC!$B388="","",Summary_Exchange_Balances_00UTC!$C388)</f>
        <v>-628800</v>
      </c>
      <c r="F388" s="53" t="e">
        <f>IF(Summary_Exchange_Balances_00UTC!$B388="","",VLOOKUP(UPPER($A388&amp;$C388),$L:$T,7,FALSE))</f>
        <v>#N/A</v>
      </c>
      <c r="G388" s="53" t="e">
        <f>IF(Summary_Exchange_Balances_00UTC!$B388="","",VLOOKUP(IF(ISERROR(SEARCH(" ", $B388)),UPPER($B388&amp;$C388&amp;$D388),UPPER(LEFT($B388, SEARCH(" ",$B388)-1)&amp;$C388&amp;$D388)),$M:$T,6,FALSE))</f>
        <v>#N/A</v>
      </c>
      <c r="H388">
        <f>IF(Summary_Exchange_Balances_00UTC!$B388="","",IF(ISERROR($G388),$E388,$G388))</f>
        <v>-628800</v>
      </c>
      <c r="I388" s="36" t="e">
        <f t="shared" si="18"/>
        <v>#N/A</v>
      </c>
      <c r="Y388" s="54"/>
      <c r="AC388"/>
      <c r="AD388"/>
      <c r="AS388" t="str">
        <f>IF(Summary_Exchange_Balances_00UTC!$B388="","","'"&amp;C388&amp;"',")</f>
        <v>'HBAR',</v>
      </c>
      <c r="AT388">
        <f>IF(Summary_Exchange_Balances_00UTC!$B388="","",IF(ISERROR(HLOOKUP($C388,$AW$1:$LL$2,2,FALSE)),Summary_Exchange_Balances_00UTC!$Q388,IF(OR(HLOOKUP($C388,$AW$1:$LL$2,2,FALSE)="",HLOOKUP($C388,$AW$1:$LL$2,2,FALSE)="null"),Summary_Exchange_Balances_00UTC!$Q388,HLOOKUP($C388,$AW$1:$LL$2,2,FALSE))))</f>
        <v>4.9363444999999999E-2</v>
      </c>
    </row>
    <row r="389" spans="1:46" x14ac:dyDescent="0.25">
      <c r="A389" t="str">
        <f>IF(Summary_Exchange_Balances_00UTC!$B389="","",Summary_Exchange_Balances_00UTC!$N389)</f>
        <v>BINE</v>
      </c>
      <c r="B389" t="str">
        <f>IF(Summary_Exchange_Balances_00UTC!$B389="","",Summary_Exchange_Balances_00UTC!$B389)</f>
        <v>BINE-2-S1-M Margin Loan</v>
      </c>
      <c r="C389" t="str">
        <f>IF(Summary_Exchange_Balances_00UTC!$B389="","",Summary_Exchange_Balances_00UTC!$E389)</f>
        <v>LINK</v>
      </c>
      <c r="D389" t="str">
        <f>IF(OR(Summary_Exchange_Balances_00UTC!$B389="",Summary_Exchange_Balances_00UTC!$D389=""),"",Summary_Exchange_Balances_00UTC!$D389)</f>
        <v/>
      </c>
      <c r="E389" s="54">
        <f>IF(Summary_Exchange_Balances_00UTC!$B389="","",Summary_Exchange_Balances_00UTC!$C389)</f>
        <v>-12506.5</v>
      </c>
      <c r="F389" s="53">
        <f>IF(Summary_Exchange_Balances_00UTC!$B389="","",VLOOKUP(UPPER($A389&amp;$C389),$L:$T,7,FALSE))</f>
        <v>-6486.86</v>
      </c>
      <c r="G389" s="53" t="e">
        <f>IF(Summary_Exchange_Balances_00UTC!$B389="","",VLOOKUP(IF(ISERROR(SEARCH(" ", $B389)),UPPER($B389&amp;$C389&amp;$D389),UPPER(LEFT($B389, SEARCH(" ",$B389)-1)&amp;$C389&amp;$D389)),$M:$T,6,FALSE))</f>
        <v>#N/A</v>
      </c>
      <c r="H389">
        <f>IF(Summary_Exchange_Balances_00UTC!$B389="","",IF(ISERROR($G389),$E389,$G389))</f>
        <v>-12506.5</v>
      </c>
      <c r="I389" s="36" t="e">
        <f t="shared" si="18"/>
        <v>#N/A</v>
      </c>
      <c r="Y389" s="54"/>
      <c r="AC389"/>
      <c r="AD389"/>
      <c r="AS389" t="str">
        <f>IF(Summary_Exchange_Balances_00UTC!$B389="","","'"&amp;C389&amp;"',")</f>
        <v>'LINK',</v>
      </c>
      <c r="AT389">
        <f>IF(Summary_Exchange_Balances_00UTC!$B389="","",IF(ISERROR(HLOOKUP($C389,$AW$1:$LL$2,2,FALSE)),Summary_Exchange_Balances_00UTC!$Q389,IF(OR(HLOOKUP($C389,$AW$1:$LL$2,2,FALSE)="",HLOOKUP($C389,$AW$1:$LL$2,2,FALSE)="null"),Summary_Exchange_Balances_00UTC!$Q389,HLOOKUP($C389,$AW$1:$LL$2,2,FALSE))))</f>
        <v>6.2919999999999998</v>
      </c>
    </row>
    <row r="390" spans="1:46" x14ac:dyDescent="0.25">
      <c r="A390" t="str">
        <f>IF(Summary_Exchange_Balances_00UTC!$B390="","",Summary_Exchange_Balances_00UTC!$N390)</f>
        <v>BINE</v>
      </c>
      <c r="B390" t="str">
        <f>IF(Summary_Exchange_Balances_00UTC!$B390="","",Summary_Exchange_Balances_00UTC!$B390)</f>
        <v>BINE-2-S1-M Margin Loan</v>
      </c>
      <c r="C390" t="str">
        <f>IF(Summary_Exchange_Balances_00UTC!$B390="","",Summary_Exchange_Balances_00UTC!$E390)</f>
        <v>LTC</v>
      </c>
      <c r="D390" t="str">
        <f>IF(OR(Summary_Exchange_Balances_00UTC!$B390="",Summary_Exchange_Balances_00UTC!$D390=""),"",Summary_Exchange_Balances_00UTC!$D390)</f>
        <v/>
      </c>
      <c r="E390" s="54">
        <f>IF(Summary_Exchange_Balances_00UTC!$B390="","",Summary_Exchange_Balances_00UTC!$C390)</f>
        <v>-928.62699999999995</v>
      </c>
      <c r="F390" s="53">
        <f>IF(Summary_Exchange_Balances_00UTC!$B390="","",VLOOKUP(UPPER($A390&amp;$C390),$L:$T,7,FALSE))</f>
        <v>-909.601</v>
      </c>
      <c r="G390" s="53" t="e">
        <f>IF(Summary_Exchange_Balances_00UTC!$B390="","",VLOOKUP(IF(ISERROR(SEARCH(" ", $B390)),UPPER($B390&amp;$C390&amp;$D390),UPPER(LEFT($B390, SEARCH(" ",$B390)-1)&amp;$C390&amp;$D390)),$M:$T,6,FALSE))</f>
        <v>#N/A</v>
      </c>
      <c r="H390">
        <f>IF(Summary_Exchange_Balances_00UTC!$B390="","",IF(ISERROR($G390),$E390,$G390))</f>
        <v>-928.62699999999995</v>
      </c>
      <c r="I390" s="36" t="e">
        <f t="shared" si="18"/>
        <v>#N/A</v>
      </c>
      <c r="Y390" s="54"/>
      <c r="AC390"/>
      <c r="AD390"/>
      <c r="AS390" t="str">
        <f>IF(Summary_Exchange_Balances_00UTC!$B390="","","'"&amp;C390&amp;"',")</f>
        <v>'LTC',</v>
      </c>
      <c r="AT390">
        <f>IF(Summary_Exchange_Balances_00UTC!$B390="","",IF(ISERROR(HLOOKUP($C390,$AW$1:$LL$2,2,FALSE)),Summary_Exchange_Balances_00UTC!$Q390,IF(OR(HLOOKUP($C390,$AW$1:$LL$2,2,FALSE)="",HLOOKUP($C390,$AW$1:$LL$2,2,FALSE)="null"),Summary_Exchange_Balances_00UTC!$Q390,HLOOKUP($C390,$AW$1:$LL$2,2,FALSE))))</f>
        <v>62.35</v>
      </c>
    </row>
    <row r="391" spans="1:46" x14ac:dyDescent="0.25">
      <c r="A391" t="str">
        <f>IF(Summary_Exchange_Balances_00UTC!$B391="","",Summary_Exchange_Balances_00UTC!$N391)</f>
        <v>BINE</v>
      </c>
      <c r="B391" t="str">
        <f>IF(Summary_Exchange_Balances_00UTC!$B391="","",Summary_Exchange_Balances_00UTC!$B391)</f>
        <v>BINE-2-S1-M Margin Loan</v>
      </c>
      <c r="C391" t="str">
        <f>IF(Summary_Exchange_Balances_00UTC!$B391="","",Summary_Exchange_Balances_00UTC!$E391)</f>
        <v>MANA</v>
      </c>
      <c r="D391" t="str">
        <f>IF(OR(Summary_Exchange_Balances_00UTC!$B391="",Summary_Exchange_Balances_00UTC!$D391=""),"",Summary_Exchange_Balances_00UTC!$D391)</f>
        <v/>
      </c>
      <c r="E391" s="54">
        <f>IF(Summary_Exchange_Balances_00UTC!$B391="","",Summary_Exchange_Balances_00UTC!$C391)</f>
        <v>-45000</v>
      </c>
      <c r="F391" s="53">
        <f>IF(Summary_Exchange_Balances_00UTC!$B391="","",VLOOKUP(UPPER($A391&amp;$C391),$L:$T,7,FALSE))</f>
        <v>28371.504884990001</v>
      </c>
      <c r="G391" s="53" t="e">
        <f>IF(Summary_Exchange_Balances_00UTC!$B391="","",VLOOKUP(IF(ISERROR(SEARCH(" ", $B391)),UPPER($B391&amp;$C391&amp;$D391),UPPER(LEFT($B391, SEARCH(" ",$B391)-1)&amp;$C391&amp;$D391)),$M:$T,6,FALSE))</f>
        <v>#N/A</v>
      </c>
      <c r="H391">
        <f>IF(Summary_Exchange_Balances_00UTC!$B391="","",IF(ISERROR($G391),$E391,$G391))</f>
        <v>-45000</v>
      </c>
      <c r="I391" s="36" t="e">
        <f t="shared" si="18"/>
        <v>#N/A</v>
      </c>
      <c r="Y391" s="54"/>
      <c r="AC391"/>
      <c r="AD391"/>
      <c r="AS391" t="str">
        <f>IF(Summary_Exchange_Balances_00UTC!$B391="","","'"&amp;C391&amp;"',")</f>
        <v>'MANA',</v>
      </c>
      <c r="AT391">
        <f>IF(Summary_Exchange_Balances_00UTC!$B391="","",IF(ISERROR(HLOOKUP($C391,$AW$1:$LL$2,2,FALSE)),Summary_Exchange_Balances_00UTC!$Q391,IF(OR(HLOOKUP($C391,$AW$1:$LL$2,2,FALSE)="",HLOOKUP($C391,$AW$1:$LL$2,2,FALSE)="null"),Summary_Exchange_Balances_00UTC!$Q391,HLOOKUP($C391,$AW$1:$LL$2,2,FALSE))))</f>
        <v>0.41775250000000003</v>
      </c>
    </row>
    <row r="392" spans="1:46" x14ac:dyDescent="0.25">
      <c r="A392" t="str">
        <f>IF(Summary_Exchange_Balances_00UTC!$B392="","",Summary_Exchange_Balances_00UTC!$N392)</f>
        <v>BINE</v>
      </c>
      <c r="B392" t="str">
        <f>IF(Summary_Exchange_Balances_00UTC!$B392="","",Summary_Exchange_Balances_00UTC!$B392)</f>
        <v>BINE-2-S1-M Margin Loan</v>
      </c>
      <c r="C392" t="str">
        <f>IF(Summary_Exchange_Balances_00UTC!$B392="","",Summary_Exchange_Balances_00UTC!$E392)</f>
        <v>MATIC</v>
      </c>
      <c r="D392" t="str">
        <f>IF(OR(Summary_Exchange_Balances_00UTC!$B392="",Summary_Exchange_Balances_00UTC!$D392=""),"",Summary_Exchange_Balances_00UTC!$D392)</f>
        <v/>
      </c>
      <c r="E392" s="54">
        <f>IF(Summary_Exchange_Balances_00UTC!$B392="","",Summary_Exchange_Balances_00UTC!$C392)</f>
        <v>-50000</v>
      </c>
      <c r="F392" s="53" t="e">
        <f>IF(Summary_Exchange_Balances_00UTC!$B392="","",VLOOKUP(UPPER($A392&amp;$C392),$L:$T,7,FALSE))</f>
        <v>#N/A</v>
      </c>
      <c r="G392" s="53" t="e">
        <f>IF(Summary_Exchange_Balances_00UTC!$B392="","",VLOOKUP(IF(ISERROR(SEARCH(" ", $B392)),UPPER($B392&amp;$C392&amp;$D392),UPPER(LEFT($B392, SEARCH(" ",$B392)-1)&amp;$C392&amp;$D392)),$M:$T,6,FALSE))</f>
        <v>#N/A</v>
      </c>
      <c r="H392">
        <f>IF(Summary_Exchange_Balances_00UTC!$B392="","",IF(ISERROR($G392),$E392,$G392))</f>
        <v>-50000</v>
      </c>
      <c r="I392" s="36" t="e">
        <f t="shared" si="18"/>
        <v>#N/A</v>
      </c>
      <c r="Y392" s="54"/>
      <c r="AC392"/>
      <c r="AD392"/>
      <c r="AS392" t="str">
        <f>IF(Summary_Exchange_Balances_00UTC!$B392="","","'"&amp;C392&amp;"',")</f>
        <v>'MATIC',</v>
      </c>
      <c r="AT392">
        <f>IF(Summary_Exchange_Balances_00UTC!$B392="","",IF(ISERROR(HLOOKUP($C392,$AW$1:$LL$2,2,FALSE)),Summary_Exchange_Balances_00UTC!$Q392,IF(OR(HLOOKUP($C392,$AW$1:$LL$2,2,FALSE)="",HLOOKUP($C392,$AW$1:$LL$2,2,FALSE)="null"),Summary_Exchange_Balances_00UTC!$Q392,HLOOKUP($C392,$AW$1:$LL$2,2,FALSE))))</f>
        <v>0.88490000000000002</v>
      </c>
    </row>
    <row r="393" spans="1:46" x14ac:dyDescent="0.25">
      <c r="A393" t="str">
        <f>IF(Summary_Exchange_Balances_00UTC!$B393="","",Summary_Exchange_Balances_00UTC!$N393)</f>
        <v>BINE</v>
      </c>
      <c r="B393" t="str">
        <f>IF(Summary_Exchange_Balances_00UTC!$B393="","",Summary_Exchange_Balances_00UTC!$B393)</f>
        <v>BINE-2-S1-M Margin Loan</v>
      </c>
      <c r="C393" t="str">
        <f>IF(Summary_Exchange_Balances_00UTC!$B393="","",Summary_Exchange_Balances_00UTC!$E393)</f>
        <v>MKR</v>
      </c>
      <c r="D393" t="str">
        <f>IF(OR(Summary_Exchange_Balances_00UTC!$B393="",Summary_Exchange_Balances_00UTC!$D393=""),"",Summary_Exchange_Balances_00UTC!$D393)</f>
        <v/>
      </c>
      <c r="E393" s="54">
        <f>IF(Summary_Exchange_Balances_00UTC!$B393="","",Summary_Exchange_Balances_00UTC!$C393)</f>
        <v>-14</v>
      </c>
      <c r="F393" s="53" t="e">
        <f>IF(Summary_Exchange_Balances_00UTC!$B393="","",VLOOKUP(UPPER($A393&amp;$C393),$L:$T,7,FALSE))</f>
        <v>#N/A</v>
      </c>
      <c r="G393" s="53" t="e">
        <f>IF(Summary_Exchange_Balances_00UTC!$B393="","",VLOOKUP(IF(ISERROR(SEARCH(" ", $B393)),UPPER($B393&amp;$C393&amp;$D393),UPPER(LEFT($B393, SEARCH(" ",$B393)-1)&amp;$C393&amp;$D393)),$M:$T,6,FALSE))</f>
        <v>#N/A</v>
      </c>
      <c r="H393">
        <f>IF(Summary_Exchange_Balances_00UTC!$B393="","",IF(ISERROR($G393),$E393,$G393))</f>
        <v>-14</v>
      </c>
      <c r="I393" s="36" t="e">
        <f t="shared" si="18"/>
        <v>#N/A</v>
      </c>
      <c r="Y393" s="54"/>
      <c r="AC393"/>
      <c r="AD393"/>
      <c r="AS393" t="str">
        <f>IF(Summary_Exchange_Balances_00UTC!$B393="","","'"&amp;C393&amp;"',")</f>
        <v>'MKR',</v>
      </c>
      <c r="AT393">
        <f>IF(Summary_Exchange_Balances_00UTC!$B393="","",IF(ISERROR(HLOOKUP($C393,$AW$1:$LL$2,2,FALSE)),Summary_Exchange_Balances_00UTC!$Q393,IF(OR(HLOOKUP($C393,$AW$1:$LL$2,2,FALSE)="",HLOOKUP($C393,$AW$1:$LL$2,2,FALSE)="null"),Summary_Exchange_Balances_00UTC!$Q393,HLOOKUP($C393,$AW$1:$LL$2,2,FALSE))))</f>
        <v>657.48676</v>
      </c>
    </row>
    <row r="394" spans="1:46" x14ac:dyDescent="0.25">
      <c r="A394" t="str">
        <f>IF(Summary_Exchange_Balances_00UTC!$B394="","",Summary_Exchange_Balances_00UTC!$N394)</f>
        <v>BINE</v>
      </c>
      <c r="B394" t="str">
        <f>IF(Summary_Exchange_Balances_00UTC!$B394="","",Summary_Exchange_Balances_00UTC!$B394)</f>
        <v>BINE-2-S1-M Margin Loan</v>
      </c>
      <c r="C394" t="str">
        <f>IF(Summary_Exchange_Balances_00UTC!$B394="","",Summary_Exchange_Balances_00UTC!$E394)</f>
        <v>OMG</v>
      </c>
      <c r="D394" t="str">
        <f>IF(OR(Summary_Exchange_Balances_00UTC!$B394="",Summary_Exchange_Balances_00UTC!$D394=""),"",Summary_Exchange_Balances_00UTC!$D394)</f>
        <v/>
      </c>
      <c r="E394" s="54">
        <f>IF(Summary_Exchange_Balances_00UTC!$B394="","",Summary_Exchange_Balances_00UTC!$C394)</f>
        <v>-290.39999999999998</v>
      </c>
      <c r="F394" s="53">
        <f>IF(Summary_Exchange_Balances_00UTC!$B394="","",VLOOKUP(UPPER($A394&amp;$C394),$L:$T,7,FALSE))</f>
        <v>8000</v>
      </c>
      <c r="G394" s="53" t="e">
        <f>IF(Summary_Exchange_Balances_00UTC!$B394="","",VLOOKUP(IF(ISERROR(SEARCH(" ", $B394)),UPPER($B394&amp;$C394&amp;$D394),UPPER(LEFT($B394, SEARCH(" ",$B394)-1)&amp;$C394&amp;$D394)),$M:$T,6,FALSE))</f>
        <v>#N/A</v>
      </c>
      <c r="H394">
        <f>IF(Summary_Exchange_Balances_00UTC!$B394="","",IF(ISERROR($G394),$E394,$G394))</f>
        <v>-290.39999999999998</v>
      </c>
      <c r="I394" s="36" t="e">
        <f t="shared" si="18"/>
        <v>#N/A</v>
      </c>
      <c r="Y394" s="54"/>
      <c r="AC394"/>
      <c r="AD394"/>
      <c r="AS394" t="str">
        <f>IF(Summary_Exchange_Balances_00UTC!$B394="","","'"&amp;C394&amp;"',")</f>
        <v>'OMG',</v>
      </c>
      <c r="AT394">
        <f>IF(Summary_Exchange_Balances_00UTC!$B394="","",IF(ISERROR(HLOOKUP($C394,$AW$1:$LL$2,2,FALSE)),Summary_Exchange_Balances_00UTC!$Q394,IF(OR(HLOOKUP($C394,$AW$1:$LL$2,2,FALSE)="",HLOOKUP($C394,$AW$1:$LL$2,2,FALSE)="null"),Summary_Exchange_Balances_00UTC!$Q394,HLOOKUP($C394,$AW$1:$LL$2,2,FALSE))))</f>
        <v>1.1276999999999999</v>
      </c>
    </row>
    <row r="395" spans="1:46" x14ac:dyDescent="0.25">
      <c r="A395" t="str">
        <f>IF(Summary_Exchange_Balances_00UTC!$B395="","",Summary_Exchange_Balances_00UTC!$N395)</f>
        <v>BINE</v>
      </c>
      <c r="B395" t="str">
        <f>IF(Summary_Exchange_Balances_00UTC!$B395="","",Summary_Exchange_Balances_00UTC!$B395)</f>
        <v>BINE-2-S1-M Margin Loan</v>
      </c>
      <c r="C395" t="str">
        <f>IF(Summary_Exchange_Balances_00UTC!$B395="","",Summary_Exchange_Balances_00UTC!$E395)</f>
        <v>SHIB</v>
      </c>
      <c r="D395" t="str">
        <f>IF(OR(Summary_Exchange_Balances_00UTC!$B395="",Summary_Exchange_Balances_00UTC!$D395=""),"",Summary_Exchange_Balances_00UTC!$D395)</f>
        <v/>
      </c>
      <c r="E395" s="54">
        <f>IF(Summary_Exchange_Balances_00UTC!$B395="","",Summary_Exchange_Balances_00UTC!$C395)</f>
        <v>-6000000000</v>
      </c>
      <c r="F395" s="53">
        <f>IF(Summary_Exchange_Balances_00UTC!$B395="","",VLOOKUP(UPPER($A395&amp;$C395),$L:$T,7,FALSE))</f>
        <v>-6000000000</v>
      </c>
      <c r="G395" s="53" t="e">
        <f>IF(Summary_Exchange_Balances_00UTC!$B395="","",VLOOKUP(IF(ISERROR(SEARCH(" ", $B395)),UPPER($B395&amp;$C395&amp;$D395),UPPER(LEFT($B395, SEARCH(" ",$B395)-1)&amp;$C395&amp;$D395)),$M:$T,6,FALSE))</f>
        <v>#N/A</v>
      </c>
      <c r="H395">
        <f>IF(Summary_Exchange_Balances_00UTC!$B395="","",IF(ISERROR($G395),$E395,$G395))</f>
        <v>-6000000000</v>
      </c>
      <c r="I395" s="36" t="e">
        <f t="shared" si="18"/>
        <v>#N/A</v>
      </c>
      <c r="Y395" s="54"/>
      <c r="AC395"/>
      <c r="AD395"/>
      <c r="AT395">
        <f>IF(Summary_Exchange_Balances_00UTC!$B395="","",IF(ISERROR(HLOOKUP($C395,$AW$1:$LL$2,2,FALSE)),Summary_Exchange_Balances_00UTC!$Q395,IF(OR(HLOOKUP($C395,$AW$1:$LL$2,2,FALSE)="",HLOOKUP($C395,$AW$1:$LL$2,2,FALSE)="null"),Summary_Exchange_Balances_00UTC!$Q395,HLOOKUP($C395,$AW$1:$LL$2,2,FALSE))))</f>
        <v>9.1027119999999996E-6</v>
      </c>
    </row>
    <row r="396" spans="1:46" x14ac:dyDescent="0.25">
      <c r="A396" t="str">
        <f>IF(Summary_Exchange_Balances_00UTC!$B396="","",Summary_Exchange_Balances_00UTC!$N396)</f>
        <v>BINE</v>
      </c>
      <c r="B396" t="str">
        <f>IF(Summary_Exchange_Balances_00UTC!$B396="","",Summary_Exchange_Balances_00UTC!$B396)</f>
        <v>BINE-2-S1-M Margin Loan</v>
      </c>
      <c r="C396" t="str">
        <f>IF(Summary_Exchange_Balances_00UTC!$B396="","",Summary_Exchange_Balances_00UTC!$E396)</f>
        <v>SOL</v>
      </c>
      <c r="D396" t="str">
        <f>IF(OR(Summary_Exchange_Balances_00UTC!$B396="",Summary_Exchange_Balances_00UTC!$D396=""),"",Summary_Exchange_Balances_00UTC!$D396)</f>
        <v/>
      </c>
      <c r="E396" s="54">
        <f>IF(Summary_Exchange_Balances_00UTC!$B396="","",Summary_Exchange_Balances_00UTC!$C396)</f>
        <v>-5000</v>
      </c>
      <c r="F396" s="53">
        <f>IF(Summary_Exchange_Balances_00UTC!$B396="","",VLOOKUP(UPPER($A396&amp;$C396),$L:$T,7,FALSE))</f>
        <v>-60</v>
      </c>
      <c r="G396" s="53" t="e">
        <f>IF(Summary_Exchange_Balances_00UTC!$B396="","",VLOOKUP(IF(ISERROR(SEARCH(" ", $B396)),UPPER($B396&amp;$C396&amp;$D396),UPPER(LEFT($B396, SEARCH(" ",$B396)-1)&amp;$C396&amp;$D396)),$M:$T,6,FALSE))</f>
        <v>#N/A</v>
      </c>
      <c r="H396">
        <f>IF(Summary_Exchange_Balances_00UTC!$B396="","",IF(ISERROR($G396),$E396,$G396))</f>
        <v>-5000</v>
      </c>
      <c r="I396" s="36" t="e">
        <f t="shared" si="18"/>
        <v>#N/A</v>
      </c>
      <c r="Y396" s="54"/>
      <c r="AC396"/>
      <c r="AD396"/>
      <c r="AT396">
        <f>IF(Summary_Exchange_Balances_00UTC!$B396="","",IF(ISERROR(HLOOKUP($C396,$AW$1:$LL$2,2,FALSE)),Summary_Exchange_Balances_00UTC!$Q396,IF(OR(HLOOKUP($C396,$AW$1:$LL$2,2,FALSE)="",HLOOKUP($C396,$AW$1:$LL$2,2,FALSE)="null"),Summary_Exchange_Balances_00UTC!$Q396,HLOOKUP($C396,$AW$1:$LL$2,2,FALSE))))</f>
        <v>13.78</v>
      </c>
    </row>
    <row r="397" spans="1:46" x14ac:dyDescent="0.25">
      <c r="A397" t="str">
        <f>IF(Summary_Exchange_Balances_00UTC!$B397="","",Summary_Exchange_Balances_00UTC!$N397)</f>
        <v>BINE</v>
      </c>
      <c r="B397" t="str">
        <f>IF(Summary_Exchange_Balances_00UTC!$B397="","",Summary_Exchange_Balances_00UTC!$B397)</f>
        <v>BINE-2-S1-M Margin Loan</v>
      </c>
      <c r="C397" t="str">
        <f>IF(Summary_Exchange_Balances_00UTC!$B397="","",Summary_Exchange_Balances_00UTC!$E397)</f>
        <v>SUSHI</v>
      </c>
      <c r="D397" t="str">
        <f>IF(OR(Summary_Exchange_Balances_00UTC!$B397="",Summary_Exchange_Balances_00UTC!$D397=""),"",Summary_Exchange_Balances_00UTC!$D397)</f>
        <v/>
      </c>
      <c r="E397" s="54">
        <f>IF(Summary_Exchange_Balances_00UTC!$B397="","",Summary_Exchange_Balances_00UTC!$C397)</f>
        <v>-30000</v>
      </c>
      <c r="F397" s="53" t="e">
        <f>IF(Summary_Exchange_Balances_00UTC!$B397="","",VLOOKUP(UPPER($A397&amp;$C397),$L:$T,7,FALSE))</f>
        <v>#N/A</v>
      </c>
      <c r="G397" s="53" t="e">
        <f>IF(Summary_Exchange_Balances_00UTC!$B397="","",VLOOKUP(IF(ISERROR(SEARCH(" ", $B397)),UPPER($B397&amp;$C397&amp;$D397),UPPER(LEFT($B397, SEARCH(" ",$B397)-1)&amp;$C397&amp;$D397)),$M:$T,6,FALSE))</f>
        <v>#N/A</v>
      </c>
      <c r="H397">
        <f>IF(Summary_Exchange_Balances_00UTC!$B397="","",IF(ISERROR($G397),$E397,$G397))</f>
        <v>-30000</v>
      </c>
      <c r="I397" s="36" t="e">
        <f t="shared" si="18"/>
        <v>#N/A</v>
      </c>
      <c r="W397" t="s">
        <v>46</v>
      </c>
      <c r="X397" t="s">
        <v>39</v>
      </c>
      <c r="Y397" s="54">
        <v>-24920.176410470001</v>
      </c>
      <c r="Z397">
        <v>0</v>
      </c>
    </row>
    <row r="398" spans="1:46" x14ac:dyDescent="0.25">
      <c r="A398" t="str">
        <f>IF(Summary_Exchange_Balances_00UTC!$B398="","",Summary_Exchange_Balances_00UTC!$N398)</f>
        <v>BINE</v>
      </c>
      <c r="B398" t="str">
        <f>IF(Summary_Exchange_Balances_00UTC!$B398="","",Summary_Exchange_Balances_00UTC!$B398)</f>
        <v>BINE-2-S1-M Margin Loan</v>
      </c>
      <c r="C398" t="str">
        <f>IF(Summary_Exchange_Balances_00UTC!$B398="","",Summary_Exchange_Balances_00UTC!$E398)</f>
        <v>UNI</v>
      </c>
      <c r="D398" t="str">
        <f>IF(OR(Summary_Exchange_Balances_00UTC!$B398="",Summary_Exchange_Balances_00UTC!$D398=""),"",Summary_Exchange_Balances_00UTC!$D398)</f>
        <v/>
      </c>
      <c r="E398" s="53">
        <f>IF(Summary_Exchange_Balances_00UTC!$B398="","",Summary_Exchange_Balances_00UTC!$C398)</f>
        <v>-6000</v>
      </c>
      <c r="F398" s="53">
        <f>IF(Summary_Exchange_Balances_00UTC!$B398="","",VLOOKUP(UPPER($A398&amp;$C398),$L:$T,7,FALSE))</f>
        <v>1000</v>
      </c>
      <c r="G398" s="53" t="e">
        <f>IF(Summary_Exchange_Balances_00UTC!$B398="","",VLOOKUP(IF(ISERROR(SEARCH(" ", $B398)),UPPER($B398&amp;$C398&amp;$D398),UPPER(LEFT($B398, SEARCH(" ",$B398)-1)&amp;$C398&amp;$D398)),$M:$T,6,FALSE))</f>
        <v>#N/A</v>
      </c>
      <c r="H398">
        <f>IF(Summary_Exchange_Balances_00UTC!$B398="","",IF(ISERROR($G398),$E398,$G398))</f>
        <v>-6000</v>
      </c>
      <c r="I398" s="36" t="e">
        <f t="shared" si="18"/>
        <v>#N/A</v>
      </c>
      <c r="W398" t="s">
        <v>46</v>
      </c>
      <c r="X398" t="s">
        <v>21</v>
      </c>
      <c r="Y398" s="53">
        <v>-1573.30286441</v>
      </c>
      <c r="Z398">
        <v>0</v>
      </c>
    </row>
    <row r="399" spans="1:46" x14ac:dyDescent="0.25">
      <c r="A399" t="str">
        <f>IF(Summary_Exchange_Balances_00UTC!$B399="","",Summary_Exchange_Balances_00UTC!$N399)</f>
        <v>BINE</v>
      </c>
      <c r="B399" t="str">
        <f>IF(Summary_Exchange_Balances_00UTC!$B399="","",Summary_Exchange_Balances_00UTC!$B399)</f>
        <v>BINE-2-S1-M Margin Loan</v>
      </c>
      <c r="C399" t="str">
        <f>IF(Summary_Exchange_Balances_00UTC!$B399="","",Summary_Exchange_Balances_00UTC!$E399)</f>
        <v>USDT</v>
      </c>
      <c r="D399" t="str">
        <f>IF(OR(Summary_Exchange_Balances_00UTC!$B399="",Summary_Exchange_Balances_00UTC!$D399=""),"",Summary_Exchange_Balances_00UTC!$D399)</f>
        <v/>
      </c>
      <c r="E399" s="53">
        <f>IF(Summary_Exchange_Balances_00UTC!$B399="","",Summary_Exchange_Balances_00UTC!$C399)</f>
        <v>-4696108.9971914096</v>
      </c>
      <c r="F399" s="53">
        <f>IF(Summary_Exchange_Balances_00UTC!$B399="","",VLOOKUP(UPPER($A399&amp;$C399),$L:$T,7,FALSE))</f>
        <v>1989106.98597552</v>
      </c>
      <c r="G399" s="53" t="e">
        <f>IF(Summary_Exchange_Balances_00UTC!$B399="","",VLOOKUP(IF(ISERROR(SEARCH(" ", $B399)),UPPER($B399&amp;$C399&amp;$D399),UPPER(LEFT($B399, SEARCH(" ",$B399)-1)&amp;$C399&amp;$D399)),$M:$T,6,FALSE))</f>
        <v>#N/A</v>
      </c>
      <c r="H399">
        <f>IF(Summary_Exchange_Balances_00UTC!$B399="","",IF(ISERROR($G399),$E399,$G399))</f>
        <v>-4696108.9971914096</v>
      </c>
      <c r="I399" s="36" t="e">
        <f t="shared" si="18"/>
        <v>#N/A</v>
      </c>
      <c r="W399" t="s">
        <v>46</v>
      </c>
      <c r="X399" t="s">
        <v>30</v>
      </c>
      <c r="Y399" s="53">
        <v>-0.40707694999999999</v>
      </c>
      <c r="Z399">
        <v>0</v>
      </c>
    </row>
    <row r="400" spans="1:46" x14ac:dyDescent="0.25">
      <c r="A400" t="str">
        <f>IF(Summary_Exchange_Balances_00UTC!$B400="","",Summary_Exchange_Balances_00UTC!$N400)</f>
        <v>BINE</v>
      </c>
      <c r="B400" t="str">
        <f>IF(Summary_Exchange_Balances_00UTC!$B400="","",Summary_Exchange_Balances_00UTC!$B400)</f>
        <v>BINE-2-S1-M Margin Loan</v>
      </c>
      <c r="C400" t="str">
        <f>IF(Summary_Exchange_Balances_00UTC!$B400="","",Summary_Exchange_Balances_00UTC!$E400)</f>
        <v>VET</v>
      </c>
      <c r="D400" t="str">
        <f>IF(OR(Summary_Exchange_Balances_00UTC!$B400="",Summary_Exchange_Balances_00UTC!$D400=""),"",Summary_Exchange_Balances_00UTC!$D400)</f>
        <v/>
      </c>
      <c r="E400" s="54">
        <f>IF(Summary_Exchange_Balances_00UTC!$B400="","",Summary_Exchange_Balances_00UTC!$C400)</f>
        <v>-100</v>
      </c>
      <c r="F400" s="53">
        <f>IF(Summary_Exchange_Balances_00UTC!$B400="","",VLOOKUP(UPPER($A400&amp;$C400),$L:$T,7,FALSE))</f>
        <v>-100</v>
      </c>
      <c r="G400" s="53" t="e">
        <f>IF(Summary_Exchange_Balances_00UTC!$B400="","",VLOOKUP(IF(ISERROR(SEARCH(" ", $B400)),UPPER($B400&amp;$C400&amp;$D400),UPPER(LEFT($B400, SEARCH(" ",$B400)-1)&amp;$C400&amp;$D400)),$M:$T,6,FALSE))</f>
        <v>#N/A</v>
      </c>
      <c r="H400">
        <f>IF(Summary_Exchange_Balances_00UTC!$B400="","",IF(ISERROR($G400),$E400,$G400))</f>
        <v>-100</v>
      </c>
      <c r="I400" s="36" t="e">
        <f t="shared" si="18"/>
        <v>#N/A</v>
      </c>
      <c r="W400" t="s">
        <v>46</v>
      </c>
      <c r="X400" t="s">
        <v>16</v>
      </c>
      <c r="Y400" s="54">
        <v>-1264.9539022599999</v>
      </c>
      <c r="Z400">
        <v>0</v>
      </c>
    </row>
    <row r="401" spans="1:26" x14ac:dyDescent="0.25">
      <c r="A401" t="str">
        <f>IF(Summary_Exchange_Balances_00UTC!$B401="","",Summary_Exchange_Balances_00UTC!$N401)</f>
        <v>BINE</v>
      </c>
      <c r="B401" t="str">
        <f>IF(Summary_Exchange_Balances_00UTC!$B401="","",Summary_Exchange_Balances_00UTC!$B401)</f>
        <v>BINE-2-S1-M Margin Loan</v>
      </c>
      <c r="C401" t="str">
        <f>IF(Summary_Exchange_Balances_00UTC!$B401="","",Summary_Exchange_Balances_00UTC!$E401)</f>
        <v>XLM</v>
      </c>
      <c r="D401" t="str">
        <f>IF(OR(Summary_Exchange_Balances_00UTC!$B401="",Summary_Exchange_Balances_00UTC!$D401=""),"",Summary_Exchange_Balances_00UTC!$D401)</f>
        <v/>
      </c>
      <c r="E401" s="53">
        <f>IF(Summary_Exchange_Balances_00UTC!$B401="","",Summary_Exchange_Balances_00UTC!$C401)</f>
        <v>-500000</v>
      </c>
      <c r="F401" s="53">
        <f>IF(Summary_Exchange_Balances_00UTC!$B401="","",VLOOKUP(UPPER($A401&amp;$C401),$L:$T,7,FALSE))</f>
        <v>-50000</v>
      </c>
      <c r="G401" s="53" t="e">
        <f>IF(Summary_Exchange_Balances_00UTC!$B401="","",VLOOKUP(IF(ISERROR(SEARCH(" ", $B401)),UPPER($B401&amp;$C401&amp;$D401),UPPER(LEFT($B401, SEARCH(" ",$B401)-1)&amp;$C401&amp;$D401)),$M:$T,6,FALSE))</f>
        <v>#N/A</v>
      </c>
      <c r="H401">
        <f>IF(Summary_Exchange_Balances_00UTC!$B401="","",IF(ISERROR($G401),$E401,$G401))</f>
        <v>-500000</v>
      </c>
      <c r="I401" s="36" t="e">
        <f t="shared" si="18"/>
        <v>#N/A</v>
      </c>
      <c r="W401" t="s">
        <v>46</v>
      </c>
      <c r="X401" t="s">
        <v>31</v>
      </c>
      <c r="Y401" s="53">
        <v>-3.6900389999999998E-2</v>
      </c>
      <c r="Z401">
        <v>0</v>
      </c>
    </row>
    <row r="402" spans="1:26" x14ac:dyDescent="0.25">
      <c r="A402" t="str">
        <f>IF(Summary_Exchange_Balances_00UTC!$B402="","",Summary_Exchange_Balances_00UTC!$N402)</f>
        <v>BINE</v>
      </c>
      <c r="B402" t="str">
        <f>IF(Summary_Exchange_Balances_00UTC!$B402="","",Summary_Exchange_Balances_00UTC!$B402)</f>
        <v>BINE-2-S1-M Margin Loan</v>
      </c>
      <c r="C402" t="str">
        <f>IF(Summary_Exchange_Balances_00UTC!$B402="","",Summary_Exchange_Balances_00UTC!$E402)</f>
        <v>XTZ</v>
      </c>
      <c r="D402" t="str">
        <f>IF(OR(Summary_Exchange_Balances_00UTC!$B402="",Summary_Exchange_Balances_00UTC!$D402=""),"",Summary_Exchange_Balances_00UTC!$D402)</f>
        <v/>
      </c>
      <c r="E402" s="53">
        <f>IF(Summary_Exchange_Balances_00UTC!$B402="","",Summary_Exchange_Balances_00UTC!$C402)</f>
        <v>-40000</v>
      </c>
      <c r="F402" s="53" t="e">
        <f>IF(Summary_Exchange_Balances_00UTC!$B402="","",VLOOKUP(UPPER($A402&amp;$C402),$L:$T,7,FALSE))</f>
        <v>#N/A</v>
      </c>
      <c r="G402" s="53" t="e">
        <f>IF(Summary_Exchange_Balances_00UTC!$B402="","",VLOOKUP(IF(ISERROR(SEARCH(" ", $B402)),UPPER($B402&amp;$C402&amp;$D402),UPPER(LEFT($B402, SEARCH(" ",$B402)-1)&amp;$C402&amp;$D402)),$M:$T,6,FALSE))</f>
        <v>#N/A</v>
      </c>
      <c r="H402">
        <f>IF(Summary_Exchange_Balances_00UTC!$B402="","",IF(ISERROR($G402),$E402,$G402))</f>
        <v>-40000</v>
      </c>
      <c r="I402" s="36" t="e">
        <f t="shared" si="18"/>
        <v>#N/A</v>
      </c>
      <c r="W402" t="s">
        <v>46</v>
      </c>
      <c r="X402" t="s">
        <v>38</v>
      </c>
      <c r="Y402" s="53">
        <v>-10030463790.586161</v>
      </c>
      <c r="Z402">
        <v>0</v>
      </c>
    </row>
    <row r="403" spans="1:26" x14ac:dyDescent="0.25">
      <c r="A403" t="str">
        <f>IF(Summary_Exchange_Balances_00UTC!$B403="","",Summary_Exchange_Balances_00UTC!$N403)</f>
        <v>HUBI</v>
      </c>
      <c r="B403" t="str">
        <f>IF(Summary_Exchange_Balances_00UTC!$B403="","",Summary_Exchange_Balances_00UTC!$B403)</f>
        <v>HUBI-M Margin Loan</v>
      </c>
      <c r="C403" t="str">
        <f>IF(Summary_Exchange_Balances_00UTC!$B403="","",Summary_Exchange_Balances_00UTC!$E403)</f>
        <v>EOS</v>
      </c>
      <c r="D403" t="str">
        <f>IF(OR(Summary_Exchange_Balances_00UTC!$B403="",Summary_Exchange_Balances_00UTC!$D403=""),"",Summary_Exchange_Balances_00UTC!$D403)</f>
        <v>Margin Loan</v>
      </c>
      <c r="E403" s="53">
        <f>IF(Summary_Exchange_Balances_00UTC!$B403="","",Summary_Exchange_Balances_00UTC!$C403)</f>
        <v>-457203</v>
      </c>
      <c r="F403" s="53">
        <f>IF(Summary_Exchange_Balances_00UTC!$B403="","",VLOOKUP(UPPER($A403&amp;$C403),$L:$T,7,FALSE))</f>
        <v>28617.428863770001</v>
      </c>
      <c r="G403" s="53" t="e">
        <f>IF(Summary_Exchange_Balances_00UTC!$B403="","",VLOOKUP(IF(ISERROR(SEARCH(" ", $B403)),UPPER($B403&amp;$C403&amp;$D403),UPPER(LEFT($B403, SEARCH(" ",$B403)-1)&amp;$C403&amp;$D403)),$M:$T,6,FALSE))</f>
        <v>#N/A</v>
      </c>
      <c r="H403">
        <f>IF(Summary_Exchange_Balances_00UTC!$B403="","",IF(ISERROR($G403),$E403,$G403))</f>
        <v>-457203</v>
      </c>
      <c r="I403" s="36" t="e">
        <f t="shared" si="18"/>
        <v>#N/A</v>
      </c>
      <c r="W403" t="s">
        <v>46</v>
      </c>
      <c r="X403" t="s">
        <v>95</v>
      </c>
      <c r="Y403" s="53">
        <v>-66833.931200249994</v>
      </c>
      <c r="Z403">
        <v>0</v>
      </c>
    </row>
    <row r="404" spans="1:26" x14ac:dyDescent="0.25">
      <c r="A404" t="str">
        <f>IF(Summary_Exchange_Balances_00UTC!$B404="","",Summary_Exchange_Balances_00UTC!$N404)</f>
        <v>HUBI</v>
      </c>
      <c r="B404" t="str">
        <f>IF(Summary_Exchange_Balances_00UTC!$B404="","",Summary_Exchange_Balances_00UTC!$B404)</f>
        <v>HUBI-M Margin Loan</v>
      </c>
      <c r="C404" t="str">
        <f>IF(Summary_Exchange_Balances_00UTC!$B404="","",Summary_Exchange_Balances_00UTC!$E404)</f>
        <v>LINK</v>
      </c>
      <c r="D404" t="str">
        <f>IF(OR(Summary_Exchange_Balances_00UTC!$B404="",Summary_Exchange_Balances_00UTC!$D404=""),"",Summary_Exchange_Balances_00UTC!$D404)</f>
        <v>Margin Loan</v>
      </c>
      <c r="E404" s="53">
        <f>IF(Summary_Exchange_Balances_00UTC!$B404="","",Summary_Exchange_Balances_00UTC!$C404)</f>
        <v>-2073</v>
      </c>
      <c r="F404" s="53">
        <f>IF(Summary_Exchange_Balances_00UTC!$B404="","",VLOOKUP(UPPER($A404&amp;$C404),$L:$T,7,FALSE))</f>
        <v>9.5620959999999995E-4</v>
      </c>
      <c r="G404" s="53" t="e">
        <f>IF(Summary_Exchange_Balances_00UTC!$B404="","",VLOOKUP(IF(ISERROR(SEARCH(" ", $B404)),UPPER($B404&amp;$C404&amp;$D404),UPPER(LEFT($B404, SEARCH(" ",$B404)-1)&amp;$C404&amp;$D404)),$M:$T,6,FALSE))</f>
        <v>#N/A</v>
      </c>
      <c r="H404">
        <f>IF(Summary_Exchange_Balances_00UTC!$B404="","",IF(ISERROR($G404),$E404,$G404))</f>
        <v>-2073</v>
      </c>
      <c r="I404" s="36" t="e">
        <f t="shared" si="18"/>
        <v>#N/A</v>
      </c>
      <c r="W404" t="s">
        <v>187</v>
      </c>
      <c r="X404" t="s">
        <v>15</v>
      </c>
      <c r="Y404" s="53">
        <v>-174.51592060999999</v>
      </c>
      <c r="Z404">
        <v>0</v>
      </c>
    </row>
    <row r="405" spans="1:26" x14ac:dyDescent="0.25">
      <c r="A405" t="str">
        <f>IF(Summary_Exchange_Balances_00UTC!$B405="","",Summary_Exchange_Balances_00UTC!$N405)</f>
        <v>HUBI</v>
      </c>
      <c r="B405" t="str">
        <f>IF(Summary_Exchange_Balances_00UTC!$B405="","",Summary_Exchange_Balances_00UTC!$B405)</f>
        <v>HUBI-M Margin Loan</v>
      </c>
      <c r="C405" t="str">
        <f>IF(Summary_Exchange_Balances_00UTC!$B405="","",Summary_Exchange_Balances_00UTC!$E405)</f>
        <v>LTC</v>
      </c>
      <c r="D405" t="str">
        <f>IF(OR(Summary_Exchange_Balances_00UTC!$B405="",Summary_Exchange_Balances_00UTC!$D405=""),"",Summary_Exchange_Balances_00UTC!$D405)</f>
        <v>Margin Loan</v>
      </c>
      <c r="E405" s="53">
        <f>IF(Summary_Exchange_Balances_00UTC!$B405="","",Summary_Exchange_Balances_00UTC!$C405)</f>
        <v>-6100</v>
      </c>
      <c r="F405" s="53">
        <f>IF(Summary_Exchange_Balances_00UTC!$B405="","",VLOOKUP(UPPER($A405&amp;$C405),$L:$T,7,FALSE))</f>
        <v>2.4771052999999999E-3</v>
      </c>
      <c r="G405" s="53" t="e">
        <f>IF(Summary_Exchange_Balances_00UTC!$B405="","",VLOOKUP(IF(ISERROR(SEARCH(" ", $B405)),UPPER($B405&amp;$C405&amp;$D405),UPPER(LEFT($B405, SEARCH(" ",$B405)-1)&amp;$C405&amp;$D405)),$M:$T,6,FALSE))</f>
        <v>#N/A</v>
      </c>
      <c r="H405">
        <f>IF(Summary_Exchange_Balances_00UTC!$B405="","",IF(ISERROR($G405),$E405,$G405))</f>
        <v>-6100</v>
      </c>
      <c r="I405" s="36" t="e">
        <f t="shared" si="18"/>
        <v>#N/A</v>
      </c>
      <c r="W405" t="s">
        <v>187</v>
      </c>
      <c r="X405" t="s">
        <v>16</v>
      </c>
      <c r="Y405" s="53">
        <v>-2994.3247933399998</v>
      </c>
      <c r="Z405">
        <v>0</v>
      </c>
    </row>
    <row r="406" spans="1:26" x14ac:dyDescent="0.25">
      <c r="A406" t="str">
        <f>IF(Summary_Exchange_Balances_00UTC!$B406="","",Summary_Exchange_Balances_00UTC!$N406)</f>
        <v>HUBI</v>
      </c>
      <c r="B406" t="s">
        <v>240</v>
      </c>
      <c r="C406" t="str">
        <f>IF(Summary_Exchange_Balances_00UTC!$B406="","",Summary_Exchange_Balances_00UTC!$E406)</f>
        <v>USDT</v>
      </c>
      <c r="D406" t="str">
        <f>IF(OR(Summary_Exchange_Balances_00UTC!$B406="",Summary_Exchange_Balances_00UTC!$D406=""),"",Summary_Exchange_Balances_00UTC!$D406)</f>
        <v>Margin Loan</v>
      </c>
      <c r="E406" s="53">
        <f>IF(Summary_Exchange_Balances_00UTC!$B406="","",Summary_Exchange_Balances_00UTC!$C406)</f>
        <v>-200000</v>
      </c>
      <c r="F406" s="53">
        <f>IF(Summary_Exchange_Balances_00UTC!$B406="","",VLOOKUP(UPPER($A406&amp;$C406),$L:$T,7,FALSE))</f>
        <v>-29544130.0141466</v>
      </c>
      <c r="G406" s="53" t="e">
        <f>IF(Summary_Exchange_Balances_00UTC!$B406="","",VLOOKUP(IF(ISERROR(SEARCH(" ", $B406)),UPPER($B406&amp;$C406&amp;$D406),UPPER(LEFT($B406, SEARCH(" ",$B406)-1)&amp;$C406&amp;$D406)),$M:$T,6,FALSE))</f>
        <v>#N/A</v>
      </c>
      <c r="H406">
        <f>IF(Summary_Exchange_Balances_00UTC!$B406="","",IF(ISERROR($G406),$E406,$G406))</f>
        <v>-200000</v>
      </c>
      <c r="I406" s="36" t="e">
        <f t="shared" si="18"/>
        <v>#N/A</v>
      </c>
      <c r="W406" t="s">
        <v>268</v>
      </c>
      <c r="X406" t="s">
        <v>98</v>
      </c>
      <c r="Y406" s="53">
        <v>39244603.490000002</v>
      </c>
      <c r="Z406">
        <v>0</v>
      </c>
    </row>
    <row r="407" spans="1:26" x14ac:dyDescent="0.25">
      <c r="A407" t="str">
        <f>IF(Summary_Exchange_Balances_00UTC!$B407="","",Summary_Exchange_Balances_00UTC!$N407)</f>
        <v>BULL</v>
      </c>
      <c r="B407" t="str">
        <f>IF(Summary_Exchange_Balances_00UTC!$B407="","",Summary_Exchange_Balances_00UTC!$B407)</f>
        <v>LEND-BULL</v>
      </c>
      <c r="C407" t="str">
        <f>IF(Summary_Exchange_Balances_00UTC!$B407="","",Summary_Exchange_Balances_00UTC!$E407)</f>
        <v>BTC</v>
      </c>
      <c r="D407" t="str">
        <f>IF(OR(Summary_Exchange_Balances_00UTC!$B407="",Summary_Exchange_Balances_00UTC!$D407=""),"",Summary_Exchange_Balances_00UTC!$D407)</f>
        <v/>
      </c>
      <c r="E407" s="53">
        <f>IF(Summary_Exchange_Balances_00UTC!$B407="","",Summary_Exchange_Balances_00UTC!$C407)</f>
        <v>-3350</v>
      </c>
      <c r="F407" s="53">
        <f>IF(Summary_Exchange_Balances_00UTC!$B407="","",VLOOKUP(UPPER($A407&amp;$C407),$L:$T,7,FALSE))</f>
        <v>4667.5576719600003</v>
      </c>
      <c r="G407" s="53" t="e">
        <f>IF(Summary_Exchange_Balances_00UTC!$B407="","",VLOOKUP(IF(ISERROR(SEARCH(" ", $B407)),UPPER($B407&amp;$C407&amp;$D407),UPPER(LEFT($B407, SEARCH(" ",$B407)-1)&amp;$C407&amp;$D407)),$M:$T,6,FALSE))</f>
        <v>#N/A</v>
      </c>
      <c r="H407">
        <f>IF(Summary_Exchange_Balances_00UTC!$B407="","",IF(ISERROR($G407),$E407,$G407))</f>
        <v>-3350</v>
      </c>
      <c r="I407" s="36" t="e">
        <f t="shared" si="18"/>
        <v>#N/A</v>
      </c>
      <c r="W407" t="s">
        <v>262</v>
      </c>
      <c r="X407" t="s">
        <v>98</v>
      </c>
      <c r="Y407" s="53">
        <v>118588.3</v>
      </c>
      <c r="Z407">
        <v>0</v>
      </c>
    </row>
    <row r="408" spans="1:26" x14ac:dyDescent="0.25">
      <c r="A408" t="str">
        <f>IF(Summary_Exchange_Balances_00UTC!$B408="","",Summary_Exchange_Balances_00UTC!$N408)</f>
        <v>BULL</v>
      </c>
      <c r="C408" t="str">
        <f>IF(Summary_Exchange_Balances_00UTC!$B408="","",Summary_Exchange_Balances_00UTC!$E408)</f>
        <v>EOS</v>
      </c>
      <c r="D408" t="str">
        <f>IF(OR(Summary_Exchange_Balances_00UTC!$B408="",Summary_Exchange_Balances_00UTC!$D408=""),"",Summary_Exchange_Balances_00UTC!$D408)</f>
        <v/>
      </c>
      <c r="E408" s="53">
        <f>IF(Summary_Exchange_Balances_00UTC!$B408="","",Summary_Exchange_Balances_00UTC!$C408)</f>
        <v>-4350822.18</v>
      </c>
      <c r="F408" s="53">
        <f>IF(Summary_Exchange_Balances_00UTC!$B408="","",VLOOKUP(UPPER($A408&amp;$C408),$L:$T,7,FALSE))</f>
        <v>2658096.3936999999</v>
      </c>
      <c r="G408" s="53" t="e">
        <f>IF(Summary_Exchange_Balances_00UTC!$B408="","",VLOOKUP(IF(ISERROR(SEARCH(" ", $B408)),UPPER($B408&amp;$C408&amp;$D408),UPPER(LEFT($B408, SEARCH(" ",$B408)-1)&amp;$C408&amp;$D408)),$M:$T,6,FALSE))</f>
        <v>#N/A</v>
      </c>
      <c r="H408">
        <f>IF(Summary_Exchange_Balances_00UTC!$B408="","",IF(ISERROR($G408),$E408,$G408))</f>
        <v>-4350822.18</v>
      </c>
      <c r="W408" t="s">
        <v>89</v>
      </c>
      <c r="X408" t="s">
        <v>119</v>
      </c>
      <c r="Y408" s="53">
        <v>0</v>
      </c>
      <c r="Z408" s="43">
        <v>200.07893852000001</v>
      </c>
    </row>
    <row r="409" spans="1:26" x14ac:dyDescent="0.25">
      <c r="A409" t="str">
        <f>IF(Summary_Exchange_Balances_00UTC!$B409="","",Summary_Exchange_Balances_00UTC!$N409)</f>
        <v>BULL</v>
      </c>
      <c r="C409" t="str">
        <f>IF(Summary_Exchange_Balances_00UTC!$B409="","",Summary_Exchange_Balances_00UTC!$E409)</f>
        <v>ETH</v>
      </c>
      <c r="E409" s="53">
        <f>IF(Summary_Exchange_Balances_00UTC!$B409="","",Summary_Exchange_Balances_00UTC!$C409)</f>
        <v>-6499.9949999999999</v>
      </c>
      <c r="F409" s="53">
        <f>IF(Summary_Exchange_Balances_00UTC!$B409="","",VLOOKUP(UPPER($A409&amp;$C409),$L:$T,7,FALSE))</f>
        <v>764.07724300999996</v>
      </c>
      <c r="G409" s="53" t="e">
        <f>IF(Summary_Exchange_Balances_00UTC!$B409="","",VLOOKUP(IF(ISERROR(SEARCH(" ", $B409)),UPPER($B409&amp;$C409&amp;$D409),UPPER(LEFT($B409, SEARCH(" ",$B409)-1)&amp;$C409&amp;$D409)),$M:$T,6,FALSE))</f>
        <v>#N/A</v>
      </c>
      <c r="H409">
        <f>IF(Summary_Exchange_Balances_00UTC!$B409="","",IF(ISERROR($G409),$E409,$G409))</f>
        <v>-6499.9949999999999</v>
      </c>
      <c r="W409" t="s">
        <v>89</v>
      </c>
      <c r="X409" t="s">
        <v>87</v>
      </c>
      <c r="Y409" s="53">
        <v>0</v>
      </c>
      <c r="Z409" s="43">
        <v>28311.975235000002</v>
      </c>
    </row>
    <row r="410" spans="1:26" x14ac:dyDescent="0.25">
      <c r="A410" t="str">
        <f>IF(Summary_Exchange_Balances_00UTC!$B410="","",Summary_Exchange_Balances_00UTC!$N410)</f>
        <v>GALAXY</v>
      </c>
      <c r="C410" t="str">
        <f>IF(Summary_Exchange_Balances_00UTC!$B410="","",Summary_Exchange_Balances_00UTC!$E410)</f>
        <v>BTC</v>
      </c>
      <c r="E410" s="53">
        <f>IF(Summary_Exchange_Balances_00UTC!$B410="","",Summary_Exchange_Balances_00UTC!$C410)</f>
        <v>-1340.01684679</v>
      </c>
      <c r="F410" s="53" t="e">
        <f>IF(Summary_Exchange_Balances_00UTC!$B410="","",VLOOKUP(UPPER($A410&amp;$C410),$L:$T,7,FALSE))</f>
        <v>#N/A</v>
      </c>
      <c r="G410" s="53" t="e">
        <f>IF(Summary_Exchange_Balances_00UTC!$B410="","",VLOOKUP(IF(ISERROR(SEARCH(" ", $B410)),UPPER($B410&amp;$C410&amp;$D410),UPPER(LEFT($B410, SEARCH(" ",$B410)-1)&amp;$C410&amp;$D410)),$M:$T,6,FALSE))</f>
        <v>#N/A</v>
      </c>
      <c r="H410">
        <f>IF(Summary_Exchange_Balances_00UTC!$B410="","",IF(ISERROR($G410),$E410,$G410))</f>
        <v>-1340.01684679</v>
      </c>
      <c r="W410" t="s">
        <v>89</v>
      </c>
      <c r="X410" t="s">
        <v>125</v>
      </c>
      <c r="Y410" s="53">
        <v>0</v>
      </c>
      <c r="Z410" s="43">
        <v>25.399726000000001</v>
      </c>
    </row>
    <row r="411" spans="1:26" x14ac:dyDescent="0.25">
      <c r="A411" t="str">
        <f>IF(Summary_Exchange_Balances_00UTC!$B411="","",Summary_Exchange_Balances_00UTC!$N411)</f>
        <v>GALAXY</v>
      </c>
      <c r="C411" t="str">
        <f>IF(Summary_Exchange_Balances_00UTC!$B411="","",Summary_Exchange_Balances_00UTC!$E411)</f>
        <v>ETH</v>
      </c>
      <c r="E411" s="53">
        <f>IF(Summary_Exchange_Balances_00UTC!$B411="","",Summary_Exchange_Balances_00UTC!$C411)</f>
        <v>-25855</v>
      </c>
      <c r="F411" s="53" t="e">
        <f>IF(Summary_Exchange_Balances_00UTC!$B411="","",VLOOKUP(UPPER($A411&amp;$C411),$L:$T,7,FALSE))</f>
        <v>#N/A</v>
      </c>
      <c r="G411" s="53" t="e">
        <f>IF(Summary_Exchange_Balances_00UTC!$B411="","",VLOOKUP(IF(ISERROR(SEARCH(" ", $B411)),UPPER($B411&amp;$C411&amp;$D411),UPPER(LEFT($B411, SEARCH(" ",$B411)-1)&amp;$C411&amp;$D411)),$M:$T,6,FALSE))</f>
        <v>#N/A</v>
      </c>
      <c r="H411">
        <f>IF(Summary_Exchange_Balances_00UTC!$B411="","",IF(ISERROR($G411),$E411,$G411))</f>
        <v>-25855</v>
      </c>
      <c r="W411" t="s">
        <v>89</v>
      </c>
      <c r="X411" t="s">
        <v>36</v>
      </c>
      <c r="Y411" s="53">
        <v>0</v>
      </c>
      <c r="Z411" s="43">
        <v>4.2548999999999998E-3</v>
      </c>
    </row>
    <row r="412" spans="1:26" x14ac:dyDescent="0.25">
      <c r="A412" t="str">
        <f>IF(Summary_Exchange_Balances_00UTC!$B412="","",Summary_Exchange_Balances_00UTC!$N412)</f>
        <v>GALAXY</v>
      </c>
      <c r="C412" t="str">
        <f>IF(Summary_Exchange_Balances_00UTC!$B412="","",Summary_Exchange_Balances_00UTC!$E412)</f>
        <v>EUR</v>
      </c>
      <c r="E412" s="53">
        <f>IF(Summary_Exchange_Balances_00UTC!$B412="","",Summary_Exchange_Balances_00UTC!$C412)</f>
        <v>-30000000</v>
      </c>
      <c r="F412" s="53" t="e">
        <f>IF(Summary_Exchange_Balances_00UTC!$B412="","",VLOOKUP(UPPER($A412&amp;$C412),$L:$T,7,FALSE))</f>
        <v>#N/A</v>
      </c>
      <c r="H412">
        <f>IF(Summary_Exchange_Balances_00UTC!$B412="","",IF(ISERROR($G412),$E412,$G412))</f>
        <v>0</v>
      </c>
      <c r="W412" t="s">
        <v>89</v>
      </c>
      <c r="X412" t="s">
        <v>190</v>
      </c>
      <c r="Y412" s="53">
        <v>0</v>
      </c>
      <c r="Z412" s="43">
        <v>361.50767796999997</v>
      </c>
    </row>
    <row r="413" spans="1:26" x14ac:dyDescent="0.25">
      <c r="A413" t="str">
        <f>IF(Summary_Exchange_Balances_00UTC!$B413="","",Summary_Exchange_Balances_00UTC!$N413)</f>
        <v>GALAXY</v>
      </c>
      <c r="C413" t="str">
        <f>IF(Summary_Exchange_Balances_00UTC!$B413="","",Summary_Exchange_Balances_00UTC!$E413)</f>
        <v>EUROC</v>
      </c>
      <c r="E413" s="53">
        <f>IF(Summary_Exchange_Balances_00UTC!$B413="","",Summary_Exchange_Balances_00UTC!$C413)</f>
        <v>-15000000</v>
      </c>
      <c r="F413" s="53" t="e">
        <f>IF(Summary_Exchange_Balances_00UTC!$B413="","",VLOOKUP(UPPER($A413&amp;$C413),$L:$T,7,FALSE))</f>
        <v>#N/A</v>
      </c>
      <c r="H413">
        <f>IF(Summary_Exchange_Balances_00UTC!$B413="","",IF(ISERROR($G413),$E413,$G413))</f>
        <v>0</v>
      </c>
      <c r="W413" t="s">
        <v>89</v>
      </c>
      <c r="X413" t="s">
        <v>127</v>
      </c>
      <c r="Y413" s="53">
        <v>0</v>
      </c>
      <c r="Z413" s="43">
        <v>25156.055035879999</v>
      </c>
    </row>
    <row r="414" spans="1:26" x14ac:dyDescent="0.25">
      <c r="A414" t="str">
        <f>IF(Summary_Exchange_Balances_00UTC!$B414="","",Summary_Exchange_Balances_00UTC!$N414)</f>
        <v>GALAXY</v>
      </c>
      <c r="C414" t="str">
        <f>IF(Summary_Exchange_Balances_00UTC!$B414="","",Summary_Exchange_Balances_00UTC!$E414)</f>
        <v>USD</v>
      </c>
      <c r="E414" s="53">
        <f>IF(Summary_Exchange_Balances_00UTC!$B414="","",Summary_Exchange_Balances_00UTC!$C414)</f>
        <v>-42800000</v>
      </c>
      <c r="F414" s="53" t="e">
        <f>IF(Summary_Exchange_Balances_00UTC!$B414="","",VLOOKUP(UPPER($A414&amp;$C414),$L:$T,7,FALSE))</f>
        <v>#N/A</v>
      </c>
      <c r="H414">
        <f>IF(Summary_Exchange_Balances_00UTC!$B414="","",IF(ISERROR($G414),$E414,$G414))</f>
        <v>0</v>
      </c>
      <c r="W414" t="s">
        <v>89</v>
      </c>
      <c r="X414" t="s">
        <v>21</v>
      </c>
      <c r="Y414" s="53">
        <v>0</v>
      </c>
      <c r="Z414" s="43">
        <v>91.029457179999994</v>
      </c>
    </row>
    <row r="415" spans="1:26" x14ac:dyDescent="0.25">
      <c r="A415" t="str">
        <f>IF(Summary_Exchange_Balances_00UTC!$B415="","",Summary_Exchange_Balances_00UTC!$N415)</f>
        <v>GALAXY</v>
      </c>
      <c r="C415" t="str">
        <f>IF(Summary_Exchange_Balances_00UTC!$B415="","",Summary_Exchange_Balances_00UTC!$E415)</f>
        <v>USDC</v>
      </c>
      <c r="E415" s="53">
        <f>IF(Summary_Exchange_Balances_00UTC!$B415="","",Summary_Exchange_Balances_00UTC!$C415)</f>
        <v>-56500000</v>
      </c>
      <c r="F415" s="53" t="e">
        <f>IF(Summary_Exchange_Balances_00UTC!$B415="","",VLOOKUP(UPPER($A415&amp;$C415),$L:$T,7,FALSE))</f>
        <v>#N/A</v>
      </c>
      <c r="H415">
        <f>IF(Summary_Exchange_Balances_00UTC!$B415="","",IF(ISERROR($G415),$E415,$G415))</f>
        <v>0</v>
      </c>
      <c r="W415" s="29" t="s">
        <v>89</v>
      </c>
      <c r="X415" t="s">
        <v>90</v>
      </c>
      <c r="Y415" s="53">
        <v>0</v>
      </c>
      <c r="Z415" s="43">
        <v>86.736910640000005</v>
      </c>
    </row>
    <row r="416" spans="1:26" x14ac:dyDescent="0.25">
      <c r="A416" t="str">
        <f>IF(Summary_Exchange_Balances_00UTC!$B416="","",Summary_Exchange_Balances_00UTC!$N416)</f>
        <v>GALAXY</v>
      </c>
      <c r="C416" t="str">
        <f>IF(Summary_Exchange_Balances_00UTC!$B416="","",Summary_Exchange_Balances_00UTC!$E416)</f>
        <v>ZIL</v>
      </c>
      <c r="E416" s="53">
        <f>IF(Summary_Exchange_Balances_00UTC!$B416="","",Summary_Exchange_Balances_00UTC!$C416)</f>
        <v>-20000000</v>
      </c>
      <c r="F416" s="53" t="e">
        <f>IF(Summary_Exchange_Balances_00UTC!$B416="","",VLOOKUP(UPPER($A416&amp;$C416),$L:$T,7,FALSE))</f>
        <v>#N/A</v>
      </c>
      <c r="H416">
        <f>IF(Summary_Exchange_Balances_00UTC!$B416="","",IF(ISERROR($G416),$E416,$G416))</f>
        <v>0</v>
      </c>
      <c r="W416" t="s">
        <v>89</v>
      </c>
      <c r="X416" t="s">
        <v>15</v>
      </c>
      <c r="Y416" s="53">
        <v>0</v>
      </c>
      <c r="Z416" s="43">
        <v>13.73907262</v>
      </c>
    </row>
    <row r="417" spans="1:26" x14ac:dyDescent="0.25">
      <c r="A417" t="str">
        <f>IF(Summary_Exchange_Balances_00UTC!$B417="","",Summary_Exchange_Balances_00UTC!$N417)</f>
        <v>HUBI</v>
      </c>
      <c r="C417" t="str">
        <f>IF(Summary_Exchange_Balances_00UTC!$B417="","",Summary_Exchange_Balances_00UTC!$E417)</f>
        <v>BCH</v>
      </c>
      <c r="E417" s="53">
        <f>IF(Summary_Exchange_Balances_00UTC!$B417="","",Summary_Exchange_Balances_00UTC!$C417)</f>
        <v>-5000</v>
      </c>
      <c r="F417" s="53">
        <f>IF(Summary_Exchange_Balances_00UTC!$B417="","",VLOOKUP(UPPER($A417&amp;$C417),$L:$T,7,FALSE))</f>
        <v>5.3552099999999996E-4</v>
      </c>
      <c r="H417">
        <f>IF(Summary_Exchange_Balances_00UTC!$B417="","",IF(ISERROR($G417),$E417,$G417))</f>
        <v>0</v>
      </c>
      <c r="W417" t="s">
        <v>89</v>
      </c>
      <c r="X417" t="s">
        <v>91</v>
      </c>
      <c r="Y417" s="53">
        <v>0</v>
      </c>
      <c r="Z417" s="43">
        <v>24711.245515769999</v>
      </c>
    </row>
    <row r="418" spans="1:26" x14ac:dyDescent="0.25">
      <c r="A418" t="str">
        <f>IF(Summary_Exchange_Balances_00UTC!$B418="","",Summary_Exchange_Balances_00UTC!$N418)</f>
        <v>HUBI</v>
      </c>
      <c r="C418" t="str">
        <f>IF(Summary_Exchange_Balances_00UTC!$B418="","",Summary_Exchange_Balances_00UTC!$E418)</f>
        <v>DOT</v>
      </c>
      <c r="E418" s="53">
        <f>IF(Summary_Exchange_Balances_00UTC!$B418="","",Summary_Exchange_Balances_00UTC!$C418)</f>
        <v>-40000</v>
      </c>
      <c r="F418" s="53">
        <f>IF(Summary_Exchange_Balances_00UTC!$B418="","",VLOOKUP(UPPER($A418&amp;$C418),$L:$T,7,FALSE))</f>
        <v>3.8972870000000001E-3</v>
      </c>
      <c r="H418">
        <f>IF(Summary_Exchange_Balances_00UTC!$B418="","",IF(ISERROR($G418),$E418,$G418))</f>
        <v>0</v>
      </c>
      <c r="W418" t="s">
        <v>89</v>
      </c>
      <c r="X418" t="s">
        <v>32</v>
      </c>
      <c r="Y418" s="53">
        <v>0</v>
      </c>
      <c r="Z418" s="43">
        <v>36.869033870000003</v>
      </c>
    </row>
    <row r="419" spans="1:26" x14ac:dyDescent="0.25">
      <c r="A419" t="str">
        <f>IF(Summary_Exchange_Balances_00UTC!$B419="","",Summary_Exchange_Balances_00UTC!$N419)</f>
        <v>HUBI</v>
      </c>
      <c r="C419" t="str">
        <f>IF(Summary_Exchange_Balances_00UTC!$B419="","",Summary_Exchange_Balances_00UTC!$E419)</f>
        <v>EOS</v>
      </c>
      <c r="E419" s="53">
        <f>IF(Summary_Exchange_Balances_00UTC!$B419="","",Summary_Exchange_Balances_00UTC!$C419)</f>
        <v>-160000</v>
      </c>
      <c r="F419" s="53">
        <f>IF(Summary_Exchange_Balances_00UTC!$B419="","",VLOOKUP(UPPER($A419&amp;$C419),$L:$T,7,FALSE))</f>
        <v>28617.428863770001</v>
      </c>
      <c r="H419">
        <f>IF(Summary_Exchange_Balances_00UTC!$B419="","",IF(ISERROR($G419),$E419,$G419))</f>
        <v>0</v>
      </c>
      <c r="W419" t="s">
        <v>89</v>
      </c>
      <c r="X419" t="s">
        <v>191</v>
      </c>
      <c r="Y419" s="53">
        <v>0</v>
      </c>
      <c r="Z419" s="43">
        <v>1.5637979999999999E-2</v>
      </c>
    </row>
    <row r="420" spans="1:26" x14ac:dyDescent="0.25">
      <c r="A420" t="str">
        <f>IF(Summary_Exchange_Balances_00UTC!$B420="","",Summary_Exchange_Balances_00UTC!$N420)</f>
        <v>HUBI</v>
      </c>
      <c r="C420" t="str">
        <f>IF(Summary_Exchange_Balances_00UTC!$B420="","",Summary_Exchange_Balances_00UTC!$E420)</f>
        <v>ETC</v>
      </c>
      <c r="E420" s="53">
        <f>IF(Summary_Exchange_Balances_00UTC!$B420="","",Summary_Exchange_Balances_00UTC!$C420)</f>
        <v>-108000</v>
      </c>
      <c r="F420" s="53">
        <f>IF(Summary_Exchange_Balances_00UTC!$B420="","",VLOOKUP(UPPER($A420&amp;$C420),$L:$T,7,FALSE))</f>
        <v>0.1010306031</v>
      </c>
      <c r="H420">
        <f>IF(Summary_Exchange_Balances_00UTC!$B420="","",IF(ISERROR($G420),$E420,$G420))</f>
        <v>0</v>
      </c>
      <c r="W420" t="s">
        <v>89</v>
      </c>
      <c r="X420" t="s">
        <v>193</v>
      </c>
      <c r="Y420" s="53">
        <v>0</v>
      </c>
      <c r="Z420" s="43">
        <v>61610.470464270002</v>
      </c>
    </row>
    <row r="421" spans="1:26" x14ac:dyDescent="0.25">
      <c r="A421" t="str">
        <f>IF(Summary_Exchange_Balances_00UTC!$B421="","",Summary_Exchange_Balances_00UTC!$N421)</f>
        <v>HUBI</v>
      </c>
      <c r="C421" t="str">
        <f>IF(Summary_Exchange_Balances_00UTC!$B421="","",Summary_Exchange_Balances_00UTC!$E421)</f>
        <v>ETH</v>
      </c>
      <c r="E421" s="53">
        <f>IF(Summary_Exchange_Balances_00UTC!$B421="","",Summary_Exchange_Balances_00UTC!$C421)</f>
        <v>-4600</v>
      </c>
      <c r="F421" s="53">
        <f>IF(Summary_Exchange_Balances_00UTC!$B421="","",VLOOKUP(UPPER($A421&amp;$C421),$L:$T,7,FALSE))</f>
        <v>-16.0087772937</v>
      </c>
      <c r="H421">
        <f>IF(Summary_Exchange_Balances_00UTC!$B421="","",IF(ISERROR($G421),$E421,$G421))</f>
        <v>0</v>
      </c>
      <c r="W421" t="s">
        <v>89</v>
      </c>
      <c r="X421" t="s">
        <v>23</v>
      </c>
      <c r="Y421" s="53">
        <v>0</v>
      </c>
      <c r="Z421" s="43">
        <v>1999.0152611599999</v>
      </c>
    </row>
    <row r="422" spans="1:26" x14ac:dyDescent="0.25">
      <c r="A422" t="str">
        <f>IF(Summary_Exchange_Balances_00UTC!$B422="","",Summary_Exchange_Balances_00UTC!$N422)</f>
        <v>HUBI</v>
      </c>
      <c r="C422" t="str">
        <f>IF(Summary_Exchange_Balances_00UTC!$B422="","",Summary_Exchange_Balances_00UTC!$E422)</f>
        <v>LINK</v>
      </c>
      <c r="E422" s="53">
        <f>IF(Summary_Exchange_Balances_00UTC!$B422="","",Summary_Exchange_Balances_00UTC!$C422)</f>
        <v>-17000</v>
      </c>
      <c r="F422" s="53">
        <f>IF(Summary_Exchange_Balances_00UTC!$B422="","",VLOOKUP(UPPER($A422&amp;$C422),$L:$T,7,FALSE))</f>
        <v>9.5620959999999995E-4</v>
      </c>
      <c r="H422">
        <f>IF(Summary_Exchange_Balances_00UTC!$B422="","",IF(ISERROR($G422),$E422,$G422))</f>
        <v>0</v>
      </c>
      <c r="W422" t="s">
        <v>89</v>
      </c>
      <c r="X422" t="s">
        <v>24</v>
      </c>
      <c r="Y422" s="53">
        <v>0</v>
      </c>
      <c r="Z422" s="43">
        <v>29999.901399999999</v>
      </c>
    </row>
    <row r="423" spans="1:26" x14ac:dyDescent="0.25">
      <c r="A423" t="str">
        <f>IF(Summary_Exchange_Balances_00UTC!$B423="","",Summary_Exchange_Balances_00UTC!$N423)</f>
        <v>HUBI</v>
      </c>
      <c r="C423" t="str">
        <f>IF(Summary_Exchange_Balances_00UTC!$B423="","",Summary_Exchange_Balances_00UTC!$E423)</f>
        <v>LTC</v>
      </c>
      <c r="E423" s="53">
        <f>IF(Summary_Exchange_Balances_00UTC!$B423="","",Summary_Exchange_Balances_00UTC!$C423)</f>
        <v>-11800</v>
      </c>
      <c r="F423" s="53">
        <f>IF(Summary_Exchange_Balances_00UTC!$B423="","",VLOOKUP(UPPER($A423&amp;$C423),$L:$T,7,FALSE))</f>
        <v>2.4771052999999999E-3</v>
      </c>
      <c r="H423">
        <f>IF(Summary_Exchange_Balances_00UTC!$B423="","",IF(ISERROR($G423),$E423,$G423))</f>
        <v>0</v>
      </c>
      <c r="W423" t="s">
        <v>89</v>
      </c>
      <c r="X423" t="s">
        <v>16</v>
      </c>
      <c r="Y423" s="53">
        <v>0</v>
      </c>
      <c r="Z423" s="43">
        <v>9.9330999999999996</v>
      </c>
    </row>
    <row r="424" spans="1:26" x14ac:dyDescent="0.25">
      <c r="A424" t="str">
        <f>IF(Summary_Exchange_Balances_00UTC!$B424="","",Summary_Exchange_Balances_00UTC!$N424)</f>
        <v>ORCHID</v>
      </c>
      <c r="C424" t="str">
        <f>IF(Summary_Exchange_Balances_00UTC!$B424="","",Summary_Exchange_Balances_00UTC!$E424)</f>
        <v>OXT</v>
      </c>
      <c r="E424" s="53">
        <f>IF(Summary_Exchange_Balances_00UTC!$B424="","",Summary_Exchange_Balances_00UTC!$C424)</f>
        <v>-2600208</v>
      </c>
      <c r="F424" s="53" t="e">
        <f>IF(Summary_Exchange_Balances_00UTC!$B424="","",VLOOKUP(UPPER($A424&amp;$C424),$L:$T,7,FALSE))</f>
        <v>#N/A</v>
      </c>
      <c r="H424">
        <f>IF(Summary_Exchange_Balances_00UTC!$B424="","",IF(ISERROR($G424),$E424,$G424))</f>
        <v>0</v>
      </c>
      <c r="W424" t="s">
        <v>89</v>
      </c>
      <c r="X424" t="s">
        <v>110</v>
      </c>
      <c r="Y424" s="53">
        <v>0</v>
      </c>
      <c r="Z424" s="43">
        <v>677104.01022685005</v>
      </c>
    </row>
    <row r="425" spans="1:26" x14ac:dyDescent="0.25">
      <c r="A425" t="str">
        <f>IF(Summary_Exchange_Balances_00UTC!$B425="","",Summary_Exchange_Balances_00UTC!$N425)</f>
        <v>ORCHID</v>
      </c>
      <c r="C425" t="str">
        <f>IF(Summary_Exchange_Balances_00UTC!$B425="","",Summary_Exchange_Balances_00UTC!$E425)</f>
        <v>USDC</v>
      </c>
      <c r="E425" s="53">
        <f>IF(Summary_Exchange_Balances_00UTC!$B425="","",Summary_Exchange_Balances_00UTC!$C425)</f>
        <v>-1000000</v>
      </c>
      <c r="F425" s="53" t="e">
        <f>IF(Summary_Exchange_Balances_00UTC!$B425="","",VLOOKUP(UPPER($A425&amp;$C425),$L:$T,7,FALSE))</f>
        <v>#N/A</v>
      </c>
      <c r="H425">
        <f>IF(Summary_Exchange_Balances_00UTC!$B425="","",IF(ISERROR($G425),$E425,$G425))</f>
        <v>0</v>
      </c>
      <c r="W425" t="s">
        <v>89</v>
      </c>
      <c r="X425" t="s">
        <v>31</v>
      </c>
      <c r="Y425" s="53">
        <v>0</v>
      </c>
      <c r="Z425" s="43">
        <v>0.19800000000000001</v>
      </c>
    </row>
    <row r="426" spans="1:26" x14ac:dyDescent="0.25">
      <c r="A426" t="str">
        <f>IF(Summary_Exchange_Balances_00UTC!$B426="","",Summary_Exchange_Balances_00UTC!$N426)</f>
        <v>RIPPLE</v>
      </c>
      <c r="C426" t="str">
        <f>IF(Summary_Exchange_Balances_00UTC!$B426="","",Summary_Exchange_Balances_00UTC!$E426)</f>
        <v>XRP</v>
      </c>
      <c r="E426" s="53">
        <f>IF(Summary_Exchange_Balances_00UTC!$B426="","",Summary_Exchange_Balances_00UTC!$C426)</f>
        <v>-201.17</v>
      </c>
      <c r="F426" s="53" t="e">
        <f>IF(Summary_Exchange_Balances_00UTC!$B426="","",VLOOKUP(UPPER($A426&amp;$C426),$L:$T,7,FALSE))</f>
        <v>#N/A</v>
      </c>
      <c r="H426">
        <f>IF(Summary_Exchange_Balances_00UTC!$B426="","",IF(ISERROR($G426),$E426,$G426))</f>
        <v>0</v>
      </c>
      <c r="W426" t="s">
        <v>89</v>
      </c>
      <c r="X426" t="s">
        <v>28</v>
      </c>
      <c r="Y426" s="53">
        <v>0</v>
      </c>
      <c r="Z426" s="43">
        <v>12.72046903</v>
      </c>
    </row>
    <row r="427" spans="1:26" x14ac:dyDescent="0.25">
      <c r="A427" t="str">
        <f>IF(Summary_Exchange_Balances_00UTC!$B427="","",Summary_Exchange_Balances_00UTC!$N427)</f>
        <v>OKEX</v>
      </c>
      <c r="C427" t="str">
        <f>IF(Summary_Exchange_Balances_00UTC!$B427="","",Summary_Exchange_Balances_00UTC!$E427)</f>
        <v>USDT</v>
      </c>
      <c r="E427" s="53">
        <f>IF(Summary_Exchange_Balances_00UTC!$B427="","",Summary_Exchange_Balances_00UTC!$C427)</f>
        <v>-22591.087326270001</v>
      </c>
      <c r="F427" s="53">
        <f>IF(Summary_Exchange_Balances_00UTC!$B427="","",VLOOKUP(UPPER($A427&amp;$C427),$L:$T,7,FALSE))</f>
        <v>239659.97105781399</v>
      </c>
      <c r="H427">
        <f>IF(Summary_Exchange_Balances_00UTC!$B427="","",IF(ISERROR($G427),$E427,$G427))</f>
        <v>0</v>
      </c>
      <c r="W427" t="s">
        <v>89</v>
      </c>
      <c r="X427" t="s">
        <v>25</v>
      </c>
      <c r="Y427" s="53">
        <v>0</v>
      </c>
      <c r="Z427" s="43">
        <v>1.4551239499999999</v>
      </c>
    </row>
    <row r="428" spans="1:26" x14ac:dyDescent="0.25">
      <c r="A428" t="str">
        <f>IF(Summary_Exchange_Balances_00UTC!$B428="","",Summary_Exchange_Balances_00UTC!$N428)</f>
        <v>OKEX</v>
      </c>
      <c r="C428" t="str">
        <f>IF(Summary_Exchange_Balances_00UTC!$B428="","",Summary_Exchange_Balances_00UTC!$E428)</f>
        <v>BCH</v>
      </c>
      <c r="E428" s="53">
        <f>IF(Summary_Exchange_Balances_00UTC!$B428="","",Summary_Exchange_Balances_00UTC!$C428)</f>
        <v>-1.9866326700000001</v>
      </c>
      <c r="F428" s="53">
        <f>IF(Summary_Exchange_Balances_00UTC!$B428="","",VLOOKUP(UPPER($A428&amp;$C428),$L:$T,7,FALSE))</f>
        <v>1.7837759999999401</v>
      </c>
      <c r="H428">
        <f>IF(Summary_Exchange_Balances_00UTC!$B428="","",IF(ISERROR($G428),$E428,$G428))</f>
        <v>0</v>
      </c>
      <c r="W428" t="s">
        <v>89</v>
      </c>
      <c r="X428" t="s">
        <v>195</v>
      </c>
      <c r="Y428" s="53">
        <v>0</v>
      </c>
      <c r="Z428" s="43">
        <v>4125.1621725699997</v>
      </c>
    </row>
    <row r="429" spans="1:26" x14ac:dyDescent="0.25">
      <c r="A429" t="str">
        <f>IF(Summary_Exchange_Balances_00UTC!$B429="","",Summary_Exchange_Balances_00UTC!$N429)</f>
        <v>OKEX</v>
      </c>
      <c r="C429" t="str">
        <f>IF(Summary_Exchange_Balances_00UTC!$B429="","",Summary_Exchange_Balances_00UTC!$E429)</f>
        <v>DOT</v>
      </c>
      <c r="E429" s="53">
        <f>IF(Summary_Exchange_Balances_00UTC!$B429="","",Summary_Exchange_Balances_00UTC!$C429)</f>
        <v>-33.055893580000003</v>
      </c>
      <c r="F429" s="53">
        <f>IF(Summary_Exchange_Balances_00UTC!$B429="","",VLOOKUP(UPPER($A429&amp;$C429),$L:$T,7,FALSE))</f>
        <v>-33.000417452400299</v>
      </c>
      <c r="H429">
        <f>IF(Summary_Exchange_Balances_00UTC!$B429="","",IF(ISERROR($G429),$E429,$G429))</f>
        <v>0</v>
      </c>
      <c r="W429" t="s">
        <v>89</v>
      </c>
      <c r="X429" t="s">
        <v>92</v>
      </c>
      <c r="Y429" s="53">
        <v>0</v>
      </c>
      <c r="Z429" s="43">
        <v>404922.62526320003</v>
      </c>
    </row>
    <row r="430" spans="1:26" x14ac:dyDescent="0.25">
      <c r="A430" t="str">
        <f>IF(Summary_Exchange_Balances_00UTC!$B430="","",Summary_Exchange_Balances_00UTC!$N430)</f>
        <v>OKEX</v>
      </c>
      <c r="C430" t="str">
        <f>IF(Summary_Exchange_Balances_00UTC!$B430="","",Summary_Exchange_Balances_00UTC!$E430)</f>
        <v>ETC</v>
      </c>
      <c r="E430" s="53">
        <f>IF(Summary_Exchange_Balances_00UTC!$B430="","",Summary_Exchange_Balances_00UTC!$C430)</f>
        <v>-0.40742539</v>
      </c>
      <c r="F430" s="53">
        <f>IF(Summary_Exchange_Balances_00UTC!$B430="","",VLOOKUP(UPPER($A430&amp;$C430),$L:$T,7,FALSE))</f>
        <v>-0.40712095703794399</v>
      </c>
      <c r="H430">
        <f>IF(Summary_Exchange_Balances_00UTC!$B430="","",IF(ISERROR($G430),$E430,$G430))</f>
        <v>0</v>
      </c>
      <c r="W430" t="s">
        <v>89</v>
      </c>
      <c r="X430" t="s">
        <v>157</v>
      </c>
      <c r="Y430" s="53">
        <v>0</v>
      </c>
      <c r="Z430" s="43">
        <v>57.222791209999997</v>
      </c>
    </row>
    <row r="431" spans="1:26" x14ac:dyDescent="0.25">
      <c r="A431" t="str">
        <f>IF(Summary_Exchange_Balances_00UTC!$B431="","",Summary_Exchange_Balances_00UTC!$N431)</f>
        <v>OKEX</v>
      </c>
      <c r="C431" t="str">
        <f>IF(Summary_Exchange_Balances_00UTC!$B431="","",Summary_Exchange_Balances_00UTC!$E431)</f>
        <v>FIL</v>
      </c>
      <c r="E431" s="53">
        <f>IF(Summary_Exchange_Balances_00UTC!$B431="","",Summary_Exchange_Balances_00UTC!$C431)</f>
        <v>-3.6931970000000001E-2</v>
      </c>
      <c r="F431" s="53">
        <f>IF(Summary_Exchange_Balances_00UTC!$B431="","",VLOOKUP(UPPER($A431&amp;$C431),$L:$T,7,FALSE))</f>
        <v>-3.6904378167286998E-2</v>
      </c>
      <c r="H431">
        <f>IF(Summary_Exchange_Balances_00UTC!$B431="","",IF(ISERROR($G431),$E431,$G431))</f>
        <v>0</v>
      </c>
      <c r="W431" t="s">
        <v>89</v>
      </c>
      <c r="X431" t="s">
        <v>39</v>
      </c>
      <c r="Y431" s="53">
        <v>0</v>
      </c>
      <c r="Z431" s="43">
        <v>718322.52480136999</v>
      </c>
    </row>
    <row r="432" spans="1:26" x14ac:dyDescent="0.25">
      <c r="A432" t="str">
        <f>IF(Summary_Exchange_Balances_00UTC!$B432="","",Summary_Exchange_Balances_00UTC!$N432)</f>
        <v>OKEX</v>
      </c>
      <c r="C432" t="str">
        <f>IF(Summary_Exchange_Balances_00UTC!$B432="","",Summary_Exchange_Balances_00UTC!$E432)</f>
        <v>SHIB</v>
      </c>
      <c r="E432" s="53">
        <f>IF(Summary_Exchange_Balances_00UTC!$B432="","",Summary_Exchange_Balances_00UTC!$C432)</f>
        <v>-10039049522.907801</v>
      </c>
      <c r="F432" s="53">
        <f>IF(Summary_Exchange_Balances_00UTC!$B432="","",VLOOKUP(UPPER($A432&amp;$C432),$L:$T,7,FALSE))</f>
        <v>-10031548141.706499</v>
      </c>
      <c r="H432">
        <f>IF(Summary_Exchange_Balances_00UTC!$B432="","",IF(ISERROR($G432),$E432,$G432))</f>
        <v>0</v>
      </c>
      <c r="W432" t="s">
        <v>89</v>
      </c>
      <c r="X432" t="s">
        <v>15</v>
      </c>
      <c r="Y432" s="53">
        <v>0</v>
      </c>
      <c r="Z432" s="43">
        <v>821.46111841000004</v>
      </c>
    </row>
    <row r="433" spans="1:26" x14ac:dyDescent="0.25">
      <c r="A433" t="str">
        <f>IF(Summary_Exchange_Balances_00UTC!$B433="","",Summary_Exchange_Balances_00UTC!$N433)</f>
        <v>OKEX</v>
      </c>
      <c r="C433" t="str">
        <f>IF(Summary_Exchange_Balances_00UTC!$B433="","",Summary_Exchange_Balances_00UTC!$E433)</f>
        <v>USDC</v>
      </c>
      <c r="E433" s="53">
        <f>IF(Summary_Exchange_Balances_00UTC!$B433="","",Summary_Exchange_Balances_00UTC!$C433)</f>
        <v>-66891.138748700003</v>
      </c>
      <c r="F433" s="53">
        <f>IF(Summary_Exchange_Balances_00UTC!$B433="","",VLOOKUP(UPPER($A433&amp;$C433),$L:$T,7,FALSE))</f>
        <v>-66841.156334572195</v>
      </c>
      <c r="H433">
        <f>IF(Summary_Exchange_Balances_00UTC!$B433="","",IF(ISERROR($G433),$E433,$G433))</f>
        <v>0</v>
      </c>
      <c r="W433" t="s">
        <v>89</v>
      </c>
      <c r="X433" t="s">
        <v>15</v>
      </c>
      <c r="Y433" s="53">
        <v>0</v>
      </c>
      <c r="Z433" s="43">
        <v>-9.6172516300000002</v>
      </c>
    </row>
    <row r="434" spans="1:26" x14ac:dyDescent="0.25">
      <c r="A434" t="str">
        <f>IF(Summary_Exchange_Balances_00UTC!$B434="","",Summary_Exchange_Balances_00UTC!$N434)</f>
        <v>OKEX</v>
      </c>
      <c r="C434" t="str">
        <f>IF(Summary_Exchange_Balances_00UTC!$B434="","",Summary_Exchange_Balances_00UTC!$E434)</f>
        <v>USDT</v>
      </c>
      <c r="E434" s="53">
        <f>IF(Summary_Exchange_Balances_00UTC!$B434="","",Summary_Exchange_Balances_00UTC!$C434)</f>
        <v>-2453174.9918184001</v>
      </c>
      <c r="F434" s="53">
        <f>IF(Summary_Exchange_Balances_00UTC!$B434="","",VLOOKUP(UPPER($A434&amp;$C434),$L:$T,7,FALSE))</f>
        <v>239659.97105781399</v>
      </c>
      <c r="H434">
        <f>IF(Summary_Exchange_Balances_00UTC!$B434="","",IF(ISERROR($G434),$E434,$G434))</f>
        <v>0</v>
      </c>
      <c r="W434" t="s">
        <v>89</v>
      </c>
      <c r="X434" t="s">
        <v>16</v>
      </c>
      <c r="Y434" s="53">
        <v>0</v>
      </c>
      <c r="Z434" s="43">
        <v>60.110409199999999</v>
      </c>
    </row>
    <row r="435" spans="1:26" x14ac:dyDescent="0.25">
      <c r="A435" t="str">
        <f>IF(Summary_Exchange_Balances_00UTC!$B435="","",Summary_Exchange_Balances_00UTC!$N435)</f>
        <v>WOOX</v>
      </c>
      <c r="C435" t="str">
        <f>IF(Summary_Exchange_Balances_00UTC!$B435="","",Summary_Exchange_Balances_00UTC!$E435)</f>
        <v>USDT</v>
      </c>
      <c r="E435" s="53">
        <f>IF(Summary_Exchange_Balances_00UTC!$B435="","",Summary_Exchange_Balances_00UTC!$C435)</f>
        <v>-5926778.0706390496</v>
      </c>
      <c r="F435" s="53">
        <f>IF(Summary_Exchange_Balances_00UTC!$B435="","",VLOOKUP(UPPER($A435&amp;$C435),$L:$T,7,FALSE))</f>
        <v>6788958.3301300397</v>
      </c>
      <c r="H435">
        <f>IF(Summary_Exchange_Balances_00UTC!$B435="","",IF(ISERROR($G435),$E435,$G435))</f>
        <v>0</v>
      </c>
      <c r="W435" t="s">
        <v>89</v>
      </c>
      <c r="X435" t="s">
        <v>16</v>
      </c>
      <c r="Y435" s="53">
        <v>0</v>
      </c>
      <c r="Z435" s="43">
        <v>5844.0404380399996</v>
      </c>
    </row>
    <row r="436" spans="1:26" x14ac:dyDescent="0.25">
      <c r="A436" t="str">
        <f>IF(Summary_Exchange_Balances_00UTC!$B436="","",Summary_Exchange_Balances_00UTC!$N436)</f>
        <v>WEDBUSH</v>
      </c>
      <c r="C436" t="str">
        <f>IF(Summary_Exchange_Balances_00UTC!$B436="","",Summary_Exchange_Balances_00UTC!$E436)</f>
        <v>USD</v>
      </c>
      <c r="E436" s="53">
        <f>IF(Summary_Exchange_Balances_00UTC!$B436="","",Summary_Exchange_Balances_00UTC!$C436)</f>
        <v>8579966.9199999999</v>
      </c>
      <c r="F436" s="53" t="e">
        <f>IF(Summary_Exchange_Balances_00UTC!$B436="","",VLOOKUP(UPPER($A436&amp;$C436),$L:$T,7,FALSE))</f>
        <v>#N/A</v>
      </c>
      <c r="H436">
        <f>IF(Summary_Exchange_Balances_00UTC!$B436="","",IF(ISERROR($G436),$E436,$G436))</f>
        <v>0</v>
      </c>
      <c r="W436" t="s">
        <v>89</v>
      </c>
      <c r="X436" t="s">
        <v>119</v>
      </c>
      <c r="Y436" s="53">
        <v>0</v>
      </c>
      <c r="Z436" s="43">
        <v>-200</v>
      </c>
    </row>
    <row r="437" spans="1:26" x14ac:dyDescent="0.25">
      <c r="A437" t="str">
        <f>IF(Summary_Exchange_Balances_00UTC!$B437="","",Summary_Exchange_Balances_00UTC!$N437)</f>
        <v>CASH</v>
      </c>
      <c r="C437" t="str">
        <f>IF(Summary_Exchange_Balances_00UTC!$B437="","",Summary_Exchange_Balances_00UTC!$E437)</f>
        <v>USD</v>
      </c>
      <c r="E437" s="53">
        <f>IF(Summary_Exchange_Balances_00UTC!$B437="","",Summary_Exchange_Balances_00UTC!$C437)</f>
        <v>233100.16999999899</v>
      </c>
      <c r="F437" s="53" t="e">
        <f>IF(Summary_Exchange_Balances_00UTC!$B437="","",VLOOKUP(UPPER($A437&amp;$C437),$L:$T,7,FALSE))</f>
        <v>#N/A</v>
      </c>
      <c r="H437">
        <f>IF(Summary_Exchange_Balances_00UTC!$B437="","",IF(ISERROR($G437),$E437,$G437))</f>
        <v>0</v>
      </c>
      <c r="W437" t="s">
        <v>89</v>
      </c>
      <c r="X437" t="s">
        <v>87</v>
      </c>
      <c r="Y437" s="53">
        <v>0</v>
      </c>
      <c r="Z437" s="43">
        <v>-20000</v>
      </c>
    </row>
    <row r="438" spans="1:26" x14ac:dyDescent="0.25">
      <c r="A438" t="str">
        <f>IF(Summary_Exchange_Balances_00UTC!$B438="","",Summary_Exchange_Balances_00UTC!$N438)</f>
        <v>ED&amp;F</v>
      </c>
      <c r="C438" t="str">
        <f>IF(Summary_Exchange_Balances_00UTC!$B438="","",Summary_Exchange_Balances_00UTC!$E438)</f>
        <v>USD</v>
      </c>
      <c r="E438" s="53">
        <f>IF(Summary_Exchange_Balances_00UTC!$B438="","",Summary_Exchange_Balances_00UTC!$C438)</f>
        <v>30714150.289999999</v>
      </c>
      <c r="F438" s="53" t="e">
        <f>IF(Summary_Exchange_Balances_00UTC!$B438="","",VLOOKUP(UPPER($A438&amp;$C438),$L:$T,7,FALSE))</f>
        <v>#N/A</v>
      </c>
      <c r="H438">
        <f>IF(Summary_Exchange_Balances_00UTC!$B438="","",IF(ISERROR($G438),$E438,$G438))</f>
        <v>0</v>
      </c>
      <c r="W438" t="s">
        <v>89</v>
      </c>
      <c r="X438" t="s">
        <v>190</v>
      </c>
      <c r="Y438" s="53">
        <v>0</v>
      </c>
      <c r="Z438" s="43">
        <v>-500</v>
      </c>
    </row>
    <row r="439" spans="1:26" x14ac:dyDescent="0.25">
      <c r="A439" t="str">
        <f>IF(Summary_Exchange_Balances_00UTC!$B439="","",Summary_Exchange_Balances_00UTC!$N439)</f>
        <v/>
      </c>
      <c r="C439" t="str">
        <f>IF(Summary_Exchange_Balances_00UTC!$B439="","",Summary_Exchange_Balances_00UTC!$E439)</f>
        <v/>
      </c>
      <c r="E439" s="53" t="str">
        <f>IF(Summary_Exchange_Balances_00UTC!$B439="","",Summary_Exchange_Balances_00UTC!$C439)</f>
        <v/>
      </c>
      <c r="F439" s="53" t="str">
        <f>IF(Summary_Exchange_Balances_00UTC!$B439="","",VLOOKUP(UPPER($A439&amp;$C439),$L:$T,7,FALSE))</f>
        <v/>
      </c>
      <c r="H439" t="str">
        <f>IF(Summary_Exchange_Balances_00UTC!$B439="","",IF(ISERROR($G439),$E439,$G439))</f>
        <v/>
      </c>
      <c r="W439" t="s">
        <v>89</v>
      </c>
      <c r="X439" t="s">
        <v>127</v>
      </c>
      <c r="Y439" s="53">
        <v>0</v>
      </c>
      <c r="Z439" s="43">
        <v>-30000</v>
      </c>
    </row>
    <row r="440" spans="1:26" x14ac:dyDescent="0.25">
      <c r="A440" t="str">
        <f>IF(Summary_Exchange_Balances_00UTC!$B440="","",Summary_Exchange_Balances_00UTC!$N440)</f>
        <v/>
      </c>
      <c r="C440" t="str">
        <f>IF(Summary_Exchange_Balances_00UTC!$B440="","",Summary_Exchange_Balances_00UTC!$E440)</f>
        <v/>
      </c>
      <c r="E440" s="53" t="str">
        <f>IF(Summary_Exchange_Balances_00UTC!$B440="","",Summary_Exchange_Balances_00UTC!$C440)</f>
        <v/>
      </c>
      <c r="F440" s="53" t="str">
        <f>IF(Summary_Exchange_Balances_00UTC!$B440="","",VLOOKUP(UPPER($A440&amp;$C440),$L:$T,7,FALSE))</f>
        <v/>
      </c>
      <c r="H440" t="str">
        <f>IF(Summary_Exchange_Balances_00UTC!$B440="","",IF(ISERROR($G440),$E440,$G440))</f>
        <v/>
      </c>
      <c r="W440" t="s">
        <v>89</v>
      </c>
      <c r="X440" t="s">
        <v>21</v>
      </c>
      <c r="Y440" s="53">
        <v>0</v>
      </c>
      <c r="Z440" s="43">
        <v>-90</v>
      </c>
    </row>
    <row r="441" spans="1:26" x14ac:dyDescent="0.25">
      <c r="A441" t="str">
        <f>IF(Summary_Exchange_Balances_00UTC!$B441="","",Summary_Exchange_Balances_00UTC!$N441)</f>
        <v/>
      </c>
      <c r="C441" t="str">
        <f>IF(Summary_Exchange_Balances_00UTC!$B441="","",Summary_Exchange_Balances_00UTC!$E441)</f>
        <v/>
      </c>
      <c r="E441" s="53" t="str">
        <f>IF(Summary_Exchange_Balances_00UTC!$B441="","",Summary_Exchange_Balances_00UTC!$C441)</f>
        <v/>
      </c>
      <c r="F441" s="53" t="str">
        <f>IF(Summary_Exchange_Balances_00UTC!$B441="","",VLOOKUP(UPPER($A441&amp;$C441),$L:$T,7,FALSE))</f>
        <v/>
      </c>
      <c r="H441" t="str">
        <f>IF(Summary_Exchange_Balances_00UTC!$B441="","",IF(ISERROR($G441),$E441,$G441))</f>
        <v/>
      </c>
      <c r="W441" t="s">
        <v>89</v>
      </c>
      <c r="X441" t="s">
        <v>90</v>
      </c>
      <c r="Y441" s="53">
        <v>0</v>
      </c>
      <c r="Z441" s="43">
        <v>2523.03945561</v>
      </c>
    </row>
    <row r="442" spans="1:26" x14ac:dyDescent="0.25">
      <c r="A442" t="str">
        <f>IF(Summary_Exchange_Balances_00UTC!$B442="","",Summary_Exchange_Balances_00UTC!$N442)</f>
        <v/>
      </c>
      <c r="C442" t="str">
        <f>IF(Summary_Exchange_Balances_00UTC!$B442="","",Summary_Exchange_Balances_00UTC!$E442)</f>
        <v/>
      </c>
      <c r="E442" s="53" t="str">
        <f>IF(Summary_Exchange_Balances_00UTC!$B442="","",Summary_Exchange_Balances_00UTC!$C442)</f>
        <v/>
      </c>
      <c r="F442" s="53" t="str">
        <f>IF(Summary_Exchange_Balances_00UTC!$B442="","",VLOOKUP(UPPER($A442&amp;$C442),$L:$T,7,FALSE))</f>
        <v/>
      </c>
      <c r="H442" t="str">
        <f>IF(Summary_Exchange_Balances_00UTC!$B442="","",IF(ISERROR($G442),$E442,$G442))</f>
        <v/>
      </c>
      <c r="W442" t="s">
        <v>89</v>
      </c>
      <c r="X442" t="s">
        <v>15</v>
      </c>
      <c r="Y442" s="53">
        <v>0</v>
      </c>
      <c r="Z442" s="43">
        <v>-46.405424570000001</v>
      </c>
    </row>
    <row r="443" spans="1:26" x14ac:dyDescent="0.25">
      <c r="A443" t="str">
        <f>IF(Summary_Exchange_Balances_00UTC!$B443="","",Summary_Exchange_Balances_00UTC!$N443)</f>
        <v/>
      </c>
      <c r="C443" t="str">
        <f>IF(Summary_Exchange_Balances_00UTC!$B443="","",Summary_Exchange_Balances_00UTC!$E443)</f>
        <v/>
      </c>
      <c r="E443" s="53" t="str">
        <f>IF(Summary_Exchange_Balances_00UTC!$B443="","",Summary_Exchange_Balances_00UTC!$C443)</f>
        <v/>
      </c>
      <c r="F443" s="53" t="str">
        <f>IF(Summary_Exchange_Balances_00UTC!$B443="","",VLOOKUP(UPPER($A443&amp;$C443),$L:$T,7,FALSE))</f>
        <v/>
      </c>
      <c r="H443" t="str">
        <f>IF(Summary_Exchange_Balances_00UTC!$B443="","",IF(ISERROR($G443),$E443,$G443))</f>
        <v/>
      </c>
      <c r="W443" t="s">
        <v>89</v>
      </c>
      <c r="X443" t="s">
        <v>91</v>
      </c>
      <c r="Y443" s="53">
        <v>0</v>
      </c>
      <c r="Z443" s="43">
        <v>-5884665.3022512002</v>
      </c>
    </row>
    <row r="444" spans="1:26" x14ac:dyDescent="0.25">
      <c r="A444" t="str">
        <f>IF(Summary_Exchange_Balances_00UTC!$B444="","",Summary_Exchange_Balances_00UTC!$N444)</f>
        <v/>
      </c>
      <c r="C444" t="str">
        <f>IF(Summary_Exchange_Balances_00UTC!$B444="","",Summary_Exchange_Balances_00UTC!$E444)</f>
        <v/>
      </c>
      <c r="E444" s="53" t="str">
        <f>IF(Summary_Exchange_Balances_00UTC!$B444="","",Summary_Exchange_Balances_00UTC!$C444)</f>
        <v/>
      </c>
      <c r="F444" s="53" t="str">
        <f>IF(Summary_Exchange_Balances_00UTC!$B444="","",VLOOKUP(UPPER($A444&amp;$C444),$L:$T,7,FALSE))</f>
        <v/>
      </c>
      <c r="H444" t="str">
        <f>IF(Summary_Exchange_Balances_00UTC!$B444="","",IF(ISERROR($G444),$E444,$G444))</f>
        <v/>
      </c>
      <c r="W444" t="s">
        <v>89</v>
      </c>
      <c r="X444" t="s">
        <v>32</v>
      </c>
      <c r="Y444" s="53">
        <v>0</v>
      </c>
      <c r="Z444" s="43">
        <v>-4800</v>
      </c>
    </row>
    <row r="445" spans="1:26" x14ac:dyDescent="0.25">
      <c r="A445" t="str">
        <f>IF(Summary_Exchange_Balances_00UTC!$B445="","",Summary_Exchange_Balances_00UTC!$N445)</f>
        <v/>
      </c>
      <c r="C445" t="str">
        <f>IF(Summary_Exchange_Balances_00UTC!$B445="","",Summary_Exchange_Balances_00UTC!$E445)</f>
        <v/>
      </c>
      <c r="E445" s="53" t="str">
        <f>IF(Summary_Exchange_Balances_00UTC!$B445="","",Summary_Exchange_Balances_00UTC!$C445)</f>
        <v/>
      </c>
      <c r="F445" s="53" t="str">
        <f>IF(Summary_Exchange_Balances_00UTC!$B445="","",VLOOKUP(UPPER($A445&amp;$C445),$L:$T,7,FALSE))</f>
        <v/>
      </c>
      <c r="H445" t="str">
        <f>IF(Summary_Exchange_Balances_00UTC!$B445="","",IF(ISERROR($G445),$E445,$G445))</f>
        <v/>
      </c>
      <c r="W445" t="s">
        <v>89</v>
      </c>
      <c r="X445" t="s">
        <v>193</v>
      </c>
      <c r="Y445" s="53">
        <v>0</v>
      </c>
      <c r="Z445" s="43">
        <v>-180000</v>
      </c>
    </row>
    <row r="446" spans="1:26" x14ac:dyDescent="0.25">
      <c r="A446" t="str">
        <f>IF(Summary_Exchange_Balances_00UTC!$B446="","",Summary_Exchange_Balances_00UTC!$N446)</f>
        <v/>
      </c>
      <c r="C446" t="str">
        <f>IF(Summary_Exchange_Balances_00UTC!$B446="","",Summary_Exchange_Balances_00UTC!$E446)</f>
        <v/>
      </c>
      <c r="E446" s="53" t="str">
        <f>IF(Summary_Exchange_Balances_00UTC!$B446="","",Summary_Exchange_Balances_00UTC!$C446)</f>
        <v/>
      </c>
      <c r="F446" s="53" t="str">
        <f>IF(Summary_Exchange_Balances_00UTC!$B446="","",VLOOKUP(UPPER($A446&amp;$C446),$L:$T,7,FALSE))</f>
        <v/>
      </c>
      <c r="H446" t="str">
        <f>IF(Summary_Exchange_Balances_00UTC!$B446="","",IF(ISERROR($G446),$E446,$G446))</f>
        <v/>
      </c>
      <c r="W446" t="s">
        <v>89</v>
      </c>
      <c r="X446" t="s">
        <v>23</v>
      </c>
      <c r="Y446" s="53">
        <v>0</v>
      </c>
      <c r="Z446" s="43">
        <v>-2000</v>
      </c>
    </row>
    <row r="447" spans="1:26" x14ac:dyDescent="0.25">
      <c r="A447" t="str">
        <f>IF(Summary_Exchange_Balances_00UTC!$B447="","",Summary_Exchange_Balances_00UTC!$N447)</f>
        <v/>
      </c>
      <c r="C447" t="str">
        <f>IF(Summary_Exchange_Balances_00UTC!$B447="","",Summary_Exchange_Balances_00UTC!$E447)</f>
        <v/>
      </c>
      <c r="E447" s="53" t="str">
        <f>IF(Summary_Exchange_Balances_00UTC!$B447="","",Summary_Exchange_Balances_00UTC!$C447)</f>
        <v/>
      </c>
      <c r="F447" s="53" t="str">
        <f>IF(Summary_Exchange_Balances_00UTC!$B447="","",VLOOKUP(UPPER($A447&amp;$C447),$L:$T,7,FALSE))</f>
        <v/>
      </c>
      <c r="H447" t="str">
        <f>IF(Summary_Exchange_Balances_00UTC!$B447="","",IF(ISERROR($G447),$E447,$G447))</f>
        <v/>
      </c>
      <c r="W447" t="s">
        <v>89</v>
      </c>
      <c r="X447" t="s">
        <v>24</v>
      </c>
      <c r="Y447" s="53">
        <v>0</v>
      </c>
      <c r="Z447" s="43">
        <v>204642.6</v>
      </c>
    </row>
    <row r="448" spans="1:26" x14ac:dyDescent="0.25">
      <c r="A448" t="str">
        <f>IF(Summary_Exchange_Balances_00UTC!$B448="","",Summary_Exchange_Balances_00UTC!$N448)</f>
        <v/>
      </c>
      <c r="C448" t="str">
        <f>IF(Summary_Exchange_Balances_00UTC!$B448="","",Summary_Exchange_Balances_00UTC!$E448)</f>
        <v/>
      </c>
      <c r="E448" s="53" t="str">
        <f>IF(Summary_Exchange_Balances_00UTC!$B448="","",Summary_Exchange_Balances_00UTC!$C448)</f>
        <v/>
      </c>
      <c r="F448" s="53" t="str">
        <f>IF(Summary_Exchange_Balances_00UTC!$B448="","",VLOOKUP(UPPER($A448&amp;$C448),$L:$T,7,FALSE))</f>
        <v/>
      </c>
      <c r="H448" t="str">
        <f>IF(Summary_Exchange_Balances_00UTC!$B448="","",IF(ISERROR($G448),$E448,$G448))</f>
        <v/>
      </c>
      <c r="W448" t="s">
        <v>89</v>
      </c>
      <c r="X448" t="s">
        <v>30</v>
      </c>
      <c r="Y448" s="53">
        <v>0</v>
      </c>
      <c r="Z448" s="43">
        <v>0.15721859999999999</v>
      </c>
    </row>
    <row r="449" spans="1:26" x14ac:dyDescent="0.25">
      <c r="A449" t="str">
        <f>IF(Summary_Exchange_Balances_00UTC!$B449="","",Summary_Exchange_Balances_00UTC!$N449)</f>
        <v/>
      </c>
      <c r="C449" t="str">
        <f>IF(Summary_Exchange_Balances_00UTC!$B449="","",Summary_Exchange_Balances_00UTC!$E449)</f>
        <v/>
      </c>
      <c r="E449" s="53" t="str">
        <f>IF(Summary_Exchange_Balances_00UTC!$B449="","",Summary_Exchange_Balances_00UTC!$C449)</f>
        <v/>
      </c>
      <c r="F449" s="53" t="str">
        <f>IF(Summary_Exchange_Balances_00UTC!$B449="","",VLOOKUP(UPPER($A449&amp;$C449),$L:$T,7,FALSE))</f>
        <v/>
      </c>
      <c r="H449" t="str">
        <f>IF(Summary_Exchange_Balances_00UTC!$B449="","",IF(ISERROR($G449),$E449,$G449))</f>
        <v/>
      </c>
      <c r="W449" t="s">
        <v>89</v>
      </c>
      <c r="X449" t="s">
        <v>16</v>
      </c>
      <c r="Y449" s="53">
        <v>0</v>
      </c>
      <c r="Z449" s="43">
        <v>1425.4395999999999</v>
      </c>
    </row>
    <row r="450" spans="1:26" x14ac:dyDescent="0.25">
      <c r="A450" t="str">
        <f>IF(Summary_Exchange_Balances_00UTC!$B450="","",Summary_Exchange_Balances_00UTC!$N450)</f>
        <v/>
      </c>
      <c r="C450" t="str">
        <f>IF(Summary_Exchange_Balances_00UTC!$B450="","",Summary_Exchange_Balances_00UTC!$E450)</f>
        <v/>
      </c>
      <c r="E450" s="53" t="str">
        <f>IF(Summary_Exchange_Balances_00UTC!$B450="","",Summary_Exchange_Balances_00UTC!$C450)</f>
        <v/>
      </c>
      <c r="F450" s="53" t="str">
        <f>IF(Summary_Exchange_Balances_00UTC!$B450="","",VLOOKUP(UPPER($A450&amp;$C450),$L:$T,7,FALSE))</f>
        <v/>
      </c>
      <c r="H450" t="str">
        <f>IF(Summary_Exchange_Balances_00UTC!$B450="","",IF(ISERROR($G450),$E450,$G450))</f>
        <v/>
      </c>
      <c r="W450" t="s">
        <v>89</v>
      </c>
      <c r="X450" t="s">
        <v>28</v>
      </c>
      <c r="Y450" s="53">
        <v>0</v>
      </c>
      <c r="Z450" s="43">
        <v>1581.07</v>
      </c>
    </row>
    <row r="451" spans="1:26" x14ac:dyDescent="0.25">
      <c r="A451" t="str">
        <f>IF(Summary_Exchange_Balances_00UTC!$B451="","",Summary_Exchange_Balances_00UTC!$N451)</f>
        <v/>
      </c>
      <c r="C451" t="str">
        <f>IF(Summary_Exchange_Balances_00UTC!$B451="","",Summary_Exchange_Balances_00UTC!$E451)</f>
        <v/>
      </c>
      <c r="E451" s="53" t="str">
        <f>IF(Summary_Exchange_Balances_00UTC!$B451="","",Summary_Exchange_Balances_00UTC!$C451)</f>
        <v/>
      </c>
      <c r="F451" s="53" t="str">
        <f>IF(Summary_Exchange_Balances_00UTC!$B451="","",VLOOKUP(UPPER($A451&amp;$C451),$L:$T,7,FALSE))</f>
        <v/>
      </c>
      <c r="H451" t="str">
        <f>IF(Summary_Exchange_Balances_00UTC!$B451="","",IF(ISERROR($G451),$E451,$G451))</f>
        <v/>
      </c>
      <c r="W451" t="s">
        <v>89</v>
      </c>
      <c r="X451" t="s">
        <v>25</v>
      </c>
      <c r="Y451" s="53">
        <v>0</v>
      </c>
      <c r="Z451" s="43">
        <v>497.99799999999999</v>
      </c>
    </row>
    <row r="452" spans="1:26" x14ac:dyDescent="0.25">
      <c r="A452" t="str">
        <f>IF(Summary_Exchange_Balances_00UTC!$B452="","",Summary_Exchange_Balances_00UTC!$N452)</f>
        <v/>
      </c>
      <c r="C452" t="str">
        <f>IF(Summary_Exchange_Balances_00UTC!$B452="","",Summary_Exchange_Balances_00UTC!$E452)</f>
        <v/>
      </c>
      <c r="E452" s="53" t="str">
        <f>IF(Summary_Exchange_Balances_00UTC!$B452="","",Summary_Exchange_Balances_00UTC!$C452)</f>
        <v/>
      </c>
      <c r="F452" s="53" t="str">
        <f>IF(Summary_Exchange_Balances_00UTC!$B452="","",VLOOKUP(UPPER($A452&amp;$C452),$L:$T,7,FALSE))</f>
        <v/>
      </c>
      <c r="H452" t="str">
        <f>IF(Summary_Exchange_Balances_00UTC!$B452="","",IF(ISERROR($G452),$E452,$G452))</f>
        <v/>
      </c>
      <c r="W452" t="s">
        <v>89</v>
      </c>
      <c r="X452" t="s">
        <v>195</v>
      </c>
      <c r="Y452" s="53">
        <v>0</v>
      </c>
      <c r="Z452" s="43">
        <v>-20000</v>
      </c>
    </row>
    <row r="453" spans="1:26" x14ac:dyDescent="0.25">
      <c r="A453" t="str">
        <f>IF(Summary_Exchange_Balances_00UTC!$B453="","",Summary_Exchange_Balances_00UTC!$N453)</f>
        <v/>
      </c>
      <c r="C453" t="str">
        <f>IF(Summary_Exchange_Balances_00UTC!$B453="","",Summary_Exchange_Balances_00UTC!$E453)</f>
        <v/>
      </c>
      <c r="E453" s="53" t="str">
        <f>IF(Summary_Exchange_Balances_00UTC!$B453="","",Summary_Exchange_Balances_00UTC!$C453)</f>
        <v/>
      </c>
      <c r="F453" s="53" t="str">
        <f>IF(Summary_Exchange_Balances_00UTC!$B453="","",VLOOKUP(UPPER($A453&amp;$C453),$L:$T,7,FALSE))</f>
        <v/>
      </c>
      <c r="H453" t="str">
        <f>IF(Summary_Exchange_Balances_00UTC!$B453="","",IF(ISERROR($G453),$E453,$G453))</f>
        <v/>
      </c>
      <c r="W453" t="s">
        <v>89</v>
      </c>
      <c r="X453" t="s">
        <v>38</v>
      </c>
      <c r="Y453" s="53">
        <v>0</v>
      </c>
      <c r="Z453" s="43">
        <v>-6000000000</v>
      </c>
    </row>
    <row r="454" spans="1:26" x14ac:dyDescent="0.25">
      <c r="A454" t="str">
        <f>IF(Summary_Exchange_Balances_00UTC!$B454="","",Summary_Exchange_Balances_00UTC!$N454)</f>
        <v/>
      </c>
      <c r="C454" t="str">
        <f>IF(Summary_Exchange_Balances_00UTC!$B454="","",Summary_Exchange_Balances_00UTC!$E454)</f>
        <v/>
      </c>
      <c r="E454" s="53" t="str">
        <f>IF(Summary_Exchange_Balances_00UTC!$B454="","",Summary_Exchange_Balances_00UTC!$C454)</f>
        <v/>
      </c>
      <c r="F454" s="53" t="str">
        <f>IF(Summary_Exchange_Balances_00UTC!$B454="","",VLOOKUP(UPPER($A454&amp;$C454),$L:$T,7,FALSE))</f>
        <v/>
      </c>
      <c r="H454" t="str">
        <f>IF(Summary_Exchange_Balances_00UTC!$B454="","",IF(ISERROR($G454),$E454,$G454))</f>
        <v/>
      </c>
      <c r="W454" t="s">
        <v>89</v>
      </c>
      <c r="X454" t="s">
        <v>157</v>
      </c>
      <c r="Y454" s="53">
        <v>0</v>
      </c>
      <c r="Z454" s="43">
        <v>-60</v>
      </c>
    </row>
    <row r="455" spans="1:26" x14ac:dyDescent="0.25">
      <c r="A455" t="str">
        <f>IF(Summary_Exchange_Balances_00UTC!$B455="","",Summary_Exchange_Balances_00UTC!$N455)</f>
        <v/>
      </c>
      <c r="C455" t="str">
        <f>IF(Summary_Exchange_Balances_00UTC!$B455="","",Summary_Exchange_Balances_00UTC!$E455)</f>
        <v/>
      </c>
      <c r="E455" s="53" t="str">
        <f>IF(Summary_Exchange_Balances_00UTC!$B455="","",Summary_Exchange_Balances_00UTC!$C455)</f>
        <v/>
      </c>
      <c r="F455" s="53" t="str">
        <f>IF(Summary_Exchange_Balances_00UTC!$B455="","",VLOOKUP(UPPER($A455&amp;$C455),$L:$T,7,FALSE))</f>
        <v/>
      </c>
      <c r="H455" t="str">
        <f>IF(Summary_Exchange_Balances_00UTC!$B455="","",IF(ISERROR($G455),$E455,$G455))</f>
        <v/>
      </c>
      <c r="W455" t="s">
        <v>89</v>
      </c>
      <c r="X455" t="s">
        <v>39</v>
      </c>
      <c r="Y455" s="53">
        <v>0</v>
      </c>
      <c r="Z455" s="43">
        <v>15497295.007822599</v>
      </c>
    </row>
    <row r="456" spans="1:26" x14ac:dyDescent="0.25">
      <c r="A456" t="str">
        <f>IF(Summary_Exchange_Balances_00UTC!$B456="","",Summary_Exchange_Balances_00UTC!$N456)</f>
        <v/>
      </c>
      <c r="C456" t="str">
        <f>IF(Summary_Exchange_Balances_00UTC!$B456="","",Summary_Exchange_Balances_00UTC!$E456)</f>
        <v/>
      </c>
      <c r="E456" s="53" t="str">
        <f>IF(Summary_Exchange_Balances_00UTC!$B456="","",Summary_Exchange_Balances_00UTC!$C456)</f>
        <v/>
      </c>
      <c r="F456" s="53" t="str">
        <f>IF(Summary_Exchange_Balances_00UTC!$B456="","",VLOOKUP(UPPER($A456&amp;$C456),$L:$T,7,FALSE))</f>
        <v/>
      </c>
      <c r="H456" t="str">
        <f>IF(Summary_Exchange_Balances_00UTC!$B456="","",IF(ISERROR($G456),$E456,$G456))</f>
        <v/>
      </c>
      <c r="W456" t="s">
        <v>89</v>
      </c>
      <c r="X456" t="s">
        <v>199</v>
      </c>
      <c r="Y456" s="53">
        <v>0</v>
      </c>
      <c r="Z456" s="43">
        <v>-100</v>
      </c>
    </row>
    <row r="457" spans="1:26" x14ac:dyDescent="0.25">
      <c r="A457" t="str">
        <f>IF(Summary_Exchange_Balances_00UTC!$B457="","",Summary_Exchange_Balances_00UTC!$N457)</f>
        <v/>
      </c>
      <c r="C457" t="str">
        <f>IF(Summary_Exchange_Balances_00UTC!$B457="","",Summary_Exchange_Balances_00UTC!$E457)</f>
        <v/>
      </c>
      <c r="E457" s="53" t="str">
        <f>IF(Summary_Exchange_Balances_00UTC!$B457="","",Summary_Exchange_Balances_00UTC!$C457)</f>
        <v/>
      </c>
      <c r="F457" s="53" t="str">
        <f>IF(Summary_Exchange_Balances_00UTC!$B457="","",VLOOKUP(UPPER($A457&amp;$C457),$L:$T,7,FALSE))</f>
        <v/>
      </c>
      <c r="H457" t="str">
        <f>IF(Summary_Exchange_Balances_00UTC!$B457="","",IF(ISERROR($G457),$E457,$G457))</f>
        <v/>
      </c>
      <c r="W457" t="s">
        <v>89</v>
      </c>
      <c r="X457" t="s">
        <v>90</v>
      </c>
      <c r="Y457" s="53">
        <v>0</v>
      </c>
      <c r="Z457" s="43">
        <v>1E-8</v>
      </c>
    </row>
    <row r="458" spans="1:26" x14ac:dyDescent="0.25">
      <c r="A458" t="str">
        <f>IF(Summary_Exchange_Balances_00UTC!$B458="","",Summary_Exchange_Balances_00UTC!$N458)</f>
        <v/>
      </c>
      <c r="C458" t="str">
        <f>IF(Summary_Exchange_Balances_00UTC!$B458="","",Summary_Exchange_Balances_00UTC!$E458)</f>
        <v/>
      </c>
      <c r="E458" s="53" t="str">
        <f>IF(Summary_Exchange_Balances_00UTC!$B458="","",Summary_Exchange_Balances_00UTC!$C458)</f>
        <v/>
      </c>
      <c r="F458" s="53" t="str">
        <f>IF(Summary_Exchange_Balances_00UTC!$B458="","",VLOOKUP(UPPER($A458&amp;$C458),$L:$T,7,FALSE))</f>
        <v/>
      </c>
      <c r="H458" t="str">
        <f>IF(Summary_Exchange_Balances_00UTC!$B458="","",IF(ISERROR($G458),$E458,$G458))</f>
        <v/>
      </c>
      <c r="W458" t="s">
        <v>89</v>
      </c>
      <c r="X458" t="s">
        <v>91</v>
      </c>
      <c r="Y458" s="53">
        <v>0</v>
      </c>
      <c r="Z458" s="43">
        <v>13100000</v>
      </c>
    </row>
    <row r="459" spans="1:26" x14ac:dyDescent="0.25">
      <c r="A459" t="str">
        <f>IF(Summary_Exchange_Balances_00UTC!$B459="","",Summary_Exchange_Balances_00UTC!$N459)</f>
        <v/>
      </c>
      <c r="C459" t="str">
        <f>IF(Summary_Exchange_Balances_00UTC!$B459="","",Summary_Exchange_Balances_00UTC!$E459)</f>
        <v/>
      </c>
      <c r="E459" s="53" t="str">
        <f>IF(Summary_Exchange_Balances_00UTC!$B459="","",Summary_Exchange_Balances_00UTC!$C459)</f>
        <v/>
      </c>
      <c r="F459" s="53" t="str">
        <f>IF(Summary_Exchange_Balances_00UTC!$B459="","",VLOOKUP(UPPER($A459&amp;$C459),$L:$T,7,FALSE))</f>
        <v/>
      </c>
      <c r="H459" t="str">
        <f>IF(Summary_Exchange_Balances_00UTC!$B459="","",IF(ISERROR($G459),$E459,$G459))</f>
        <v/>
      </c>
      <c r="W459" t="s">
        <v>89</v>
      </c>
      <c r="X459" t="s">
        <v>39</v>
      </c>
      <c r="Y459" s="53">
        <v>0</v>
      </c>
      <c r="Z459" s="43">
        <v>2379834.8896099501</v>
      </c>
    </row>
    <row r="460" spans="1:26" x14ac:dyDescent="0.25">
      <c r="A460" t="str">
        <f>IF(Summary_Exchange_Balances_00UTC!$B460="","",Summary_Exchange_Balances_00UTC!$N460)</f>
        <v/>
      </c>
      <c r="C460" t="str">
        <f>IF(Summary_Exchange_Balances_00UTC!$B460="","",Summary_Exchange_Balances_00UTC!$E460)</f>
        <v/>
      </c>
      <c r="E460" s="53" t="str">
        <f>IF(Summary_Exchange_Balances_00UTC!$B460="","",Summary_Exchange_Balances_00UTC!$C460)</f>
        <v/>
      </c>
      <c r="F460" s="53" t="str">
        <f>IF(Summary_Exchange_Balances_00UTC!$B460="","",VLOOKUP(UPPER($A460&amp;$C460),$L:$T,7,FALSE))</f>
        <v/>
      </c>
      <c r="H460" t="str">
        <f>IF(Summary_Exchange_Balances_00UTC!$B460="","",IF(ISERROR($G460),$E460,$G460))</f>
        <v/>
      </c>
      <c r="W460" t="s">
        <v>89</v>
      </c>
      <c r="X460" t="s">
        <v>39</v>
      </c>
      <c r="Y460" s="53">
        <v>0</v>
      </c>
      <c r="Z460" s="43">
        <v>33566045.479867399</v>
      </c>
    </row>
    <row r="461" spans="1:26" x14ac:dyDescent="0.25">
      <c r="A461" t="str">
        <f>IF(Summary_Exchange_Balances_00UTC!$B461="","",Summary_Exchange_Balances_00UTC!$N461)</f>
        <v/>
      </c>
      <c r="C461" t="str">
        <f>IF(Summary_Exchange_Balances_00UTC!$B461="","",Summary_Exchange_Balances_00UTC!$E461)</f>
        <v/>
      </c>
      <c r="E461" s="53" t="str">
        <f>IF(Summary_Exchange_Balances_00UTC!$B461="","",Summary_Exchange_Balances_00UTC!$C461)</f>
        <v/>
      </c>
      <c r="F461" s="53" t="str">
        <f>IF(Summary_Exchange_Balances_00UTC!$B461="","",VLOOKUP(UPPER($A461&amp;$C461),$L:$T,7,FALSE))</f>
        <v/>
      </c>
      <c r="H461" t="str">
        <f>IF(Summary_Exchange_Balances_00UTC!$B461="","",IF(ISERROR($G461),$E461,$G461))</f>
        <v/>
      </c>
      <c r="W461" t="s">
        <v>89</v>
      </c>
      <c r="X461" t="s">
        <v>39</v>
      </c>
      <c r="Y461" s="53">
        <v>0</v>
      </c>
      <c r="Z461" s="43">
        <v>-9544.9870844500001</v>
      </c>
    </row>
    <row r="462" spans="1:26" x14ac:dyDescent="0.25">
      <c r="A462" t="str">
        <f>IF(Summary_Exchange_Balances_00UTC!$B462="","",Summary_Exchange_Balances_00UTC!$N462)</f>
        <v/>
      </c>
      <c r="C462" t="str">
        <f>IF(Summary_Exchange_Balances_00UTC!$B462="","",Summary_Exchange_Balances_00UTC!$E462)</f>
        <v/>
      </c>
      <c r="E462" s="53" t="str">
        <f>IF(Summary_Exchange_Balances_00UTC!$B462="","",Summary_Exchange_Balances_00UTC!$C462)</f>
        <v/>
      </c>
      <c r="F462" s="53" t="str">
        <f>IF(Summary_Exchange_Balances_00UTC!$B462="","",VLOOKUP(UPPER($A462&amp;$C462),$L:$T,7,FALSE))</f>
        <v/>
      </c>
      <c r="H462" t="str">
        <f>IF(Summary_Exchange_Balances_00UTC!$B462="","",IF(ISERROR($G462),$E462,$G462))</f>
        <v/>
      </c>
      <c r="W462" t="s">
        <v>89</v>
      </c>
      <c r="X462" t="s">
        <v>39</v>
      </c>
      <c r="Y462" s="53">
        <v>0</v>
      </c>
      <c r="Z462" s="43">
        <v>1970964.03772586</v>
      </c>
    </row>
    <row r="463" spans="1:26" x14ac:dyDescent="0.25">
      <c r="A463" t="str">
        <f>IF(Summary_Exchange_Balances_00UTC!$B463="","",Summary_Exchange_Balances_00UTC!$N463)</f>
        <v/>
      </c>
      <c r="C463" t="str">
        <f>IF(Summary_Exchange_Balances_00UTC!$B463="","",Summary_Exchange_Balances_00UTC!$E463)</f>
        <v/>
      </c>
      <c r="E463" s="53" t="str">
        <f>IF(Summary_Exchange_Balances_00UTC!$B463="","",Summary_Exchange_Balances_00UTC!$C463)</f>
        <v/>
      </c>
      <c r="F463" s="53" t="str">
        <f>IF(Summary_Exchange_Balances_00UTC!$B463="","",VLOOKUP(UPPER($A463&amp;$C463),$L:$T,7,FALSE))</f>
        <v/>
      </c>
      <c r="H463" t="str">
        <f>IF(Summary_Exchange_Balances_00UTC!$B463="","",IF(ISERROR($G463),$E463,$G463))</f>
        <v/>
      </c>
      <c r="W463" t="s">
        <v>220</v>
      </c>
      <c r="X463" t="s">
        <v>15</v>
      </c>
      <c r="Y463" s="53">
        <v>0</v>
      </c>
      <c r="Z463" s="43">
        <v>1E-3</v>
      </c>
    </row>
    <row r="464" spans="1:26" x14ac:dyDescent="0.25">
      <c r="A464" t="str">
        <f>IF(Summary_Exchange_Balances_00UTC!$B464="","",Summary_Exchange_Balances_00UTC!$N464)</f>
        <v/>
      </c>
      <c r="C464" t="str">
        <f>IF(Summary_Exchange_Balances_00UTC!$B464="","",Summary_Exchange_Balances_00UTC!$E464)</f>
        <v/>
      </c>
      <c r="E464" s="53" t="str">
        <f>IF(Summary_Exchange_Balances_00UTC!$B464="","",Summary_Exchange_Balances_00UTC!$C464)</f>
        <v/>
      </c>
      <c r="F464" s="53" t="str">
        <f>IF(Summary_Exchange_Balances_00UTC!$B464="","",VLOOKUP(UPPER($A464&amp;$C464),$L:$T,7,FALSE))</f>
        <v/>
      </c>
      <c r="H464" t="str">
        <f>IF(Summary_Exchange_Balances_00UTC!$B464="","",IF(ISERROR($G464),$E464,$G464))</f>
        <v/>
      </c>
      <c r="W464" t="s">
        <v>220</v>
      </c>
      <c r="X464" t="s">
        <v>15</v>
      </c>
      <c r="Y464" s="53">
        <v>0</v>
      </c>
      <c r="Z464" s="43">
        <v>7.9996000000000008E-3</v>
      </c>
    </row>
    <row r="465" spans="1:26" x14ac:dyDescent="0.25">
      <c r="A465" t="str">
        <f>IF(Summary_Exchange_Balances_00UTC!$B465="","",Summary_Exchange_Balances_00UTC!$N465)</f>
        <v/>
      </c>
      <c r="C465" t="str">
        <f>IF(Summary_Exchange_Balances_00UTC!$B465="","",Summary_Exchange_Balances_00UTC!$E465)</f>
        <v/>
      </c>
      <c r="E465" s="53" t="str">
        <f>IF(Summary_Exchange_Balances_00UTC!$B465="","",Summary_Exchange_Balances_00UTC!$C465)</f>
        <v/>
      </c>
      <c r="F465" s="53" t="str">
        <f>IF(Summary_Exchange_Balances_00UTC!$B465="","",VLOOKUP(UPPER($A465&amp;$C465),$L:$T,7,FALSE))</f>
        <v/>
      </c>
      <c r="H465" t="str">
        <f>IF(Summary_Exchange_Balances_00UTC!$B465="","",IF(ISERROR($G465),$E465,$G465))</f>
        <v/>
      </c>
      <c r="W465" t="s">
        <v>220</v>
      </c>
      <c r="X465" t="s">
        <v>16</v>
      </c>
      <c r="Y465" s="53">
        <v>0</v>
      </c>
      <c r="Z465" s="43">
        <v>0.02</v>
      </c>
    </row>
    <row r="466" spans="1:26" x14ac:dyDescent="0.25">
      <c r="A466" t="str">
        <f>IF(Summary_Exchange_Balances_00UTC!$B466="","",Summary_Exchange_Balances_00UTC!$N466)</f>
        <v/>
      </c>
      <c r="C466" t="str">
        <f>IF(Summary_Exchange_Balances_00UTC!$B466="","",Summary_Exchange_Balances_00UTC!$E466)</f>
        <v/>
      </c>
      <c r="E466" s="53" t="str">
        <f>IF(Summary_Exchange_Balances_00UTC!$B466="","",Summary_Exchange_Balances_00UTC!$C466)</f>
        <v/>
      </c>
      <c r="F466" s="53" t="str">
        <f>IF(Summary_Exchange_Balances_00UTC!$B466="","",VLOOKUP(UPPER($A466&amp;$C466),$L:$T,7,FALSE))</f>
        <v/>
      </c>
      <c r="H466" t="str">
        <f>IF(Summary_Exchange_Balances_00UTC!$B466="","",IF(ISERROR($G466),$E466,$G466))</f>
        <v/>
      </c>
      <c r="W466" t="s">
        <v>220</v>
      </c>
      <c r="X466" t="s">
        <v>275</v>
      </c>
      <c r="Y466" s="53">
        <v>0</v>
      </c>
      <c r="Z466" s="43">
        <v>0.02</v>
      </c>
    </row>
    <row r="467" spans="1:26" x14ac:dyDescent="0.25">
      <c r="A467" t="str">
        <f>IF(Summary_Exchange_Balances_00UTC!$B467="","",Summary_Exchange_Balances_00UTC!$N467)</f>
        <v/>
      </c>
      <c r="C467" t="str">
        <f>IF(Summary_Exchange_Balances_00UTC!$B467="","",Summary_Exchange_Balances_00UTC!$E467)</f>
        <v/>
      </c>
      <c r="E467" s="53" t="str">
        <f>IF(Summary_Exchange_Balances_00UTC!$B467="","",Summary_Exchange_Balances_00UTC!$C467)</f>
        <v/>
      </c>
      <c r="F467" s="53" t="str">
        <f>IF(Summary_Exchange_Balances_00UTC!$B467="","",VLOOKUP(UPPER($A467&amp;$C467),$L:$T,7,FALSE))</f>
        <v/>
      </c>
      <c r="H467" t="str">
        <f>IF(Summary_Exchange_Balances_00UTC!$B467="","",IF(ISERROR($G467),$E467,$G467))</f>
        <v/>
      </c>
      <c r="W467" t="s">
        <v>220</v>
      </c>
      <c r="X467" t="s">
        <v>98</v>
      </c>
      <c r="Y467" s="53">
        <v>0</v>
      </c>
      <c r="Z467" s="43">
        <v>2.755467E-2</v>
      </c>
    </row>
    <row r="468" spans="1:26" x14ac:dyDescent="0.25">
      <c r="A468" t="str">
        <f>IF(Summary_Exchange_Balances_00UTC!$B468="","",Summary_Exchange_Balances_00UTC!$N468)</f>
        <v/>
      </c>
      <c r="C468" t="str">
        <f>IF(Summary_Exchange_Balances_00UTC!$B468="","",Summary_Exchange_Balances_00UTC!$E468)</f>
        <v/>
      </c>
      <c r="E468" s="53" t="str">
        <f>IF(Summary_Exchange_Balances_00UTC!$B468="","",Summary_Exchange_Balances_00UTC!$C468)</f>
        <v/>
      </c>
      <c r="F468" s="53" t="str">
        <f>IF(Summary_Exchange_Balances_00UTC!$B468="","",VLOOKUP(UPPER($A468&amp;$C468),$L:$T,7,FALSE))</f>
        <v/>
      </c>
      <c r="H468" t="str">
        <f>IF(Summary_Exchange_Balances_00UTC!$B468="","",IF(ISERROR($G468),$E468,$G468))</f>
        <v/>
      </c>
      <c r="W468" t="s">
        <v>220</v>
      </c>
      <c r="X468" t="s">
        <v>99</v>
      </c>
      <c r="Y468" s="53">
        <v>0</v>
      </c>
      <c r="Z468" s="43">
        <v>30</v>
      </c>
    </row>
    <row r="469" spans="1:26" x14ac:dyDescent="0.25">
      <c r="A469" t="str">
        <f>IF(Summary_Exchange_Balances_00UTC!$B469="","",Summary_Exchange_Balances_00UTC!$N469)</f>
        <v/>
      </c>
      <c r="C469" t="str">
        <f>IF(Summary_Exchange_Balances_00UTC!$B469="","",Summary_Exchange_Balances_00UTC!$E469)</f>
        <v/>
      </c>
      <c r="E469" s="53" t="str">
        <f>IF(Summary_Exchange_Balances_00UTC!$B469="","",Summary_Exchange_Balances_00UTC!$C469)</f>
        <v/>
      </c>
      <c r="F469" s="53" t="str">
        <f>IF(Summary_Exchange_Balances_00UTC!$B469="","",VLOOKUP(UPPER($A469&amp;$C469),$L:$T,7,FALSE))</f>
        <v/>
      </c>
      <c r="H469" t="str">
        <f>IF(Summary_Exchange_Balances_00UTC!$B469="","",IF(ISERROR($G469),$E469,$G469))</f>
        <v/>
      </c>
      <c r="W469" t="s">
        <v>220</v>
      </c>
      <c r="X469" t="s">
        <v>99</v>
      </c>
      <c r="Y469" s="53">
        <v>0</v>
      </c>
      <c r="Z469" s="43">
        <v>29.9885932</v>
      </c>
    </row>
    <row r="470" spans="1:26" x14ac:dyDescent="0.25">
      <c r="A470" t="str">
        <f>IF(Summary_Exchange_Balances_00UTC!$B470="","",Summary_Exchange_Balances_00UTC!$N470)</f>
        <v/>
      </c>
      <c r="C470" t="str">
        <f>IF(Summary_Exchange_Balances_00UTC!$B470="","",Summary_Exchange_Balances_00UTC!$E470)</f>
        <v/>
      </c>
      <c r="E470" s="53" t="str">
        <f>IF(Summary_Exchange_Balances_00UTC!$B470="","",Summary_Exchange_Balances_00UTC!$C470)</f>
        <v/>
      </c>
      <c r="F470" s="53" t="str">
        <f>IF(Summary_Exchange_Balances_00UTC!$B470="","",VLOOKUP(UPPER($A470&amp;$C470),$L:$T,7,FALSE))</f>
        <v/>
      </c>
      <c r="H470" t="str">
        <f>IF(Summary_Exchange_Balances_00UTC!$B470="","",IF(ISERROR($G470),$E470,$G470))</f>
        <v/>
      </c>
      <c r="W470" t="s">
        <v>220</v>
      </c>
      <c r="X470" t="s">
        <v>333</v>
      </c>
      <c r="Y470" s="53">
        <v>0</v>
      </c>
      <c r="Z470" s="43">
        <v>30</v>
      </c>
    </row>
    <row r="471" spans="1:26" x14ac:dyDescent="0.25">
      <c r="A471" t="str">
        <f>IF(Summary_Exchange_Balances_00UTC!$B471="","",Summary_Exchange_Balances_00UTC!$N471)</f>
        <v/>
      </c>
      <c r="C471" t="str">
        <f>IF(Summary_Exchange_Balances_00UTC!$B471="","",Summary_Exchange_Balances_00UTC!$E471)</f>
        <v/>
      </c>
      <c r="E471" s="53" t="str">
        <f>IF(Summary_Exchange_Balances_00UTC!$B471="","",Summary_Exchange_Balances_00UTC!$C471)</f>
        <v/>
      </c>
      <c r="F471" s="53" t="str">
        <f>IF(Summary_Exchange_Balances_00UTC!$B471="","",VLOOKUP(UPPER($A471&amp;$C471),$L:$T,7,FALSE))</f>
        <v/>
      </c>
      <c r="H471" t="str">
        <f>IF(Summary_Exchange_Balances_00UTC!$B471="","",IF(ISERROR($G471),$E471,$G471))</f>
        <v/>
      </c>
      <c r="W471" t="s">
        <v>100</v>
      </c>
      <c r="X471" t="s">
        <v>21</v>
      </c>
      <c r="Y471" s="53">
        <v>0</v>
      </c>
      <c r="Z471" s="43">
        <v>0.21932823000000001</v>
      </c>
    </row>
    <row r="472" spans="1:26" x14ac:dyDescent="0.25">
      <c r="A472" t="str">
        <f>IF(Summary_Exchange_Balances_00UTC!$B472="","",Summary_Exchange_Balances_00UTC!$N472)</f>
        <v/>
      </c>
      <c r="C472" t="str">
        <f>IF(Summary_Exchange_Balances_00UTC!$B472="","",Summary_Exchange_Balances_00UTC!$E472)</f>
        <v/>
      </c>
      <c r="E472" s="53" t="str">
        <f>IF(Summary_Exchange_Balances_00UTC!$B472="","",Summary_Exchange_Balances_00UTC!$C472)</f>
        <v/>
      </c>
      <c r="F472" s="53" t="str">
        <f>IF(Summary_Exchange_Balances_00UTC!$B472="","",VLOOKUP(UPPER($A472&amp;$C472),$L:$T,7,FALSE))</f>
        <v/>
      </c>
      <c r="H472" t="str">
        <f>IF(Summary_Exchange_Balances_00UTC!$B472="","",IF(ISERROR($G472),$E472,$G472))</f>
        <v/>
      </c>
      <c r="W472" t="s">
        <v>100</v>
      </c>
      <c r="X472" t="s">
        <v>15</v>
      </c>
      <c r="Y472" s="53">
        <v>0</v>
      </c>
      <c r="Z472" s="43">
        <v>5.7861299999999997E-2</v>
      </c>
    </row>
    <row r="473" spans="1:26" x14ac:dyDescent="0.25">
      <c r="A473" t="str">
        <f>IF(Summary_Exchange_Balances_00UTC!$B473="","",Summary_Exchange_Balances_00UTC!$N473)</f>
        <v/>
      </c>
      <c r="C473" t="str">
        <f>IF(Summary_Exchange_Balances_00UTC!$B473="","",Summary_Exchange_Balances_00UTC!$E473)</f>
        <v/>
      </c>
      <c r="E473" s="53" t="str">
        <f>IF(Summary_Exchange_Balances_00UTC!$B473="","",Summary_Exchange_Balances_00UTC!$C473)</f>
        <v/>
      </c>
      <c r="F473" s="53" t="str">
        <f>IF(Summary_Exchange_Balances_00UTC!$B473="","",VLOOKUP(UPPER($A473&amp;$C473),$L:$T,7,FALSE))</f>
        <v/>
      </c>
      <c r="H473" t="str">
        <f>IF(Summary_Exchange_Balances_00UTC!$B473="","",IF(ISERROR($G473),$E473,$G473))</f>
        <v/>
      </c>
      <c r="W473" t="s">
        <v>100</v>
      </c>
      <c r="X473" t="s">
        <v>16</v>
      </c>
      <c r="Y473" s="53">
        <v>0</v>
      </c>
      <c r="Z473" s="43">
        <v>0.73541904000000002</v>
      </c>
    </row>
    <row r="474" spans="1:26" x14ac:dyDescent="0.25">
      <c r="A474" t="str">
        <f>IF(Summary_Exchange_Balances_00UTC!$B474="","",Summary_Exchange_Balances_00UTC!$N474)</f>
        <v/>
      </c>
      <c r="C474" t="str">
        <f>IF(Summary_Exchange_Balances_00UTC!$B474="","",Summary_Exchange_Balances_00UTC!$E474)</f>
        <v/>
      </c>
      <c r="E474" s="53" t="str">
        <f>IF(Summary_Exchange_Balances_00UTC!$B474="","",Summary_Exchange_Balances_00UTC!$C474)</f>
        <v/>
      </c>
      <c r="F474" s="53" t="str">
        <f>IF(Summary_Exchange_Balances_00UTC!$B474="","",VLOOKUP(UPPER($A474&amp;$C474),$L:$T,7,FALSE))</f>
        <v/>
      </c>
      <c r="H474" t="str">
        <f>IF(Summary_Exchange_Balances_00UTC!$B474="","",IF(ISERROR($G474),$E474,$G474))</f>
        <v/>
      </c>
      <c r="W474" t="s">
        <v>100</v>
      </c>
      <c r="X474" t="s">
        <v>25</v>
      </c>
      <c r="Y474" s="53">
        <v>0</v>
      </c>
      <c r="Z474" s="43">
        <v>15.892145019999999</v>
      </c>
    </row>
    <row r="475" spans="1:26" x14ac:dyDescent="0.25">
      <c r="A475" t="str">
        <f>IF(Summary_Exchange_Balances_00UTC!$B475="","",Summary_Exchange_Balances_00UTC!$N475)</f>
        <v/>
      </c>
      <c r="C475" t="str">
        <f>IF(Summary_Exchange_Balances_00UTC!$B475="","",Summary_Exchange_Balances_00UTC!$E475)</f>
        <v/>
      </c>
      <c r="E475" s="53" t="str">
        <f>IF(Summary_Exchange_Balances_00UTC!$B475="","",Summary_Exchange_Balances_00UTC!$C475)</f>
        <v/>
      </c>
      <c r="W475" t="s">
        <v>100</v>
      </c>
      <c r="X475" t="s">
        <v>101</v>
      </c>
      <c r="Y475" s="53">
        <v>0</v>
      </c>
      <c r="Z475" s="43">
        <v>22277.5319929</v>
      </c>
    </row>
    <row r="476" spans="1:26" x14ac:dyDescent="0.25">
      <c r="A476" t="str">
        <f>IF(Summary_Exchange_Balances_00UTC!$B476="","",Summary_Exchange_Balances_00UTC!$N476)</f>
        <v/>
      </c>
      <c r="C476" t="str">
        <f>IF(Summary_Exchange_Balances_00UTC!$B476="","",Summary_Exchange_Balances_00UTC!$E476)</f>
        <v/>
      </c>
      <c r="E476" s="53" t="str">
        <f>IF(Summary_Exchange_Balances_00UTC!$B476="","",Summary_Exchange_Balances_00UTC!$C476)</f>
        <v/>
      </c>
      <c r="W476" t="s">
        <v>100</v>
      </c>
      <c r="X476" t="s">
        <v>98</v>
      </c>
      <c r="Y476" s="53">
        <v>0</v>
      </c>
      <c r="Z476" s="43">
        <v>114736.84</v>
      </c>
    </row>
    <row r="477" spans="1:26" x14ac:dyDescent="0.25">
      <c r="A477" t="str">
        <f>IF(Summary_Exchange_Balances_00UTC!$B477="","",Summary_Exchange_Balances_00UTC!$N477)</f>
        <v/>
      </c>
      <c r="C477" t="str">
        <f>IF(Summary_Exchange_Balances_00UTC!$B477="","",Summary_Exchange_Balances_00UTC!$E477)</f>
        <v/>
      </c>
      <c r="E477" s="53" t="str">
        <f>IF(Summary_Exchange_Balances_00UTC!$B477="","",Summary_Exchange_Balances_00UTC!$C477)</f>
        <v/>
      </c>
      <c r="W477" t="s">
        <v>100</v>
      </c>
      <c r="X477" t="s">
        <v>102</v>
      </c>
      <c r="Y477" s="53">
        <v>0</v>
      </c>
      <c r="Z477" s="43">
        <v>116647.68407285</v>
      </c>
    </row>
    <row r="478" spans="1:26" x14ac:dyDescent="0.25">
      <c r="A478" t="str">
        <f>IF(Summary_Exchange_Balances_00UTC!$B478="","",Summary_Exchange_Balances_00UTC!$N478)</f>
        <v/>
      </c>
      <c r="C478" t="str">
        <f>IF(Summary_Exchange_Balances_00UTC!$B478="","",Summary_Exchange_Balances_00UTC!$E478)</f>
        <v/>
      </c>
      <c r="E478" s="53" t="str">
        <f>IF(Summary_Exchange_Balances_00UTC!$B478="","",Summary_Exchange_Balances_00UTC!$C478)</f>
        <v/>
      </c>
      <c r="W478" t="s">
        <v>104</v>
      </c>
      <c r="X478" t="s">
        <v>39</v>
      </c>
      <c r="Y478" s="53">
        <v>0</v>
      </c>
      <c r="Z478" s="43">
        <v>-68412582.498248994</v>
      </c>
    </row>
    <row r="479" spans="1:26" x14ac:dyDescent="0.25">
      <c r="A479" t="str">
        <f>IF(Summary_Exchange_Balances_00UTC!$B479="","",Summary_Exchange_Balances_00UTC!$N479)</f>
        <v/>
      </c>
      <c r="C479" t="str">
        <f>IF(Summary_Exchange_Balances_00UTC!$B479="","",Summary_Exchange_Balances_00UTC!$E479)</f>
        <v/>
      </c>
      <c r="E479" s="53" t="str">
        <f>IF(Summary_Exchange_Balances_00UTC!$B479="","",Summary_Exchange_Balances_00UTC!$C479)</f>
        <v/>
      </c>
      <c r="W479" t="s">
        <v>104</v>
      </c>
      <c r="X479" t="s">
        <v>15</v>
      </c>
      <c r="Y479" s="53">
        <v>0</v>
      </c>
      <c r="Z479" s="43">
        <v>4012.06535725</v>
      </c>
    </row>
    <row r="480" spans="1:26" x14ac:dyDescent="0.25">
      <c r="A480" t="str">
        <f>IF(Summary_Exchange_Balances_00UTC!$B480="","",Summary_Exchange_Balances_00UTC!$N480)</f>
        <v/>
      </c>
      <c r="C480" t="str">
        <f>IF(Summary_Exchange_Balances_00UTC!$B480="","",Summary_Exchange_Balances_00UTC!$E480)</f>
        <v/>
      </c>
      <c r="E480" s="53" t="str">
        <f>IF(Summary_Exchange_Balances_00UTC!$B480="","",Summary_Exchange_Balances_00UTC!$C480)</f>
        <v/>
      </c>
      <c r="W480" t="s">
        <v>104</v>
      </c>
      <c r="X480" t="s">
        <v>98</v>
      </c>
      <c r="Y480" s="53">
        <v>0</v>
      </c>
      <c r="Z480" s="43">
        <v>29490250.719900001</v>
      </c>
    </row>
    <row r="481" spans="1:26" x14ac:dyDescent="0.25">
      <c r="A481" t="str">
        <f>IF(Summary_Exchange_Balances_00UTC!$B481="","",Summary_Exchange_Balances_00UTC!$N481)</f>
        <v/>
      </c>
      <c r="C481" t="str">
        <f>IF(Summary_Exchange_Balances_00UTC!$B481="","",Summary_Exchange_Balances_00UTC!$E481)</f>
        <v/>
      </c>
      <c r="E481" s="53" t="str">
        <f>IF(Summary_Exchange_Balances_00UTC!$B481="","",Summary_Exchange_Balances_00UTC!$C481)</f>
        <v/>
      </c>
      <c r="W481" t="s">
        <v>104</v>
      </c>
      <c r="X481" t="s">
        <v>95</v>
      </c>
      <c r="Y481" s="53">
        <v>0</v>
      </c>
      <c r="Z481" s="43">
        <v>101</v>
      </c>
    </row>
    <row r="482" spans="1:26" x14ac:dyDescent="0.25">
      <c r="A482" t="str">
        <f>IF(Summary_Exchange_Balances_00UTC!$B482="","",Summary_Exchange_Balances_00UTC!$N482)</f>
        <v/>
      </c>
      <c r="C482" t="str">
        <f>IF(Summary_Exchange_Balances_00UTC!$B482="","",Summary_Exchange_Balances_00UTC!$E482)</f>
        <v/>
      </c>
      <c r="E482" s="53" t="str">
        <f>IF(Summary_Exchange_Balances_00UTC!$B482="","",Summary_Exchange_Balances_00UTC!$C482)</f>
        <v/>
      </c>
      <c r="W482" t="s">
        <v>104</v>
      </c>
      <c r="X482" t="s">
        <v>24</v>
      </c>
      <c r="Y482" s="53">
        <v>0</v>
      </c>
      <c r="Z482" s="43">
        <v>1230497.4971</v>
      </c>
    </row>
    <row r="483" spans="1:26" x14ac:dyDescent="0.25">
      <c r="A483" t="str">
        <f>IF(Summary_Exchange_Balances_00UTC!$B483="","",Summary_Exchange_Balances_00UTC!$N483)</f>
        <v/>
      </c>
      <c r="C483" t="str">
        <f>IF(Summary_Exchange_Balances_00UTC!$B483="","",Summary_Exchange_Balances_00UTC!$E483)</f>
        <v/>
      </c>
      <c r="E483" s="53" t="str">
        <f>IF(Summary_Exchange_Balances_00UTC!$B483="","",Summary_Exchange_Balances_00UTC!$C483)</f>
        <v/>
      </c>
      <c r="W483" t="s">
        <v>104</v>
      </c>
      <c r="X483" t="s">
        <v>28</v>
      </c>
      <c r="Y483" s="53">
        <v>0</v>
      </c>
      <c r="Z483" s="43">
        <v>14768.90497507</v>
      </c>
    </row>
    <row r="484" spans="1:26" x14ac:dyDescent="0.25">
      <c r="A484" t="str">
        <f>IF(Summary_Exchange_Balances_00UTC!$B484="","",Summary_Exchange_Balances_00UTC!$N484)</f>
        <v/>
      </c>
      <c r="C484" t="str">
        <f>IF(Summary_Exchange_Balances_00UTC!$B484="","",Summary_Exchange_Balances_00UTC!$E484)</f>
        <v/>
      </c>
      <c r="E484" s="53" t="str">
        <f>IF(Summary_Exchange_Balances_00UTC!$B484="","",Summary_Exchange_Balances_00UTC!$C484)</f>
        <v/>
      </c>
      <c r="W484" t="s">
        <v>104</v>
      </c>
      <c r="X484" t="s">
        <v>25</v>
      </c>
      <c r="Y484" s="53">
        <v>0</v>
      </c>
      <c r="Z484" s="43">
        <v>1010.43732419</v>
      </c>
    </row>
    <row r="485" spans="1:26" x14ac:dyDescent="0.25">
      <c r="A485" t="str">
        <f>IF(Summary_Exchange_Balances_00UTC!$B485="","",Summary_Exchange_Balances_00UTC!$N485)</f>
        <v/>
      </c>
      <c r="C485" t="str">
        <f>IF(Summary_Exchange_Balances_00UTC!$B485="","",Summary_Exchange_Balances_00UTC!$E485)</f>
        <v/>
      </c>
      <c r="E485" s="53" t="str">
        <f>IF(Summary_Exchange_Balances_00UTC!$B485="","",Summary_Exchange_Balances_00UTC!$C485)</f>
        <v/>
      </c>
      <c r="W485" t="s">
        <v>104</v>
      </c>
      <c r="X485" t="s">
        <v>98</v>
      </c>
      <c r="Y485" s="53">
        <v>0</v>
      </c>
      <c r="Z485" s="43">
        <v>7771009.6179</v>
      </c>
    </row>
    <row r="486" spans="1:26" x14ac:dyDescent="0.25">
      <c r="A486" t="str">
        <f>IF(Summary_Exchange_Balances_00UTC!$B486="","",Summary_Exchange_Balances_00UTC!$N486)</f>
        <v/>
      </c>
      <c r="C486" t="str">
        <f>IF(Summary_Exchange_Balances_00UTC!$B486="","",Summary_Exchange_Balances_00UTC!$E486)</f>
        <v/>
      </c>
      <c r="E486" s="53" t="str">
        <f>IF(Summary_Exchange_Balances_00UTC!$B486="","",Summary_Exchange_Balances_00UTC!$C486)</f>
        <v/>
      </c>
      <c r="W486" t="s">
        <v>104</v>
      </c>
      <c r="X486" t="s">
        <v>16</v>
      </c>
      <c r="Y486" s="53">
        <v>0</v>
      </c>
      <c r="Z486" s="43">
        <v>15423.80749786</v>
      </c>
    </row>
    <row r="487" spans="1:26" x14ac:dyDescent="0.25">
      <c r="A487" t="str">
        <f>IF(Summary_Exchange_Balances_00UTC!$B487="","",Summary_Exchange_Balances_00UTC!$N487)</f>
        <v/>
      </c>
      <c r="C487" t="str">
        <f>IF(Summary_Exchange_Balances_00UTC!$B487="","",Summary_Exchange_Balances_00UTC!$E487)</f>
        <v/>
      </c>
      <c r="E487" s="53" t="str">
        <f>IF(Summary_Exchange_Balances_00UTC!$B487="","",Summary_Exchange_Balances_00UTC!$C487)</f>
        <v/>
      </c>
      <c r="W487" t="s">
        <v>104</v>
      </c>
      <c r="X487" t="s">
        <v>98</v>
      </c>
      <c r="Y487" s="53">
        <v>0</v>
      </c>
      <c r="Z487" s="43">
        <v>10984646.900800001</v>
      </c>
    </row>
    <row r="488" spans="1:26" x14ac:dyDescent="0.25">
      <c r="A488" t="str">
        <f>IF(Summary_Exchange_Balances_00UTC!$B488="","",Summary_Exchange_Balances_00UTC!$N488)</f>
        <v/>
      </c>
      <c r="C488" t="str">
        <f>IF(Summary_Exchange_Balances_00UTC!$B488="","",Summary_Exchange_Balances_00UTC!$E488)</f>
        <v/>
      </c>
      <c r="E488" s="53" t="str">
        <f>IF(Summary_Exchange_Balances_00UTC!$B488="","",Summary_Exchange_Balances_00UTC!$C488)</f>
        <v/>
      </c>
      <c r="W488" t="s">
        <v>104</v>
      </c>
      <c r="X488" t="s">
        <v>15</v>
      </c>
      <c r="Y488" s="53">
        <v>0</v>
      </c>
      <c r="Z488" s="43">
        <v>66.460821039999999</v>
      </c>
    </row>
    <row r="489" spans="1:26" x14ac:dyDescent="0.25">
      <c r="A489" t="str">
        <f>IF(Summary_Exchange_Balances_00UTC!$B489="","",Summary_Exchange_Balances_00UTC!$N489)</f>
        <v/>
      </c>
      <c r="C489" t="str">
        <f>IF(Summary_Exchange_Balances_00UTC!$B489="","",Summary_Exchange_Balances_00UTC!$E489)</f>
        <v/>
      </c>
      <c r="E489" s="53" t="str">
        <f>IF(Summary_Exchange_Balances_00UTC!$B489="","",Summary_Exchange_Balances_00UTC!$C489)</f>
        <v/>
      </c>
      <c r="W489" t="s">
        <v>104</v>
      </c>
      <c r="X489" t="s">
        <v>16</v>
      </c>
      <c r="Y489" s="53">
        <v>0</v>
      </c>
      <c r="Z489" s="43">
        <v>1081.39261971</v>
      </c>
    </row>
    <row r="490" spans="1:26" x14ac:dyDescent="0.25">
      <c r="A490" t="str">
        <f>IF(Summary_Exchange_Balances_00UTC!$B490="","",Summary_Exchange_Balances_00UTC!$N490)</f>
        <v/>
      </c>
      <c r="C490" t="str">
        <f>IF(Summary_Exchange_Balances_00UTC!$B490="","",Summary_Exchange_Balances_00UTC!$E490)</f>
        <v/>
      </c>
      <c r="E490" s="53" t="str">
        <f>IF(Summary_Exchange_Balances_00UTC!$B490="","",Summary_Exchange_Balances_00UTC!$C490)</f>
        <v/>
      </c>
      <c r="W490" t="s">
        <v>33</v>
      </c>
      <c r="X490" t="s">
        <v>334</v>
      </c>
      <c r="Y490" s="53">
        <v>0</v>
      </c>
      <c r="Z490" s="43">
        <v>174043.38447200001</v>
      </c>
    </row>
    <row r="491" spans="1:26" x14ac:dyDescent="0.25">
      <c r="A491" t="str">
        <f>IF(Summary_Exchange_Balances_00UTC!$B491="","",Summary_Exchange_Balances_00UTC!$N491)</f>
        <v/>
      </c>
      <c r="C491" t="str">
        <f>IF(Summary_Exchange_Balances_00UTC!$B491="","",Summary_Exchange_Balances_00UTC!$E491)</f>
        <v/>
      </c>
      <c r="E491" s="53" t="str">
        <f>IF(Summary_Exchange_Balances_00UTC!$B491="","",Summary_Exchange_Balances_00UTC!$C491)</f>
        <v/>
      </c>
      <c r="W491" t="s">
        <v>189</v>
      </c>
      <c r="X491" t="s">
        <v>119</v>
      </c>
      <c r="Y491" s="53">
        <v>0</v>
      </c>
      <c r="Z491" s="43">
        <v>150</v>
      </c>
    </row>
    <row r="492" spans="1:26" x14ac:dyDescent="0.25">
      <c r="A492" t="str">
        <f>IF(Summary_Exchange_Balances_00UTC!$B492="","",Summary_Exchange_Balances_00UTC!$N492)</f>
        <v/>
      </c>
      <c r="C492" t="str">
        <f>IF(Summary_Exchange_Balances_00UTC!$B492="","",Summary_Exchange_Balances_00UTC!$E492)</f>
        <v/>
      </c>
      <c r="E492" s="53" t="str">
        <f>IF(Summary_Exchange_Balances_00UTC!$B492="","",Summary_Exchange_Balances_00UTC!$C492)</f>
        <v/>
      </c>
      <c r="W492" t="s">
        <v>189</v>
      </c>
      <c r="X492" t="s">
        <v>190</v>
      </c>
      <c r="Y492" s="53">
        <v>0</v>
      </c>
      <c r="Z492" s="43">
        <v>4.0782587999999998E-3</v>
      </c>
    </row>
    <row r="493" spans="1:26" x14ac:dyDescent="0.25">
      <c r="A493" t="str">
        <f>IF(Summary_Exchange_Balances_00UTC!$B493="","",Summary_Exchange_Balances_00UTC!$N493)</f>
        <v/>
      </c>
      <c r="C493" t="str">
        <f>IF(Summary_Exchange_Balances_00UTC!$B493="","",Summary_Exchange_Balances_00UTC!$E493)</f>
        <v/>
      </c>
      <c r="E493" s="53" t="str">
        <f>IF(Summary_Exchange_Balances_00UTC!$B493="","",Summary_Exchange_Balances_00UTC!$C493)</f>
        <v/>
      </c>
      <c r="W493" t="s">
        <v>189</v>
      </c>
      <c r="X493" t="s">
        <v>15</v>
      </c>
      <c r="Y493" s="53">
        <v>0</v>
      </c>
      <c r="Z493" s="43">
        <v>7.9471685000000001</v>
      </c>
    </row>
    <row r="494" spans="1:26" x14ac:dyDescent="0.25">
      <c r="A494" t="str">
        <f>IF(Summary_Exchange_Balances_00UTC!$B494="","",Summary_Exchange_Balances_00UTC!$N494)</f>
        <v/>
      </c>
      <c r="C494" t="str">
        <f>IF(Summary_Exchange_Balances_00UTC!$B494="","",Summary_Exchange_Balances_00UTC!$E494)</f>
        <v/>
      </c>
      <c r="E494" s="53" t="str">
        <f>IF(Summary_Exchange_Balances_00UTC!$B494="","",Summary_Exchange_Balances_00UTC!$C494)</f>
        <v/>
      </c>
      <c r="W494" t="s">
        <v>189</v>
      </c>
      <c r="X494" t="s">
        <v>32</v>
      </c>
      <c r="Y494" s="53">
        <v>0</v>
      </c>
      <c r="Z494" s="43">
        <v>0.06</v>
      </c>
    </row>
    <row r="495" spans="1:26" x14ac:dyDescent="0.25">
      <c r="A495" t="str">
        <f>IF(Summary_Exchange_Balances_00UTC!$B495="","",Summary_Exchange_Balances_00UTC!$N495)</f>
        <v/>
      </c>
      <c r="C495" t="str">
        <f>IF(Summary_Exchange_Balances_00UTC!$B495="","",Summary_Exchange_Balances_00UTC!$E495)</f>
        <v/>
      </c>
      <c r="E495" s="53" t="str">
        <f>IF(Summary_Exchange_Balances_00UTC!$B495="","",Summary_Exchange_Balances_00UTC!$C495)</f>
        <v/>
      </c>
      <c r="W495" t="s">
        <v>189</v>
      </c>
      <c r="X495" t="s">
        <v>191</v>
      </c>
      <c r="Y495" s="53">
        <v>0</v>
      </c>
      <c r="Z495" s="43">
        <v>9.7777784334</v>
      </c>
    </row>
    <row r="496" spans="1:26" x14ac:dyDescent="0.25">
      <c r="A496" t="str">
        <f>IF(Summary_Exchange_Balances_00UTC!$B496="","",Summary_Exchange_Balances_00UTC!$N496)</f>
        <v/>
      </c>
      <c r="C496" t="str">
        <f>IF(Summary_Exchange_Balances_00UTC!$B496="","",Summary_Exchange_Balances_00UTC!$E496)</f>
        <v/>
      </c>
      <c r="E496" s="53" t="str">
        <f>IF(Summary_Exchange_Balances_00UTC!$B496="","",Summary_Exchange_Balances_00UTC!$C496)</f>
        <v/>
      </c>
      <c r="W496" t="s">
        <v>189</v>
      </c>
      <c r="X496" t="s">
        <v>23</v>
      </c>
      <c r="Y496" s="53">
        <v>0</v>
      </c>
      <c r="Z496" s="43">
        <v>2.0019999999999998</v>
      </c>
    </row>
    <row r="497" spans="1:26" x14ac:dyDescent="0.25">
      <c r="A497" t="str">
        <f>IF(Summary_Exchange_Balances_00UTC!$B497="","",Summary_Exchange_Balances_00UTC!$N497)</f>
        <v/>
      </c>
      <c r="C497" t="str">
        <f>IF(Summary_Exchange_Balances_00UTC!$B497="","",Summary_Exchange_Balances_00UTC!$E497)</f>
        <v/>
      </c>
      <c r="E497" s="53" t="str">
        <f>IF(Summary_Exchange_Balances_00UTC!$B497="","",Summary_Exchange_Balances_00UTC!$C497)</f>
        <v/>
      </c>
      <c r="W497" t="s">
        <v>189</v>
      </c>
      <c r="X497" t="s">
        <v>24</v>
      </c>
      <c r="Y497" s="53">
        <v>0</v>
      </c>
      <c r="Z497" s="43">
        <v>3.5000000000000001E-3</v>
      </c>
    </row>
    <row r="498" spans="1:26" x14ac:dyDescent="0.25">
      <c r="A498" t="str">
        <f>IF(Summary_Exchange_Balances_00UTC!$B498="","",Summary_Exchange_Balances_00UTC!$N498)</f>
        <v/>
      </c>
      <c r="C498" t="str">
        <f>IF(Summary_Exchange_Balances_00UTC!$B498="","",Summary_Exchange_Balances_00UTC!$E498)</f>
        <v/>
      </c>
      <c r="E498" s="53" t="str">
        <f>IF(Summary_Exchange_Balances_00UTC!$B498="","",Summary_Exchange_Balances_00UTC!$C498)</f>
        <v/>
      </c>
      <c r="W498" t="s">
        <v>189</v>
      </c>
      <c r="X498" t="s">
        <v>30</v>
      </c>
      <c r="Y498" s="53">
        <v>0</v>
      </c>
      <c r="Z498" s="43">
        <v>5.8799999999999999E-5</v>
      </c>
    </row>
    <row r="499" spans="1:26" x14ac:dyDescent="0.25">
      <c r="A499" t="str">
        <f>IF(Summary_Exchange_Balances_00UTC!$B499="","",Summary_Exchange_Balances_00UTC!$N499)</f>
        <v/>
      </c>
      <c r="C499" t="str">
        <f>IF(Summary_Exchange_Balances_00UTC!$B499="","",Summary_Exchange_Balances_00UTC!$E499)</f>
        <v/>
      </c>
      <c r="E499" s="53" t="str">
        <f>IF(Summary_Exchange_Balances_00UTC!$B499="","",Summary_Exchange_Balances_00UTC!$C499)</f>
        <v/>
      </c>
      <c r="W499" t="s">
        <v>189</v>
      </c>
      <c r="X499" t="s">
        <v>16</v>
      </c>
      <c r="Y499" s="53">
        <v>0</v>
      </c>
      <c r="Z499" s="43">
        <v>6681.3304798220997</v>
      </c>
    </row>
    <row r="500" spans="1:26" x14ac:dyDescent="0.25">
      <c r="A500" t="str">
        <f>IF(Summary_Exchange_Balances_00UTC!$B500="","",Summary_Exchange_Balances_00UTC!$N500)</f>
        <v/>
      </c>
      <c r="C500" t="str">
        <f>IF(Summary_Exchange_Balances_00UTC!$B500="","",Summary_Exchange_Balances_00UTC!$E500)</f>
        <v/>
      </c>
      <c r="E500" s="53" t="str">
        <f>IF(Summary_Exchange_Balances_00UTC!$B500="","",Summary_Exchange_Balances_00UTC!$C500)</f>
        <v/>
      </c>
      <c r="W500" t="s">
        <v>189</v>
      </c>
      <c r="X500" t="s">
        <v>275</v>
      </c>
      <c r="Y500" s="53">
        <v>0</v>
      </c>
      <c r="Z500" s="43">
        <v>4.0610759158</v>
      </c>
    </row>
    <row r="501" spans="1:26" x14ac:dyDescent="0.25">
      <c r="A501" t="str">
        <f>IF(Summary_Exchange_Balances_00UTC!$B501="","",Summary_Exchange_Balances_00UTC!$N501)</f>
        <v/>
      </c>
      <c r="C501" t="str">
        <f>IF(Summary_Exchange_Balances_00UTC!$B501="","",Summary_Exchange_Balances_00UTC!$E501)</f>
        <v/>
      </c>
      <c r="E501" s="53" t="str">
        <f>IF(Summary_Exchange_Balances_00UTC!$B501="","",Summary_Exchange_Balances_00UTC!$C501)</f>
        <v/>
      </c>
      <c r="W501" t="s">
        <v>189</v>
      </c>
      <c r="X501" t="s">
        <v>335</v>
      </c>
      <c r="Y501" s="53">
        <v>0</v>
      </c>
      <c r="Z501" s="43">
        <v>5024</v>
      </c>
    </row>
    <row r="502" spans="1:26" x14ac:dyDescent="0.25">
      <c r="A502" t="str">
        <f>IF(Summary_Exchange_Balances_00UTC!$B502="","",Summary_Exchange_Balances_00UTC!$N502)</f>
        <v/>
      </c>
      <c r="C502" t="str">
        <f>IF(Summary_Exchange_Balances_00UTC!$B502="","",Summary_Exchange_Balances_00UTC!$E502)</f>
        <v/>
      </c>
      <c r="E502" s="53" t="str">
        <f>IF(Summary_Exchange_Balances_00UTC!$B502="","",Summary_Exchange_Balances_00UTC!$C502)</f>
        <v/>
      </c>
      <c r="W502" t="s">
        <v>189</v>
      </c>
      <c r="X502" t="s">
        <v>336</v>
      </c>
      <c r="Y502" s="53">
        <v>0</v>
      </c>
      <c r="Z502" s="43">
        <v>8.9826517890000002</v>
      </c>
    </row>
    <row r="503" spans="1:26" x14ac:dyDescent="0.25">
      <c r="A503" t="str">
        <f>IF(Summary_Exchange_Balances_00UTC!$B503="","",Summary_Exchange_Balances_00UTC!$N503)</f>
        <v/>
      </c>
      <c r="C503" t="str">
        <f>IF(Summary_Exchange_Balances_00UTC!$B503="","",Summary_Exchange_Balances_00UTC!$E503)</f>
        <v/>
      </c>
      <c r="E503" s="53" t="str">
        <f>IF(Summary_Exchange_Balances_00UTC!$B503="","",Summary_Exchange_Balances_00UTC!$C503)</f>
        <v/>
      </c>
      <c r="W503" t="s">
        <v>189</v>
      </c>
      <c r="X503" t="s">
        <v>112</v>
      </c>
      <c r="Y503" s="53">
        <v>0</v>
      </c>
      <c r="Z503" s="43">
        <v>2.53888889</v>
      </c>
    </row>
    <row r="504" spans="1:26" x14ac:dyDescent="0.25">
      <c r="A504" t="str">
        <f>IF(Summary_Exchange_Balances_00UTC!$B504="","",Summary_Exchange_Balances_00UTC!$N504)</f>
        <v/>
      </c>
      <c r="C504" t="str">
        <f>IF(Summary_Exchange_Balances_00UTC!$B504="","",Summary_Exchange_Balances_00UTC!$E504)</f>
        <v/>
      </c>
      <c r="E504" s="53" t="str">
        <f>IF(Summary_Exchange_Balances_00UTC!$B504="","",Summary_Exchange_Balances_00UTC!$C504)</f>
        <v/>
      </c>
      <c r="W504" t="s">
        <v>189</v>
      </c>
      <c r="X504" t="s">
        <v>138</v>
      </c>
      <c r="Y504" s="53">
        <v>0</v>
      </c>
      <c r="Z504" s="43">
        <v>79.958187960000004</v>
      </c>
    </row>
    <row r="505" spans="1:26" x14ac:dyDescent="0.25">
      <c r="A505" t="str">
        <f>IF(Summary_Exchange_Balances_00UTC!$B505="","",Summary_Exchange_Balances_00UTC!$N505)</f>
        <v/>
      </c>
      <c r="C505" t="str">
        <f>IF(Summary_Exchange_Balances_00UTC!$B505="","",Summary_Exchange_Balances_00UTC!$E505)</f>
        <v/>
      </c>
      <c r="E505" s="53" t="str">
        <f>IF(Summary_Exchange_Balances_00UTC!$B505="","",Summary_Exchange_Balances_00UTC!$C505)</f>
        <v/>
      </c>
      <c r="W505" t="s">
        <v>189</v>
      </c>
      <c r="X505" t="s">
        <v>44</v>
      </c>
      <c r="Y505" s="53">
        <v>0</v>
      </c>
      <c r="Z505" s="43">
        <v>1.9338685143000001</v>
      </c>
    </row>
    <row r="506" spans="1:26" x14ac:dyDescent="0.25">
      <c r="A506" t="str">
        <f>IF(Summary_Exchange_Balances_00UTC!$B506="","",Summary_Exchange_Balances_00UTC!$N506)</f>
        <v/>
      </c>
      <c r="C506" t="str">
        <f>IF(Summary_Exchange_Balances_00UTC!$B506="","",Summary_Exchange_Balances_00UTC!$E506)</f>
        <v/>
      </c>
      <c r="E506" s="53" t="str">
        <f>IF(Summary_Exchange_Balances_00UTC!$B506="","",Summary_Exchange_Balances_00UTC!$C506)</f>
        <v/>
      </c>
      <c r="W506" t="s">
        <v>189</v>
      </c>
      <c r="X506" t="s">
        <v>28</v>
      </c>
      <c r="Y506" s="53">
        <v>0</v>
      </c>
      <c r="Z506" s="43">
        <v>53.117741070000001</v>
      </c>
    </row>
    <row r="507" spans="1:26" x14ac:dyDescent="0.25">
      <c r="A507" t="str">
        <f>IF(Summary_Exchange_Balances_00UTC!$B507="","",Summary_Exchange_Balances_00UTC!$N507)</f>
        <v/>
      </c>
      <c r="C507" t="str">
        <f>IF(Summary_Exchange_Balances_00UTC!$B507="","",Summary_Exchange_Balances_00UTC!$E507)</f>
        <v/>
      </c>
      <c r="E507" s="53" t="str">
        <f>IF(Summary_Exchange_Balances_00UTC!$B507="","",Summary_Exchange_Balances_00UTC!$C507)</f>
        <v/>
      </c>
      <c r="W507" t="s">
        <v>189</v>
      </c>
      <c r="X507" t="s">
        <v>25</v>
      </c>
      <c r="Y507" s="53">
        <v>0</v>
      </c>
      <c r="Z507" s="43">
        <v>1111.40706884</v>
      </c>
    </row>
    <row r="508" spans="1:26" x14ac:dyDescent="0.25">
      <c r="A508" t="str">
        <f>IF(Summary_Exchange_Balances_00UTC!$B508="","",Summary_Exchange_Balances_00UTC!$N508)</f>
        <v/>
      </c>
      <c r="C508" t="str">
        <f>IF(Summary_Exchange_Balances_00UTC!$B508="","",Summary_Exchange_Balances_00UTC!$E508)</f>
        <v/>
      </c>
      <c r="E508" s="53" t="str">
        <f>IF(Summary_Exchange_Balances_00UTC!$B508="","",Summary_Exchange_Balances_00UTC!$C508)</f>
        <v/>
      </c>
      <c r="W508" t="s">
        <v>189</v>
      </c>
      <c r="X508" t="s">
        <v>196</v>
      </c>
      <c r="Y508" s="53">
        <v>0</v>
      </c>
      <c r="Z508" s="43">
        <v>5.6554146698999999</v>
      </c>
    </row>
    <row r="509" spans="1:26" x14ac:dyDescent="0.25">
      <c r="A509" t="str">
        <f>IF(Summary_Exchange_Balances_00UTC!$B509="","",Summary_Exchange_Balances_00UTC!$N509)</f>
        <v/>
      </c>
      <c r="C509" t="str">
        <f>IF(Summary_Exchange_Balances_00UTC!$B509="","",Summary_Exchange_Balances_00UTC!$E509)</f>
        <v/>
      </c>
      <c r="E509" s="53" t="str">
        <f>IF(Summary_Exchange_Balances_00UTC!$B509="","",Summary_Exchange_Balances_00UTC!$C509)</f>
        <v/>
      </c>
      <c r="W509" t="s">
        <v>189</v>
      </c>
      <c r="X509" t="s">
        <v>153</v>
      </c>
      <c r="Y509" s="53">
        <v>0</v>
      </c>
      <c r="Z509" s="43">
        <v>4.7709999999999999</v>
      </c>
    </row>
    <row r="510" spans="1:26" x14ac:dyDescent="0.25">
      <c r="A510" t="str">
        <f>IF(Summary_Exchange_Balances_00UTC!$B510="","",Summary_Exchange_Balances_00UTC!$N510)</f>
        <v/>
      </c>
      <c r="C510" t="str">
        <f>IF(Summary_Exchange_Balances_00UTC!$B510="","",Summary_Exchange_Balances_00UTC!$E510)</f>
        <v/>
      </c>
      <c r="E510" s="53" t="str">
        <f>IF(Summary_Exchange_Balances_00UTC!$B510="","",Summary_Exchange_Balances_00UTC!$C510)</f>
        <v/>
      </c>
      <c r="W510" t="s">
        <v>189</v>
      </c>
      <c r="X510" t="s">
        <v>320</v>
      </c>
      <c r="Y510" s="53">
        <v>0</v>
      </c>
      <c r="Z510" s="43">
        <v>5625.02729593</v>
      </c>
    </row>
    <row r="511" spans="1:26" x14ac:dyDescent="0.25">
      <c r="A511" t="str">
        <f>IF(Summary_Exchange_Balances_00UTC!$B511="","",Summary_Exchange_Balances_00UTC!$N511)</f>
        <v/>
      </c>
      <c r="C511" t="str">
        <f>IF(Summary_Exchange_Balances_00UTC!$B511="","",Summary_Exchange_Balances_00UTC!$E511)</f>
        <v/>
      </c>
      <c r="E511" s="53" t="str">
        <f>IF(Summary_Exchange_Balances_00UTC!$B511="","",Summary_Exchange_Balances_00UTC!$C511)</f>
        <v/>
      </c>
      <c r="W511" t="s">
        <v>189</v>
      </c>
      <c r="X511" t="s">
        <v>259</v>
      </c>
      <c r="Y511" s="53">
        <v>0</v>
      </c>
      <c r="Z511" s="43">
        <v>5968</v>
      </c>
    </row>
    <row r="512" spans="1:26" x14ac:dyDescent="0.25">
      <c r="A512" t="str">
        <f>IF(Summary_Exchange_Balances_00UTC!$B512="","",Summary_Exchange_Balances_00UTC!$N512)</f>
        <v/>
      </c>
      <c r="C512" t="str">
        <f>IF(Summary_Exchange_Balances_00UTC!$B512="","",Summary_Exchange_Balances_00UTC!$E512)</f>
        <v/>
      </c>
      <c r="E512" s="53" t="str">
        <f>IF(Summary_Exchange_Balances_00UTC!$B512="","",Summary_Exchange_Balances_00UTC!$C512)</f>
        <v/>
      </c>
      <c r="W512" t="s">
        <v>189</v>
      </c>
      <c r="X512" t="s">
        <v>92</v>
      </c>
      <c r="Y512" s="53">
        <v>0</v>
      </c>
      <c r="Z512" s="43">
        <v>76.700156329999999</v>
      </c>
    </row>
    <row r="513" spans="1:26" x14ac:dyDescent="0.25">
      <c r="A513" t="str">
        <f>IF(Summary_Exchange_Balances_00UTC!$B513="","",Summary_Exchange_Balances_00UTC!$N513)</f>
        <v/>
      </c>
      <c r="C513" t="str">
        <f>IF(Summary_Exchange_Balances_00UTC!$B513="","",Summary_Exchange_Balances_00UTC!$E513)</f>
        <v/>
      </c>
      <c r="E513" s="53" t="str">
        <f>IF(Summary_Exchange_Balances_00UTC!$B513="","",Summary_Exchange_Balances_00UTC!$C513)</f>
        <v/>
      </c>
      <c r="W513" t="s">
        <v>189</v>
      </c>
      <c r="X513" t="s">
        <v>157</v>
      </c>
      <c r="Y513" s="53">
        <v>0</v>
      </c>
      <c r="Z513" s="43">
        <v>2.8970426800000002</v>
      </c>
    </row>
    <row r="514" spans="1:26" x14ac:dyDescent="0.25">
      <c r="A514" t="str">
        <f>IF(Summary_Exchange_Balances_00UTC!$B514="","",Summary_Exchange_Balances_00UTC!$N514)</f>
        <v/>
      </c>
      <c r="C514" t="str">
        <f>IF(Summary_Exchange_Balances_00UTC!$B514="","",Summary_Exchange_Balances_00UTC!$E514)</f>
        <v/>
      </c>
      <c r="E514" s="53" t="str">
        <f>IF(Summary_Exchange_Balances_00UTC!$B514="","",Summary_Exchange_Balances_00UTC!$C514)</f>
        <v/>
      </c>
      <c r="W514" t="s">
        <v>189</v>
      </c>
      <c r="X514" t="s">
        <v>162</v>
      </c>
      <c r="Y514" s="53">
        <v>0</v>
      </c>
      <c r="Z514" s="43">
        <v>0.82786806999999996</v>
      </c>
    </row>
    <row r="515" spans="1:26" x14ac:dyDescent="0.25">
      <c r="A515" t="str">
        <f>IF(Summary_Exchange_Balances_00UTC!$B515="","",Summary_Exchange_Balances_00UTC!$N515)</f>
        <v/>
      </c>
      <c r="C515" t="str">
        <f>IF(Summary_Exchange_Balances_00UTC!$B515="","",Summary_Exchange_Balances_00UTC!$E515)</f>
        <v/>
      </c>
      <c r="E515" s="53" t="str">
        <f>IF(Summary_Exchange_Balances_00UTC!$B515="","",Summary_Exchange_Balances_00UTC!$C515)</f>
        <v/>
      </c>
      <c r="W515" t="s">
        <v>189</v>
      </c>
      <c r="X515" t="s">
        <v>95</v>
      </c>
      <c r="Y515" s="53">
        <v>0</v>
      </c>
      <c r="Z515" s="43">
        <v>6169764.2016209997</v>
      </c>
    </row>
    <row r="516" spans="1:26" x14ac:dyDescent="0.25">
      <c r="A516" t="str">
        <f>IF(Summary_Exchange_Balances_00UTC!$B516="","",Summary_Exchange_Balances_00UTC!$N516)</f>
        <v/>
      </c>
      <c r="C516" t="str">
        <f>IF(Summary_Exchange_Balances_00UTC!$B516="","",Summary_Exchange_Balances_00UTC!$E516)</f>
        <v/>
      </c>
      <c r="E516" s="53" t="str">
        <f>IF(Summary_Exchange_Balances_00UTC!$B516="","",Summary_Exchange_Balances_00UTC!$C516)</f>
        <v/>
      </c>
      <c r="W516" t="s">
        <v>189</v>
      </c>
      <c r="X516" t="s">
        <v>337</v>
      </c>
      <c r="Y516" s="53">
        <v>0</v>
      </c>
      <c r="Z516" s="43">
        <v>35119.677000000003</v>
      </c>
    </row>
    <row r="517" spans="1:26" x14ac:dyDescent="0.25">
      <c r="A517" t="str">
        <f>IF(Summary_Exchange_Balances_00UTC!$B517="","",Summary_Exchange_Balances_00UTC!$N517)</f>
        <v/>
      </c>
      <c r="C517" t="str">
        <f>IF(Summary_Exchange_Balances_00UTC!$B517="","",Summary_Exchange_Balances_00UTC!$E517)</f>
        <v/>
      </c>
      <c r="E517" s="53" t="str">
        <f>IF(Summary_Exchange_Balances_00UTC!$B517="","",Summary_Exchange_Balances_00UTC!$C517)</f>
        <v/>
      </c>
      <c r="W517" t="s">
        <v>189</v>
      </c>
      <c r="X517" t="s">
        <v>260</v>
      </c>
      <c r="Y517" s="53">
        <v>0</v>
      </c>
      <c r="Z517" s="43">
        <v>7.9373880867000004</v>
      </c>
    </row>
    <row r="518" spans="1:26" x14ac:dyDescent="0.25">
      <c r="A518" t="str">
        <f>IF(Summary_Exchange_Balances_00UTC!$B518="","",Summary_Exchange_Balances_00UTC!$N518)</f>
        <v/>
      </c>
      <c r="C518" t="str">
        <f>IF(Summary_Exchange_Balances_00UTC!$B518="","",Summary_Exchange_Balances_00UTC!$E518)</f>
        <v/>
      </c>
      <c r="E518" s="53" t="str">
        <f>IF(Summary_Exchange_Balances_00UTC!$B518="","",Summary_Exchange_Balances_00UTC!$C518)</f>
        <v/>
      </c>
      <c r="W518" t="s">
        <v>189</v>
      </c>
      <c r="X518" t="s">
        <v>166</v>
      </c>
      <c r="Y518" s="53">
        <v>0</v>
      </c>
      <c r="Z518" s="43">
        <v>4.0349905000000001</v>
      </c>
    </row>
    <row r="519" spans="1:26" x14ac:dyDescent="0.25">
      <c r="A519" t="str">
        <f>IF(Summary_Exchange_Balances_00UTC!$B519="","",Summary_Exchange_Balances_00UTC!$N519)</f>
        <v/>
      </c>
      <c r="C519" t="str">
        <f>IF(Summary_Exchange_Balances_00UTC!$B519="","",Summary_Exchange_Balances_00UTC!$E519)</f>
        <v/>
      </c>
      <c r="E519" s="53" t="str">
        <f>IF(Summary_Exchange_Balances_00UTC!$B519="","",Summary_Exchange_Balances_00UTC!$C519)</f>
        <v/>
      </c>
      <c r="W519" t="s">
        <v>189</v>
      </c>
      <c r="X519" t="s">
        <v>102</v>
      </c>
      <c r="Y519" s="53">
        <v>0</v>
      </c>
      <c r="Z519" s="43">
        <v>313.68989199999999</v>
      </c>
    </row>
    <row r="520" spans="1:26" x14ac:dyDescent="0.25">
      <c r="A520" t="str">
        <f>IF(Summary_Exchange_Balances_00UTC!$B520="","",Summary_Exchange_Balances_00UTC!$N520)</f>
        <v/>
      </c>
      <c r="C520" t="str">
        <f>IF(Summary_Exchange_Balances_00UTC!$B520="","",Summary_Exchange_Balances_00UTC!$E520)</f>
        <v/>
      </c>
      <c r="E520" s="53" t="str">
        <f>IF(Summary_Exchange_Balances_00UTC!$B520="","",Summary_Exchange_Balances_00UTC!$C520)</f>
        <v/>
      </c>
      <c r="W520" t="s">
        <v>189</v>
      </c>
      <c r="X520" t="s">
        <v>174</v>
      </c>
      <c r="Y520" s="53">
        <v>0</v>
      </c>
      <c r="Z520" s="43">
        <v>7.66849E-3</v>
      </c>
    </row>
    <row r="521" spans="1:26" x14ac:dyDescent="0.25">
      <c r="A521" t="str">
        <f>IF(Summary_Exchange_Balances_00UTC!$B521="","",Summary_Exchange_Balances_00UTC!$N521)</f>
        <v/>
      </c>
      <c r="C521" t="str">
        <f>IF(Summary_Exchange_Balances_00UTC!$B521="","",Summary_Exchange_Balances_00UTC!$E521)</f>
        <v/>
      </c>
      <c r="E521" s="53" t="str">
        <f>IF(Summary_Exchange_Balances_00UTC!$B521="","",Summary_Exchange_Balances_00UTC!$C521)</f>
        <v/>
      </c>
      <c r="W521" t="s">
        <v>218</v>
      </c>
      <c r="X521" t="s">
        <v>87</v>
      </c>
      <c r="Y521" s="53">
        <v>0</v>
      </c>
      <c r="Z521" s="43">
        <v>9.6999999999999992E-9</v>
      </c>
    </row>
    <row r="522" spans="1:26" x14ac:dyDescent="0.25">
      <c r="A522" t="str">
        <f>IF(Summary_Exchange_Balances_00UTC!$B522="","",Summary_Exchange_Balances_00UTC!$N522)</f>
        <v/>
      </c>
      <c r="C522" t="str">
        <f>IF(Summary_Exchange_Balances_00UTC!$B522="","",Summary_Exchange_Balances_00UTC!$E522)</f>
        <v/>
      </c>
      <c r="E522" s="53" t="str">
        <f>IF(Summary_Exchange_Balances_00UTC!$B522="","",Summary_Exchange_Balances_00UTC!$C522)</f>
        <v/>
      </c>
      <c r="W522" t="s">
        <v>218</v>
      </c>
      <c r="X522" t="s">
        <v>21</v>
      </c>
      <c r="Y522" s="53">
        <v>0</v>
      </c>
      <c r="Z522" s="43">
        <v>5.02E-8</v>
      </c>
    </row>
    <row r="523" spans="1:26" x14ac:dyDescent="0.25">
      <c r="A523" t="str">
        <f>IF(Summary_Exchange_Balances_00UTC!$B523="","",Summary_Exchange_Balances_00UTC!$N523)</f>
        <v/>
      </c>
      <c r="C523" t="str">
        <f>IF(Summary_Exchange_Balances_00UTC!$B523="","",Summary_Exchange_Balances_00UTC!$E523)</f>
        <v/>
      </c>
      <c r="E523" s="53" t="str">
        <f>IF(Summary_Exchange_Balances_00UTC!$B523="","",Summary_Exchange_Balances_00UTC!$C523)</f>
        <v/>
      </c>
      <c r="W523" t="s">
        <v>218</v>
      </c>
      <c r="X523" t="s">
        <v>116</v>
      </c>
      <c r="Y523" s="53">
        <v>0</v>
      </c>
      <c r="Z523" s="43">
        <v>0.47315189390000001</v>
      </c>
    </row>
    <row r="524" spans="1:26" x14ac:dyDescent="0.25">
      <c r="A524" t="str">
        <f>IF(Summary_Exchange_Balances_00UTC!$B524="","",Summary_Exchange_Balances_00UTC!$N524)</f>
        <v/>
      </c>
      <c r="C524" t="str">
        <f>IF(Summary_Exchange_Balances_00UTC!$B524="","",Summary_Exchange_Balances_00UTC!$E524)</f>
        <v/>
      </c>
      <c r="E524" s="53" t="str">
        <f>IF(Summary_Exchange_Balances_00UTC!$B524="","",Summary_Exchange_Balances_00UTC!$C524)</f>
        <v/>
      </c>
      <c r="W524" t="s">
        <v>218</v>
      </c>
      <c r="X524" t="s">
        <v>15</v>
      </c>
      <c r="Y524" s="53">
        <v>0</v>
      </c>
      <c r="Z524" s="43">
        <v>3.8600000000000002E-8</v>
      </c>
    </row>
    <row r="525" spans="1:26" x14ac:dyDescent="0.25">
      <c r="A525" t="str">
        <f>IF(Summary_Exchange_Balances_00UTC!$B525="","",Summary_Exchange_Balances_00UTC!$N525)</f>
        <v/>
      </c>
      <c r="C525" t="str">
        <f>IF(Summary_Exchange_Balances_00UTC!$B525="","",Summary_Exchange_Balances_00UTC!$E525)</f>
        <v/>
      </c>
      <c r="E525" s="53" t="str">
        <f>IF(Summary_Exchange_Balances_00UTC!$B525="","",Summary_Exchange_Balances_00UTC!$C525)</f>
        <v/>
      </c>
      <c r="W525" t="s">
        <v>218</v>
      </c>
      <c r="X525" t="s">
        <v>24</v>
      </c>
      <c r="Y525" s="53">
        <v>0</v>
      </c>
      <c r="Z525" s="43">
        <v>3.1699999999999999E-8</v>
      </c>
    </row>
    <row r="526" spans="1:26" x14ac:dyDescent="0.25">
      <c r="A526" t="str">
        <f>IF(Summary_Exchange_Balances_00UTC!$B526="","",Summary_Exchange_Balances_00UTC!$N526)</f>
        <v/>
      </c>
      <c r="C526" t="str">
        <f>IF(Summary_Exchange_Balances_00UTC!$B526="","",Summary_Exchange_Balances_00UTC!$E526)</f>
        <v/>
      </c>
      <c r="E526" s="53" t="str">
        <f>IF(Summary_Exchange_Balances_00UTC!$B526="","",Summary_Exchange_Balances_00UTC!$C526)</f>
        <v/>
      </c>
      <c r="W526" t="s">
        <v>218</v>
      </c>
      <c r="X526" t="s">
        <v>30</v>
      </c>
      <c r="Y526" s="53">
        <v>0</v>
      </c>
      <c r="Z526" s="43">
        <v>6.1E-9</v>
      </c>
    </row>
    <row r="527" spans="1:26" x14ac:dyDescent="0.25">
      <c r="A527" t="str">
        <f>IF(Summary_Exchange_Balances_00UTC!$B527="","",Summary_Exchange_Balances_00UTC!$N527)</f>
        <v/>
      </c>
      <c r="C527" t="str">
        <f>IF(Summary_Exchange_Balances_00UTC!$B527="","",Summary_Exchange_Balances_00UTC!$E527)</f>
        <v/>
      </c>
      <c r="E527" s="53" t="str">
        <f>IF(Summary_Exchange_Balances_00UTC!$B527="","",Summary_Exchange_Balances_00UTC!$C527)</f>
        <v/>
      </c>
      <c r="W527" t="s">
        <v>218</v>
      </c>
      <c r="X527" t="s">
        <v>16</v>
      </c>
      <c r="Y527" s="53">
        <v>0</v>
      </c>
      <c r="Z527" s="43">
        <v>2.8600000000000001E-8</v>
      </c>
    </row>
    <row r="528" spans="1:26" x14ac:dyDescent="0.25">
      <c r="A528" t="str">
        <f>IF(Summary_Exchange_Balances_00UTC!$B528="","",Summary_Exchange_Balances_00UTC!$N528)</f>
        <v/>
      </c>
      <c r="C528" t="str">
        <f>IF(Summary_Exchange_Balances_00UTC!$B528="","",Summary_Exchange_Balances_00UTC!$E528)</f>
        <v/>
      </c>
      <c r="E528" s="53" t="str">
        <f>IF(Summary_Exchange_Balances_00UTC!$B528="","",Summary_Exchange_Balances_00UTC!$C528)</f>
        <v/>
      </c>
      <c r="W528" t="s">
        <v>218</v>
      </c>
      <c r="X528" t="s">
        <v>28</v>
      </c>
      <c r="Y528" s="53">
        <v>0</v>
      </c>
      <c r="Z528" s="43">
        <v>4.6999999999999999E-9</v>
      </c>
    </row>
    <row r="529" spans="1:26" x14ac:dyDescent="0.25">
      <c r="A529" t="str">
        <f>IF(Summary_Exchange_Balances_00UTC!$B529="","",Summary_Exchange_Balances_00UTC!$N529)</f>
        <v/>
      </c>
      <c r="C529" t="str">
        <f>IF(Summary_Exchange_Balances_00UTC!$B529="","",Summary_Exchange_Balances_00UTC!$E529)</f>
        <v/>
      </c>
      <c r="E529" s="53" t="str">
        <f>IF(Summary_Exchange_Balances_00UTC!$B529="","",Summary_Exchange_Balances_00UTC!$C529)</f>
        <v/>
      </c>
      <c r="W529" t="s">
        <v>218</v>
      </c>
      <c r="X529" t="s">
        <v>25</v>
      </c>
      <c r="Y529" s="53">
        <v>0</v>
      </c>
      <c r="Z529" s="43">
        <v>9.3000000000000006E-9</v>
      </c>
    </row>
    <row r="530" spans="1:26" x14ac:dyDescent="0.25">
      <c r="A530" t="str">
        <f>IF(Summary_Exchange_Balances_00UTC!$B530="","",Summary_Exchange_Balances_00UTC!$N530)</f>
        <v/>
      </c>
      <c r="C530" t="str">
        <f>IF(Summary_Exchange_Balances_00UTC!$B530="","",Summary_Exchange_Balances_00UTC!$E530)</f>
        <v/>
      </c>
      <c r="E530" s="53" t="str">
        <f>IF(Summary_Exchange_Balances_00UTC!$B530="","",Summary_Exchange_Balances_00UTC!$C530)</f>
        <v/>
      </c>
      <c r="W530" t="s">
        <v>218</v>
      </c>
      <c r="X530" t="s">
        <v>26</v>
      </c>
      <c r="Y530" s="53">
        <v>0</v>
      </c>
      <c r="Z530" s="43">
        <v>7.8999999999999996E-9</v>
      </c>
    </row>
    <row r="531" spans="1:26" x14ac:dyDescent="0.25">
      <c r="A531" t="str">
        <f>IF(Summary_Exchange_Balances_00UTC!$B531="","",Summary_Exchange_Balances_00UTC!$N531)</f>
        <v/>
      </c>
      <c r="C531" t="str">
        <f>IF(Summary_Exchange_Balances_00UTC!$B531="","",Summary_Exchange_Balances_00UTC!$E531)</f>
        <v/>
      </c>
      <c r="E531" s="53" t="str">
        <f>IF(Summary_Exchange_Balances_00UTC!$B531="","",Summary_Exchange_Balances_00UTC!$C531)</f>
        <v/>
      </c>
      <c r="W531" t="s">
        <v>218</v>
      </c>
      <c r="X531" t="s">
        <v>102</v>
      </c>
      <c r="Y531" s="53">
        <v>0</v>
      </c>
      <c r="Z531" s="43">
        <v>9.7899999999999997E-8</v>
      </c>
    </row>
    <row r="532" spans="1:26" x14ac:dyDescent="0.25">
      <c r="A532" t="str">
        <f>IF(Summary_Exchange_Balances_00UTC!$B532="","",Summary_Exchange_Balances_00UTC!$N532)</f>
        <v/>
      </c>
      <c r="C532" t="str">
        <f>IF(Summary_Exchange_Balances_00UTC!$B532="","",Summary_Exchange_Balances_00UTC!$E532)</f>
        <v/>
      </c>
      <c r="E532" s="53" t="str">
        <f>IF(Summary_Exchange_Balances_00UTC!$B532="","",Summary_Exchange_Balances_00UTC!$C532)</f>
        <v/>
      </c>
      <c r="W532" t="s">
        <v>218</v>
      </c>
      <c r="X532" t="s">
        <v>87</v>
      </c>
      <c r="Y532" s="53">
        <v>0</v>
      </c>
      <c r="Z532" s="43">
        <v>5.7406593000000001E-3</v>
      </c>
    </row>
    <row r="533" spans="1:26" x14ac:dyDescent="0.25">
      <c r="A533" t="str">
        <f>IF(Summary_Exchange_Balances_00UTC!$B533="","",Summary_Exchange_Balances_00UTC!$N533)</f>
        <v/>
      </c>
      <c r="C533" t="str">
        <f>IF(Summary_Exchange_Balances_00UTC!$B533="","",Summary_Exchange_Balances_00UTC!$E533)</f>
        <v/>
      </c>
      <c r="E533" s="53" t="str">
        <f>IF(Summary_Exchange_Balances_00UTC!$B533="","",Summary_Exchange_Balances_00UTC!$C533)</f>
        <v/>
      </c>
      <c r="W533" t="s">
        <v>218</v>
      </c>
      <c r="X533" t="s">
        <v>21</v>
      </c>
      <c r="Y533" s="53">
        <v>0</v>
      </c>
      <c r="Z533" s="43">
        <v>0.72885028029999999</v>
      </c>
    </row>
    <row r="534" spans="1:26" x14ac:dyDescent="0.25">
      <c r="A534" t="str">
        <f>IF(Summary_Exchange_Balances_00UTC!$B534="","",Summary_Exchange_Balances_00UTC!$N534)</f>
        <v/>
      </c>
      <c r="C534" t="str">
        <f>IF(Summary_Exchange_Balances_00UTC!$B534="","",Summary_Exchange_Balances_00UTC!$E534)</f>
        <v/>
      </c>
      <c r="E534" s="53" t="str">
        <f>IF(Summary_Exchange_Balances_00UTC!$B534="","",Summary_Exchange_Balances_00UTC!$C534)</f>
        <v/>
      </c>
      <c r="W534" t="s">
        <v>218</v>
      </c>
      <c r="X534" t="s">
        <v>116</v>
      </c>
      <c r="Y534" s="53">
        <v>0</v>
      </c>
      <c r="Z534" s="43">
        <v>0.11285791119999999</v>
      </c>
    </row>
    <row r="535" spans="1:26" x14ac:dyDescent="0.25">
      <c r="A535" t="str">
        <f>IF(Summary_Exchange_Balances_00UTC!$B535="","",Summary_Exchange_Balances_00UTC!$N535)</f>
        <v/>
      </c>
      <c r="C535" t="str">
        <f>IF(Summary_Exchange_Balances_00UTC!$B535="","",Summary_Exchange_Balances_00UTC!$E535)</f>
        <v/>
      </c>
      <c r="E535" s="53" t="str">
        <f>IF(Summary_Exchange_Balances_00UTC!$B535="","",Summary_Exchange_Balances_00UTC!$C535)</f>
        <v/>
      </c>
      <c r="W535" t="s">
        <v>218</v>
      </c>
      <c r="X535" t="s">
        <v>15</v>
      </c>
      <c r="Y535" s="53">
        <v>0</v>
      </c>
      <c r="Z535" s="43">
        <v>-10.5110030813</v>
      </c>
    </row>
    <row r="536" spans="1:26" x14ac:dyDescent="0.25">
      <c r="A536" t="str">
        <f>IF(Summary_Exchange_Balances_00UTC!$B536="","",Summary_Exchange_Balances_00UTC!$N536)</f>
        <v/>
      </c>
      <c r="C536" t="str">
        <f>IF(Summary_Exchange_Balances_00UTC!$B536="","",Summary_Exchange_Balances_00UTC!$E536)</f>
        <v/>
      </c>
      <c r="E536" s="53" t="str">
        <f>IF(Summary_Exchange_Balances_00UTC!$B536="","",Summary_Exchange_Balances_00UTC!$C536)</f>
        <v/>
      </c>
      <c r="W536" t="s">
        <v>218</v>
      </c>
      <c r="X536" t="s">
        <v>15</v>
      </c>
      <c r="Y536" s="53">
        <v>0</v>
      </c>
      <c r="Z536" s="43">
        <v>471.4703452023</v>
      </c>
    </row>
    <row r="537" spans="1:26" x14ac:dyDescent="0.25">
      <c r="A537" t="str">
        <f>IF(Summary_Exchange_Balances_00UTC!$B537="","",Summary_Exchange_Balances_00UTC!$N537)</f>
        <v/>
      </c>
      <c r="C537" t="str">
        <f>IF(Summary_Exchange_Balances_00UTC!$B537="","",Summary_Exchange_Balances_00UTC!$E537)</f>
        <v/>
      </c>
      <c r="E537" s="53" t="str">
        <f>IF(Summary_Exchange_Balances_00UTC!$B537="","",Summary_Exchange_Balances_00UTC!$C537)</f>
        <v/>
      </c>
      <c r="W537" t="s">
        <v>218</v>
      </c>
      <c r="X537" t="s">
        <v>23</v>
      </c>
      <c r="Y537" s="53">
        <v>0</v>
      </c>
      <c r="Z537" s="43">
        <v>0.97764076359999996</v>
      </c>
    </row>
    <row r="538" spans="1:26" x14ac:dyDescent="0.25">
      <c r="A538" t="str">
        <f>IF(Summary_Exchange_Balances_00UTC!$B538="","",Summary_Exchange_Balances_00UTC!$N538)</f>
        <v/>
      </c>
      <c r="C538" t="str">
        <f>IF(Summary_Exchange_Balances_00UTC!$B538="","",Summary_Exchange_Balances_00UTC!$E538)</f>
        <v/>
      </c>
      <c r="E538" s="53" t="str">
        <f>IF(Summary_Exchange_Balances_00UTC!$B538="","",Summary_Exchange_Balances_00UTC!$C538)</f>
        <v/>
      </c>
      <c r="W538" t="s">
        <v>218</v>
      </c>
      <c r="X538" t="s">
        <v>24</v>
      </c>
      <c r="Y538" s="53">
        <v>0</v>
      </c>
      <c r="Z538" s="43">
        <v>3.7085151300000001E-2</v>
      </c>
    </row>
    <row r="539" spans="1:26" x14ac:dyDescent="0.25">
      <c r="A539" t="str">
        <f>IF(Summary_Exchange_Balances_00UTC!$B539="","",Summary_Exchange_Balances_00UTC!$N539)</f>
        <v/>
      </c>
      <c r="C539" t="str">
        <f>IF(Summary_Exchange_Balances_00UTC!$B539="","",Summary_Exchange_Balances_00UTC!$E539)</f>
        <v/>
      </c>
      <c r="E539" s="53" t="str">
        <f>IF(Summary_Exchange_Balances_00UTC!$B539="","",Summary_Exchange_Balances_00UTC!$C539)</f>
        <v/>
      </c>
      <c r="W539" t="s">
        <v>218</v>
      </c>
      <c r="X539" t="s">
        <v>30</v>
      </c>
      <c r="Y539" s="53">
        <v>0</v>
      </c>
      <c r="Z539" s="43">
        <v>0.70701212930000001</v>
      </c>
    </row>
    <row r="540" spans="1:26" x14ac:dyDescent="0.25">
      <c r="A540" t="str">
        <f>IF(Summary_Exchange_Balances_00UTC!$B540="","",Summary_Exchange_Balances_00UTC!$N540)</f>
        <v/>
      </c>
      <c r="C540" t="str">
        <f>IF(Summary_Exchange_Balances_00UTC!$B540="","",Summary_Exchange_Balances_00UTC!$E540)</f>
        <v/>
      </c>
      <c r="E540" s="53" t="str">
        <f>IF(Summary_Exchange_Balances_00UTC!$B540="","",Summary_Exchange_Balances_00UTC!$C540)</f>
        <v/>
      </c>
      <c r="W540" t="s">
        <v>218</v>
      </c>
      <c r="X540" t="s">
        <v>16</v>
      </c>
      <c r="Y540" s="53">
        <v>0</v>
      </c>
      <c r="Z540" s="43">
        <v>-100.3328244301</v>
      </c>
    </row>
    <row r="541" spans="1:26" x14ac:dyDescent="0.25">
      <c r="A541" t="str">
        <f>IF(Summary_Exchange_Balances_00UTC!$B541="","",Summary_Exchange_Balances_00UTC!$N541)</f>
        <v/>
      </c>
      <c r="C541" t="str">
        <f>IF(Summary_Exchange_Balances_00UTC!$B541="","",Summary_Exchange_Balances_00UTC!$E541)</f>
        <v/>
      </c>
      <c r="E541" s="53" t="str">
        <f>IF(Summary_Exchange_Balances_00UTC!$B541="","",Summary_Exchange_Balances_00UTC!$C541)</f>
        <v/>
      </c>
      <c r="W541" t="s">
        <v>218</v>
      </c>
      <c r="X541" t="s">
        <v>16</v>
      </c>
      <c r="Y541" s="53">
        <v>0</v>
      </c>
      <c r="Z541" s="43">
        <v>8734.1206793836991</v>
      </c>
    </row>
    <row r="542" spans="1:26" x14ac:dyDescent="0.25">
      <c r="A542" t="str">
        <f>IF(Summary_Exchange_Balances_00UTC!$B542="","",Summary_Exchange_Balances_00UTC!$N542)</f>
        <v/>
      </c>
      <c r="C542" t="str">
        <f>IF(Summary_Exchange_Balances_00UTC!$B542="","",Summary_Exchange_Balances_00UTC!$E542)</f>
        <v/>
      </c>
      <c r="E542" s="53" t="str">
        <f>IF(Summary_Exchange_Balances_00UTC!$B542="","",Summary_Exchange_Balances_00UTC!$C542)</f>
        <v/>
      </c>
      <c r="W542" t="s">
        <v>218</v>
      </c>
      <c r="X542" t="s">
        <v>28</v>
      </c>
      <c r="Y542" s="53">
        <v>0</v>
      </c>
      <c r="Z542" s="43">
        <v>6.2442432399999998E-2</v>
      </c>
    </row>
    <row r="543" spans="1:26" x14ac:dyDescent="0.25">
      <c r="A543" t="str">
        <f>IF(Summary_Exchange_Balances_00UTC!$B543="","",Summary_Exchange_Balances_00UTC!$N543)</f>
        <v/>
      </c>
      <c r="C543" t="str">
        <f>IF(Summary_Exchange_Balances_00UTC!$B543="","",Summary_Exchange_Balances_00UTC!$E543)</f>
        <v/>
      </c>
      <c r="E543" s="53" t="str">
        <f>IF(Summary_Exchange_Balances_00UTC!$B543="","",Summary_Exchange_Balances_00UTC!$C543)</f>
        <v/>
      </c>
      <c r="W543" t="s">
        <v>218</v>
      </c>
      <c r="X543" t="s">
        <v>25</v>
      </c>
      <c r="Y543" s="53">
        <v>0</v>
      </c>
      <c r="Z543" s="43">
        <v>7.1564416123000001</v>
      </c>
    </row>
    <row r="544" spans="1:26" x14ac:dyDescent="0.25">
      <c r="A544" t="str">
        <f>IF(Summary_Exchange_Balances_00UTC!$B544="","",Summary_Exchange_Balances_00UTC!$N544)</f>
        <v/>
      </c>
      <c r="C544" t="str">
        <f>IF(Summary_Exchange_Balances_00UTC!$B544="","",Summary_Exchange_Balances_00UTC!$E544)</f>
        <v/>
      </c>
      <c r="E544" s="53" t="str">
        <f>IF(Summary_Exchange_Balances_00UTC!$B544="","",Summary_Exchange_Balances_00UTC!$C544)</f>
        <v/>
      </c>
      <c r="W544" t="s">
        <v>218</v>
      </c>
      <c r="X544" t="s">
        <v>26</v>
      </c>
      <c r="Y544" s="53">
        <v>0</v>
      </c>
      <c r="Z544" s="43">
        <v>0.95766241559999998</v>
      </c>
    </row>
    <row r="545" spans="1:26" x14ac:dyDescent="0.25">
      <c r="A545" t="str">
        <f>IF(Summary_Exchange_Balances_00UTC!$B545="","",Summary_Exchange_Balances_00UTC!$N545)</f>
        <v/>
      </c>
      <c r="C545" t="str">
        <f>IF(Summary_Exchange_Balances_00UTC!$B545="","",Summary_Exchange_Balances_00UTC!$E545)</f>
        <v/>
      </c>
      <c r="E545" s="53" t="str">
        <f>IF(Summary_Exchange_Balances_00UTC!$B545="","",Summary_Exchange_Balances_00UTC!$C545)</f>
        <v/>
      </c>
      <c r="W545" t="s">
        <v>218</v>
      </c>
      <c r="X545" t="s">
        <v>102</v>
      </c>
      <c r="Y545" s="53">
        <v>0</v>
      </c>
      <c r="Z545" s="43">
        <v>0.54364484400000002</v>
      </c>
    </row>
    <row r="546" spans="1:26" x14ac:dyDescent="0.25">
      <c r="A546" t="str">
        <f>IF(Summary_Exchange_Balances_00UTC!$B546="","",Summary_Exchange_Balances_00UTC!$N546)</f>
        <v/>
      </c>
      <c r="C546" t="str">
        <f>IF(Summary_Exchange_Balances_00UTC!$B546="","",Summary_Exchange_Balances_00UTC!$E546)</f>
        <v/>
      </c>
      <c r="E546" s="53" t="str">
        <f>IF(Summary_Exchange_Balances_00UTC!$B546="","",Summary_Exchange_Balances_00UTC!$C546)</f>
        <v/>
      </c>
      <c r="W546" t="s">
        <v>115</v>
      </c>
      <c r="X546" t="s">
        <v>339</v>
      </c>
      <c r="Y546" s="53">
        <v>0</v>
      </c>
      <c r="Z546" s="43">
        <v>1E-8</v>
      </c>
    </row>
    <row r="547" spans="1:26" x14ac:dyDescent="0.25">
      <c r="A547" t="str">
        <f>IF(Summary_Exchange_Balances_00UTC!$B547="","",Summary_Exchange_Balances_00UTC!$N547)</f>
        <v/>
      </c>
      <c r="C547" t="str">
        <f>IF(Summary_Exchange_Balances_00UTC!$B547="","",Summary_Exchange_Balances_00UTC!$E547)</f>
        <v/>
      </c>
      <c r="E547" s="53" t="str">
        <f>IF(Summary_Exchange_Balances_00UTC!$B547="","",Summary_Exchange_Balances_00UTC!$C547)</f>
        <v/>
      </c>
      <c r="W547" s="29" t="s">
        <v>115</v>
      </c>
      <c r="X547" t="s">
        <v>345</v>
      </c>
      <c r="Y547" s="53">
        <v>0</v>
      </c>
      <c r="Z547" s="43">
        <v>1E-8</v>
      </c>
    </row>
    <row r="548" spans="1:26" x14ac:dyDescent="0.25">
      <c r="A548" t="str">
        <f>IF(Summary_Exchange_Balances_00UTC!$B548="","",Summary_Exchange_Balances_00UTC!$N548)</f>
        <v/>
      </c>
      <c r="C548" t="str">
        <f>IF(Summary_Exchange_Balances_00UTC!$B548="","",Summary_Exchange_Balances_00UTC!$E548)</f>
        <v/>
      </c>
      <c r="E548" s="53" t="str">
        <f>IF(Summary_Exchange_Balances_00UTC!$B548="","",Summary_Exchange_Balances_00UTC!$C548)</f>
        <v/>
      </c>
      <c r="W548" t="s">
        <v>115</v>
      </c>
      <c r="X548" t="s">
        <v>349</v>
      </c>
      <c r="Y548" s="53">
        <v>0</v>
      </c>
      <c r="Z548" s="43">
        <v>1E-8</v>
      </c>
    </row>
    <row r="549" spans="1:26" x14ac:dyDescent="0.25">
      <c r="A549" t="str">
        <f>IF(Summary_Exchange_Balances_00UTC!$B549="","",Summary_Exchange_Balances_00UTC!$N549)</f>
        <v/>
      </c>
      <c r="C549" t="str">
        <f>IF(Summary_Exchange_Balances_00UTC!$B549="","",Summary_Exchange_Balances_00UTC!$E549)</f>
        <v/>
      </c>
      <c r="E549" s="53" t="str">
        <f>IF(Summary_Exchange_Balances_00UTC!$B549="","",Summary_Exchange_Balances_00UTC!$C549)</f>
        <v/>
      </c>
      <c r="W549" t="s">
        <v>115</v>
      </c>
      <c r="X549" t="s">
        <v>360</v>
      </c>
      <c r="Y549" s="53">
        <v>0</v>
      </c>
      <c r="Z549" s="43">
        <v>1E-8</v>
      </c>
    </row>
    <row r="550" spans="1:26" x14ac:dyDescent="0.25">
      <c r="A550" t="str">
        <f>IF(Summary_Exchange_Balances_00UTC!$B550="","",Summary_Exchange_Balances_00UTC!$N550)</f>
        <v/>
      </c>
      <c r="C550" t="str">
        <f>IF(Summary_Exchange_Balances_00UTC!$B550="","",Summary_Exchange_Balances_00UTC!$E550)</f>
        <v/>
      </c>
      <c r="E550" s="53" t="str">
        <f>IF(Summary_Exchange_Balances_00UTC!$B550="","",Summary_Exchange_Balances_00UTC!$C550)</f>
        <v/>
      </c>
      <c r="W550" t="s">
        <v>115</v>
      </c>
      <c r="X550" t="s">
        <v>361</v>
      </c>
      <c r="Y550" s="53">
        <v>0</v>
      </c>
      <c r="Z550" s="43">
        <v>1E-8</v>
      </c>
    </row>
    <row r="551" spans="1:26" x14ac:dyDescent="0.25">
      <c r="A551" t="str">
        <f>IF(Summary_Exchange_Balances_00UTC!$B551="","",Summary_Exchange_Balances_00UTC!$N551)</f>
        <v/>
      </c>
      <c r="C551" t="str">
        <f>IF(Summary_Exchange_Balances_00UTC!$B551="","",Summary_Exchange_Balances_00UTC!$E551)</f>
        <v/>
      </c>
      <c r="E551" s="53" t="str">
        <f>IF(Summary_Exchange_Balances_00UTC!$B551="","",Summary_Exchange_Balances_00UTC!$C551)</f>
        <v/>
      </c>
      <c r="W551" t="s">
        <v>115</v>
      </c>
      <c r="X551" t="s">
        <v>362</v>
      </c>
      <c r="Y551" s="53">
        <v>0</v>
      </c>
      <c r="Z551" s="43">
        <v>1E-8</v>
      </c>
    </row>
    <row r="552" spans="1:26" x14ac:dyDescent="0.25">
      <c r="A552" t="str">
        <f>IF(Summary_Exchange_Balances_00UTC!$B552="","",Summary_Exchange_Balances_00UTC!$N552)</f>
        <v/>
      </c>
      <c r="C552" t="str">
        <f>IF(Summary_Exchange_Balances_00UTC!$B552="","",Summary_Exchange_Balances_00UTC!$E552)</f>
        <v/>
      </c>
      <c r="E552" s="53" t="str">
        <f>IF(Summary_Exchange_Balances_00UTC!$B552="","",Summary_Exchange_Balances_00UTC!$C552)</f>
        <v/>
      </c>
      <c r="W552" t="s">
        <v>115</v>
      </c>
      <c r="X552" t="s">
        <v>378</v>
      </c>
      <c r="Y552" s="53">
        <v>0</v>
      </c>
      <c r="Z552" s="43">
        <v>1E-8</v>
      </c>
    </row>
    <row r="553" spans="1:26" x14ac:dyDescent="0.25">
      <c r="A553" t="str">
        <f>IF(Summary_Exchange_Balances_00UTC!$B553="","",Summary_Exchange_Balances_00UTC!$N553)</f>
        <v/>
      </c>
      <c r="C553" t="str">
        <f>IF(Summary_Exchange_Balances_00UTC!$B553="","",Summary_Exchange_Balances_00UTC!$E553)</f>
        <v/>
      </c>
      <c r="E553" s="53" t="str">
        <f>IF(Summary_Exchange_Balances_00UTC!$B553="","",Summary_Exchange_Balances_00UTC!$C553)</f>
        <v/>
      </c>
      <c r="W553" s="29" t="s">
        <v>115</v>
      </c>
      <c r="X553" t="s">
        <v>380</v>
      </c>
      <c r="Y553" s="53">
        <v>0</v>
      </c>
      <c r="Z553" s="43">
        <v>1E-8</v>
      </c>
    </row>
    <row r="554" spans="1:26" x14ac:dyDescent="0.25">
      <c r="A554" t="str">
        <f>IF(Summary_Exchange_Balances_00UTC!$B554="","",Summary_Exchange_Balances_00UTC!$N554)</f>
        <v/>
      </c>
      <c r="C554" t="str">
        <f>IF(Summary_Exchange_Balances_00UTC!$B554="","",Summary_Exchange_Balances_00UTC!$E554)</f>
        <v/>
      </c>
      <c r="E554" s="53" t="str">
        <f>IF(Summary_Exchange_Balances_00UTC!$B554="","",Summary_Exchange_Balances_00UTC!$C554)</f>
        <v/>
      </c>
      <c r="W554" t="s">
        <v>115</v>
      </c>
      <c r="X554" t="s">
        <v>403</v>
      </c>
      <c r="Y554" s="53">
        <v>0</v>
      </c>
      <c r="Z554" s="43">
        <v>1E-8</v>
      </c>
    </row>
    <row r="555" spans="1:26" x14ac:dyDescent="0.25">
      <c r="A555" t="str">
        <f>IF(Summary_Exchange_Balances_00UTC!$B555="","",Summary_Exchange_Balances_00UTC!$N555)</f>
        <v/>
      </c>
      <c r="C555" t="str">
        <f>IF(Summary_Exchange_Balances_00UTC!$B555="","",Summary_Exchange_Balances_00UTC!$E555)</f>
        <v/>
      </c>
      <c r="E555" s="53" t="str">
        <f>IF(Summary_Exchange_Balances_00UTC!$B555="","",Summary_Exchange_Balances_00UTC!$C555)</f>
        <v/>
      </c>
      <c r="W555" t="s">
        <v>115</v>
      </c>
      <c r="X555" t="s">
        <v>403</v>
      </c>
      <c r="Y555" s="53">
        <v>0</v>
      </c>
      <c r="Z555" s="43">
        <v>0.1</v>
      </c>
    </row>
    <row r="556" spans="1:26" x14ac:dyDescent="0.25">
      <c r="A556" t="str">
        <f>IF(Summary_Exchange_Balances_00UTC!$B556="","",Summary_Exchange_Balances_00UTC!$N556)</f>
        <v/>
      </c>
      <c r="C556" t="str">
        <f>IF(Summary_Exchange_Balances_00UTC!$B556="","",Summary_Exchange_Balances_00UTC!$E556)</f>
        <v/>
      </c>
      <c r="E556" s="53" t="str">
        <f>IF(Summary_Exchange_Balances_00UTC!$B556="","",Summary_Exchange_Balances_00UTC!$C556)</f>
        <v/>
      </c>
      <c r="W556" t="s">
        <v>115</v>
      </c>
      <c r="X556" t="s">
        <v>408</v>
      </c>
      <c r="Y556" s="53">
        <v>0</v>
      </c>
      <c r="Z556" s="43">
        <v>7.4209999999999996E-5</v>
      </c>
    </row>
    <row r="557" spans="1:26" x14ac:dyDescent="0.25">
      <c r="A557" t="str">
        <f>IF(Summary_Exchange_Balances_00UTC!$B557="","",Summary_Exchange_Balances_00UTC!$N557)</f>
        <v/>
      </c>
      <c r="C557" t="str">
        <f>IF(Summary_Exchange_Balances_00UTC!$B557="","",Summary_Exchange_Balances_00UTC!$E557)</f>
        <v/>
      </c>
      <c r="E557" s="53" t="str">
        <f>IF(Summary_Exchange_Balances_00UTC!$B557="","",Summary_Exchange_Balances_00UTC!$C557)</f>
        <v/>
      </c>
      <c r="W557" t="s">
        <v>115</v>
      </c>
      <c r="X557" t="s">
        <v>408</v>
      </c>
      <c r="Y557" s="53">
        <v>0</v>
      </c>
      <c r="Z557" s="43">
        <v>6.4869999999999994E-5</v>
      </c>
    </row>
    <row r="558" spans="1:26" x14ac:dyDescent="0.25">
      <c r="A558" t="str">
        <f>IF(Summary_Exchange_Balances_00UTC!$B558="","",Summary_Exchange_Balances_00UTC!$N558)</f>
        <v/>
      </c>
      <c r="C558" t="str">
        <f>IF(Summary_Exchange_Balances_00UTC!$B558="","",Summary_Exchange_Balances_00UTC!$E558)</f>
        <v/>
      </c>
      <c r="E558" s="53" t="str">
        <f>IF(Summary_Exchange_Balances_00UTC!$B558="","",Summary_Exchange_Balances_00UTC!$C558)</f>
        <v/>
      </c>
      <c r="W558" s="29" t="s">
        <v>115</v>
      </c>
      <c r="X558" t="s">
        <v>338</v>
      </c>
      <c r="Y558" s="53">
        <v>0</v>
      </c>
      <c r="Z558" s="43">
        <v>377.09760540000002</v>
      </c>
    </row>
    <row r="559" spans="1:26" x14ac:dyDescent="0.25">
      <c r="A559" t="str">
        <f>IF(Summary_Exchange_Balances_00UTC!$B559="","",Summary_Exchange_Balances_00UTC!$N559)</f>
        <v/>
      </c>
      <c r="C559" t="str">
        <f>IF(Summary_Exchange_Balances_00UTC!$B559="","",Summary_Exchange_Balances_00UTC!$E559)</f>
        <v/>
      </c>
      <c r="E559" s="53" t="str">
        <f>IF(Summary_Exchange_Balances_00UTC!$B559="","",Summary_Exchange_Balances_00UTC!$C559)</f>
        <v/>
      </c>
      <c r="W559" t="s">
        <v>115</v>
      </c>
      <c r="X559" t="s">
        <v>339</v>
      </c>
      <c r="Y559" s="53">
        <v>0</v>
      </c>
      <c r="Z559" s="43">
        <v>1.1000000000000001E-7</v>
      </c>
    </row>
    <row r="560" spans="1:26" x14ac:dyDescent="0.25">
      <c r="A560" t="str">
        <f>IF(Summary_Exchange_Balances_00UTC!$B560="","",Summary_Exchange_Balances_00UTC!$N560)</f>
        <v/>
      </c>
      <c r="C560" t="str">
        <f>IF(Summary_Exchange_Balances_00UTC!$B560="","",Summary_Exchange_Balances_00UTC!$E560)</f>
        <v/>
      </c>
      <c r="E560" s="53" t="str">
        <f>IF(Summary_Exchange_Balances_00UTC!$B560="","",Summary_Exchange_Balances_00UTC!$C560)</f>
        <v/>
      </c>
      <c r="W560" s="29" t="s">
        <v>115</v>
      </c>
      <c r="X560" t="s">
        <v>340</v>
      </c>
      <c r="Y560" s="53">
        <v>0</v>
      </c>
      <c r="Z560" s="43">
        <v>3587.9402382600001</v>
      </c>
    </row>
    <row r="561" spans="23:26" x14ac:dyDescent="0.25">
      <c r="W561" t="s">
        <v>115</v>
      </c>
      <c r="X561" t="s">
        <v>341</v>
      </c>
      <c r="Y561" s="53">
        <v>0</v>
      </c>
      <c r="Z561" s="43">
        <v>0.53247394999999997</v>
      </c>
    </row>
    <row r="562" spans="23:26" x14ac:dyDescent="0.25">
      <c r="W562" t="s">
        <v>115</v>
      </c>
      <c r="X562" t="s">
        <v>342</v>
      </c>
      <c r="Y562" s="53">
        <v>0</v>
      </c>
      <c r="Z562" s="43">
        <v>5.2478028200000004</v>
      </c>
    </row>
    <row r="563" spans="23:26" x14ac:dyDescent="0.25">
      <c r="W563" s="29" t="s">
        <v>115</v>
      </c>
      <c r="X563" t="s">
        <v>343</v>
      </c>
      <c r="Y563" s="53">
        <v>0</v>
      </c>
      <c r="Z563" s="43">
        <v>1.5389969999999999E-2</v>
      </c>
    </row>
    <row r="564" spans="23:26" x14ac:dyDescent="0.25">
      <c r="W564" s="29" t="s">
        <v>115</v>
      </c>
      <c r="X564" t="s">
        <v>344</v>
      </c>
      <c r="Y564" s="53">
        <v>0</v>
      </c>
      <c r="Z564" s="43">
        <v>152.41521331999999</v>
      </c>
    </row>
    <row r="565" spans="23:26" x14ac:dyDescent="0.25">
      <c r="W565" t="s">
        <v>115</v>
      </c>
      <c r="X565" t="s">
        <v>345</v>
      </c>
      <c r="Y565" s="53">
        <v>0</v>
      </c>
      <c r="Z565" s="43">
        <v>-29.37</v>
      </c>
    </row>
    <row r="566" spans="23:26" x14ac:dyDescent="0.25">
      <c r="W566" s="29" t="s">
        <v>115</v>
      </c>
      <c r="X566" t="s">
        <v>345</v>
      </c>
      <c r="Y566" s="53">
        <v>0</v>
      </c>
      <c r="Z566" s="43">
        <v>2202.9948926699999</v>
      </c>
    </row>
    <row r="567" spans="23:26" x14ac:dyDescent="0.25">
      <c r="W567" t="s">
        <v>115</v>
      </c>
      <c r="X567" t="s">
        <v>345</v>
      </c>
      <c r="Y567" s="53">
        <v>0</v>
      </c>
      <c r="Z567" s="43">
        <v>2</v>
      </c>
    </row>
    <row r="568" spans="23:26" x14ac:dyDescent="0.25">
      <c r="W568" t="s">
        <v>115</v>
      </c>
      <c r="X568" t="s">
        <v>345</v>
      </c>
      <c r="Y568" s="53">
        <v>0</v>
      </c>
      <c r="Z568" s="43">
        <v>64.011424020000007</v>
      </c>
    </row>
    <row r="569" spans="23:26" x14ac:dyDescent="0.25">
      <c r="W569" s="29" t="s">
        <v>115</v>
      </c>
      <c r="X569" t="s">
        <v>346</v>
      </c>
      <c r="Y569" s="53">
        <v>0</v>
      </c>
      <c r="Z569" s="43">
        <v>2.5033500000000001E-3</v>
      </c>
    </row>
    <row r="570" spans="23:26" x14ac:dyDescent="0.25">
      <c r="W570" t="s">
        <v>115</v>
      </c>
      <c r="X570" t="s">
        <v>347</v>
      </c>
      <c r="Y570" s="53">
        <v>0</v>
      </c>
      <c r="Z570" s="43">
        <v>115.29838952</v>
      </c>
    </row>
    <row r="571" spans="23:26" x14ac:dyDescent="0.25">
      <c r="W571" t="s">
        <v>115</v>
      </c>
      <c r="X571" t="s">
        <v>348</v>
      </c>
      <c r="Y571" s="53">
        <v>0</v>
      </c>
      <c r="Z571" s="43">
        <v>14.7502</v>
      </c>
    </row>
    <row r="572" spans="23:26" x14ac:dyDescent="0.25">
      <c r="W572" s="29" t="s">
        <v>115</v>
      </c>
      <c r="X572" t="s">
        <v>349</v>
      </c>
      <c r="Y572" s="53">
        <v>0</v>
      </c>
      <c r="Z572" s="43">
        <v>2604.8644934200001</v>
      </c>
    </row>
    <row r="573" spans="23:26" x14ac:dyDescent="0.25">
      <c r="W573" t="s">
        <v>115</v>
      </c>
      <c r="X573" t="s">
        <v>349</v>
      </c>
      <c r="Y573" s="53">
        <v>0</v>
      </c>
      <c r="Z573" s="43">
        <v>1625.6897381399999</v>
      </c>
    </row>
    <row r="574" spans="23:26" x14ac:dyDescent="0.25">
      <c r="W574" t="s">
        <v>115</v>
      </c>
      <c r="X574" t="s">
        <v>349</v>
      </c>
      <c r="Y574" s="53">
        <v>0</v>
      </c>
      <c r="Z574" s="43">
        <v>-546.37</v>
      </c>
    </row>
    <row r="575" spans="23:26" x14ac:dyDescent="0.25">
      <c r="W575" t="s">
        <v>115</v>
      </c>
      <c r="X575" t="s">
        <v>350</v>
      </c>
      <c r="Y575" s="53">
        <v>0</v>
      </c>
      <c r="Z575" s="43">
        <v>1395.8112005200001</v>
      </c>
    </row>
    <row r="576" spans="23:26" x14ac:dyDescent="0.25">
      <c r="W576" t="s">
        <v>115</v>
      </c>
      <c r="X576" t="s">
        <v>350</v>
      </c>
      <c r="Y576" s="53">
        <v>0</v>
      </c>
      <c r="Z576" s="43">
        <v>155.21512641000001</v>
      </c>
    </row>
    <row r="577" spans="23:26" x14ac:dyDescent="0.25">
      <c r="W577" t="s">
        <v>115</v>
      </c>
      <c r="X577" t="s">
        <v>350</v>
      </c>
      <c r="Y577" s="53">
        <v>0</v>
      </c>
      <c r="Z577" s="43">
        <v>0.74618799999999996</v>
      </c>
    </row>
    <row r="578" spans="23:26" x14ac:dyDescent="0.25">
      <c r="W578" t="s">
        <v>115</v>
      </c>
      <c r="X578" t="s">
        <v>351</v>
      </c>
      <c r="Y578" s="53">
        <v>0</v>
      </c>
      <c r="Z578" s="43">
        <v>0.33565571999999999</v>
      </c>
    </row>
    <row r="579" spans="23:26" x14ac:dyDescent="0.25">
      <c r="W579" t="s">
        <v>115</v>
      </c>
      <c r="X579" t="s">
        <v>352</v>
      </c>
      <c r="Y579" s="53">
        <v>0</v>
      </c>
      <c r="Z579" s="43">
        <v>1367501156.8785999</v>
      </c>
    </row>
    <row r="580" spans="23:26" x14ac:dyDescent="0.25">
      <c r="W580" t="s">
        <v>115</v>
      </c>
      <c r="X580" t="s">
        <v>353</v>
      </c>
      <c r="Y580" s="53">
        <v>0</v>
      </c>
      <c r="Z580" s="43">
        <v>1.7855998900000001</v>
      </c>
    </row>
    <row r="581" spans="23:26" x14ac:dyDescent="0.25">
      <c r="W581" t="s">
        <v>115</v>
      </c>
      <c r="X581" t="s">
        <v>354</v>
      </c>
      <c r="Y581" s="53">
        <v>0</v>
      </c>
      <c r="Z581" s="43">
        <v>43.072197150000001</v>
      </c>
    </row>
    <row r="582" spans="23:26" x14ac:dyDescent="0.25">
      <c r="W582" t="s">
        <v>115</v>
      </c>
      <c r="X582" t="s">
        <v>355</v>
      </c>
      <c r="Y582" s="53">
        <v>0</v>
      </c>
      <c r="Z582" s="43">
        <v>0.30791584</v>
      </c>
    </row>
    <row r="583" spans="23:26" x14ac:dyDescent="0.25">
      <c r="W583" t="s">
        <v>115</v>
      </c>
      <c r="X583" t="s">
        <v>356</v>
      </c>
      <c r="Y583" s="53">
        <v>0</v>
      </c>
      <c r="Z583" s="43">
        <v>5.6119999999999998E-5</v>
      </c>
    </row>
    <row r="584" spans="23:26" x14ac:dyDescent="0.25">
      <c r="W584" t="s">
        <v>115</v>
      </c>
      <c r="X584" t="s">
        <v>357</v>
      </c>
      <c r="Y584" s="53">
        <v>0</v>
      </c>
      <c r="Z584" s="43">
        <v>5.9800000000000001E-4</v>
      </c>
    </row>
    <row r="585" spans="23:26" x14ac:dyDescent="0.25">
      <c r="W585" t="s">
        <v>115</v>
      </c>
      <c r="X585" t="s">
        <v>358</v>
      </c>
      <c r="Y585" s="53">
        <v>0</v>
      </c>
      <c r="Z585" s="43">
        <v>17619.949551860002</v>
      </c>
    </row>
    <row r="586" spans="23:26" x14ac:dyDescent="0.25">
      <c r="W586" s="29" t="s">
        <v>115</v>
      </c>
      <c r="X586" t="s">
        <v>358</v>
      </c>
      <c r="Y586" s="53">
        <v>0</v>
      </c>
      <c r="Z586" s="43">
        <v>19049.75822756</v>
      </c>
    </row>
    <row r="587" spans="23:26" x14ac:dyDescent="0.25">
      <c r="W587" s="29" t="s">
        <v>115</v>
      </c>
      <c r="X587" t="s">
        <v>359</v>
      </c>
      <c r="Y587" s="53">
        <v>0</v>
      </c>
      <c r="Z587" s="43">
        <v>241319.15317850999</v>
      </c>
    </row>
    <row r="588" spans="23:26" x14ac:dyDescent="0.25">
      <c r="W588" t="s">
        <v>115</v>
      </c>
      <c r="X588" t="s">
        <v>360</v>
      </c>
      <c r="Y588" s="53">
        <v>0</v>
      </c>
      <c r="Z588" s="43">
        <v>-457203</v>
      </c>
    </row>
    <row r="589" spans="23:26" x14ac:dyDescent="0.25">
      <c r="W589" t="s">
        <v>115</v>
      </c>
      <c r="X589" t="s">
        <v>360</v>
      </c>
      <c r="Y589" s="53">
        <v>0</v>
      </c>
      <c r="Z589" s="43">
        <v>603384.83236875001</v>
      </c>
    </row>
    <row r="590" spans="23:26" x14ac:dyDescent="0.25">
      <c r="W590" t="s">
        <v>115</v>
      </c>
      <c r="X590" t="s">
        <v>360</v>
      </c>
      <c r="Y590" s="53">
        <v>0</v>
      </c>
      <c r="Z590" s="43">
        <v>5000</v>
      </c>
    </row>
    <row r="591" spans="23:26" x14ac:dyDescent="0.25">
      <c r="W591" t="s">
        <v>115</v>
      </c>
      <c r="X591" t="s">
        <v>360</v>
      </c>
      <c r="Y591" s="53">
        <v>0</v>
      </c>
      <c r="Z591" s="43">
        <v>24161.616036769999</v>
      </c>
    </row>
    <row r="592" spans="23:26" x14ac:dyDescent="0.25">
      <c r="W592" s="29" t="s">
        <v>115</v>
      </c>
      <c r="X592" t="s">
        <v>361</v>
      </c>
      <c r="Y592" s="53">
        <v>0</v>
      </c>
      <c r="Z592" s="43">
        <v>0.97793739999999996</v>
      </c>
    </row>
    <row r="593" spans="23:26" x14ac:dyDescent="0.25">
      <c r="W593" t="s">
        <v>115</v>
      </c>
      <c r="X593" t="s">
        <v>361</v>
      </c>
      <c r="Y593" s="53">
        <v>0</v>
      </c>
      <c r="Z593" s="43">
        <v>9676.7341443799996</v>
      </c>
    </row>
    <row r="594" spans="23:26" x14ac:dyDescent="0.25">
      <c r="W594" t="s">
        <v>115</v>
      </c>
      <c r="X594" t="s">
        <v>362</v>
      </c>
      <c r="Y594" s="53">
        <v>0</v>
      </c>
      <c r="Z594" s="43">
        <v>6</v>
      </c>
    </row>
    <row r="595" spans="23:26" x14ac:dyDescent="0.25">
      <c r="W595" t="s">
        <v>115</v>
      </c>
      <c r="X595" t="s">
        <v>362</v>
      </c>
      <c r="Y595" s="53">
        <v>0</v>
      </c>
      <c r="Z595" s="43">
        <v>658.85781324000004</v>
      </c>
    </row>
    <row r="596" spans="23:26" x14ac:dyDescent="0.25">
      <c r="W596" t="s">
        <v>115</v>
      </c>
      <c r="X596" t="s">
        <v>362</v>
      </c>
      <c r="Y596" s="53">
        <v>0</v>
      </c>
      <c r="Z596" s="43">
        <v>23.259335910000001</v>
      </c>
    </row>
    <row r="597" spans="23:26" x14ac:dyDescent="0.25">
      <c r="W597" t="s">
        <v>115</v>
      </c>
      <c r="X597" t="s">
        <v>362</v>
      </c>
      <c r="Y597" s="53">
        <v>0</v>
      </c>
      <c r="Z597" s="43">
        <v>-1466.27</v>
      </c>
    </row>
    <row r="598" spans="23:26" x14ac:dyDescent="0.25">
      <c r="W598" s="29" t="s">
        <v>115</v>
      </c>
      <c r="X598" t="s">
        <v>363</v>
      </c>
      <c r="Y598" s="53">
        <v>0</v>
      </c>
      <c r="Z598" s="43">
        <v>9823.8364263999993</v>
      </c>
    </row>
    <row r="599" spans="23:26" x14ac:dyDescent="0.25">
      <c r="W599" t="s">
        <v>115</v>
      </c>
      <c r="X599" t="s">
        <v>364</v>
      </c>
      <c r="Y599" s="53">
        <v>0</v>
      </c>
      <c r="Z599" s="43">
        <v>3460.93190667</v>
      </c>
    </row>
    <row r="600" spans="23:26" x14ac:dyDescent="0.25">
      <c r="W600" t="s">
        <v>115</v>
      </c>
      <c r="X600" t="s">
        <v>365</v>
      </c>
      <c r="Y600" s="53">
        <v>0</v>
      </c>
      <c r="Z600" s="43">
        <v>337071.23507431999</v>
      </c>
    </row>
    <row r="601" spans="23:26" x14ac:dyDescent="0.25">
      <c r="W601" t="s">
        <v>115</v>
      </c>
      <c r="X601" t="s">
        <v>365</v>
      </c>
      <c r="Y601" s="53">
        <v>0</v>
      </c>
      <c r="Z601" s="43">
        <v>2363.84</v>
      </c>
    </row>
    <row r="602" spans="23:26" x14ac:dyDescent="0.25">
      <c r="W602" t="s">
        <v>115</v>
      </c>
      <c r="X602" t="s">
        <v>366</v>
      </c>
      <c r="Y602" s="53">
        <v>0</v>
      </c>
      <c r="Z602" s="43">
        <v>2339.8611111199998</v>
      </c>
    </row>
    <row r="603" spans="23:26" x14ac:dyDescent="0.25">
      <c r="W603" t="s">
        <v>115</v>
      </c>
      <c r="X603" t="s">
        <v>367</v>
      </c>
      <c r="Y603" s="53">
        <v>0</v>
      </c>
      <c r="Z603" s="43">
        <v>0.68557060000000003</v>
      </c>
    </row>
    <row r="604" spans="23:26" x14ac:dyDescent="0.25">
      <c r="W604" t="s">
        <v>115</v>
      </c>
      <c r="X604" t="s">
        <v>368</v>
      </c>
      <c r="Y604" s="53">
        <v>0</v>
      </c>
      <c r="Z604" s="43">
        <v>54.776400000000002</v>
      </c>
    </row>
    <row r="605" spans="23:26" x14ac:dyDescent="0.25">
      <c r="W605" t="s">
        <v>115</v>
      </c>
      <c r="X605" t="s">
        <v>369</v>
      </c>
      <c r="Y605" s="53">
        <v>0</v>
      </c>
      <c r="Z605" s="43">
        <v>100.03406049</v>
      </c>
    </row>
    <row r="606" spans="23:26" x14ac:dyDescent="0.25">
      <c r="W606" t="s">
        <v>115</v>
      </c>
      <c r="X606" t="s">
        <v>370</v>
      </c>
      <c r="Y606" s="53">
        <v>0</v>
      </c>
      <c r="Z606" s="43">
        <v>5337.6979873099999</v>
      </c>
    </row>
    <row r="607" spans="23:26" x14ac:dyDescent="0.25">
      <c r="W607" t="s">
        <v>115</v>
      </c>
      <c r="X607" t="s">
        <v>371</v>
      </c>
      <c r="Y607" s="53">
        <v>0</v>
      </c>
      <c r="Z607" s="43">
        <v>3368.00656334</v>
      </c>
    </row>
    <row r="608" spans="23:26" x14ac:dyDescent="0.25">
      <c r="W608" t="s">
        <v>115</v>
      </c>
      <c r="X608" t="s">
        <v>372</v>
      </c>
      <c r="Y608" s="53">
        <v>0</v>
      </c>
      <c r="Z608" s="43">
        <v>14.785856219999999</v>
      </c>
    </row>
    <row r="609" spans="23:26" x14ac:dyDescent="0.25">
      <c r="W609" t="s">
        <v>115</v>
      </c>
      <c r="X609" t="s">
        <v>373</v>
      </c>
      <c r="Y609" s="53">
        <v>0</v>
      </c>
      <c r="Z609" s="43">
        <v>0.81765067999999996</v>
      </c>
    </row>
    <row r="610" spans="23:26" x14ac:dyDescent="0.25">
      <c r="W610" t="s">
        <v>115</v>
      </c>
      <c r="X610" t="s">
        <v>374</v>
      </c>
      <c r="Y610" s="53">
        <v>0</v>
      </c>
      <c r="Z610" s="43">
        <v>9.1121815000000002</v>
      </c>
    </row>
    <row r="611" spans="23:26" x14ac:dyDescent="0.25">
      <c r="W611" t="s">
        <v>115</v>
      </c>
      <c r="X611" t="s">
        <v>375</v>
      </c>
      <c r="Y611" s="53">
        <v>0</v>
      </c>
      <c r="Z611" s="43">
        <v>5</v>
      </c>
    </row>
    <row r="612" spans="23:26" x14ac:dyDescent="0.25">
      <c r="W612" t="s">
        <v>115</v>
      </c>
      <c r="X612" t="s">
        <v>376</v>
      </c>
      <c r="Y612" s="53">
        <v>0</v>
      </c>
      <c r="Z612" s="43">
        <v>0.24234807999999999</v>
      </c>
    </row>
    <row r="613" spans="23:26" x14ac:dyDescent="0.25">
      <c r="W613" t="s">
        <v>115</v>
      </c>
      <c r="X613" t="s">
        <v>377</v>
      </c>
      <c r="Y613" s="53">
        <v>0</v>
      </c>
      <c r="Z613" s="43">
        <v>1E-8</v>
      </c>
    </row>
    <row r="614" spans="23:26" x14ac:dyDescent="0.25">
      <c r="W614" t="s">
        <v>115</v>
      </c>
      <c r="X614" t="s">
        <v>378</v>
      </c>
      <c r="Y614" s="53">
        <v>0</v>
      </c>
      <c r="Z614" s="43">
        <v>24562.437244059998</v>
      </c>
    </row>
    <row r="615" spans="23:26" x14ac:dyDescent="0.25">
      <c r="W615" t="s">
        <v>115</v>
      </c>
      <c r="X615" t="s">
        <v>378</v>
      </c>
      <c r="Y615" s="53">
        <v>0</v>
      </c>
      <c r="Z615" s="43">
        <v>-2073</v>
      </c>
    </row>
    <row r="616" spans="23:26" x14ac:dyDescent="0.25">
      <c r="W616" t="s">
        <v>115</v>
      </c>
      <c r="X616" t="s">
        <v>378</v>
      </c>
      <c r="Y616" s="53">
        <v>0</v>
      </c>
      <c r="Z616" s="43">
        <v>362</v>
      </c>
    </row>
    <row r="617" spans="23:26" x14ac:dyDescent="0.25">
      <c r="W617" t="s">
        <v>115</v>
      </c>
      <c r="X617" t="s">
        <v>379</v>
      </c>
      <c r="Y617" s="53">
        <v>0</v>
      </c>
      <c r="Z617" s="43">
        <v>4.3289484800000002</v>
      </c>
    </row>
    <row r="618" spans="23:26" x14ac:dyDescent="0.25">
      <c r="W618" t="s">
        <v>115</v>
      </c>
      <c r="X618" t="s">
        <v>380</v>
      </c>
      <c r="Y618" s="53">
        <v>0</v>
      </c>
      <c r="Z618" s="43">
        <v>20</v>
      </c>
    </row>
    <row r="619" spans="23:26" x14ac:dyDescent="0.25">
      <c r="W619" t="s">
        <v>115</v>
      </c>
      <c r="X619" t="s">
        <v>380</v>
      </c>
      <c r="Y619" s="53">
        <v>0</v>
      </c>
      <c r="Z619" s="43">
        <v>-5500</v>
      </c>
    </row>
    <row r="620" spans="23:26" x14ac:dyDescent="0.25">
      <c r="W620" t="s">
        <v>115</v>
      </c>
      <c r="X620" t="s">
        <v>380</v>
      </c>
      <c r="Y620" s="53">
        <v>0</v>
      </c>
      <c r="Z620" s="43">
        <v>5929.5598699299999</v>
      </c>
    </row>
    <row r="621" spans="23:26" x14ac:dyDescent="0.25">
      <c r="W621" t="s">
        <v>115</v>
      </c>
      <c r="X621" t="s">
        <v>380</v>
      </c>
      <c r="Y621" s="53">
        <v>0</v>
      </c>
      <c r="Z621" s="43">
        <v>5213.1615559299998</v>
      </c>
    </row>
    <row r="622" spans="23:26" x14ac:dyDescent="0.25">
      <c r="W622" s="29" t="s">
        <v>115</v>
      </c>
      <c r="X622" t="s">
        <v>381</v>
      </c>
      <c r="Y622" s="53">
        <v>0</v>
      </c>
      <c r="Z622" s="43">
        <v>0.66495972999999997</v>
      </c>
    </row>
    <row r="623" spans="23:26" x14ac:dyDescent="0.25">
      <c r="W623" t="s">
        <v>115</v>
      </c>
      <c r="X623" t="s">
        <v>382</v>
      </c>
      <c r="Y623" s="53">
        <v>0</v>
      </c>
      <c r="Z623" s="43">
        <v>0.34</v>
      </c>
    </row>
    <row r="624" spans="23:26" x14ac:dyDescent="0.25">
      <c r="W624" t="s">
        <v>115</v>
      </c>
      <c r="X624" t="s">
        <v>383</v>
      </c>
      <c r="Y624" s="53">
        <v>0</v>
      </c>
      <c r="Z624" s="43">
        <v>0.89105878000000005</v>
      </c>
    </row>
    <row r="625" spans="23:26" x14ac:dyDescent="0.25">
      <c r="W625" t="s">
        <v>115</v>
      </c>
      <c r="X625" t="s">
        <v>384</v>
      </c>
      <c r="Y625" s="53">
        <v>0</v>
      </c>
      <c r="Z625" s="43">
        <v>40.704174029999997</v>
      </c>
    </row>
    <row r="626" spans="23:26" x14ac:dyDescent="0.25">
      <c r="W626" s="29" t="s">
        <v>115</v>
      </c>
      <c r="X626" t="s">
        <v>385</v>
      </c>
      <c r="Y626" s="53">
        <v>0</v>
      </c>
      <c r="Z626" s="43">
        <v>3013993111.0959401</v>
      </c>
    </row>
    <row r="627" spans="23:26" x14ac:dyDescent="0.25">
      <c r="W627" t="s">
        <v>115</v>
      </c>
      <c r="X627" t="s">
        <v>386</v>
      </c>
      <c r="Y627" s="53">
        <v>0</v>
      </c>
      <c r="Z627" s="43">
        <v>4.3068300000000002E-3</v>
      </c>
    </row>
    <row r="628" spans="23:26" x14ac:dyDescent="0.25">
      <c r="W628" t="s">
        <v>115</v>
      </c>
      <c r="X628" t="s">
        <v>387</v>
      </c>
      <c r="Y628" s="53">
        <v>0</v>
      </c>
      <c r="Z628" s="43">
        <v>162254.56419957001</v>
      </c>
    </row>
    <row r="629" spans="23:26" x14ac:dyDescent="0.25">
      <c r="W629" t="s">
        <v>115</v>
      </c>
      <c r="X629" t="s">
        <v>388</v>
      </c>
      <c r="Y629" s="53">
        <v>0</v>
      </c>
      <c r="Z629" s="43">
        <v>0.34782034000000001</v>
      </c>
    </row>
    <row r="630" spans="23:26" x14ac:dyDescent="0.25">
      <c r="W630" t="s">
        <v>115</v>
      </c>
      <c r="X630" t="s">
        <v>389</v>
      </c>
      <c r="Y630" s="53">
        <v>0</v>
      </c>
      <c r="Z630" s="43">
        <v>950989.50676794001</v>
      </c>
    </row>
    <row r="631" spans="23:26" x14ac:dyDescent="0.25">
      <c r="W631" t="s">
        <v>115</v>
      </c>
      <c r="X631" t="s">
        <v>389</v>
      </c>
      <c r="Y631" s="53">
        <v>0</v>
      </c>
      <c r="Z631" s="43">
        <v>1000</v>
      </c>
    </row>
    <row r="632" spans="23:26" x14ac:dyDescent="0.25">
      <c r="W632" t="s">
        <v>115</v>
      </c>
      <c r="X632" t="s">
        <v>390</v>
      </c>
      <c r="Y632" s="53">
        <v>0</v>
      </c>
      <c r="Z632" s="43">
        <v>3.0962099999999998E-3</v>
      </c>
    </row>
    <row r="633" spans="23:26" x14ac:dyDescent="0.25">
      <c r="W633" t="s">
        <v>115</v>
      </c>
      <c r="X633" t="s">
        <v>391</v>
      </c>
      <c r="Y633" s="53">
        <v>0</v>
      </c>
      <c r="Z633" s="43">
        <v>2.6598900000000002E-2</v>
      </c>
    </row>
    <row r="634" spans="23:26" x14ac:dyDescent="0.25">
      <c r="W634" t="s">
        <v>115</v>
      </c>
      <c r="X634" t="s">
        <v>392</v>
      </c>
      <c r="Y634" s="53">
        <v>0</v>
      </c>
      <c r="Z634" s="43">
        <v>1214222.2371159999</v>
      </c>
    </row>
    <row r="635" spans="23:26" x14ac:dyDescent="0.25">
      <c r="W635" t="s">
        <v>115</v>
      </c>
      <c r="X635" t="s">
        <v>393</v>
      </c>
      <c r="Y635" s="53">
        <v>0</v>
      </c>
      <c r="Z635" s="43">
        <v>4793337439.3522301</v>
      </c>
    </row>
    <row r="636" spans="23:26" x14ac:dyDescent="0.25">
      <c r="W636" t="s">
        <v>115</v>
      </c>
      <c r="X636" t="s">
        <v>394</v>
      </c>
      <c r="Y636" s="53">
        <v>0</v>
      </c>
      <c r="Z636" s="43">
        <v>0.14106867000000001</v>
      </c>
    </row>
    <row r="637" spans="23:26" x14ac:dyDescent="0.25">
      <c r="W637" t="s">
        <v>115</v>
      </c>
      <c r="X637" t="s">
        <v>395</v>
      </c>
      <c r="Y637" s="53">
        <v>0</v>
      </c>
      <c r="Z637" s="43">
        <v>38753.774400000002</v>
      </c>
    </row>
    <row r="638" spans="23:26" x14ac:dyDescent="0.25">
      <c r="W638" t="s">
        <v>115</v>
      </c>
      <c r="X638" t="s">
        <v>396</v>
      </c>
      <c r="Y638" s="53">
        <v>0</v>
      </c>
      <c r="Z638" s="43">
        <v>29.76350429</v>
      </c>
    </row>
    <row r="639" spans="23:26" x14ac:dyDescent="0.25">
      <c r="W639" t="s">
        <v>115</v>
      </c>
      <c r="X639" t="s">
        <v>397</v>
      </c>
      <c r="Y639" s="53">
        <v>0</v>
      </c>
      <c r="Z639" s="43">
        <v>3793339.9888418298</v>
      </c>
    </row>
    <row r="640" spans="23:26" x14ac:dyDescent="0.25">
      <c r="W640" t="s">
        <v>115</v>
      </c>
      <c r="X640" t="s">
        <v>397</v>
      </c>
      <c r="Y640" s="53">
        <v>0</v>
      </c>
      <c r="Z640" s="43">
        <v>9185410.11119611</v>
      </c>
    </row>
    <row r="641" spans="23:26" x14ac:dyDescent="0.25">
      <c r="W641" t="s">
        <v>115</v>
      </c>
      <c r="X641" t="s">
        <v>398</v>
      </c>
      <c r="Y641" s="53">
        <v>0</v>
      </c>
      <c r="Z641" s="43">
        <v>6.3152970000000003E-2</v>
      </c>
    </row>
    <row r="642" spans="23:26" x14ac:dyDescent="0.25">
      <c r="W642" t="s">
        <v>115</v>
      </c>
      <c r="X642" t="s">
        <v>399</v>
      </c>
      <c r="Y642" s="53">
        <v>0</v>
      </c>
      <c r="Z642" s="43">
        <v>20</v>
      </c>
    </row>
    <row r="643" spans="23:26" x14ac:dyDescent="0.25">
      <c r="W643" s="29" t="s">
        <v>115</v>
      </c>
      <c r="X643" t="s">
        <v>400</v>
      </c>
      <c r="Y643" s="53">
        <v>0</v>
      </c>
      <c r="Z643" s="43">
        <v>4.7890616599999998</v>
      </c>
    </row>
    <row r="644" spans="23:26" x14ac:dyDescent="0.25">
      <c r="W644" t="s">
        <v>115</v>
      </c>
      <c r="X644" t="s">
        <v>401</v>
      </c>
      <c r="Y644" s="53">
        <v>0</v>
      </c>
      <c r="Z644" s="43">
        <v>4512595.36556256</v>
      </c>
    </row>
    <row r="645" spans="23:26" x14ac:dyDescent="0.25">
      <c r="W645" t="s">
        <v>115</v>
      </c>
      <c r="X645" t="s">
        <v>402</v>
      </c>
      <c r="Y645" s="53">
        <v>0</v>
      </c>
      <c r="Z645" s="43">
        <v>0.34680431</v>
      </c>
    </row>
    <row r="646" spans="23:26" x14ac:dyDescent="0.25">
      <c r="W646" s="29" t="s">
        <v>115</v>
      </c>
      <c r="X646" t="s">
        <v>39</v>
      </c>
      <c r="Y646" s="53">
        <v>0</v>
      </c>
      <c r="Z646" s="43">
        <v>-80023038.847481906</v>
      </c>
    </row>
    <row r="647" spans="23:26" x14ac:dyDescent="0.25">
      <c r="W647" s="29" t="s">
        <v>115</v>
      </c>
      <c r="X647" t="s">
        <v>403</v>
      </c>
      <c r="Y647" s="53">
        <v>0</v>
      </c>
      <c r="Z647" s="43">
        <v>10004.62055</v>
      </c>
    </row>
    <row r="648" spans="23:26" x14ac:dyDescent="0.25">
      <c r="W648" t="s">
        <v>115</v>
      </c>
      <c r="X648" t="s">
        <v>403</v>
      </c>
      <c r="Y648" s="53">
        <v>0</v>
      </c>
      <c r="Z648" s="43">
        <v>591974.91525599</v>
      </c>
    </row>
    <row r="649" spans="23:26" x14ac:dyDescent="0.25">
      <c r="W649" t="s">
        <v>115</v>
      </c>
      <c r="X649" t="s">
        <v>403</v>
      </c>
      <c r="Y649" s="53">
        <v>0</v>
      </c>
      <c r="Z649" s="43">
        <v>6541.9120000000003</v>
      </c>
    </row>
    <row r="650" spans="23:26" x14ac:dyDescent="0.25">
      <c r="W650" t="s">
        <v>115</v>
      </c>
      <c r="X650" t="s">
        <v>403</v>
      </c>
      <c r="Y650" s="53">
        <v>0</v>
      </c>
      <c r="Z650" s="43">
        <v>15284388.237791499</v>
      </c>
    </row>
    <row r="651" spans="23:26" x14ac:dyDescent="0.25">
      <c r="W651" t="s">
        <v>115</v>
      </c>
      <c r="X651" t="s">
        <v>404</v>
      </c>
      <c r="Y651" s="53">
        <v>0</v>
      </c>
      <c r="Z651" s="43">
        <v>59589.017780000002</v>
      </c>
    </row>
    <row r="652" spans="23:26" x14ac:dyDescent="0.25">
      <c r="W652" t="s">
        <v>115</v>
      </c>
      <c r="X652" t="s">
        <v>405</v>
      </c>
      <c r="Y652" s="53">
        <v>0</v>
      </c>
      <c r="Z652" s="43">
        <v>0.20872535</v>
      </c>
    </row>
    <row r="653" spans="23:26" x14ac:dyDescent="0.25">
      <c r="W653" t="s">
        <v>115</v>
      </c>
      <c r="X653" t="s">
        <v>406</v>
      </c>
      <c r="Y653" s="53">
        <v>0</v>
      </c>
      <c r="Z653" s="43">
        <v>97856389.900000006</v>
      </c>
    </row>
    <row r="654" spans="23:26" x14ac:dyDescent="0.25">
      <c r="W654" t="s">
        <v>115</v>
      </c>
      <c r="X654" t="s">
        <v>407</v>
      </c>
      <c r="Y654" s="53">
        <v>0</v>
      </c>
      <c r="Z654" s="43">
        <v>0.55556267999999998</v>
      </c>
    </row>
    <row r="655" spans="23:26" x14ac:dyDescent="0.25">
      <c r="W655" t="s">
        <v>115</v>
      </c>
      <c r="X655" t="s">
        <v>408</v>
      </c>
      <c r="Y655" s="53">
        <v>0</v>
      </c>
      <c r="Z655" s="43">
        <v>300</v>
      </c>
    </row>
    <row r="656" spans="23:26" x14ac:dyDescent="0.25">
      <c r="W656" t="s">
        <v>115</v>
      </c>
      <c r="X656" t="s">
        <v>408</v>
      </c>
      <c r="Y656" s="53">
        <v>0</v>
      </c>
      <c r="Z656" s="43">
        <v>1035.23311758</v>
      </c>
    </row>
    <row r="657" spans="23:26" x14ac:dyDescent="0.25">
      <c r="W657" t="s">
        <v>115</v>
      </c>
      <c r="X657" t="s">
        <v>408</v>
      </c>
      <c r="Y657" s="53">
        <v>0</v>
      </c>
      <c r="Z657" s="43">
        <v>7.6039999999999997E-5</v>
      </c>
    </row>
    <row r="658" spans="23:26" x14ac:dyDescent="0.25">
      <c r="W658" t="s">
        <v>115</v>
      </c>
      <c r="X658" t="s">
        <v>409</v>
      </c>
      <c r="Y658" s="53">
        <v>0</v>
      </c>
      <c r="Z658" s="43">
        <v>3.9304560899999998</v>
      </c>
    </row>
    <row r="659" spans="23:26" x14ac:dyDescent="0.25">
      <c r="W659" t="s">
        <v>115</v>
      </c>
      <c r="X659" t="s">
        <v>410</v>
      </c>
      <c r="Y659" s="53">
        <v>0</v>
      </c>
      <c r="Z659" s="43">
        <v>0.10222220999999999</v>
      </c>
    </row>
    <row r="660" spans="23:26" x14ac:dyDescent="0.25">
      <c r="W660" t="s">
        <v>115</v>
      </c>
      <c r="X660" t="s">
        <v>411</v>
      </c>
      <c r="Y660" s="53">
        <v>0</v>
      </c>
      <c r="Z660" s="43">
        <v>1.329583E-2</v>
      </c>
    </row>
    <row r="661" spans="23:26" x14ac:dyDescent="0.25">
      <c r="W661" t="s">
        <v>115</v>
      </c>
      <c r="X661" t="s">
        <v>412</v>
      </c>
      <c r="Y661" s="53">
        <v>0</v>
      </c>
      <c r="Z661" s="43">
        <v>2.173E-4</v>
      </c>
    </row>
    <row r="662" spans="23:26" x14ac:dyDescent="0.25">
      <c r="W662" t="s">
        <v>115</v>
      </c>
      <c r="X662" t="s">
        <v>413</v>
      </c>
      <c r="Y662" s="53">
        <v>0</v>
      </c>
      <c r="Z662" s="43">
        <v>19466735.188245799</v>
      </c>
    </row>
    <row r="663" spans="23:26" x14ac:dyDescent="0.25">
      <c r="W663" t="s">
        <v>115</v>
      </c>
      <c r="X663" t="s">
        <v>413</v>
      </c>
      <c r="Y663" s="53">
        <v>0</v>
      </c>
      <c r="Z663" s="43">
        <v>6320</v>
      </c>
    </row>
    <row r="664" spans="23:26" x14ac:dyDescent="0.25">
      <c r="W664" t="s">
        <v>115</v>
      </c>
      <c r="X664" t="s">
        <v>119</v>
      </c>
      <c r="Y664" s="53">
        <v>0</v>
      </c>
      <c r="Z664" s="43">
        <v>0.10014646000000001</v>
      </c>
    </row>
    <row r="665" spans="23:26" x14ac:dyDescent="0.25">
      <c r="W665" t="s">
        <v>115</v>
      </c>
      <c r="X665" t="s">
        <v>87</v>
      </c>
      <c r="Y665" s="53">
        <v>0</v>
      </c>
      <c r="Z665" s="43">
        <v>3.2091770000000001E-4</v>
      </c>
    </row>
    <row r="666" spans="23:26" x14ac:dyDescent="0.25">
      <c r="W666" t="s">
        <v>115</v>
      </c>
      <c r="X666" t="s">
        <v>21</v>
      </c>
      <c r="Y666" s="53">
        <v>0</v>
      </c>
      <c r="Z666" s="43">
        <v>5.3552099999999996E-4</v>
      </c>
    </row>
    <row r="667" spans="23:26" x14ac:dyDescent="0.25">
      <c r="W667" t="s">
        <v>115</v>
      </c>
      <c r="X667" t="s">
        <v>116</v>
      </c>
      <c r="Y667" s="53">
        <v>0</v>
      </c>
      <c r="Z667" s="43">
        <v>3.3400000000000001E-8</v>
      </c>
    </row>
    <row r="668" spans="23:26" x14ac:dyDescent="0.25">
      <c r="W668" t="s">
        <v>115</v>
      </c>
      <c r="X668" t="s">
        <v>15</v>
      </c>
      <c r="Y668" s="53">
        <v>0</v>
      </c>
      <c r="Z668" s="43">
        <v>300.74904549920001</v>
      </c>
    </row>
    <row r="669" spans="23:26" x14ac:dyDescent="0.25">
      <c r="W669" t="s">
        <v>115</v>
      </c>
      <c r="X669" t="s">
        <v>15</v>
      </c>
      <c r="Y669" s="53">
        <v>0</v>
      </c>
      <c r="Z669" s="43">
        <v>6.022931077</v>
      </c>
    </row>
    <row r="670" spans="23:26" x14ac:dyDescent="0.25">
      <c r="W670" t="s">
        <v>115</v>
      </c>
      <c r="X670" t="s">
        <v>23</v>
      </c>
      <c r="Y670" s="53">
        <v>0</v>
      </c>
      <c r="Z670" s="43">
        <v>3.8972870000000001E-3</v>
      </c>
    </row>
    <row r="671" spans="23:26" x14ac:dyDescent="0.25">
      <c r="W671" t="s">
        <v>115</v>
      </c>
      <c r="X671" t="s">
        <v>30</v>
      </c>
      <c r="Y671" s="53">
        <v>0</v>
      </c>
      <c r="Z671" s="43">
        <v>0.1010306031</v>
      </c>
    </row>
    <row r="672" spans="23:26" x14ac:dyDescent="0.25">
      <c r="W672" t="s">
        <v>115</v>
      </c>
      <c r="X672" t="s">
        <v>16</v>
      </c>
      <c r="Y672" s="53">
        <v>0</v>
      </c>
      <c r="Z672" s="43">
        <v>1586.7549273663999</v>
      </c>
    </row>
    <row r="673" spans="23:26" x14ac:dyDescent="0.25">
      <c r="W673" t="s">
        <v>115</v>
      </c>
      <c r="X673" t="s">
        <v>16</v>
      </c>
      <c r="Y673" s="53">
        <v>0</v>
      </c>
      <c r="Z673" s="43">
        <v>16.4667361809</v>
      </c>
    </row>
    <row r="674" spans="23:26" x14ac:dyDescent="0.25">
      <c r="W674" t="s">
        <v>115</v>
      </c>
      <c r="X674" t="s">
        <v>28</v>
      </c>
      <c r="Y674" s="53">
        <v>0</v>
      </c>
      <c r="Z674" s="43">
        <v>9.5620959999999995E-4</v>
      </c>
    </row>
    <row r="675" spans="23:26" x14ac:dyDescent="0.25">
      <c r="W675" t="s">
        <v>115</v>
      </c>
      <c r="X675" t="s">
        <v>25</v>
      </c>
      <c r="Y675" s="53">
        <v>0</v>
      </c>
      <c r="Z675" s="43">
        <v>2.4771052999999999E-3</v>
      </c>
    </row>
    <row r="676" spans="23:26" x14ac:dyDescent="0.25">
      <c r="W676" s="29" t="s">
        <v>115</v>
      </c>
      <c r="X676" t="s">
        <v>38</v>
      </c>
      <c r="Y676" s="53">
        <v>0</v>
      </c>
      <c r="Z676" s="43">
        <v>71073.205401560001</v>
      </c>
    </row>
    <row r="677" spans="23:26" x14ac:dyDescent="0.25">
      <c r="W677" t="s">
        <v>115</v>
      </c>
      <c r="X677" t="s">
        <v>26</v>
      </c>
      <c r="Y677" s="53">
        <v>0</v>
      </c>
      <c r="Z677" s="43">
        <v>4.8644820000000002E-4</v>
      </c>
    </row>
    <row r="678" spans="23:26" x14ac:dyDescent="0.25">
      <c r="W678" t="s">
        <v>115</v>
      </c>
      <c r="X678" t="s">
        <v>102</v>
      </c>
      <c r="Y678" s="53">
        <v>0</v>
      </c>
      <c r="Z678" s="43">
        <v>1.9184280000000001E-4</v>
      </c>
    </row>
    <row r="679" spans="23:26" x14ac:dyDescent="0.25">
      <c r="W679" t="s">
        <v>115</v>
      </c>
      <c r="X679" t="s">
        <v>120</v>
      </c>
      <c r="Y679" s="53">
        <v>0</v>
      </c>
      <c r="Z679" s="43">
        <v>2.4299999999999999E-3</v>
      </c>
    </row>
    <row r="680" spans="23:26" x14ac:dyDescent="0.25">
      <c r="W680" t="s">
        <v>115</v>
      </c>
      <c r="X680" t="s">
        <v>15</v>
      </c>
      <c r="Y680" s="53">
        <v>0</v>
      </c>
      <c r="Z680" s="43">
        <v>-2.1941309404</v>
      </c>
    </row>
    <row r="681" spans="23:26" x14ac:dyDescent="0.25">
      <c r="W681" t="s">
        <v>115</v>
      </c>
      <c r="X681" t="s">
        <v>15</v>
      </c>
      <c r="Y681" s="53">
        <v>0</v>
      </c>
      <c r="Z681" s="43">
        <v>257.8830283227</v>
      </c>
    </row>
    <row r="682" spans="23:26" x14ac:dyDescent="0.25">
      <c r="W682" s="29" t="s">
        <v>115</v>
      </c>
      <c r="X682" t="s">
        <v>350</v>
      </c>
      <c r="Y682" s="53">
        <v>0</v>
      </c>
      <c r="Z682" s="43">
        <v>241.07601108</v>
      </c>
    </row>
    <row r="683" spans="23:26" x14ac:dyDescent="0.25">
      <c r="W683" t="s">
        <v>115</v>
      </c>
      <c r="X683" t="s">
        <v>403</v>
      </c>
      <c r="Y683" s="53">
        <v>0</v>
      </c>
      <c r="Z683" s="43">
        <v>-9528648.0788313001</v>
      </c>
    </row>
    <row r="684" spans="23:26" x14ac:dyDescent="0.25">
      <c r="W684" s="29" t="s">
        <v>115</v>
      </c>
      <c r="X684" t="s">
        <v>403</v>
      </c>
      <c r="Y684" s="53">
        <v>0</v>
      </c>
      <c r="Z684" s="43">
        <v>6547.8860000000004</v>
      </c>
    </row>
    <row r="685" spans="23:26" x14ac:dyDescent="0.25">
      <c r="W685" t="s">
        <v>115</v>
      </c>
      <c r="X685" t="s">
        <v>403</v>
      </c>
      <c r="Y685" s="53">
        <v>0</v>
      </c>
      <c r="Z685" s="43">
        <v>10573523.9173062</v>
      </c>
    </row>
    <row r="686" spans="23:26" x14ac:dyDescent="0.25">
      <c r="W686" t="s">
        <v>115</v>
      </c>
      <c r="X686" t="s">
        <v>403</v>
      </c>
      <c r="Y686" s="53">
        <v>0</v>
      </c>
      <c r="Z686" s="43">
        <v>-50437.193362220001</v>
      </c>
    </row>
    <row r="687" spans="23:26" x14ac:dyDescent="0.25">
      <c r="W687" t="s">
        <v>115</v>
      </c>
      <c r="X687" t="s">
        <v>350</v>
      </c>
      <c r="Y687" s="53">
        <v>0</v>
      </c>
      <c r="Z687" s="43">
        <v>241.07601108</v>
      </c>
    </row>
    <row r="688" spans="23:26" x14ac:dyDescent="0.25">
      <c r="W688" t="s">
        <v>115</v>
      </c>
      <c r="X688" t="s">
        <v>403</v>
      </c>
      <c r="Y688" s="53">
        <v>0</v>
      </c>
      <c r="Z688" s="43">
        <v>10580071.8033062</v>
      </c>
    </row>
    <row r="689" spans="23:26" x14ac:dyDescent="0.25">
      <c r="W689" t="s">
        <v>115</v>
      </c>
      <c r="X689" t="s">
        <v>403</v>
      </c>
      <c r="Y689" s="53">
        <v>0</v>
      </c>
      <c r="Z689" s="43">
        <v>-9528648.0788313001</v>
      </c>
    </row>
    <row r="690" spans="23:26" x14ac:dyDescent="0.25">
      <c r="W690" t="s">
        <v>115</v>
      </c>
      <c r="X690" t="s">
        <v>403</v>
      </c>
      <c r="Y690" s="53">
        <v>0</v>
      </c>
      <c r="Z690" s="43">
        <v>-50437.193362220001</v>
      </c>
    </row>
    <row r="691" spans="23:26" x14ac:dyDescent="0.25">
      <c r="W691" t="s">
        <v>170</v>
      </c>
      <c r="X691" t="s">
        <v>21</v>
      </c>
      <c r="Y691" s="53">
        <v>0</v>
      </c>
      <c r="Z691" s="43">
        <v>1.7695412699999999</v>
      </c>
    </row>
    <row r="692" spans="23:26" x14ac:dyDescent="0.25">
      <c r="W692" t="s">
        <v>170</v>
      </c>
      <c r="X692" t="s">
        <v>15</v>
      </c>
      <c r="Y692" s="53">
        <v>0</v>
      </c>
      <c r="Z692" s="43">
        <v>1.8847761800000001E-2</v>
      </c>
    </row>
    <row r="693" spans="23:26" x14ac:dyDescent="0.25">
      <c r="W693" t="s">
        <v>170</v>
      </c>
      <c r="X693" t="s">
        <v>24</v>
      </c>
      <c r="Y693" s="53">
        <v>0</v>
      </c>
      <c r="Z693" s="43">
        <v>9.9499194400000004</v>
      </c>
    </row>
    <row r="694" spans="23:26" x14ac:dyDescent="0.25">
      <c r="W694" t="s">
        <v>170</v>
      </c>
      <c r="X694" t="s">
        <v>16</v>
      </c>
      <c r="Y694" s="53">
        <v>0</v>
      </c>
      <c r="Z694" s="43">
        <v>3.4037359600000001</v>
      </c>
    </row>
    <row r="695" spans="23:26" x14ac:dyDescent="0.25">
      <c r="W695" t="s">
        <v>170</v>
      </c>
      <c r="X695" t="s">
        <v>25</v>
      </c>
      <c r="Y695" s="53">
        <v>0</v>
      </c>
      <c r="Z695" s="43">
        <v>9.1421368100000002</v>
      </c>
    </row>
    <row r="696" spans="23:26" x14ac:dyDescent="0.25">
      <c r="W696" t="s">
        <v>170</v>
      </c>
      <c r="X696" t="s">
        <v>92</v>
      </c>
      <c r="Y696" s="53">
        <v>0</v>
      </c>
      <c r="Z696" s="43">
        <v>864101.84359399998</v>
      </c>
    </row>
    <row r="697" spans="23:26" x14ac:dyDescent="0.25">
      <c r="W697" t="s">
        <v>170</v>
      </c>
      <c r="X697" t="s">
        <v>101</v>
      </c>
      <c r="Y697" s="53">
        <v>0</v>
      </c>
      <c r="Z697" s="43">
        <v>0.10834547999999999</v>
      </c>
    </row>
    <row r="698" spans="23:26" x14ac:dyDescent="0.25">
      <c r="W698" t="s">
        <v>170</v>
      </c>
      <c r="X698" t="s">
        <v>98</v>
      </c>
      <c r="Y698" s="53">
        <v>0</v>
      </c>
      <c r="Z698" s="43">
        <v>113250.4023</v>
      </c>
    </row>
    <row r="699" spans="23:26" x14ac:dyDescent="0.25">
      <c r="W699" s="29" t="s">
        <v>170</v>
      </c>
      <c r="X699" t="s">
        <v>39</v>
      </c>
      <c r="Y699" s="53">
        <v>0</v>
      </c>
      <c r="Z699" s="43">
        <v>1.182861E-2</v>
      </c>
    </row>
    <row r="700" spans="23:26" x14ac:dyDescent="0.25">
      <c r="W700" t="s">
        <v>170</v>
      </c>
      <c r="X700" t="s">
        <v>166</v>
      </c>
      <c r="Y700" s="53">
        <v>0</v>
      </c>
      <c r="Z700" s="43">
        <v>8.93329E-3</v>
      </c>
    </row>
    <row r="701" spans="23:26" x14ac:dyDescent="0.25">
      <c r="W701" t="s">
        <v>170</v>
      </c>
      <c r="X701" t="s">
        <v>102</v>
      </c>
      <c r="Y701" s="53">
        <v>0</v>
      </c>
      <c r="Z701" s="43">
        <v>0.71704489000000005</v>
      </c>
    </row>
    <row r="702" spans="23:26" x14ac:dyDescent="0.25">
      <c r="W702" t="s">
        <v>175</v>
      </c>
      <c r="X702" t="s">
        <v>21</v>
      </c>
      <c r="Y702" s="53">
        <v>0</v>
      </c>
      <c r="Z702" s="43">
        <v>0.1</v>
      </c>
    </row>
    <row r="703" spans="23:26" x14ac:dyDescent="0.25">
      <c r="W703" t="s">
        <v>175</v>
      </c>
      <c r="X703" t="s">
        <v>15</v>
      </c>
      <c r="Y703" s="53">
        <v>0</v>
      </c>
      <c r="Z703" s="43">
        <v>7.4249999999999998</v>
      </c>
    </row>
    <row r="704" spans="23:26" x14ac:dyDescent="0.25">
      <c r="W704" t="s">
        <v>175</v>
      </c>
      <c r="X704" t="s">
        <v>16</v>
      </c>
      <c r="Y704" s="53">
        <v>0</v>
      </c>
      <c r="Z704" s="43">
        <v>5.0000000000000001E-4</v>
      </c>
    </row>
    <row r="705" spans="23:26" x14ac:dyDescent="0.25">
      <c r="W705" t="s">
        <v>175</v>
      </c>
      <c r="X705" t="s">
        <v>25</v>
      </c>
      <c r="Y705" s="53">
        <v>0</v>
      </c>
      <c r="Z705" s="43">
        <v>914.82898999999998</v>
      </c>
    </row>
    <row r="706" spans="23:26" x14ac:dyDescent="0.25">
      <c r="W706" t="s">
        <v>175</v>
      </c>
      <c r="X706" t="s">
        <v>98</v>
      </c>
      <c r="Y706" s="53">
        <v>0</v>
      </c>
      <c r="Z706" s="43">
        <v>2.63E-3</v>
      </c>
    </row>
    <row r="707" spans="23:26" x14ac:dyDescent="0.25">
      <c r="W707" t="s">
        <v>175</v>
      </c>
      <c r="X707" t="s">
        <v>102</v>
      </c>
      <c r="Y707" s="53">
        <v>0</v>
      </c>
      <c r="Z707" s="43">
        <v>493543</v>
      </c>
    </row>
    <row r="708" spans="23:26" x14ac:dyDescent="0.25">
      <c r="W708" t="s">
        <v>176</v>
      </c>
      <c r="X708" t="s">
        <v>98</v>
      </c>
      <c r="Y708" s="53">
        <v>0</v>
      </c>
      <c r="Z708" s="43">
        <v>10138.885630000001</v>
      </c>
    </row>
    <row r="709" spans="23:26" x14ac:dyDescent="0.25">
      <c r="W709" t="s">
        <v>46</v>
      </c>
      <c r="X709" t="s">
        <v>39</v>
      </c>
      <c r="Y709" s="53">
        <v>0</v>
      </c>
      <c r="Z709" s="43">
        <v>-24678.549614920001</v>
      </c>
    </row>
    <row r="710" spans="23:26" x14ac:dyDescent="0.25">
      <c r="W710" t="s">
        <v>46</v>
      </c>
      <c r="X710" t="s">
        <v>21</v>
      </c>
      <c r="Y710" s="53">
        <v>0</v>
      </c>
      <c r="Z710" s="43">
        <v>111.28912970120101</v>
      </c>
    </row>
    <row r="711" spans="23:26" x14ac:dyDescent="0.25">
      <c r="W711" t="s">
        <v>46</v>
      </c>
      <c r="X711" t="s">
        <v>15</v>
      </c>
      <c r="Y711" s="53">
        <v>0</v>
      </c>
      <c r="Z711" s="43">
        <v>-8.3666566457380291</v>
      </c>
    </row>
    <row r="712" spans="23:26" x14ac:dyDescent="0.25">
      <c r="W712" t="s">
        <v>46</v>
      </c>
      <c r="X712" t="s">
        <v>16</v>
      </c>
      <c r="Y712" s="53">
        <v>0</v>
      </c>
      <c r="Z712" s="43">
        <v>1.86491550295386</v>
      </c>
    </row>
    <row r="713" spans="23:26" x14ac:dyDescent="0.25">
      <c r="W713" t="s">
        <v>46</v>
      </c>
      <c r="X713" t="s">
        <v>25</v>
      </c>
      <c r="Y713" s="53">
        <v>0</v>
      </c>
      <c r="Z713" s="43">
        <v>4.8172075384283</v>
      </c>
    </row>
    <row r="714" spans="23:26" x14ac:dyDescent="0.25">
      <c r="W714" t="s">
        <v>46</v>
      </c>
      <c r="X714" t="s">
        <v>39</v>
      </c>
      <c r="Y714" s="53">
        <v>0</v>
      </c>
      <c r="Z714" s="43">
        <v>1407211.14388387</v>
      </c>
    </row>
    <row r="715" spans="23:26" x14ac:dyDescent="0.25">
      <c r="W715" t="s">
        <v>46</v>
      </c>
      <c r="X715" t="s">
        <v>21</v>
      </c>
      <c r="Y715" s="53">
        <v>0</v>
      </c>
      <c r="Z715" s="43">
        <v>-1573.2994644068799</v>
      </c>
    </row>
    <row r="716" spans="23:26" x14ac:dyDescent="0.25">
      <c r="W716" t="s">
        <v>46</v>
      </c>
      <c r="X716" t="s">
        <v>15</v>
      </c>
      <c r="Y716" s="53">
        <v>0</v>
      </c>
      <c r="Z716" s="43">
        <v>128.615117456506</v>
      </c>
    </row>
    <row r="717" spans="23:26" x14ac:dyDescent="0.25">
      <c r="W717" t="s">
        <v>46</v>
      </c>
      <c r="X717" t="s">
        <v>23</v>
      </c>
      <c r="Y717" s="53">
        <v>0</v>
      </c>
      <c r="Z717" s="43">
        <v>33</v>
      </c>
    </row>
    <row r="718" spans="23:26" x14ac:dyDescent="0.25">
      <c r="W718" t="s">
        <v>46</v>
      </c>
      <c r="X718" t="s">
        <v>24</v>
      </c>
      <c r="Y718" s="53">
        <v>0</v>
      </c>
      <c r="Z718" s="43">
        <v>147536.53602640799</v>
      </c>
    </row>
    <row r="719" spans="23:26" x14ac:dyDescent="0.25">
      <c r="W719" t="s">
        <v>46</v>
      </c>
      <c r="X719" t="s">
        <v>30</v>
      </c>
      <c r="Y719" s="53">
        <v>0</v>
      </c>
      <c r="Z719" s="43">
        <v>-0.40707601339105998</v>
      </c>
    </row>
    <row r="720" spans="23:26" x14ac:dyDescent="0.25">
      <c r="W720" t="s">
        <v>46</v>
      </c>
      <c r="X720" t="s">
        <v>16</v>
      </c>
      <c r="Y720" s="53">
        <v>0</v>
      </c>
      <c r="Z720" s="43">
        <v>-1323.1488043637601</v>
      </c>
    </row>
    <row r="721" spans="23:26" x14ac:dyDescent="0.25">
      <c r="W721" t="s">
        <v>46</v>
      </c>
      <c r="X721" t="s">
        <v>31</v>
      </c>
      <c r="Y721" s="53">
        <v>0</v>
      </c>
      <c r="Z721" s="43">
        <v>-3.6900304151165297E-2</v>
      </c>
    </row>
    <row r="722" spans="23:26" x14ac:dyDescent="0.25">
      <c r="W722" t="s">
        <v>46</v>
      </c>
      <c r="X722" t="s">
        <v>25</v>
      </c>
      <c r="Y722" s="53">
        <v>0</v>
      </c>
      <c r="Z722" s="43">
        <v>4110.0632665700095</v>
      </c>
    </row>
    <row r="723" spans="23:26" x14ac:dyDescent="0.25">
      <c r="W723" t="s">
        <v>46</v>
      </c>
      <c r="X723" t="s">
        <v>92</v>
      </c>
      <c r="Y723" s="53">
        <v>0</v>
      </c>
      <c r="Z723" s="43">
        <v>387813.07240811898</v>
      </c>
    </row>
    <row r="724" spans="23:26" x14ac:dyDescent="0.25">
      <c r="W724" t="s">
        <v>46</v>
      </c>
      <c r="X724" t="s">
        <v>38</v>
      </c>
      <c r="Y724" s="53">
        <v>0</v>
      </c>
      <c r="Z724" s="43">
        <v>-10030440720.5592</v>
      </c>
    </row>
    <row r="725" spans="23:26" x14ac:dyDescent="0.25">
      <c r="W725" t="s">
        <v>46</v>
      </c>
      <c r="X725" t="s">
        <v>95</v>
      </c>
      <c r="Y725" s="53">
        <v>0</v>
      </c>
      <c r="Z725" s="43">
        <v>-66833.777482475794</v>
      </c>
    </row>
    <row r="726" spans="23:26" x14ac:dyDescent="0.25">
      <c r="W726" t="s">
        <v>46</v>
      </c>
      <c r="X726" t="s">
        <v>39</v>
      </c>
      <c r="Y726" s="53">
        <v>0</v>
      </c>
      <c r="Z726" s="43">
        <v>45758039.669459298</v>
      </c>
    </row>
    <row r="727" spans="23:26" x14ac:dyDescent="0.25">
      <c r="W727" t="s">
        <v>46</v>
      </c>
      <c r="X727" t="s">
        <v>102</v>
      </c>
      <c r="Y727" s="53">
        <v>0</v>
      </c>
      <c r="Z727" s="43">
        <v>2875.5411443947</v>
      </c>
    </row>
    <row r="728" spans="23:26" x14ac:dyDescent="0.25">
      <c r="W728" t="s">
        <v>46</v>
      </c>
      <c r="X728" t="s">
        <v>27</v>
      </c>
      <c r="Y728" s="53">
        <v>0</v>
      </c>
      <c r="Z728" s="43">
        <v>1342911.9675759999</v>
      </c>
    </row>
    <row r="729" spans="23:26" x14ac:dyDescent="0.25">
      <c r="W729" t="s">
        <v>46</v>
      </c>
      <c r="X729" t="s">
        <v>15</v>
      </c>
      <c r="Y729" s="53">
        <v>0</v>
      </c>
      <c r="Z729" s="43">
        <v>217.199594984659</v>
      </c>
    </row>
    <row r="730" spans="23:26" x14ac:dyDescent="0.25">
      <c r="W730" t="s">
        <v>46</v>
      </c>
      <c r="X730" t="s">
        <v>15</v>
      </c>
      <c r="Y730" s="53">
        <v>0</v>
      </c>
      <c r="Z730" s="43">
        <v>24.514218203010198</v>
      </c>
    </row>
    <row r="731" spans="23:26" x14ac:dyDescent="0.25">
      <c r="W731" t="s">
        <v>46</v>
      </c>
      <c r="X731" t="s">
        <v>16</v>
      </c>
      <c r="Y731" s="53">
        <v>0</v>
      </c>
      <c r="Z731" s="43">
        <v>212.04514298415401</v>
      </c>
    </row>
    <row r="732" spans="23:26" x14ac:dyDescent="0.25">
      <c r="W732" t="s">
        <v>46</v>
      </c>
      <c r="X732" t="s">
        <v>16</v>
      </c>
      <c r="Y732" s="53">
        <v>0</v>
      </c>
      <c r="Z732" s="43">
        <v>6010.3885549126799</v>
      </c>
    </row>
    <row r="733" spans="23:26" x14ac:dyDescent="0.25">
      <c r="W733" t="s">
        <v>46</v>
      </c>
      <c r="X733" t="s">
        <v>102</v>
      </c>
      <c r="Y733" s="53">
        <v>0</v>
      </c>
      <c r="Z733" s="43">
        <v>0.44933626032875401</v>
      </c>
    </row>
    <row r="734" spans="23:26" x14ac:dyDescent="0.25">
      <c r="W734" t="s">
        <v>46</v>
      </c>
      <c r="X734" t="s">
        <v>15</v>
      </c>
      <c r="Y734" s="53">
        <v>0</v>
      </c>
      <c r="Z734" s="43">
        <v>56.148104855728803</v>
      </c>
    </row>
    <row r="735" spans="23:26" x14ac:dyDescent="0.25">
      <c r="W735" t="s">
        <v>46</v>
      </c>
      <c r="X735" t="s">
        <v>15</v>
      </c>
      <c r="Y735" s="53">
        <v>0</v>
      </c>
      <c r="Z735" s="43">
        <v>-4.7236086304990197</v>
      </c>
    </row>
    <row r="736" spans="23:26" x14ac:dyDescent="0.25">
      <c r="W736" t="s">
        <v>46</v>
      </c>
      <c r="X736" t="s">
        <v>16</v>
      </c>
      <c r="Y736" s="53">
        <v>0</v>
      </c>
      <c r="Z736" s="43">
        <v>150</v>
      </c>
    </row>
    <row r="737" spans="23:26" x14ac:dyDescent="0.25">
      <c r="W737" t="s">
        <v>46</v>
      </c>
      <c r="X737" t="s">
        <v>39</v>
      </c>
      <c r="Y737" s="53">
        <v>0</v>
      </c>
      <c r="Z737" s="43">
        <v>16911496.102267399</v>
      </c>
    </row>
    <row r="738" spans="23:26" x14ac:dyDescent="0.25">
      <c r="W738" t="s">
        <v>46</v>
      </c>
      <c r="X738" t="s">
        <v>39</v>
      </c>
      <c r="Y738" s="53">
        <v>0</v>
      </c>
      <c r="Z738" s="43">
        <v>634302.53311469196</v>
      </c>
    </row>
    <row r="739" spans="23:26" x14ac:dyDescent="0.25">
      <c r="W739" t="s">
        <v>46</v>
      </c>
      <c r="X739" t="s">
        <v>102</v>
      </c>
      <c r="Y739" s="53">
        <v>0</v>
      </c>
      <c r="Z739" s="43">
        <v>5297132.9727466302</v>
      </c>
    </row>
    <row r="740" spans="23:26" x14ac:dyDescent="0.25">
      <c r="W740" t="s">
        <v>417</v>
      </c>
      <c r="X740" t="s">
        <v>98</v>
      </c>
      <c r="Y740" s="53">
        <v>0</v>
      </c>
      <c r="Z740" s="43">
        <v>47262.04</v>
      </c>
    </row>
    <row r="741" spans="23:26" x14ac:dyDescent="0.25">
      <c r="W741" t="s">
        <v>418</v>
      </c>
      <c r="X741" t="s">
        <v>110</v>
      </c>
      <c r="Y741" s="53">
        <v>0</v>
      </c>
      <c r="Z741" s="43">
        <v>24571.64</v>
      </c>
    </row>
    <row r="742" spans="23:26" x14ac:dyDescent="0.25">
      <c r="W742" t="s">
        <v>418</v>
      </c>
      <c r="X742" t="s">
        <v>98</v>
      </c>
      <c r="Y742" s="53">
        <v>0</v>
      </c>
      <c r="Z742" s="43">
        <v>46754.62</v>
      </c>
    </row>
    <row r="743" spans="23:26" x14ac:dyDescent="0.25">
      <c r="W743" t="s">
        <v>187</v>
      </c>
      <c r="X743" t="s">
        <v>87</v>
      </c>
      <c r="Y743" s="53">
        <v>0</v>
      </c>
      <c r="Z743" s="43">
        <v>59</v>
      </c>
    </row>
    <row r="744" spans="23:26" x14ac:dyDescent="0.25">
      <c r="W744" t="s">
        <v>187</v>
      </c>
      <c r="X744" t="s">
        <v>15</v>
      </c>
      <c r="Y744" s="53">
        <v>0</v>
      </c>
      <c r="Z744" s="43">
        <v>-165.35091093</v>
      </c>
    </row>
    <row r="745" spans="23:26" x14ac:dyDescent="0.25">
      <c r="W745" t="s">
        <v>187</v>
      </c>
      <c r="X745" t="s">
        <v>16</v>
      </c>
      <c r="Y745" s="53">
        <v>0</v>
      </c>
      <c r="Z745" s="43">
        <v>-2826.54156453</v>
      </c>
    </row>
    <row r="746" spans="23:26" x14ac:dyDescent="0.25">
      <c r="W746" t="s">
        <v>187</v>
      </c>
      <c r="X746" t="s">
        <v>275</v>
      </c>
      <c r="Y746" s="53">
        <v>0</v>
      </c>
      <c r="Z746" s="43">
        <v>1267.7570125100001</v>
      </c>
    </row>
    <row r="747" spans="23:26" x14ac:dyDescent="0.25">
      <c r="W747" t="s">
        <v>187</v>
      </c>
      <c r="X747" t="s">
        <v>39</v>
      </c>
      <c r="Y747" s="53">
        <v>0</v>
      </c>
      <c r="Z747" s="43">
        <v>8959637.0602844004</v>
      </c>
    </row>
    <row r="748" spans="23:26" x14ac:dyDescent="0.25">
      <c r="W748" t="s">
        <v>187</v>
      </c>
      <c r="X748" t="s">
        <v>188</v>
      </c>
      <c r="Y748" s="53">
        <v>0</v>
      </c>
      <c r="Z748" s="43">
        <v>1644286.05309931</v>
      </c>
    </row>
  </sheetData>
  <conditionalFormatting sqref="G2:G411">
    <cfRule type="expression" dxfId="9" priority="2">
      <formula>$AX2=$AV2</formula>
    </cfRule>
  </conditionalFormatting>
  <conditionalFormatting sqref="F2:F474">
    <cfRule type="expression" dxfId="8" priority="1">
      <formula>$AV2=$AW2</formula>
    </cfRule>
  </conditionalFormatting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38"/>
    </sheetView>
  </sheetViews>
  <sheetFormatPr defaultRowHeight="15" x14ac:dyDescent="0.25"/>
  <cols>
    <col min="1" max="1" width="3" customWidth="1"/>
    <col min="2" max="2" width="25" bestFit="1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61" bestFit="1" customWidth="1"/>
    <col min="9" max="9" width="18" bestFit="1" customWidth="1"/>
    <col min="10" max="10" width="10.42578125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3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3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50"/>
      <c r="B1" s="19" t="s">
        <v>74</v>
      </c>
      <c r="C1" s="72" t="s">
        <v>75</v>
      </c>
      <c r="D1" s="19" t="s">
        <v>76</v>
      </c>
      <c r="E1" s="19" t="s">
        <v>77</v>
      </c>
      <c r="F1" s="19" t="s">
        <v>78</v>
      </c>
      <c r="G1" s="19" t="s">
        <v>79</v>
      </c>
      <c r="H1" s="60" t="s">
        <v>80</v>
      </c>
      <c r="I1" s="19" t="s">
        <v>81</v>
      </c>
      <c r="J1" s="50"/>
      <c r="K1" s="19" t="s">
        <v>82</v>
      </c>
      <c r="L1" s="19" t="s">
        <v>83</v>
      </c>
      <c r="M1" s="19" t="s">
        <v>84</v>
      </c>
      <c r="N1" s="19" t="s">
        <v>85</v>
      </c>
      <c r="O1" s="50"/>
      <c r="P1" s="19" t="s">
        <v>77</v>
      </c>
      <c r="Q1" s="19" t="s">
        <v>323</v>
      </c>
      <c r="R1" s="63" t="s">
        <v>323</v>
      </c>
      <c r="S1" s="63" t="s">
        <v>503</v>
      </c>
      <c r="T1" t="s">
        <v>502</v>
      </c>
      <c r="U1" t="s">
        <v>326</v>
      </c>
      <c r="V1" t="s">
        <v>78</v>
      </c>
      <c r="W1" t="s">
        <v>68</v>
      </c>
      <c r="AN1" t="s">
        <v>219</v>
      </c>
      <c r="AO1" t="s">
        <v>331</v>
      </c>
      <c r="AP1" t="s">
        <v>332</v>
      </c>
    </row>
    <row r="2" spans="1:48" x14ac:dyDescent="0.25">
      <c r="A2">
        <v>0</v>
      </c>
      <c r="B2" t="s">
        <v>86</v>
      </c>
      <c r="C2" s="1">
        <v>585.43739457000004</v>
      </c>
      <c r="E2" t="s">
        <v>119</v>
      </c>
      <c r="F2" t="s">
        <v>781</v>
      </c>
      <c r="G2" s="22">
        <v>20221214</v>
      </c>
      <c r="H2" s="61">
        <v>44910.000000081018</v>
      </c>
      <c r="I2">
        <v>36626.655685099497</v>
      </c>
      <c r="K2" s="21" t="s">
        <v>782</v>
      </c>
      <c r="L2" s="21" t="s">
        <v>783</v>
      </c>
      <c r="M2" s="21" t="s">
        <v>88</v>
      </c>
      <c r="N2" s="21" t="s">
        <v>89</v>
      </c>
      <c r="P2" t="str">
        <f t="shared" ref="P2:P65" si="0">IF($C2="","",$E2)</f>
        <v>AAVE</v>
      </c>
      <c r="Q2">
        <f>IF($C2="","",$I2/$C2)</f>
        <v>62.562890626420504</v>
      </c>
      <c r="R2">
        <v>59.23</v>
      </c>
      <c r="S2">
        <f>IF($B2="","",$C2*$R2)</f>
        <v>34675.456880381098</v>
      </c>
      <c r="T2" t="str">
        <f>"'"&amp;P2&amp;"', "</f>
        <v xml:space="preserve">'AAVE', </v>
      </c>
      <c r="AN2" t="s">
        <v>89</v>
      </c>
      <c r="AO2" t="s">
        <v>119</v>
      </c>
      <c r="AP2">
        <v>-200</v>
      </c>
    </row>
    <row r="3" spans="1:48" x14ac:dyDescent="0.25">
      <c r="A3">
        <v>1</v>
      </c>
      <c r="B3" t="s">
        <v>86</v>
      </c>
      <c r="C3" s="1">
        <v>228897.2703</v>
      </c>
      <c r="E3" t="s">
        <v>87</v>
      </c>
      <c r="F3" t="s">
        <v>781</v>
      </c>
      <c r="G3" s="22">
        <v>20221214</v>
      </c>
      <c r="H3" s="61">
        <v>44910.000000081018</v>
      </c>
      <c r="I3">
        <v>70531.089156587404</v>
      </c>
      <c r="K3" s="21" t="s">
        <v>784</v>
      </c>
      <c r="L3" s="21" t="s">
        <v>783</v>
      </c>
      <c r="M3" s="21" t="s">
        <v>88</v>
      </c>
      <c r="N3" s="21" t="s">
        <v>89</v>
      </c>
      <c r="P3" t="str">
        <f t="shared" si="0"/>
        <v>ADA</v>
      </c>
      <c r="Q3">
        <f t="shared" ref="Q3:Q66" si="1">IF($C3="","",$I3/$C3)</f>
        <v>0.30813425194694166</v>
      </c>
      <c r="R3">
        <v>0.32653653999999999</v>
      </c>
      <c r="S3">
        <f t="shared" ref="S3:S66" si="2">IF($B3="","",$C3*$R3)</f>
        <v>74743.322659206766</v>
      </c>
      <c r="T3" t="str">
        <f t="shared" ref="T3:T66" si="3">"'"&amp;P3&amp;"', "</f>
        <v xml:space="preserve">'ADA', </v>
      </c>
      <c r="V3" t="s">
        <v>327</v>
      </c>
      <c r="W3" t="s">
        <v>57</v>
      </c>
      <c r="AJ3" t="s">
        <v>60</v>
      </c>
      <c r="AK3" s="45" t="s">
        <v>327</v>
      </c>
      <c r="AL3" t="s">
        <v>330</v>
      </c>
      <c r="AN3" t="s">
        <v>89</v>
      </c>
      <c r="AO3" t="s">
        <v>119</v>
      </c>
      <c r="AP3">
        <v>200.07893852000001</v>
      </c>
      <c r="AR3" t="s">
        <v>60</v>
      </c>
      <c r="AS3" s="43" t="s">
        <v>414</v>
      </c>
    </row>
    <row r="4" spans="1:48" x14ac:dyDescent="0.25">
      <c r="A4">
        <v>2</v>
      </c>
      <c r="B4" t="s">
        <v>86</v>
      </c>
      <c r="C4" s="1">
        <v>137194.54519</v>
      </c>
      <c r="E4" t="s">
        <v>125</v>
      </c>
      <c r="F4" t="s">
        <v>781</v>
      </c>
      <c r="G4" s="22">
        <v>20221214</v>
      </c>
      <c r="H4" s="61">
        <v>44910.000000081018</v>
      </c>
      <c r="I4">
        <v>30308.443673863399</v>
      </c>
      <c r="K4" s="21" t="s">
        <v>785</v>
      </c>
      <c r="L4" s="21" t="s">
        <v>783</v>
      </c>
      <c r="M4" s="21" t="s">
        <v>88</v>
      </c>
      <c r="N4" s="21" t="s">
        <v>89</v>
      </c>
      <c r="P4" t="str">
        <f t="shared" si="0"/>
        <v>ALGO</v>
      </c>
      <c r="Q4">
        <f t="shared" si="1"/>
        <v>0.22091580705260108</v>
      </c>
      <c r="R4">
        <v>0.26910000000000001</v>
      </c>
      <c r="S4">
        <f t="shared" si="2"/>
        <v>36919.052110629003</v>
      </c>
      <c r="T4" t="str">
        <f t="shared" si="3"/>
        <v xml:space="preserve">'ALGO', </v>
      </c>
      <c r="V4" t="s">
        <v>60</v>
      </c>
      <c r="W4" t="s">
        <v>75</v>
      </c>
      <c r="X4" t="s">
        <v>203</v>
      </c>
      <c r="Y4" t="s">
        <v>293</v>
      </c>
      <c r="Z4" t="s">
        <v>294</v>
      </c>
      <c r="AA4" t="s">
        <v>93</v>
      </c>
      <c r="AB4" t="s">
        <v>295</v>
      </c>
      <c r="AC4" t="s">
        <v>284</v>
      </c>
      <c r="AD4" t="s">
        <v>329</v>
      </c>
      <c r="AE4" t="s">
        <v>59</v>
      </c>
      <c r="AJ4" s="3" t="s">
        <v>89</v>
      </c>
      <c r="AK4" s="45">
        <v>-5936704448.3722601</v>
      </c>
      <c r="AL4">
        <v>84737357.291510075</v>
      </c>
      <c r="AN4" t="s">
        <v>89</v>
      </c>
      <c r="AO4" t="s">
        <v>87</v>
      </c>
      <c r="AP4">
        <v>-20000</v>
      </c>
      <c r="AR4" s="3" t="s">
        <v>89</v>
      </c>
      <c r="AS4" s="43">
        <v>-5919848669.9895267</v>
      </c>
    </row>
    <row r="5" spans="1:48" x14ac:dyDescent="0.25">
      <c r="A5">
        <v>3</v>
      </c>
      <c r="B5" t="s">
        <v>86</v>
      </c>
      <c r="C5" s="1">
        <v>4.2548999999999998E-3</v>
      </c>
      <c r="E5" t="s">
        <v>36</v>
      </c>
      <c r="F5" t="s">
        <v>781</v>
      </c>
      <c r="G5" s="22">
        <v>20221214</v>
      </c>
      <c r="H5" s="61">
        <v>44910.000000081018</v>
      </c>
      <c r="I5">
        <v>4.08859245906859E-2</v>
      </c>
      <c r="K5" s="21" t="s">
        <v>786</v>
      </c>
      <c r="L5" s="21" t="s">
        <v>783</v>
      </c>
      <c r="M5" s="21" t="s">
        <v>88</v>
      </c>
      <c r="N5" s="21" t="s">
        <v>89</v>
      </c>
      <c r="P5" t="str">
        <f t="shared" si="0"/>
        <v>ATOM</v>
      </c>
      <c r="Q5">
        <f>IF($C5="","",$I5/$C5)</f>
        <v>9.6091387789809168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86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119</v>
      </c>
      <c r="AK5" s="45">
        <v>7.8938520000008339E-2</v>
      </c>
      <c r="AL5">
        <v>4.4755983969298541</v>
      </c>
      <c r="AN5" t="s">
        <v>89</v>
      </c>
      <c r="AO5" t="s">
        <v>87</v>
      </c>
      <c r="AP5">
        <v>28311.975235000002</v>
      </c>
      <c r="AR5" s="4" t="s">
        <v>119</v>
      </c>
      <c r="AS5" s="43">
        <v>7.8938520000008339E-2</v>
      </c>
    </row>
    <row r="6" spans="1:48" x14ac:dyDescent="0.25">
      <c r="A6">
        <v>4</v>
      </c>
      <c r="B6" t="s">
        <v>86</v>
      </c>
      <c r="C6" s="1">
        <v>1522.8681305699999</v>
      </c>
      <c r="E6" t="s">
        <v>190</v>
      </c>
      <c r="F6" t="s">
        <v>781</v>
      </c>
      <c r="G6" s="22">
        <v>20221214</v>
      </c>
      <c r="H6" s="61">
        <v>44910.000000081018</v>
      </c>
      <c r="I6">
        <v>20905.262993237699</v>
      </c>
      <c r="K6" s="21" t="s">
        <v>787</v>
      </c>
      <c r="L6" s="21" t="s">
        <v>783</v>
      </c>
      <c r="M6" s="21" t="s">
        <v>88</v>
      </c>
      <c r="N6" s="21" t="s">
        <v>89</v>
      </c>
      <c r="P6" t="str">
        <f t="shared" si="0"/>
        <v>AVAX</v>
      </c>
      <c r="Q6">
        <f t="shared" si="1"/>
        <v>13.727559578919672</v>
      </c>
      <c r="R6">
        <v>13.03</v>
      </c>
      <c r="S6">
        <f t="shared" si="2"/>
        <v>19842.971741327099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88</v>
      </c>
      <c r="AK6" s="45">
        <v>200.07893852000001</v>
      </c>
      <c r="AL6">
        <v>11343.929129895499</v>
      </c>
      <c r="AN6" t="s">
        <v>89</v>
      </c>
      <c r="AO6" t="s">
        <v>125</v>
      </c>
      <c r="AP6">
        <v>25.399726000000001</v>
      </c>
      <c r="AR6" s="4" t="s">
        <v>87</v>
      </c>
      <c r="AS6" s="43">
        <v>8311.9752350000017</v>
      </c>
    </row>
    <row r="7" spans="1:48" x14ac:dyDescent="0.25">
      <c r="A7">
        <v>5</v>
      </c>
      <c r="B7" t="s">
        <v>86</v>
      </c>
      <c r="C7" s="1">
        <v>91411.592165359994</v>
      </c>
      <c r="E7" t="s">
        <v>127</v>
      </c>
      <c r="F7" t="s">
        <v>781</v>
      </c>
      <c r="G7" s="22">
        <v>20221214</v>
      </c>
      <c r="H7" s="61">
        <v>44910.000000081018</v>
      </c>
      <c r="I7">
        <v>20472.664150056</v>
      </c>
      <c r="K7" s="21" t="s">
        <v>788</v>
      </c>
      <c r="L7" s="21" t="s">
        <v>783</v>
      </c>
      <c r="M7" s="21" t="s">
        <v>88</v>
      </c>
      <c r="N7" s="21" t="s">
        <v>89</v>
      </c>
      <c r="P7" t="str">
        <f t="shared" si="0"/>
        <v>BAT</v>
      </c>
      <c r="Q7">
        <f t="shared" si="1"/>
        <v>0.22396135615953119</v>
      </c>
      <c r="R7">
        <v>0.22422048</v>
      </c>
      <c r="S7">
        <f t="shared" si="2"/>
        <v>20496.351072881258</v>
      </c>
      <c r="T7" t="str">
        <f t="shared" si="3"/>
        <v xml:space="preserve">'BAT', </v>
      </c>
      <c r="V7" s="3" t="s">
        <v>94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198</v>
      </c>
      <c r="AK7" s="45">
        <v>-200</v>
      </c>
      <c r="AL7">
        <v>-11339.45353149857</v>
      </c>
      <c r="AN7" t="s">
        <v>89</v>
      </c>
      <c r="AO7" t="s">
        <v>36</v>
      </c>
      <c r="AP7">
        <v>4.2548999999999998E-3</v>
      </c>
      <c r="AR7" s="4" t="s">
        <v>125</v>
      </c>
      <c r="AS7" s="43">
        <v>25.399726000000001</v>
      </c>
    </row>
    <row r="8" spans="1:48" x14ac:dyDescent="0.25">
      <c r="A8">
        <v>6</v>
      </c>
      <c r="B8" t="s">
        <v>86</v>
      </c>
      <c r="C8" s="1">
        <v>401.29513104</v>
      </c>
      <c r="E8" t="s">
        <v>21</v>
      </c>
      <c r="F8" t="s">
        <v>781</v>
      </c>
      <c r="G8" s="22">
        <v>20221214</v>
      </c>
      <c r="H8" s="61">
        <v>44910.000000081018</v>
      </c>
      <c r="I8">
        <v>43784.708181065696</v>
      </c>
      <c r="K8" s="21" t="s">
        <v>789</v>
      </c>
      <c r="L8" s="21" t="s">
        <v>783</v>
      </c>
      <c r="M8" s="21" t="s">
        <v>88</v>
      </c>
      <c r="N8" s="21" t="s">
        <v>89</v>
      </c>
      <c r="P8" t="str">
        <f t="shared" si="0"/>
        <v>BCH</v>
      </c>
      <c r="Q8">
        <f t="shared" si="1"/>
        <v>109.10849595307289</v>
      </c>
      <c r="R8">
        <v>103.98</v>
      </c>
      <c r="S8">
        <f t="shared" si="2"/>
        <v>41726.667725539199</v>
      </c>
      <c r="T8" t="str">
        <f t="shared" si="3"/>
        <v xml:space="preserve">'BCH', </v>
      </c>
      <c r="V8" s="3" t="s">
        <v>197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87</v>
      </c>
      <c r="AK8" s="45">
        <v>8311.9752350000017</v>
      </c>
      <c r="AL8">
        <v>2744.0073319859648</v>
      </c>
      <c r="AN8" t="s">
        <v>89</v>
      </c>
      <c r="AO8" t="s">
        <v>190</v>
      </c>
      <c r="AP8">
        <v>359.80767796999999</v>
      </c>
      <c r="AR8" s="4" t="s">
        <v>36</v>
      </c>
      <c r="AS8" s="43">
        <v>4.2548999999999998E-3</v>
      </c>
    </row>
    <row r="9" spans="1:48" x14ac:dyDescent="0.25">
      <c r="A9">
        <v>7</v>
      </c>
      <c r="B9" t="s">
        <v>86</v>
      </c>
      <c r="C9" s="1">
        <v>144.75781040999999</v>
      </c>
      <c r="E9" t="s">
        <v>90</v>
      </c>
      <c r="F9" t="s">
        <v>781</v>
      </c>
      <c r="G9" s="22">
        <v>20221214</v>
      </c>
      <c r="H9" s="61">
        <v>44910.000000081018</v>
      </c>
      <c r="I9">
        <v>38828.610565688999</v>
      </c>
      <c r="K9" s="21" t="s">
        <v>790</v>
      </c>
      <c r="L9" s="21" t="s">
        <v>783</v>
      </c>
      <c r="M9" s="21" t="s">
        <v>88</v>
      </c>
      <c r="N9" s="21" t="s">
        <v>89</v>
      </c>
      <c r="P9" t="str">
        <f t="shared" si="0"/>
        <v>BNB</v>
      </c>
      <c r="Q9">
        <f t="shared" si="1"/>
        <v>268.23154105270083</v>
      </c>
      <c r="R9">
        <v>268.61020000000002</v>
      </c>
      <c r="S9">
        <f t="shared" si="2"/>
        <v>38883.424405792182</v>
      </c>
      <c r="T9" t="str">
        <f t="shared" si="3"/>
        <v xml:space="preserve">'BNB', </v>
      </c>
      <c r="V9" s="3" t="s">
        <v>19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88</v>
      </c>
      <c r="AK9" s="45">
        <v>28311.975235000002</v>
      </c>
      <c r="AL9">
        <v>9346.5470518627026</v>
      </c>
      <c r="AN9" t="s">
        <v>89</v>
      </c>
      <c r="AO9" t="s">
        <v>190</v>
      </c>
      <c r="AP9">
        <v>-500</v>
      </c>
      <c r="AR9" s="4" t="s">
        <v>190</v>
      </c>
      <c r="AS9" s="43">
        <v>-140.19232203000001</v>
      </c>
    </row>
    <row r="10" spans="1:48" x14ac:dyDescent="0.25">
      <c r="A10">
        <v>8</v>
      </c>
      <c r="B10" t="s">
        <v>86</v>
      </c>
      <c r="C10" s="1">
        <v>12.44551824</v>
      </c>
      <c r="E10" t="s">
        <v>15</v>
      </c>
      <c r="F10" t="s">
        <v>781</v>
      </c>
      <c r="G10" s="22">
        <v>20221214</v>
      </c>
      <c r="H10" s="61">
        <v>44910.000000081018</v>
      </c>
      <c r="I10">
        <v>221724.99522351101</v>
      </c>
      <c r="K10" s="21" t="s">
        <v>791</v>
      </c>
      <c r="L10" s="21" t="s">
        <v>783</v>
      </c>
      <c r="M10" s="21" t="s">
        <v>88</v>
      </c>
      <c r="N10" s="21" t="s">
        <v>89</v>
      </c>
      <c r="P10" t="str">
        <f t="shared" si="0"/>
        <v>BTC</v>
      </c>
      <c r="Q10">
        <f t="shared" si="1"/>
        <v>17815.649854650892</v>
      </c>
      <c r="R10">
        <v>16719.740000000002</v>
      </c>
      <c r="S10">
        <f t="shared" si="2"/>
        <v>208085.82913805763</v>
      </c>
      <c r="T10" t="str">
        <f t="shared" si="3"/>
        <v xml:space="preserve">'BTC', </v>
      </c>
      <c r="V10" s="3" t="s">
        <v>306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198</v>
      </c>
      <c r="AK10" s="45">
        <v>-20000</v>
      </c>
      <c r="AL10">
        <v>-6602.5397198767378</v>
      </c>
      <c r="AN10" t="s">
        <v>89</v>
      </c>
      <c r="AO10" t="s">
        <v>127</v>
      </c>
      <c r="AP10">
        <v>25156.055035879999</v>
      </c>
      <c r="AR10" s="4" t="s">
        <v>127</v>
      </c>
      <c r="AS10" s="43">
        <v>-4843.9449641200008</v>
      </c>
      <c r="AV10">
        <v>-1081.7570189400001</v>
      </c>
    </row>
    <row r="11" spans="1:48" x14ac:dyDescent="0.25">
      <c r="A11">
        <v>9</v>
      </c>
      <c r="B11" t="s">
        <v>86</v>
      </c>
      <c r="C11" s="1">
        <v>196876.92648426001</v>
      </c>
      <c r="E11" t="s">
        <v>91</v>
      </c>
      <c r="F11" t="s">
        <v>781</v>
      </c>
      <c r="G11" s="22">
        <v>20221214</v>
      </c>
      <c r="H11" s="61">
        <v>44910.000000081018</v>
      </c>
      <c r="I11">
        <v>196926.54031488299</v>
      </c>
      <c r="K11" s="21" t="s">
        <v>792</v>
      </c>
      <c r="L11" s="21" t="s">
        <v>783</v>
      </c>
      <c r="M11" s="21" t="s">
        <v>88</v>
      </c>
      <c r="N11" s="21" t="s">
        <v>89</v>
      </c>
      <c r="P11" t="str">
        <f t="shared" si="0"/>
        <v>BUSD</v>
      </c>
      <c r="Q11">
        <f t="shared" si="1"/>
        <v>1.0002520042927781</v>
      </c>
      <c r="R11">
        <v>1.0002433738949958</v>
      </c>
      <c r="S11">
        <f t="shared" si="2"/>
        <v>196924.8411886933</v>
      </c>
      <c r="T11" t="str">
        <f t="shared" si="3"/>
        <v xml:space="preserve">'BUSD', </v>
      </c>
      <c r="V11" s="3" t="s">
        <v>96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125</v>
      </c>
      <c r="AK11" s="45">
        <v>25.399726000000001</v>
      </c>
      <c r="AL11">
        <v>6.6592121155059782</v>
      </c>
      <c r="AN11" t="s">
        <v>89</v>
      </c>
      <c r="AO11" t="s">
        <v>127</v>
      </c>
      <c r="AP11">
        <v>-30000</v>
      </c>
      <c r="AR11" s="4" t="s">
        <v>21</v>
      </c>
      <c r="AS11" s="43">
        <v>1.0294571799999943</v>
      </c>
      <c r="AV11">
        <v>1920.99591691</v>
      </c>
    </row>
    <row r="12" spans="1:48" x14ac:dyDescent="0.25">
      <c r="A12">
        <v>10</v>
      </c>
      <c r="B12" t="s">
        <v>86</v>
      </c>
      <c r="C12" s="1">
        <v>0.86121729000000002</v>
      </c>
      <c r="E12" t="s">
        <v>32</v>
      </c>
      <c r="F12" t="s">
        <v>781</v>
      </c>
      <c r="G12" s="22">
        <v>20221214</v>
      </c>
      <c r="H12" s="61">
        <v>44910.000000081018</v>
      </c>
      <c r="I12">
        <v>33.891689955686203</v>
      </c>
      <c r="K12" s="21" t="s">
        <v>793</v>
      </c>
      <c r="L12" s="21" t="s">
        <v>783</v>
      </c>
      <c r="M12" s="21" t="s">
        <v>88</v>
      </c>
      <c r="N12" s="21" t="s">
        <v>89</v>
      </c>
      <c r="P12" t="str">
        <f t="shared" si="0"/>
        <v>COMP</v>
      </c>
      <c r="Q12">
        <f t="shared" si="1"/>
        <v>39.35323912933309</v>
      </c>
      <c r="R12">
        <v>39.366320000000002</v>
      </c>
      <c r="S12">
        <f t="shared" si="2"/>
        <v>33.902955427672801</v>
      </c>
      <c r="T12" t="str">
        <f t="shared" si="3"/>
        <v xml:space="preserve">'COMP', </v>
      </c>
      <c r="V12" s="3" t="s">
        <v>100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88</v>
      </c>
      <c r="AK12" s="45">
        <v>25.399726000000001</v>
      </c>
      <c r="AL12">
        <v>6.6592121155059782</v>
      </c>
      <c r="AN12" t="s">
        <v>89</v>
      </c>
      <c r="AO12" t="s">
        <v>21</v>
      </c>
      <c r="AP12">
        <v>-90</v>
      </c>
      <c r="AR12" s="4" t="s">
        <v>90</v>
      </c>
      <c r="AS12" s="43">
        <v>2602.9167859499998</v>
      </c>
      <c r="AV12">
        <v>88.195337589999994</v>
      </c>
    </row>
    <row r="13" spans="1:48" x14ac:dyDescent="0.25">
      <c r="A13">
        <v>11</v>
      </c>
      <c r="B13" t="s">
        <v>86</v>
      </c>
      <c r="C13" s="1">
        <v>1.5637979999999999E-2</v>
      </c>
      <c r="E13" t="s">
        <v>191</v>
      </c>
      <c r="F13" t="s">
        <v>781</v>
      </c>
      <c r="G13" s="22">
        <v>20221214</v>
      </c>
      <c r="H13" s="61">
        <v>44910.000000081018</v>
      </c>
      <c r="I13">
        <v>1.0109735336132099E-2</v>
      </c>
      <c r="K13" s="21" t="s">
        <v>794</v>
      </c>
      <c r="L13" s="21" t="s">
        <v>783</v>
      </c>
      <c r="M13" s="21" t="s">
        <v>88</v>
      </c>
      <c r="N13" s="21" t="s">
        <v>89</v>
      </c>
      <c r="P13" t="str">
        <f t="shared" si="0"/>
        <v>CRV</v>
      </c>
      <c r="Q13">
        <f t="shared" si="1"/>
        <v>0.6464860126520241</v>
      </c>
      <c r="R13">
        <v>0.55510000000000004</v>
      </c>
      <c r="S13">
        <f t="shared" si="2"/>
        <v>8.6806426980000004E-3</v>
      </c>
      <c r="T13" t="str">
        <f t="shared" si="3"/>
        <v xml:space="preserve">'CRV', </v>
      </c>
      <c r="V13" s="3" t="s">
        <v>103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36</v>
      </c>
      <c r="AK13" s="45">
        <v>4.2548999999999998E-3</v>
      </c>
      <c r="AL13">
        <v>4.3299983536071208E-2</v>
      </c>
      <c r="AN13" t="s">
        <v>89</v>
      </c>
      <c r="AO13" t="s">
        <v>21</v>
      </c>
      <c r="AP13">
        <v>91.029457179999994</v>
      </c>
      <c r="AR13" s="4" t="s">
        <v>15</v>
      </c>
      <c r="AS13" s="43">
        <v>677.52234898000006</v>
      </c>
      <c r="AV13">
        <v>0</v>
      </c>
    </row>
    <row r="14" spans="1:48" x14ac:dyDescent="0.25">
      <c r="A14">
        <v>12</v>
      </c>
      <c r="B14" t="s">
        <v>86</v>
      </c>
      <c r="C14" s="1">
        <v>497.31768</v>
      </c>
      <c r="E14" t="s">
        <v>135</v>
      </c>
      <c r="F14" t="s">
        <v>781</v>
      </c>
      <c r="G14" s="22">
        <v>20221214</v>
      </c>
      <c r="H14" s="61">
        <v>44910.000000081018</v>
      </c>
      <c r="I14">
        <v>24290.779452657502</v>
      </c>
      <c r="K14" s="21" t="s">
        <v>795</v>
      </c>
      <c r="L14" s="21" t="s">
        <v>783</v>
      </c>
      <c r="M14" s="21" t="s">
        <v>88</v>
      </c>
      <c r="N14" s="21" t="s">
        <v>89</v>
      </c>
      <c r="P14" t="str">
        <f t="shared" si="0"/>
        <v>DASH</v>
      </c>
      <c r="Q14">
        <f t="shared" si="1"/>
        <v>48.843587166773361</v>
      </c>
      <c r="R14">
        <v>8.5419999999999996E-2</v>
      </c>
      <c r="S14">
        <f t="shared" si="2"/>
        <v>42.480876225599999</v>
      </c>
      <c r="T14" t="str">
        <f t="shared" si="3"/>
        <v xml:space="preserve">'DASH', </v>
      </c>
      <c r="V14" s="3" t="s">
        <v>105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88</v>
      </c>
      <c r="AK14" s="45">
        <v>4.2548999999999998E-3</v>
      </c>
      <c r="AL14">
        <v>4.3299983536071208E-2</v>
      </c>
      <c r="AN14" t="s">
        <v>89</v>
      </c>
      <c r="AO14" t="s">
        <v>90</v>
      </c>
      <c r="AP14">
        <v>2516.18097941</v>
      </c>
      <c r="AR14" s="4" t="s">
        <v>91</v>
      </c>
      <c r="AS14" s="43">
        <v>15434443.31398461</v>
      </c>
      <c r="AV14">
        <v>-900.07141582999998</v>
      </c>
    </row>
    <row r="15" spans="1:48" x14ac:dyDescent="0.25">
      <c r="A15">
        <v>13</v>
      </c>
      <c r="B15" t="s">
        <v>86</v>
      </c>
      <c r="C15" s="1">
        <v>604880.55008426995</v>
      </c>
      <c r="E15" t="s">
        <v>193</v>
      </c>
      <c r="F15" t="s">
        <v>781</v>
      </c>
      <c r="G15" s="22">
        <v>20221214</v>
      </c>
      <c r="H15" s="61">
        <v>44910.000000081018</v>
      </c>
      <c r="I15">
        <v>53540.6345540189</v>
      </c>
      <c r="K15" s="21" t="s">
        <v>796</v>
      </c>
      <c r="L15" s="21" t="s">
        <v>783</v>
      </c>
      <c r="M15" s="21" t="s">
        <v>88</v>
      </c>
      <c r="N15" s="21" t="s">
        <v>89</v>
      </c>
      <c r="P15" t="str">
        <f t="shared" si="0"/>
        <v>DOGE</v>
      </c>
      <c r="Q15">
        <f t="shared" si="1"/>
        <v>8.8514392712015277E-2</v>
      </c>
      <c r="R15">
        <v>5.6989999999999998</v>
      </c>
      <c r="S15">
        <f t="shared" si="2"/>
        <v>3447214.2549302545</v>
      </c>
      <c r="T15" t="str">
        <f t="shared" si="3"/>
        <v xml:space="preserve">'DOGE', </v>
      </c>
      <c r="V15" s="3" t="s">
        <v>107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190</v>
      </c>
      <c r="AK15" s="45">
        <v>-138.49232203000003</v>
      </c>
      <c r="AL15">
        <v>-1807.6045965439862</v>
      </c>
      <c r="AN15" t="s">
        <v>89</v>
      </c>
      <c r="AO15" t="s">
        <v>90</v>
      </c>
      <c r="AP15">
        <v>86.735806530000005</v>
      </c>
      <c r="AR15" s="4" t="s">
        <v>32</v>
      </c>
      <c r="AS15" s="43">
        <v>-4763.1309661300002</v>
      </c>
      <c r="AV15">
        <v>-628.89498469</v>
      </c>
    </row>
    <row r="16" spans="1:48" x14ac:dyDescent="0.25">
      <c r="A16">
        <v>14</v>
      </c>
      <c r="B16" t="s">
        <v>86</v>
      </c>
      <c r="C16" s="1">
        <v>4998.7032519799995</v>
      </c>
      <c r="E16" t="s">
        <v>23</v>
      </c>
      <c r="F16" t="s">
        <v>781</v>
      </c>
      <c r="G16" s="22">
        <v>20221214</v>
      </c>
      <c r="H16" s="61">
        <v>44910.000000081018</v>
      </c>
      <c r="I16">
        <v>26069.2859419087</v>
      </c>
      <c r="K16" s="21" t="s">
        <v>797</v>
      </c>
      <c r="L16" s="21" t="s">
        <v>783</v>
      </c>
      <c r="M16" s="21" t="s">
        <v>88</v>
      </c>
      <c r="N16" s="21" t="s">
        <v>89</v>
      </c>
      <c r="P16" t="str">
        <f t="shared" si="0"/>
        <v>DOT</v>
      </c>
      <c r="Q16">
        <f t="shared" si="1"/>
        <v>5.21520975096543</v>
      </c>
      <c r="R16">
        <v>0.30611965000000002</v>
      </c>
      <c r="S16">
        <f t="shared" si="2"/>
        <v>1530.2012899499794</v>
      </c>
      <c r="T16" t="str">
        <f t="shared" si="3"/>
        <v xml:space="preserve">'DOT', </v>
      </c>
      <c r="V16" s="3" t="s">
        <v>108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88</v>
      </c>
      <c r="AK16" s="45">
        <v>361.50767796999997</v>
      </c>
      <c r="AL16">
        <v>4718.4055462869874</v>
      </c>
      <c r="AN16" t="s">
        <v>89</v>
      </c>
      <c r="AO16" t="s">
        <v>90</v>
      </c>
      <c r="AP16" s="29">
        <v>1E-8</v>
      </c>
      <c r="AR16" s="4" t="s">
        <v>191</v>
      </c>
      <c r="AS16" s="43">
        <v>1.5637979999999999E-2</v>
      </c>
    </row>
    <row r="17" spans="1:49" x14ac:dyDescent="0.25">
      <c r="A17">
        <v>15</v>
      </c>
      <c r="B17" t="s">
        <v>86</v>
      </c>
      <c r="C17" s="1">
        <v>30831.324700000001</v>
      </c>
      <c r="E17" t="s">
        <v>29</v>
      </c>
      <c r="F17" t="s">
        <v>781</v>
      </c>
      <c r="G17" s="22">
        <v>20221214</v>
      </c>
      <c r="H17" s="61">
        <v>44910.000000081018</v>
      </c>
      <c r="I17">
        <v>9257.5375131300498</v>
      </c>
      <c r="K17" s="21" t="s">
        <v>798</v>
      </c>
      <c r="L17" s="21" t="s">
        <v>783</v>
      </c>
      <c r="M17" s="21" t="s">
        <v>88</v>
      </c>
      <c r="N17" s="21" t="s">
        <v>89</v>
      </c>
      <c r="P17" t="str">
        <f t="shared" si="0"/>
        <v>ENJ</v>
      </c>
      <c r="Q17">
        <f t="shared" si="1"/>
        <v>0.30026402054434104</v>
      </c>
      <c r="R17">
        <v>0.90154135000000002</v>
      </c>
      <c r="S17">
        <f t="shared" si="2"/>
        <v>27795.714092326347</v>
      </c>
      <c r="T17" t="str">
        <f t="shared" si="3"/>
        <v xml:space="preserve">'ENJ', </v>
      </c>
      <c r="V17" s="3" t="s">
        <v>262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198</v>
      </c>
      <c r="AK17" s="45">
        <v>-500</v>
      </c>
      <c r="AL17">
        <v>-6526.0101428309736</v>
      </c>
      <c r="AN17" t="s">
        <v>89</v>
      </c>
      <c r="AO17" t="s">
        <v>15</v>
      </c>
      <c r="AP17">
        <v>823.10059785999999</v>
      </c>
      <c r="AR17" s="4" t="s">
        <v>193</v>
      </c>
      <c r="AS17" s="43">
        <v>-118389.52953572999</v>
      </c>
    </row>
    <row r="18" spans="1:49" x14ac:dyDescent="0.25">
      <c r="A18">
        <v>16</v>
      </c>
      <c r="B18" t="s">
        <v>86</v>
      </c>
      <c r="C18" s="1">
        <v>79109.898400000005</v>
      </c>
      <c r="E18" t="s">
        <v>24</v>
      </c>
      <c r="F18" t="s">
        <v>781</v>
      </c>
      <c r="G18" s="22">
        <v>20221214</v>
      </c>
      <c r="H18" s="61">
        <v>44910.000000081018</v>
      </c>
      <c r="I18">
        <v>77371.168578658195</v>
      </c>
      <c r="K18" s="21" t="s">
        <v>799</v>
      </c>
      <c r="L18" s="21" t="s">
        <v>783</v>
      </c>
      <c r="M18" s="21" t="s">
        <v>88</v>
      </c>
      <c r="N18" s="21" t="s">
        <v>89</v>
      </c>
      <c r="P18" t="str">
        <f t="shared" si="0"/>
        <v>EOS</v>
      </c>
      <c r="Q18">
        <f t="shared" si="1"/>
        <v>0.97802133669101243</v>
      </c>
      <c r="R18">
        <v>1208.73</v>
      </c>
      <c r="S18">
        <f t="shared" si="2"/>
        <v>95622507.493032008</v>
      </c>
      <c r="T18" t="str">
        <f t="shared" si="3"/>
        <v xml:space="preserve">'EOS', </v>
      </c>
      <c r="V18" s="3" t="s">
        <v>292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127</v>
      </c>
      <c r="AK18" s="45">
        <v>-4843.9449641200008</v>
      </c>
      <c r="AL18">
        <v>-1080.6828501880073</v>
      </c>
      <c r="AN18" t="s">
        <v>89</v>
      </c>
      <c r="AO18" t="s">
        <v>15</v>
      </c>
      <c r="AP18">
        <v>38.26334335</v>
      </c>
      <c r="AR18" s="4" t="s">
        <v>23</v>
      </c>
      <c r="AS18" s="43">
        <v>-0.98473884000009093</v>
      </c>
    </row>
    <row r="19" spans="1:49" x14ac:dyDescent="0.25">
      <c r="A19">
        <v>17</v>
      </c>
      <c r="B19" t="s">
        <v>86</v>
      </c>
      <c r="C19" s="1">
        <v>207.5909</v>
      </c>
      <c r="E19" t="s">
        <v>16</v>
      </c>
      <c r="F19" t="s">
        <v>781</v>
      </c>
      <c r="G19" s="22">
        <v>20221214</v>
      </c>
      <c r="H19" s="61">
        <v>44910.000000081018</v>
      </c>
      <c r="I19">
        <v>271804.71844032197</v>
      </c>
      <c r="K19" s="21" t="s">
        <v>800</v>
      </c>
      <c r="L19" s="21" t="s">
        <v>783</v>
      </c>
      <c r="M19" s="21" t="s">
        <v>88</v>
      </c>
      <c r="N19" s="21" t="s">
        <v>89</v>
      </c>
      <c r="P19" t="str">
        <f t="shared" si="0"/>
        <v>ETH</v>
      </c>
      <c r="Q19">
        <f t="shared" si="1"/>
        <v>1309.3286769329579</v>
      </c>
      <c r="R19">
        <v>1.0364599999999999</v>
      </c>
      <c r="S19">
        <f t="shared" si="2"/>
        <v>215.159664214</v>
      </c>
      <c r="T19" t="str">
        <f t="shared" si="3"/>
        <v xml:space="preserve">'ETH', </v>
      </c>
      <c r="V19" s="3" t="s">
        <v>307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88</v>
      </c>
      <c r="AK19" s="45">
        <v>25156.055035879999</v>
      </c>
      <c r="AL19">
        <v>5612.3092762264696</v>
      </c>
      <c r="AN19" t="s">
        <v>89</v>
      </c>
      <c r="AO19" t="s">
        <v>15</v>
      </c>
      <c r="AP19">
        <v>-183.84159223</v>
      </c>
      <c r="AR19" s="4" t="s">
        <v>24</v>
      </c>
      <c r="AS19" s="43">
        <v>234649.4014</v>
      </c>
    </row>
    <row r="20" spans="1:49" x14ac:dyDescent="0.25">
      <c r="A20">
        <v>18</v>
      </c>
      <c r="B20" t="s">
        <v>86</v>
      </c>
      <c r="C20" s="1">
        <v>796684.29277635005</v>
      </c>
      <c r="E20" t="s">
        <v>110</v>
      </c>
      <c r="F20" t="s">
        <v>781</v>
      </c>
      <c r="G20" s="22">
        <v>20221214</v>
      </c>
      <c r="H20" s="61">
        <v>44910.000000081018</v>
      </c>
      <c r="I20">
        <v>851073.92944419105</v>
      </c>
      <c r="K20" s="21" t="s">
        <v>801</v>
      </c>
      <c r="L20" s="21" t="s">
        <v>783</v>
      </c>
      <c r="M20" s="21" t="s">
        <v>88</v>
      </c>
      <c r="N20" s="21" t="s">
        <v>89</v>
      </c>
      <c r="P20" t="str">
        <f t="shared" si="0"/>
        <v>EUR</v>
      </c>
      <c r="Q20">
        <f t="shared" si="1"/>
        <v>1.0682699999999994</v>
      </c>
      <c r="R20">
        <v>4.3366579999999999</v>
      </c>
      <c r="S20">
        <f t="shared" si="2"/>
        <v>3454947.3117429004</v>
      </c>
      <c r="T20" t="str">
        <f t="shared" si="3"/>
        <v xml:space="preserve">'EUR', </v>
      </c>
      <c r="V20" s="3" t="s">
        <v>311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198</v>
      </c>
      <c r="AK20" s="45">
        <v>-30000</v>
      </c>
      <c r="AL20">
        <v>-6692.9921264144768</v>
      </c>
      <c r="AN20" t="s">
        <v>89</v>
      </c>
      <c r="AO20" t="s">
        <v>91</v>
      </c>
      <c r="AP20">
        <v>18100000</v>
      </c>
      <c r="AR20" s="4" t="s">
        <v>30</v>
      </c>
      <c r="AS20" s="43">
        <v>0.15721859999999999</v>
      </c>
    </row>
    <row r="21" spans="1:49" x14ac:dyDescent="0.25">
      <c r="A21">
        <v>19</v>
      </c>
      <c r="B21" t="s">
        <v>86</v>
      </c>
      <c r="C21" s="1">
        <v>0.19800000000000001</v>
      </c>
      <c r="E21" t="s">
        <v>31</v>
      </c>
      <c r="F21" t="s">
        <v>781</v>
      </c>
      <c r="G21" s="22">
        <v>20221214</v>
      </c>
      <c r="H21" s="61">
        <v>44910.000000081018</v>
      </c>
      <c r="I21">
        <v>0.83755776247018499</v>
      </c>
      <c r="K21" s="21" t="s">
        <v>802</v>
      </c>
      <c r="L21" s="21" t="s">
        <v>783</v>
      </c>
      <c r="M21" s="21" t="s">
        <v>88</v>
      </c>
      <c r="N21" s="21" t="s">
        <v>89</v>
      </c>
      <c r="P21" t="str">
        <f t="shared" si="0"/>
        <v>FIL</v>
      </c>
      <c r="Q21">
        <f t="shared" si="1"/>
        <v>4.2300897094453784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312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21</v>
      </c>
      <c r="AK21" s="45">
        <v>1.0294571799999943</v>
      </c>
      <c r="AL21">
        <v>102.58181269224224</v>
      </c>
      <c r="AN21" t="s">
        <v>89</v>
      </c>
      <c r="AO21" t="s">
        <v>91</v>
      </c>
      <c r="AP21">
        <v>2114122.1871344098</v>
      </c>
      <c r="AR21" s="4" t="s">
        <v>16</v>
      </c>
      <c r="AS21" s="43">
        <v>6844.1409846100005</v>
      </c>
    </row>
    <row r="22" spans="1:49" x14ac:dyDescent="0.25">
      <c r="A22">
        <v>20</v>
      </c>
      <c r="B22" t="s">
        <v>86</v>
      </c>
      <c r="C22" s="1">
        <v>142175.21349967</v>
      </c>
      <c r="E22" t="s">
        <v>194</v>
      </c>
      <c r="F22" t="s">
        <v>781</v>
      </c>
      <c r="G22" s="22">
        <v>20221214</v>
      </c>
      <c r="H22" s="61">
        <v>44910.000000081018</v>
      </c>
      <c r="I22">
        <v>34210.1105541367</v>
      </c>
      <c r="K22" s="21" t="s">
        <v>803</v>
      </c>
      <c r="L22" s="21" t="s">
        <v>783</v>
      </c>
      <c r="M22" s="21" t="s">
        <v>88</v>
      </c>
      <c r="N22" s="21" t="s">
        <v>89</v>
      </c>
      <c r="P22" t="str">
        <f t="shared" si="0"/>
        <v>FTM</v>
      </c>
      <c r="Q22">
        <f t="shared" si="1"/>
        <v>0.24061937177408285</v>
      </c>
      <c r="R22">
        <v>6.2919999999999998</v>
      </c>
      <c r="S22">
        <f t="shared" si="2"/>
        <v>894566.44333992363</v>
      </c>
      <c r="T22" t="str">
        <f t="shared" si="3"/>
        <v xml:space="preserve">'FTM', </v>
      </c>
      <c r="V22" s="3" t="s">
        <v>34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88</v>
      </c>
      <c r="AK22" s="45">
        <v>91.029457179999994</v>
      </c>
      <c r="AL22">
        <v>9070.7674950747351</v>
      </c>
      <c r="AN22" t="s">
        <v>89</v>
      </c>
      <c r="AO22" t="s">
        <v>91</v>
      </c>
      <c r="AP22">
        <v>-4779678.8731498001</v>
      </c>
      <c r="AR22" s="4" t="s">
        <v>110</v>
      </c>
      <c r="AS22" s="43">
        <v>668899.17272104998</v>
      </c>
    </row>
    <row r="23" spans="1:49" x14ac:dyDescent="0.25">
      <c r="A23">
        <v>21</v>
      </c>
      <c r="B23" t="s">
        <v>86</v>
      </c>
      <c r="C23" s="1">
        <v>239455.44699999999</v>
      </c>
      <c r="E23" t="s">
        <v>635</v>
      </c>
      <c r="F23" t="s">
        <v>781</v>
      </c>
      <c r="G23" s="22">
        <v>20221214</v>
      </c>
      <c r="H23" s="61">
        <v>44910.000000081018</v>
      </c>
      <c r="I23">
        <v>15735.0778713698</v>
      </c>
      <c r="K23" s="21" t="s">
        <v>804</v>
      </c>
      <c r="L23" s="21" t="s">
        <v>783</v>
      </c>
      <c r="M23" s="21" t="s">
        <v>88</v>
      </c>
      <c r="N23" s="21" t="s">
        <v>89</v>
      </c>
      <c r="P23" t="str">
        <f t="shared" si="0"/>
        <v>GRT</v>
      </c>
      <c r="Q23">
        <f t="shared" si="1"/>
        <v>6.571192290050433E-2</v>
      </c>
      <c r="R23">
        <v>62.35</v>
      </c>
      <c r="S23">
        <f t="shared" si="2"/>
        <v>14930047.120449999</v>
      </c>
      <c r="T23" t="str">
        <f t="shared" si="3"/>
        <v xml:space="preserve">'GRT', </v>
      </c>
      <c r="V23" s="3" t="s">
        <v>240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198</v>
      </c>
      <c r="AK23" s="45">
        <v>-90</v>
      </c>
      <c r="AL23">
        <v>-8968.1856823824928</v>
      </c>
      <c r="AN23" t="s">
        <v>89</v>
      </c>
      <c r="AO23" t="s">
        <v>32</v>
      </c>
      <c r="AP23">
        <v>36.869033870000003</v>
      </c>
      <c r="AR23" s="4" t="s">
        <v>31</v>
      </c>
      <c r="AS23" s="43">
        <v>0.19800000000000001</v>
      </c>
    </row>
    <row r="24" spans="1:49" x14ac:dyDescent="0.25">
      <c r="A24">
        <v>22</v>
      </c>
      <c r="B24" t="s">
        <v>86</v>
      </c>
      <c r="C24" s="1">
        <v>622005.60076897999</v>
      </c>
      <c r="E24" t="s">
        <v>138</v>
      </c>
      <c r="F24" t="s">
        <v>781</v>
      </c>
      <c r="G24" s="22">
        <v>20221214</v>
      </c>
      <c r="H24" s="61">
        <v>44910.000000081018</v>
      </c>
      <c r="I24">
        <v>29034.5185808321</v>
      </c>
      <c r="K24" s="21" t="s">
        <v>805</v>
      </c>
      <c r="L24" s="21" t="s">
        <v>783</v>
      </c>
      <c r="M24" s="21" t="s">
        <v>88</v>
      </c>
      <c r="N24" s="21" t="s">
        <v>89</v>
      </c>
      <c r="P24" t="str">
        <f t="shared" si="0"/>
        <v>HBAR</v>
      </c>
      <c r="Q24">
        <f t="shared" si="1"/>
        <v>4.6678870005249125E-2</v>
      </c>
      <c r="R24">
        <v>0.41775250000000003</v>
      </c>
      <c r="S24">
        <f t="shared" si="2"/>
        <v>259844.39473524332</v>
      </c>
      <c r="T24" t="str">
        <f t="shared" si="3"/>
        <v xml:space="preserve">'HBAR', </v>
      </c>
      <c r="V24" s="3" t="s">
        <v>189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90</v>
      </c>
      <c r="AK24" s="45">
        <v>2608.6483694500002</v>
      </c>
      <c r="AL24">
        <v>721498.47380898939</v>
      </c>
      <c r="AN24" t="s">
        <v>89</v>
      </c>
      <c r="AO24" t="s">
        <v>32</v>
      </c>
      <c r="AP24">
        <v>-4800</v>
      </c>
      <c r="AR24" s="4" t="s">
        <v>28</v>
      </c>
      <c r="AS24" s="43">
        <v>-879.41953096999998</v>
      </c>
    </row>
    <row r="25" spans="1:49" x14ac:dyDescent="0.25">
      <c r="A25">
        <v>23</v>
      </c>
      <c r="B25" t="s">
        <v>86</v>
      </c>
      <c r="C25" s="1">
        <v>9313.9301735600002</v>
      </c>
      <c r="E25" t="s">
        <v>28</v>
      </c>
      <c r="F25" t="s">
        <v>781</v>
      </c>
      <c r="G25" s="22">
        <v>20221214</v>
      </c>
      <c r="H25" s="61">
        <v>44910.000000081018</v>
      </c>
      <c r="I25">
        <v>62671.8346783046</v>
      </c>
      <c r="K25" s="21" t="s">
        <v>806</v>
      </c>
      <c r="L25" s="21" t="s">
        <v>783</v>
      </c>
      <c r="M25" s="21" t="s">
        <v>88</v>
      </c>
      <c r="N25" s="21" t="s">
        <v>89</v>
      </c>
      <c r="P25" t="str">
        <f t="shared" si="0"/>
        <v>LINK</v>
      </c>
      <c r="Q25">
        <f t="shared" si="1"/>
        <v>6.7288280575921444</v>
      </c>
      <c r="R25">
        <v>1.1276999999999999</v>
      </c>
      <c r="S25">
        <f t="shared" si="2"/>
        <v>10503.319056723611</v>
      </c>
      <c r="T25" t="str">
        <f t="shared" si="3"/>
        <v xml:space="preserve">'LINK', </v>
      </c>
      <c r="V25" s="3" t="s">
        <v>109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88</v>
      </c>
      <c r="AK25" s="45">
        <v>2608.6483694500002</v>
      </c>
      <c r="AL25">
        <v>721498.47380898939</v>
      </c>
      <c r="AN25" t="s">
        <v>89</v>
      </c>
      <c r="AO25" t="s">
        <v>191</v>
      </c>
      <c r="AP25">
        <v>1.5637979999999999E-2</v>
      </c>
      <c r="AR25" s="4" t="s">
        <v>25</v>
      </c>
      <c r="AS25" s="43">
        <v>-596.09387604999995</v>
      </c>
    </row>
    <row r="26" spans="1:49" x14ac:dyDescent="0.25">
      <c r="A26">
        <v>24</v>
      </c>
      <c r="B26" t="s">
        <v>86</v>
      </c>
      <c r="C26" s="1">
        <v>690.72668716999999</v>
      </c>
      <c r="E26" t="s">
        <v>25</v>
      </c>
      <c r="F26" t="s">
        <v>781</v>
      </c>
      <c r="G26" s="22">
        <v>20221214</v>
      </c>
      <c r="H26" s="61">
        <v>44910.000000081018</v>
      </c>
      <c r="I26">
        <v>52133.193257589402</v>
      </c>
      <c r="K26" s="21" t="s">
        <v>807</v>
      </c>
      <c r="L26" s="21" t="s">
        <v>783</v>
      </c>
      <c r="M26" s="21" t="s">
        <v>88</v>
      </c>
      <c r="N26" s="21" t="s">
        <v>89</v>
      </c>
      <c r="P26" t="str">
        <f t="shared" si="0"/>
        <v>LTC</v>
      </c>
      <c r="Q26">
        <f t="shared" si="1"/>
        <v>75.475863646134911</v>
      </c>
      <c r="R26">
        <v>8.09E-2</v>
      </c>
      <c r="S26">
        <f t="shared" si="2"/>
        <v>55.879788992053001</v>
      </c>
      <c r="T26" t="str">
        <f t="shared" si="3"/>
        <v xml:space="preserve">'LTC', </v>
      </c>
      <c r="V26" s="3" t="s">
        <v>201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15</v>
      </c>
      <c r="AK26" s="45">
        <v>742.48935090999998</v>
      </c>
      <c r="AL26">
        <v>12142199.896539932</v>
      </c>
      <c r="AN26" t="s">
        <v>89</v>
      </c>
      <c r="AO26" t="s">
        <v>193</v>
      </c>
      <c r="AP26">
        <v>61610.470464270002</v>
      </c>
      <c r="AR26" s="4" t="s">
        <v>195</v>
      </c>
      <c r="AS26" s="43">
        <v>-15874.837827430001</v>
      </c>
    </row>
    <row r="27" spans="1:49" x14ac:dyDescent="0.25">
      <c r="A27">
        <v>25</v>
      </c>
      <c r="B27" t="s">
        <v>86</v>
      </c>
      <c r="C27" s="1">
        <v>51976.868269259998</v>
      </c>
      <c r="E27" t="s">
        <v>195</v>
      </c>
      <c r="F27" t="s">
        <v>781</v>
      </c>
      <c r="G27" s="22">
        <v>20221214</v>
      </c>
      <c r="H27" s="61">
        <v>44910.000000081018</v>
      </c>
      <c r="I27">
        <v>19847.9074793933</v>
      </c>
      <c r="K27" s="21" t="s">
        <v>808</v>
      </c>
      <c r="L27" s="21" t="s">
        <v>783</v>
      </c>
      <c r="M27" s="21" t="s">
        <v>88</v>
      </c>
      <c r="N27" s="21" t="s">
        <v>89</v>
      </c>
      <c r="P27" t="str">
        <f t="shared" si="0"/>
        <v>MANA</v>
      </c>
      <c r="Q27">
        <f t="shared" si="1"/>
        <v>0.38186039560085788</v>
      </c>
      <c r="R27">
        <v>13.78</v>
      </c>
      <c r="S27">
        <f t="shared" si="2"/>
        <v>716241.24475040275</v>
      </c>
      <c r="T27" t="str">
        <f t="shared" si="3"/>
        <v xml:space="preserve">'MANA', </v>
      </c>
      <c r="V27" s="3" t="s">
        <v>114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88</v>
      </c>
      <c r="AK27" s="45">
        <v>825.19605321999995</v>
      </c>
      <c r="AL27">
        <v>13494732.846676975</v>
      </c>
      <c r="AN27" t="s">
        <v>89</v>
      </c>
      <c r="AO27" t="s">
        <v>193</v>
      </c>
      <c r="AP27">
        <v>-180000</v>
      </c>
      <c r="AR27" s="4" t="s">
        <v>92</v>
      </c>
      <c r="AS27" s="43">
        <v>402320.62526320003</v>
      </c>
    </row>
    <row r="28" spans="1:49" x14ac:dyDescent="0.25">
      <c r="A28">
        <v>26</v>
      </c>
      <c r="B28" t="s">
        <v>86</v>
      </c>
      <c r="C28" s="1">
        <v>56026.01335152</v>
      </c>
      <c r="E28" t="s">
        <v>196</v>
      </c>
      <c r="F28" t="s">
        <v>781</v>
      </c>
      <c r="G28" s="22">
        <v>20221214</v>
      </c>
      <c r="H28" s="61">
        <v>44910.000000081018</v>
      </c>
      <c r="I28">
        <v>50610.950902394499</v>
      </c>
      <c r="K28" s="21" t="s">
        <v>809</v>
      </c>
      <c r="L28" s="21" t="s">
        <v>783</v>
      </c>
      <c r="M28" s="21" t="s">
        <v>88</v>
      </c>
      <c r="N28" s="21" t="s">
        <v>89</v>
      </c>
      <c r="P28" t="str">
        <f t="shared" si="0"/>
        <v>MATIC</v>
      </c>
      <c r="Q28">
        <f t="shared" si="1"/>
        <v>0.90334735375244068</v>
      </c>
      <c r="R28">
        <v>5.7869999999999999</v>
      </c>
      <c r="S28">
        <f t="shared" si="2"/>
        <v>324222.53926524625</v>
      </c>
      <c r="T28" t="str">
        <f t="shared" si="3"/>
        <v xml:space="preserve">'MATIC', </v>
      </c>
      <c r="V28" s="3" t="s">
        <v>41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198</v>
      </c>
      <c r="AK28" s="45">
        <v>-82.706702309999997</v>
      </c>
      <c r="AL28">
        <v>-1352532.9501370429</v>
      </c>
      <c r="AN28" t="s">
        <v>89</v>
      </c>
      <c r="AO28" t="s">
        <v>23</v>
      </c>
      <c r="AP28">
        <v>-2000</v>
      </c>
      <c r="AR28" s="4" t="s">
        <v>38</v>
      </c>
      <c r="AS28" s="43">
        <v>-6000000000</v>
      </c>
    </row>
    <row r="29" spans="1:49" x14ac:dyDescent="0.25">
      <c r="A29">
        <v>27</v>
      </c>
      <c r="B29" t="s">
        <v>86</v>
      </c>
      <c r="C29" s="1">
        <v>14.148957319999999</v>
      </c>
      <c r="E29" t="s">
        <v>567</v>
      </c>
      <c r="F29" t="s">
        <v>781</v>
      </c>
      <c r="G29" s="22">
        <v>20221214</v>
      </c>
      <c r="H29" s="61">
        <v>44910.000000081018</v>
      </c>
      <c r="I29">
        <v>8576.4989890877805</v>
      </c>
      <c r="K29" s="21" t="s">
        <v>810</v>
      </c>
      <c r="L29" s="21" t="s">
        <v>783</v>
      </c>
      <c r="M29" s="21" t="s">
        <v>88</v>
      </c>
      <c r="N29" s="21" t="s">
        <v>89</v>
      </c>
      <c r="P29" t="str">
        <f t="shared" si="0"/>
        <v>MKR</v>
      </c>
      <c r="Q29">
        <f t="shared" si="1"/>
        <v>606.15766908594935</v>
      </c>
      <c r="R29">
        <v>0.99940190110900418</v>
      </c>
      <c r="S29">
        <f t="shared" si="2"/>
        <v>14.140494844318161</v>
      </c>
      <c r="T29" t="str">
        <f t="shared" si="3"/>
        <v xml:space="preserve">'MKR', </v>
      </c>
      <c r="V29" s="3" t="s">
        <v>296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91</v>
      </c>
      <c r="AK29" s="45">
        <v>7661438.6118996805</v>
      </c>
      <c r="AL29">
        <v>7669825.539192033</v>
      </c>
      <c r="AN29" t="s">
        <v>89</v>
      </c>
      <c r="AO29" t="s">
        <v>23</v>
      </c>
      <c r="AP29">
        <v>1999.0152611599999</v>
      </c>
      <c r="AR29" s="4" t="s">
        <v>157</v>
      </c>
      <c r="AS29" s="43">
        <v>-2.7772087900000031</v>
      </c>
    </row>
    <row r="30" spans="1:49" x14ac:dyDescent="0.25">
      <c r="A30">
        <v>28</v>
      </c>
      <c r="B30" t="s">
        <v>86</v>
      </c>
      <c r="C30" s="1">
        <v>24304.849819300001</v>
      </c>
      <c r="E30" t="s">
        <v>153</v>
      </c>
      <c r="F30" t="s">
        <v>781</v>
      </c>
      <c r="G30" s="22">
        <v>20221214</v>
      </c>
      <c r="H30" s="61">
        <v>44910.000000081018</v>
      </c>
      <c r="I30">
        <v>28626.799650125002</v>
      </c>
      <c r="K30" s="21" t="s">
        <v>811</v>
      </c>
      <c r="L30" s="21" t="s">
        <v>783</v>
      </c>
      <c r="M30" s="21" t="s">
        <v>88</v>
      </c>
      <c r="N30" s="21" t="s">
        <v>89</v>
      </c>
      <c r="P30" t="str">
        <f t="shared" si="0"/>
        <v>OMG</v>
      </c>
      <c r="Q30">
        <f t="shared" si="1"/>
        <v>1.1778225277242003</v>
      </c>
      <c r="R30">
        <v>9.0786800000000001E-2</v>
      </c>
      <c r="S30">
        <f t="shared" si="2"/>
        <v>2206.5595395748255</v>
      </c>
      <c r="T30" t="str">
        <f t="shared" si="3"/>
        <v xml:space="preserve">'OMG', </v>
      </c>
      <c r="V30" s="3" t="s">
        <v>299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88</v>
      </c>
      <c r="AK30" s="45">
        <v>13124746.12945288</v>
      </c>
      <c r="AL30">
        <v>13139113.704146668</v>
      </c>
      <c r="AN30" t="s">
        <v>89</v>
      </c>
      <c r="AO30" t="s">
        <v>24</v>
      </c>
      <c r="AP30">
        <v>204649.5</v>
      </c>
      <c r="AR30" s="4" t="s">
        <v>39</v>
      </c>
      <c r="AS30" s="43">
        <v>63538144.969486356</v>
      </c>
    </row>
    <row r="31" spans="1:49" x14ac:dyDescent="0.25">
      <c r="A31">
        <v>29</v>
      </c>
      <c r="B31" t="s">
        <v>86</v>
      </c>
      <c r="C31" s="1">
        <v>579497.75941952004</v>
      </c>
      <c r="E31" t="s">
        <v>92</v>
      </c>
      <c r="F31" t="s">
        <v>781</v>
      </c>
      <c r="G31" s="22">
        <v>20221214</v>
      </c>
      <c r="H31" s="61">
        <v>44910.000000081018</v>
      </c>
      <c r="I31">
        <v>47042.394575068101</v>
      </c>
      <c r="K31" s="21" t="s">
        <v>812</v>
      </c>
      <c r="L31" s="21" t="s">
        <v>783</v>
      </c>
      <c r="M31" s="21" t="s">
        <v>88</v>
      </c>
      <c r="N31" s="21" t="s">
        <v>89</v>
      </c>
      <c r="P31" t="str">
        <f t="shared" si="0"/>
        <v>OXT</v>
      </c>
      <c r="Q31">
        <f t="shared" si="1"/>
        <v>8.1177871372945826E-2</v>
      </c>
      <c r="R31">
        <v>16719.740000000002</v>
      </c>
      <c r="S31">
        <f t="shared" si="2"/>
        <v>9689051868.0769272</v>
      </c>
      <c r="T31" t="str">
        <f t="shared" si="3"/>
        <v xml:space="preserve">'OXT', </v>
      </c>
      <c r="V31" s="3" t="s">
        <v>117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198</v>
      </c>
      <c r="AK31" s="45">
        <v>-5463307.5175532</v>
      </c>
      <c r="AL31">
        <v>-5469288.1649546353</v>
      </c>
      <c r="AN31" t="s">
        <v>89</v>
      </c>
      <c r="AO31" t="s">
        <v>24</v>
      </c>
      <c r="AP31">
        <v>29999.901399999999</v>
      </c>
      <c r="AR31" s="4" t="s">
        <v>199</v>
      </c>
      <c r="AS31" s="43">
        <v>-100</v>
      </c>
    </row>
    <row r="32" spans="1:49" x14ac:dyDescent="0.25">
      <c r="A32">
        <v>30</v>
      </c>
      <c r="B32" t="s">
        <v>86</v>
      </c>
      <c r="C32" s="1">
        <v>3891093088.6999998</v>
      </c>
      <c r="E32" t="s">
        <v>38</v>
      </c>
      <c r="F32" t="s">
        <v>781</v>
      </c>
      <c r="G32" s="22">
        <v>20221214</v>
      </c>
      <c r="H32" s="61">
        <v>44910.000000081018</v>
      </c>
      <c r="I32">
        <v>34913.829521849402</v>
      </c>
      <c r="K32" s="21" t="s">
        <v>813</v>
      </c>
      <c r="L32" s="21" t="s">
        <v>783</v>
      </c>
      <c r="M32" s="21" t="s">
        <v>88</v>
      </c>
      <c r="N32" s="21" t="s">
        <v>89</v>
      </c>
      <c r="P32" t="str">
        <f t="shared" si="0"/>
        <v>SHIB</v>
      </c>
      <c r="Q32">
        <f t="shared" si="1"/>
        <v>8.9727561705582285E-6</v>
      </c>
      <c r="R32">
        <v>16719.740000000002</v>
      </c>
      <c r="S32">
        <f t="shared" si="2"/>
        <v>65058064758860.938</v>
      </c>
      <c r="T32" t="str">
        <f t="shared" si="3"/>
        <v xml:space="preserve">'SHIB', </v>
      </c>
      <c r="V32" s="3" t="s">
        <v>118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32</v>
      </c>
      <c r="AK32" s="45">
        <v>-4763.1309661300002</v>
      </c>
      <c r="AL32">
        <v>-184545.78553360116</v>
      </c>
      <c r="AN32" t="s">
        <v>89</v>
      </c>
      <c r="AO32" t="s">
        <v>30</v>
      </c>
      <c r="AP32">
        <v>0.15721859999999999</v>
      </c>
      <c r="AR32" s="3" t="s">
        <v>220</v>
      </c>
      <c r="AS32" s="43">
        <v>90.065147469999999</v>
      </c>
      <c r="AU32" s="51"/>
      <c r="AV32" s="52"/>
      <c r="AW32" s="52"/>
    </row>
    <row r="33" spans="1:49" x14ac:dyDescent="0.25">
      <c r="A33">
        <v>31</v>
      </c>
      <c r="B33" t="s">
        <v>86</v>
      </c>
      <c r="C33" s="1">
        <v>4911.3312864700001</v>
      </c>
      <c r="E33" t="s">
        <v>157</v>
      </c>
      <c r="F33" t="s">
        <v>781</v>
      </c>
      <c r="G33" s="22">
        <v>20221214</v>
      </c>
      <c r="H33" s="61">
        <v>44910.000000081018</v>
      </c>
      <c r="I33">
        <v>69448.808727044394</v>
      </c>
      <c r="K33" s="21" t="s">
        <v>814</v>
      </c>
      <c r="L33" s="21" t="s">
        <v>783</v>
      </c>
      <c r="M33" s="21" t="s">
        <v>88</v>
      </c>
      <c r="N33" s="21" t="s">
        <v>89</v>
      </c>
      <c r="P33" t="str">
        <f t="shared" si="0"/>
        <v>SOL</v>
      </c>
      <c r="Q33">
        <f t="shared" si="1"/>
        <v>14.140526198744872</v>
      </c>
      <c r="R33">
        <v>1208.73</v>
      </c>
      <c r="S33">
        <f t="shared" si="2"/>
        <v>5936473.4658948835</v>
      </c>
      <c r="T33" t="str">
        <f t="shared" si="3"/>
        <v xml:space="preserve">'SOL', </v>
      </c>
      <c r="V33" s="3" t="s">
        <v>42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88</v>
      </c>
      <c r="AK33" s="45">
        <v>36.869033870000003</v>
      </c>
      <c r="AL33">
        <v>1428.4773746064559</v>
      </c>
      <c r="AN33" t="s">
        <v>89</v>
      </c>
      <c r="AO33" t="s">
        <v>16</v>
      </c>
      <c r="AP33">
        <v>9.9330999999999996</v>
      </c>
      <c r="AR33" s="4" t="s">
        <v>15</v>
      </c>
      <c r="AS33" s="43">
        <v>8.9996E-3</v>
      </c>
      <c r="AU33" s="4"/>
    </row>
    <row r="34" spans="1:49" x14ac:dyDescent="0.25">
      <c r="A34">
        <v>32</v>
      </c>
      <c r="B34" t="s">
        <v>86</v>
      </c>
      <c r="C34" s="1">
        <v>28471.638187349999</v>
      </c>
      <c r="E34" t="s">
        <v>615</v>
      </c>
      <c r="F34" t="s">
        <v>781</v>
      </c>
      <c r="G34" s="22">
        <v>20221214</v>
      </c>
      <c r="H34" s="61">
        <v>44910.000000081018</v>
      </c>
      <c r="I34">
        <v>31878.4033128544</v>
      </c>
      <c r="K34" s="21" t="s">
        <v>815</v>
      </c>
      <c r="L34" s="21" t="s">
        <v>783</v>
      </c>
      <c r="M34" s="21" t="s">
        <v>88</v>
      </c>
      <c r="N34" s="21" t="s">
        <v>89</v>
      </c>
      <c r="P34" t="str">
        <f t="shared" si="0"/>
        <v>SUSHI</v>
      </c>
      <c r="Q34">
        <f t="shared" si="1"/>
        <v>1.1196546929645246</v>
      </c>
      <c r="R34">
        <v>1208.73</v>
      </c>
      <c r="S34">
        <f t="shared" si="2"/>
        <v>34414523.226195566</v>
      </c>
      <c r="T34" t="str">
        <f t="shared" si="3"/>
        <v xml:space="preserve">'SUSHI', </v>
      </c>
      <c r="V34" s="3" t="s">
        <v>43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198</v>
      </c>
      <c r="AK34" s="45">
        <v>-4800</v>
      </c>
      <c r="AL34">
        <v>-185974.2629082076</v>
      </c>
      <c r="AN34" t="s">
        <v>89</v>
      </c>
      <c r="AO34" t="s">
        <v>16</v>
      </c>
      <c r="AP34">
        <v>5884.9906846100002</v>
      </c>
      <c r="AR34" s="4" t="s">
        <v>16</v>
      </c>
      <c r="AS34" s="43">
        <v>0.02</v>
      </c>
      <c r="AU34" s="4"/>
    </row>
    <row r="35" spans="1:49" x14ac:dyDescent="0.25">
      <c r="A35">
        <v>33</v>
      </c>
      <c r="B35" t="s">
        <v>86</v>
      </c>
      <c r="C35" s="1">
        <v>5519.2358653000001</v>
      </c>
      <c r="E35" t="s">
        <v>162</v>
      </c>
      <c r="F35" t="s">
        <v>781</v>
      </c>
      <c r="G35" s="22">
        <v>20221214</v>
      </c>
      <c r="H35" s="61">
        <v>44910.000000081018</v>
      </c>
      <c r="I35">
        <v>32671.8752635192</v>
      </c>
      <c r="K35" s="21" t="s">
        <v>816</v>
      </c>
      <c r="L35" s="21" t="s">
        <v>783</v>
      </c>
      <c r="M35" s="21" t="s">
        <v>88</v>
      </c>
      <c r="N35" s="21" t="s">
        <v>89</v>
      </c>
      <c r="P35" t="str">
        <f t="shared" si="0"/>
        <v>UNI</v>
      </c>
      <c r="Q35">
        <f t="shared" si="1"/>
        <v>5.919637439111928</v>
      </c>
      <c r="R35">
        <v>268.61020000000002</v>
      </c>
      <c r="S35">
        <f t="shared" si="2"/>
        <v>1482523.0496254063</v>
      </c>
      <c r="T35" t="str">
        <f t="shared" si="3"/>
        <v xml:space="preserve">'UNI', </v>
      </c>
      <c r="V35" s="3" t="s">
        <v>45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191</v>
      </c>
      <c r="AK35" s="45">
        <v>1.5637979999999999E-2</v>
      </c>
      <c r="AL35">
        <v>9.8747518422494362E-3</v>
      </c>
      <c r="AN35" t="s">
        <v>89</v>
      </c>
      <c r="AO35" t="s">
        <v>16</v>
      </c>
      <c r="AP35">
        <v>949.21720000000005</v>
      </c>
      <c r="AR35" s="4" t="s">
        <v>275</v>
      </c>
      <c r="AS35" s="43">
        <v>0.02</v>
      </c>
      <c r="AU35" s="51"/>
      <c r="AV35" s="52"/>
      <c r="AW35" s="52"/>
    </row>
    <row r="36" spans="1:49" x14ac:dyDescent="0.25">
      <c r="A36">
        <v>34</v>
      </c>
      <c r="B36" t="s">
        <v>86</v>
      </c>
      <c r="C36" s="1">
        <v>1097551.0372077101</v>
      </c>
      <c r="E36" t="s">
        <v>39</v>
      </c>
      <c r="F36" t="s">
        <v>781</v>
      </c>
      <c r="G36" s="22">
        <v>20221214</v>
      </c>
      <c r="H36" s="61">
        <v>44910.000000081018</v>
      </c>
      <c r="I36">
        <v>1097666.7304187301</v>
      </c>
      <c r="K36" s="21" t="s">
        <v>817</v>
      </c>
      <c r="L36" s="21" t="s">
        <v>783</v>
      </c>
      <c r="M36" s="21" t="s">
        <v>88</v>
      </c>
      <c r="N36" s="21" t="s">
        <v>89</v>
      </c>
      <c r="P36" t="str">
        <f t="shared" si="0"/>
        <v>USDT</v>
      </c>
      <c r="Q36">
        <f t="shared" si="1"/>
        <v>1.0001054103245297</v>
      </c>
      <c r="R36">
        <v>0.90154135000000002</v>
      </c>
      <c r="S36">
        <f t="shared" si="2"/>
        <v>989487.64377813926</v>
      </c>
      <c r="T36" t="str">
        <f t="shared" si="3"/>
        <v xml:space="preserve">'USDT', </v>
      </c>
      <c r="V36" s="3" t="s">
        <v>122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88</v>
      </c>
      <c r="AK36" s="45">
        <v>1.5637979999999999E-2</v>
      </c>
      <c r="AL36">
        <v>9.8747518422494362E-3</v>
      </c>
      <c r="AN36" t="s">
        <v>89</v>
      </c>
      <c r="AO36" t="s">
        <v>110</v>
      </c>
      <c r="AP36">
        <v>668899.17272104998</v>
      </c>
      <c r="AR36" s="4" t="s">
        <v>98</v>
      </c>
      <c r="AS36" s="43">
        <v>2.755467E-2</v>
      </c>
    </row>
    <row r="37" spans="1:49" x14ac:dyDescent="0.25">
      <c r="A37">
        <v>35</v>
      </c>
      <c r="B37" t="s">
        <v>86</v>
      </c>
      <c r="C37" s="1">
        <v>497026.08497730002</v>
      </c>
      <c r="E37" t="s">
        <v>166</v>
      </c>
      <c r="F37" t="s">
        <v>781</v>
      </c>
      <c r="G37" s="22">
        <v>20221214</v>
      </c>
      <c r="H37" s="61">
        <v>44910.000000081018</v>
      </c>
      <c r="I37">
        <v>41260.018665677497</v>
      </c>
      <c r="K37" s="21" t="s">
        <v>818</v>
      </c>
      <c r="L37" s="21" t="s">
        <v>783</v>
      </c>
      <c r="M37" s="21" t="s">
        <v>88</v>
      </c>
      <c r="N37" s="21" t="s">
        <v>89</v>
      </c>
      <c r="P37" t="str">
        <f t="shared" si="0"/>
        <v>XLM</v>
      </c>
      <c r="Q37">
        <f t="shared" si="1"/>
        <v>8.3013789241186214E-2</v>
      </c>
      <c r="R37">
        <v>19.614688999999998</v>
      </c>
      <c r="S37">
        <f t="shared" si="2"/>
        <v>9749012.0817173105</v>
      </c>
      <c r="T37" t="str">
        <f t="shared" si="3"/>
        <v xml:space="preserve">'XLM', </v>
      </c>
      <c r="V37" s="3" t="s">
        <v>204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193</v>
      </c>
      <c r="AK37" s="45">
        <v>-118389.52953572999</v>
      </c>
      <c r="AL37">
        <v>-10050.440549318246</v>
      </c>
      <c r="AN37" t="s">
        <v>89</v>
      </c>
      <c r="AO37" t="s">
        <v>31</v>
      </c>
      <c r="AP37">
        <v>0.19800000000000001</v>
      </c>
      <c r="AR37" s="4" t="s">
        <v>99</v>
      </c>
      <c r="AS37" s="43">
        <v>59.988593199999997</v>
      </c>
    </row>
    <row r="38" spans="1:49" x14ac:dyDescent="0.25">
      <c r="A38">
        <v>36</v>
      </c>
      <c r="B38" t="s">
        <v>86</v>
      </c>
      <c r="C38" s="1">
        <v>39920.39445</v>
      </c>
      <c r="E38" t="s">
        <v>167</v>
      </c>
      <c r="F38" t="s">
        <v>781</v>
      </c>
      <c r="G38" s="22">
        <v>20221214</v>
      </c>
      <c r="H38" s="61">
        <v>44910.000000081018</v>
      </c>
      <c r="I38">
        <v>37982.312929221203</v>
      </c>
      <c r="K38" s="21" t="s">
        <v>819</v>
      </c>
      <c r="L38" s="21" t="s">
        <v>783</v>
      </c>
      <c r="M38" s="21" t="s">
        <v>88</v>
      </c>
      <c r="N38" s="21" t="s">
        <v>89</v>
      </c>
      <c r="P38" t="str">
        <f t="shared" si="0"/>
        <v>XTZ</v>
      </c>
      <c r="Q38">
        <f t="shared" si="1"/>
        <v>0.95145134341780546</v>
      </c>
      <c r="R38">
        <v>1208.73</v>
      </c>
      <c r="S38">
        <f t="shared" si="2"/>
        <v>48252978.383548498</v>
      </c>
      <c r="T38" t="str">
        <f t="shared" si="3"/>
        <v xml:space="preserve">'XTZ', </v>
      </c>
      <c r="V38" s="3" t="s">
        <v>123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88</v>
      </c>
      <c r="AK38" s="45">
        <v>61610.470464270002</v>
      </c>
      <c r="AL38">
        <v>5230.2967419918232</v>
      </c>
      <c r="AN38" t="s">
        <v>89</v>
      </c>
      <c r="AO38" t="s">
        <v>28</v>
      </c>
      <c r="AP38">
        <v>12.72046903</v>
      </c>
      <c r="AR38" s="4" t="s">
        <v>333</v>
      </c>
      <c r="AS38" s="43">
        <v>30</v>
      </c>
    </row>
    <row r="39" spans="1:49" x14ac:dyDescent="0.25">
      <c r="A39">
        <v>37</v>
      </c>
      <c r="B39" t="s">
        <v>86</v>
      </c>
      <c r="C39" s="1">
        <v>4.1090000000000002E-2</v>
      </c>
      <c r="E39" t="s">
        <v>174</v>
      </c>
      <c r="F39" t="s">
        <v>781</v>
      </c>
      <c r="G39" s="22">
        <v>20221214</v>
      </c>
      <c r="H39" s="61">
        <v>44910.000000081018</v>
      </c>
      <c r="I39">
        <v>265.14477758245903</v>
      </c>
      <c r="K39" s="21" t="s">
        <v>820</v>
      </c>
      <c r="L39" s="21" t="s">
        <v>783</v>
      </c>
      <c r="M39" s="21" t="s">
        <v>88</v>
      </c>
      <c r="N39" s="21" t="s">
        <v>89</v>
      </c>
      <c r="P39" t="str">
        <f t="shared" si="0"/>
        <v>YFI</v>
      </c>
      <c r="Q39">
        <f t="shared" si="1"/>
        <v>6452.7811531384523</v>
      </c>
      <c r="R39">
        <v>0.99940190110900473</v>
      </c>
      <c r="S39">
        <f t="shared" si="2"/>
        <v>4.1065424116569008E-2</v>
      </c>
      <c r="T39" t="str">
        <f t="shared" si="3"/>
        <v xml:space="preserve">'YFI', </v>
      </c>
      <c r="V39" s="3" t="s">
        <v>169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198</v>
      </c>
      <c r="AK39" s="45">
        <v>-180000</v>
      </c>
      <c r="AL39">
        <v>-15280.73729131007</v>
      </c>
      <c r="AN39" t="s">
        <v>89</v>
      </c>
      <c r="AO39" t="s">
        <v>28</v>
      </c>
      <c r="AP39">
        <v>-892.14</v>
      </c>
      <c r="AR39" s="3" t="s">
        <v>100</v>
      </c>
      <c r="AS39" s="43">
        <v>253678.96081933996</v>
      </c>
    </row>
    <row r="40" spans="1:49" x14ac:dyDescent="0.25">
      <c r="A40">
        <v>38</v>
      </c>
      <c r="B40" t="s">
        <v>12</v>
      </c>
      <c r="C40" s="1">
        <v>755.24808492</v>
      </c>
      <c r="D40" t="s">
        <v>75</v>
      </c>
      <c r="E40" t="s">
        <v>15</v>
      </c>
      <c r="F40" t="s">
        <v>821</v>
      </c>
      <c r="G40" s="22">
        <v>20221214</v>
      </c>
      <c r="H40" s="61">
        <v>44910.000002511573</v>
      </c>
      <c r="I40">
        <v>13455235.434330299</v>
      </c>
      <c r="K40" s="21" t="s">
        <v>791</v>
      </c>
      <c r="L40" s="21" t="s">
        <v>783</v>
      </c>
      <c r="M40" s="21" t="s">
        <v>88</v>
      </c>
      <c r="N40" s="21" t="s">
        <v>89</v>
      </c>
      <c r="P40" t="str">
        <f t="shared" si="0"/>
        <v>BTC</v>
      </c>
      <c r="Q40">
        <f t="shared" si="1"/>
        <v>17815.649854650808</v>
      </c>
      <c r="R40">
        <v>268.61020000000002</v>
      </c>
      <c r="S40">
        <f t="shared" si="2"/>
        <v>202867.3391399782</v>
      </c>
      <c r="T40" t="str">
        <f t="shared" si="3"/>
        <v xml:space="preserve">'BTC', </v>
      </c>
      <c r="V40" s="3" t="s">
        <v>205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23</v>
      </c>
      <c r="AK40" s="45">
        <v>-0.98473884000009093</v>
      </c>
      <c r="AL40">
        <v>-5.6654467304688296</v>
      </c>
      <c r="AN40" t="s">
        <v>89</v>
      </c>
      <c r="AO40" t="s">
        <v>25</v>
      </c>
      <c r="AP40">
        <v>-597.54899999999998</v>
      </c>
      <c r="AR40" s="4" t="s">
        <v>21</v>
      </c>
      <c r="AS40" s="43">
        <v>0.21932823000000001</v>
      </c>
    </row>
    <row r="41" spans="1:49" x14ac:dyDescent="0.25">
      <c r="A41">
        <v>39</v>
      </c>
      <c r="B41" t="s">
        <v>12</v>
      </c>
      <c r="C41" s="1">
        <v>-1.3556931999999999</v>
      </c>
      <c r="D41" t="s">
        <v>93</v>
      </c>
      <c r="E41" t="s">
        <v>15</v>
      </c>
      <c r="F41" t="s">
        <v>821</v>
      </c>
      <c r="G41" s="22">
        <v>20221214</v>
      </c>
      <c r="H41" s="61">
        <v>44910.000002511573</v>
      </c>
      <c r="I41">
        <v>-24152.555361531198</v>
      </c>
      <c r="K41" s="21" t="s">
        <v>791</v>
      </c>
      <c r="L41" s="21" t="s">
        <v>783</v>
      </c>
      <c r="M41" s="21" t="s">
        <v>88</v>
      </c>
      <c r="N41" s="21" t="s">
        <v>89</v>
      </c>
      <c r="P41" t="str">
        <f t="shared" si="0"/>
        <v>BTC</v>
      </c>
      <c r="Q41">
        <f t="shared" si="1"/>
        <v>17815.649854650888</v>
      </c>
      <c r="R41">
        <v>1.0002433738949958</v>
      </c>
      <c r="S41">
        <f t="shared" si="2"/>
        <v>-1.3560231403345033</v>
      </c>
      <c r="T41" t="str">
        <f t="shared" si="3"/>
        <v xml:space="preserve">'BTC', </v>
      </c>
      <c r="V41" s="3" t="s">
        <v>170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88</v>
      </c>
      <c r="AK41" s="45">
        <v>1999.0152611599999</v>
      </c>
      <c r="AL41">
        <v>11500.830489743121</v>
      </c>
      <c r="AN41" t="s">
        <v>89</v>
      </c>
      <c r="AO41" t="s">
        <v>25</v>
      </c>
      <c r="AP41">
        <v>1.4551239499999999</v>
      </c>
      <c r="AR41" s="4" t="s">
        <v>15</v>
      </c>
      <c r="AS41" s="43">
        <v>5.7861299999999997E-2</v>
      </c>
    </row>
    <row r="42" spans="1:49" x14ac:dyDescent="0.25">
      <c r="A42">
        <v>40</v>
      </c>
      <c r="B42" t="s">
        <v>12</v>
      </c>
      <c r="C42" s="1">
        <v>6196.1898552499997</v>
      </c>
      <c r="D42" t="s">
        <v>75</v>
      </c>
      <c r="E42" t="s">
        <v>16</v>
      </c>
      <c r="F42" t="s">
        <v>821</v>
      </c>
      <c r="G42" s="22">
        <v>20221214</v>
      </c>
      <c r="H42" s="61">
        <v>44910.000002511573</v>
      </c>
      <c r="I42">
        <v>8112849.06519992</v>
      </c>
      <c r="K42" s="21" t="s">
        <v>800</v>
      </c>
      <c r="L42" s="21" t="s">
        <v>783</v>
      </c>
      <c r="M42" s="21" t="s">
        <v>88</v>
      </c>
      <c r="N42" s="21" t="s">
        <v>89</v>
      </c>
      <c r="P42" t="str">
        <f t="shared" si="0"/>
        <v>ETH</v>
      </c>
      <c r="Q42">
        <f t="shared" si="1"/>
        <v>1309.3286769329613</v>
      </c>
      <c r="R42">
        <v>0.99940190110900473</v>
      </c>
      <c r="S42">
        <f t="shared" si="2"/>
        <v>6192.4839209691781</v>
      </c>
      <c r="T42" t="str">
        <f t="shared" si="3"/>
        <v xml:space="preserve">'ETH', </v>
      </c>
      <c r="V42" s="3" t="s">
        <v>206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198</v>
      </c>
      <c r="AK42" s="45">
        <v>-2000</v>
      </c>
      <c r="AL42">
        <v>-11506.49593647359</v>
      </c>
      <c r="AN42" t="s">
        <v>89</v>
      </c>
      <c r="AO42" t="s">
        <v>195</v>
      </c>
      <c r="AP42">
        <v>-20000</v>
      </c>
      <c r="AR42" s="4" t="s">
        <v>16</v>
      </c>
      <c r="AS42" s="43">
        <v>0.73541904000000002</v>
      </c>
    </row>
    <row r="43" spans="1:49" x14ac:dyDescent="0.25">
      <c r="A43">
        <v>41</v>
      </c>
      <c r="B43" t="s">
        <v>12</v>
      </c>
      <c r="C43" s="1">
        <v>45.487666580000003</v>
      </c>
      <c r="D43" t="s">
        <v>93</v>
      </c>
      <c r="E43" t="s">
        <v>16</v>
      </c>
      <c r="F43" t="s">
        <v>821</v>
      </c>
      <c r="G43" s="22">
        <v>20221214</v>
      </c>
      <c r="H43" s="61">
        <v>44910.000002511573</v>
      </c>
      <c r="I43">
        <v>59558.306299959098</v>
      </c>
      <c r="K43" s="21" t="s">
        <v>800</v>
      </c>
      <c r="L43" s="21" t="s">
        <v>783</v>
      </c>
      <c r="M43" s="21" t="s">
        <v>88</v>
      </c>
      <c r="N43" s="21" t="s">
        <v>89</v>
      </c>
      <c r="P43" t="str">
        <f t="shared" si="0"/>
        <v>ETH</v>
      </c>
      <c r="Q43">
        <f t="shared" si="1"/>
        <v>1309.3286769329616</v>
      </c>
      <c r="R43">
        <v>0.99940190110900429</v>
      </c>
      <c r="S43">
        <f t="shared" si="2"/>
        <v>45.460460457064521</v>
      </c>
      <c r="T43" t="str">
        <f t="shared" si="3"/>
        <v xml:space="preserve">'ETH', </v>
      </c>
      <c r="V43" s="3" t="s">
        <v>171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24</v>
      </c>
      <c r="AK43" s="45">
        <v>234642.50140000001</v>
      </c>
      <c r="AL43">
        <v>208026.13650371</v>
      </c>
      <c r="AN43" t="s">
        <v>89</v>
      </c>
      <c r="AO43" t="s">
        <v>195</v>
      </c>
      <c r="AP43">
        <v>4125.1621725699997</v>
      </c>
      <c r="AR43" s="4" t="s">
        <v>25</v>
      </c>
      <c r="AS43" s="43">
        <v>15.892145019999999</v>
      </c>
    </row>
    <row r="44" spans="1:49" x14ac:dyDescent="0.25">
      <c r="A44">
        <v>42</v>
      </c>
      <c r="B44" t="s">
        <v>94</v>
      </c>
      <c r="C44" s="1">
        <v>2425.4498470899998</v>
      </c>
      <c r="E44" t="s">
        <v>90</v>
      </c>
      <c r="F44" t="s">
        <v>822</v>
      </c>
      <c r="G44" s="22">
        <v>20221214</v>
      </c>
      <c r="H44" s="61">
        <v>44910.000002928238</v>
      </c>
      <c r="I44">
        <v>650582.15023098805</v>
      </c>
      <c r="K44" s="21" t="s">
        <v>790</v>
      </c>
      <c r="L44" s="21" t="s">
        <v>783</v>
      </c>
      <c r="M44" s="21" t="s">
        <v>88</v>
      </c>
      <c r="N44" s="21" t="s">
        <v>89</v>
      </c>
      <c r="P44" t="str">
        <f t="shared" si="0"/>
        <v>BNB</v>
      </c>
      <c r="Q44">
        <f t="shared" si="1"/>
        <v>268.23154105270078</v>
      </c>
      <c r="R44">
        <v>0.9994019011090044</v>
      </c>
      <c r="S44">
        <f t="shared" si="2"/>
        <v>2423.9991882262898</v>
      </c>
      <c r="T44" t="str">
        <f t="shared" si="3"/>
        <v xml:space="preserve">'BNB', </v>
      </c>
      <c r="V44" s="3" t="s">
        <v>207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88</v>
      </c>
      <c r="AK44" s="45">
        <v>234642.50140000001</v>
      </c>
      <c r="AL44">
        <v>208026.13650371</v>
      </c>
      <c r="AN44" t="s">
        <v>89</v>
      </c>
      <c r="AO44" t="s">
        <v>92</v>
      </c>
      <c r="AP44">
        <v>402320.62526320003</v>
      </c>
      <c r="AR44" s="4" t="s">
        <v>101</v>
      </c>
      <c r="AS44" s="43">
        <v>22277.5319929</v>
      </c>
    </row>
    <row r="45" spans="1:49" x14ac:dyDescent="0.25">
      <c r="A45">
        <v>43</v>
      </c>
      <c r="B45" t="s">
        <v>94</v>
      </c>
      <c r="C45" s="1">
        <v>713.93965645000003</v>
      </c>
      <c r="E45" t="s">
        <v>15</v>
      </c>
      <c r="F45" t="s">
        <v>822</v>
      </c>
      <c r="G45" s="22">
        <v>20221214</v>
      </c>
      <c r="H45" s="61">
        <v>44910.000002928238</v>
      </c>
      <c r="I45">
        <v>12719298.936662899</v>
      </c>
      <c r="K45" s="21" t="s">
        <v>791</v>
      </c>
      <c r="L45" s="21" t="s">
        <v>783</v>
      </c>
      <c r="M45" s="21" t="s">
        <v>88</v>
      </c>
      <c r="N45" s="21" t="s">
        <v>89</v>
      </c>
      <c r="P45" t="str">
        <f t="shared" si="0"/>
        <v>BTC</v>
      </c>
      <c r="Q45">
        <f t="shared" si="1"/>
        <v>17815.649854650819</v>
      </c>
      <c r="R45">
        <v>0.99940190110900451</v>
      </c>
      <c r="S45">
        <f t="shared" si="2"/>
        <v>713.51264993323957</v>
      </c>
      <c r="T45" t="str">
        <f t="shared" si="3"/>
        <v xml:space="preserve">'BTC', </v>
      </c>
      <c r="V45" s="3" t="s">
        <v>208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30</v>
      </c>
      <c r="AK45" s="45">
        <v>0.15721859999999999</v>
      </c>
      <c r="AL45">
        <v>3.1377137942216091</v>
      </c>
      <c r="AN45" t="s">
        <v>89</v>
      </c>
      <c r="AO45" t="s">
        <v>38</v>
      </c>
      <c r="AP45">
        <v>-6000000000</v>
      </c>
      <c r="AR45" s="4" t="s">
        <v>98</v>
      </c>
      <c r="AS45" s="43">
        <v>114736.84</v>
      </c>
    </row>
    <row r="46" spans="1:49" x14ac:dyDescent="0.25">
      <c r="A46">
        <v>44</v>
      </c>
      <c r="B46" t="s">
        <v>94</v>
      </c>
      <c r="C46" s="1">
        <v>27051.7</v>
      </c>
      <c r="E46" t="s">
        <v>24</v>
      </c>
      <c r="F46" t="s">
        <v>822</v>
      </c>
      <c r="G46" s="22">
        <v>20221214</v>
      </c>
      <c r="H46" s="61">
        <v>44910.000002928238</v>
      </c>
      <c r="I46">
        <v>26457.1397937642</v>
      </c>
      <c r="K46" s="21" t="s">
        <v>799</v>
      </c>
      <c r="L46" s="21" t="s">
        <v>783</v>
      </c>
      <c r="M46" s="21" t="s">
        <v>88</v>
      </c>
      <c r="N46" s="21" t="s">
        <v>89</v>
      </c>
      <c r="P46" t="str">
        <f t="shared" si="0"/>
        <v>EOS</v>
      </c>
      <c r="Q46">
        <f t="shared" si="1"/>
        <v>0.9780213366910101</v>
      </c>
      <c r="R46">
        <v>16719.740000000002</v>
      </c>
      <c r="S46">
        <f t="shared" si="2"/>
        <v>452297390.55800003</v>
      </c>
      <c r="T46" t="str">
        <f t="shared" si="3"/>
        <v xml:space="preserve">'EOS', </v>
      </c>
      <c r="V46" s="3" t="s">
        <v>210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88</v>
      </c>
      <c r="AK46" s="45">
        <v>0.15721859999999999</v>
      </c>
      <c r="AL46">
        <v>3.1377137942216091</v>
      </c>
      <c r="AN46" t="s">
        <v>89</v>
      </c>
      <c r="AO46" t="s">
        <v>157</v>
      </c>
      <c r="AP46">
        <v>-60</v>
      </c>
      <c r="AR46" s="4" t="s">
        <v>102</v>
      </c>
      <c r="AS46" s="43">
        <v>116647.68407285</v>
      </c>
    </row>
    <row r="47" spans="1:49" x14ac:dyDescent="0.25">
      <c r="A47">
        <v>45</v>
      </c>
      <c r="B47" t="s">
        <v>94</v>
      </c>
      <c r="C47" s="1">
        <v>0.15721859999999999</v>
      </c>
      <c r="E47" t="s">
        <v>30</v>
      </c>
      <c r="F47" t="s">
        <v>822</v>
      </c>
      <c r="G47" s="22">
        <v>20221214</v>
      </c>
      <c r="H47" s="61">
        <v>44910.000002928238</v>
      </c>
      <c r="I47">
        <v>2.9537738832896201</v>
      </c>
      <c r="K47" s="21" t="s">
        <v>823</v>
      </c>
      <c r="L47" s="21" t="s">
        <v>783</v>
      </c>
      <c r="M47" s="21" t="s">
        <v>88</v>
      </c>
      <c r="N47" s="21" t="s">
        <v>89</v>
      </c>
      <c r="P47" t="str">
        <f t="shared" si="0"/>
        <v>ETC</v>
      </c>
      <c r="Q47">
        <f t="shared" si="1"/>
        <v>18.787687228417123</v>
      </c>
      <c r="R47">
        <v>1208.73</v>
      </c>
      <c r="S47">
        <f t="shared" si="2"/>
        <v>190.03483837799999</v>
      </c>
      <c r="T47" t="str">
        <f t="shared" si="3"/>
        <v xml:space="preserve">'ETC', </v>
      </c>
      <c r="V47" s="3" t="s">
        <v>213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16</v>
      </c>
      <c r="AK47" s="45">
        <v>7467.2306945999999</v>
      </c>
      <c r="AL47">
        <v>9123605.9658979364</v>
      </c>
      <c r="AN47" t="s">
        <v>89</v>
      </c>
      <c r="AO47" t="s">
        <v>157</v>
      </c>
      <c r="AP47">
        <v>57.222791209999997</v>
      </c>
      <c r="AR47" s="3" t="s">
        <v>104</v>
      </c>
      <c r="AS47" s="43">
        <v>-36386394.539370403</v>
      </c>
    </row>
    <row r="48" spans="1:49" x14ac:dyDescent="0.25">
      <c r="A48">
        <v>46</v>
      </c>
      <c r="B48" t="s">
        <v>94</v>
      </c>
      <c r="C48" s="1">
        <v>9580.5062999999991</v>
      </c>
      <c r="E48" t="s">
        <v>16</v>
      </c>
      <c r="F48" t="s">
        <v>822</v>
      </c>
      <c r="G48" s="22">
        <v>20221214</v>
      </c>
      <c r="H48" s="61">
        <v>44910.000002928238</v>
      </c>
      <c r="I48">
        <v>12544031.6381269</v>
      </c>
      <c r="K48" s="21" t="s">
        <v>800</v>
      </c>
      <c r="L48" s="21" t="s">
        <v>783</v>
      </c>
      <c r="M48" s="21" t="s">
        <v>88</v>
      </c>
      <c r="N48" s="21" t="s">
        <v>89</v>
      </c>
      <c r="P48" t="str">
        <f t="shared" si="0"/>
        <v>ETH</v>
      </c>
      <c r="Q48">
        <f t="shared" si="1"/>
        <v>1309.3286769329613</v>
      </c>
      <c r="R48">
        <v>3.7800280517057798</v>
      </c>
      <c r="S48">
        <f t="shared" si="2"/>
        <v>36214.582563543947</v>
      </c>
      <c r="T48" t="str">
        <f t="shared" si="3"/>
        <v xml:space="preserve">'ETH', </v>
      </c>
      <c r="V48" s="3" t="s">
        <v>175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88</v>
      </c>
      <c r="AK48" s="45">
        <v>7467.2306945999999</v>
      </c>
      <c r="AL48">
        <v>9123605.9658979364</v>
      </c>
      <c r="AN48" t="s">
        <v>89</v>
      </c>
      <c r="AO48" t="s">
        <v>39</v>
      </c>
      <c r="AP48">
        <v>1978352.2225671101</v>
      </c>
      <c r="AR48" s="4" t="s">
        <v>15</v>
      </c>
      <c r="AS48" s="43">
        <v>4550.9250020700001</v>
      </c>
    </row>
    <row r="49" spans="1:45" x14ac:dyDescent="0.25">
      <c r="A49">
        <v>47</v>
      </c>
      <c r="B49" t="s">
        <v>19</v>
      </c>
      <c r="C49" s="1">
        <v>66.815459570000002</v>
      </c>
      <c r="D49" t="s">
        <v>75</v>
      </c>
      <c r="E49" t="s">
        <v>90</v>
      </c>
      <c r="F49" t="s">
        <v>824</v>
      </c>
      <c r="G49" s="22">
        <v>20221214</v>
      </c>
      <c r="H49" s="61">
        <v>44910.000001307868</v>
      </c>
      <c r="I49">
        <v>17922.0136866055</v>
      </c>
      <c r="K49" s="21" t="s">
        <v>790</v>
      </c>
      <c r="L49" s="21" t="s">
        <v>783</v>
      </c>
      <c r="M49" s="21" t="s">
        <v>88</v>
      </c>
      <c r="N49" s="21" t="s">
        <v>89</v>
      </c>
      <c r="P49" t="str">
        <f t="shared" si="0"/>
        <v>BNB</v>
      </c>
      <c r="Q49">
        <f t="shared" si="1"/>
        <v>268.23154105270044</v>
      </c>
      <c r="R49">
        <v>1</v>
      </c>
      <c r="S49">
        <f t="shared" si="2"/>
        <v>66.815459570000002</v>
      </c>
      <c r="T49" t="str">
        <f t="shared" si="3"/>
        <v xml:space="preserve">'BNB', </v>
      </c>
      <c r="V49" s="3" t="s">
        <v>176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110</v>
      </c>
      <c r="AK49" s="45">
        <v>676914.25030584994</v>
      </c>
      <c r="AL49">
        <v>699624.72340361122</v>
      </c>
      <c r="AN49" t="s">
        <v>89</v>
      </c>
      <c r="AO49" t="s">
        <v>39</v>
      </c>
      <c r="AP49">
        <v>718760.47157083999</v>
      </c>
      <c r="AR49" s="4" t="s">
        <v>24</v>
      </c>
      <c r="AS49" s="43">
        <v>1817950.4935000001</v>
      </c>
    </row>
    <row r="50" spans="1:45" x14ac:dyDescent="0.25">
      <c r="A50">
        <v>48</v>
      </c>
      <c r="B50" t="s">
        <v>19</v>
      </c>
      <c r="C50" s="1">
        <v>24200000</v>
      </c>
      <c r="D50" t="s">
        <v>75</v>
      </c>
      <c r="E50" t="s">
        <v>91</v>
      </c>
      <c r="F50" t="s">
        <v>824</v>
      </c>
      <c r="G50" s="22">
        <v>20221214</v>
      </c>
      <c r="H50" s="61">
        <v>44910.000001307868</v>
      </c>
      <c r="I50">
        <v>24206098.503885299</v>
      </c>
      <c r="K50" s="21" t="s">
        <v>792</v>
      </c>
      <c r="L50" s="21" t="s">
        <v>783</v>
      </c>
      <c r="M50" s="21" t="s">
        <v>88</v>
      </c>
      <c r="N50" s="21" t="s">
        <v>89</v>
      </c>
      <c r="P50" t="str">
        <f t="shared" si="0"/>
        <v>BUSD</v>
      </c>
      <c r="Q50">
        <f t="shared" si="1"/>
        <v>1.0002520042927809</v>
      </c>
      <c r="R50">
        <v>0</v>
      </c>
      <c r="S50">
        <f t="shared" si="2"/>
        <v>0</v>
      </c>
      <c r="T50" t="str">
        <f t="shared" si="3"/>
        <v xml:space="preserve">'BUSD', </v>
      </c>
      <c r="V50" s="3" t="s">
        <v>47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88</v>
      </c>
      <c r="AK50" s="45">
        <v>676914.25030584994</v>
      </c>
      <c r="AL50">
        <v>699624.72340361122</v>
      </c>
      <c r="AN50" t="s">
        <v>89</v>
      </c>
      <c r="AO50" t="s">
        <v>39</v>
      </c>
      <c r="AP50">
        <v>43977435.717233598</v>
      </c>
      <c r="AR50" s="4" t="s">
        <v>16</v>
      </c>
      <c r="AS50" s="43">
        <v>19758.444440939998</v>
      </c>
    </row>
    <row r="51" spans="1:45" x14ac:dyDescent="0.25">
      <c r="A51">
        <v>49</v>
      </c>
      <c r="B51" t="s">
        <v>19</v>
      </c>
      <c r="C51" s="1">
        <v>16280293.7164532</v>
      </c>
      <c r="D51" t="s">
        <v>75</v>
      </c>
      <c r="E51" t="s">
        <v>39</v>
      </c>
      <c r="F51" t="s">
        <v>824</v>
      </c>
      <c r="G51" s="22">
        <v>20221214</v>
      </c>
      <c r="H51" s="61">
        <v>44910.000001307868</v>
      </c>
      <c r="I51">
        <v>16282009.8274974</v>
      </c>
      <c r="K51" s="21" t="s">
        <v>817</v>
      </c>
      <c r="L51" s="21" t="s">
        <v>783</v>
      </c>
      <c r="M51" s="21" t="s">
        <v>88</v>
      </c>
      <c r="N51" s="21" t="s">
        <v>89</v>
      </c>
      <c r="P51" t="str">
        <f t="shared" si="0"/>
        <v>USDT</v>
      </c>
      <c r="Q51">
        <f t="shared" si="1"/>
        <v>1.0001054103245364</v>
      </c>
      <c r="R51">
        <v>103.98</v>
      </c>
      <c r="S51">
        <f t="shared" si="2"/>
        <v>1692824940.6368039</v>
      </c>
      <c r="T51" t="str">
        <f t="shared" si="3"/>
        <v xml:space="preserve">'USDT', </v>
      </c>
      <c r="V51" s="3" t="s">
        <v>216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31</v>
      </c>
      <c r="AK51" s="45">
        <v>0.19800000000000001</v>
      </c>
      <c r="AL51">
        <v>0.85020732248870245</v>
      </c>
      <c r="AN51" t="s">
        <v>89</v>
      </c>
      <c r="AO51" t="s">
        <v>39</v>
      </c>
      <c r="AP51">
        <v>16863596.558114801</v>
      </c>
      <c r="AR51" s="4" t="s">
        <v>28</v>
      </c>
      <c r="AS51" s="43">
        <v>44259.146574890001</v>
      </c>
    </row>
    <row r="52" spans="1:45" x14ac:dyDescent="0.25">
      <c r="A52">
        <v>50</v>
      </c>
      <c r="B52" t="s">
        <v>19</v>
      </c>
      <c r="C52" s="1">
        <v>198854.41619873</v>
      </c>
      <c r="D52" t="s">
        <v>93</v>
      </c>
      <c r="E52" t="s">
        <v>39</v>
      </c>
      <c r="F52" t="s">
        <v>824</v>
      </c>
      <c r="G52" s="22">
        <v>20221214</v>
      </c>
      <c r="H52" s="61">
        <v>44910.000001307868</v>
      </c>
      <c r="I52">
        <v>198875.37750727701</v>
      </c>
      <c r="K52" s="21" t="s">
        <v>817</v>
      </c>
      <c r="L52" s="21" t="s">
        <v>783</v>
      </c>
      <c r="M52" s="21" t="s">
        <v>88</v>
      </c>
      <c r="N52" s="21" t="s">
        <v>89</v>
      </c>
      <c r="P52" t="str">
        <f t="shared" si="0"/>
        <v>USDT</v>
      </c>
      <c r="Q52">
        <f t="shared" si="1"/>
        <v>1.0001054103245364</v>
      </c>
      <c r="R52">
        <v>16719.740000000002</v>
      </c>
      <c r="S52">
        <f t="shared" si="2"/>
        <v>3324794136.6945543</v>
      </c>
      <c r="T52" t="str">
        <f t="shared" si="3"/>
        <v xml:space="preserve">'USDT', </v>
      </c>
      <c r="V52" s="3" t="s">
        <v>177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88</v>
      </c>
      <c r="AK52" s="45">
        <v>0.19800000000000001</v>
      </c>
      <c r="AL52">
        <v>0.85020732248870245</v>
      </c>
      <c r="AN52" t="s">
        <v>89</v>
      </c>
      <c r="AO52" t="s">
        <v>199</v>
      </c>
      <c r="AP52">
        <v>-100</v>
      </c>
      <c r="AR52" s="4" t="s">
        <v>25</v>
      </c>
      <c r="AS52" s="43">
        <v>7003.5866771999999</v>
      </c>
    </row>
    <row r="53" spans="1:45" x14ac:dyDescent="0.25">
      <c r="A53">
        <v>51</v>
      </c>
      <c r="B53" t="s">
        <v>306</v>
      </c>
      <c r="C53" s="1">
        <v>2083043.21306778</v>
      </c>
      <c r="D53" t="s">
        <v>75</v>
      </c>
      <c r="E53" t="s">
        <v>39</v>
      </c>
      <c r="F53" t="s">
        <v>825</v>
      </c>
      <c r="G53" s="22">
        <v>20221214</v>
      </c>
      <c r="H53" s="61">
        <v>44910.000004664354</v>
      </c>
      <c r="I53">
        <v>2083262.7873288901</v>
      </c>
      <c r="K53" s="21" t="s">
        <v>817</v>
      </c>
      <c r="L53" s="21" t="s">
        <v>783</v>
      </c>
      <c r="M53" s="21" t="s">
        <v>88</v>
      </c>
      <c r="N53" s="21" t="s">
        <v>89</v>
      </c>
      <c r="P53" t="str">
        <f t="shared" si="0"/>
        <v>USDT</v>
      </c>
      <c r="Q53">
        <f t="shared" si="1"/>
        <v>1.000105410324535</v>
      </c>
      <c r="R53">
        <v>1208.73</v>
      </c>
      <c r="S53">
        <f t="shared" si="2"/>
        <v>2517836822.9314179</v>
      </c>
      <c r="T53" t="str">
        <f t="shared" si="3"/>
        <v xml:space="preserve">'USDT', </v>
      </c>
      <c r="V53" s="3" t="s">
        <v>50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28</v>
      </c>
      <c r="AK53" s="45">
        <v>1593.7904690299999</v>
      </c>
      <c r="AL53">
        <v>9678.20707730504</v>
      </c>
      <c r="AN53" t="s">
        <v>220</v>
      </c>
      <c r="AO53" t="s">
        <v>15</v>
      </c>
      <c r="AP53">
        <v>7.9996000000000008E-3</v>
      </c>
      <c r="AR53" s="4" t="s">
        <v>98</v>
      </c>
      <c r="AS53" s="43">
        <v>-38280018.135565504</v>
      </c>
    </row>
    <row r="54" spans="1:45" x14ac:dyDescent="0.25">
      <c r="A54">
        <v>52</v>
      </c>
      <c r="B54" t="s">
        <v>306</v>
      </c>
      <c r="C54" s="1">
        <v>-2190.8285996300001</v>
      </c>
      <c r="D54" t="s">
        <v>93</v>
      </c>
      <c r="E54" t="s">
        <v>39</v>
      </c>
      <c r="F54" t="s">
        <v>825</v>
      </c>
      <c r="G54" s="22">
        <v>20221214</v>
      </c>
      <c r="H54" s="61">
        <v>44910.000004664354</v>
      </c>
      <c r="I54">
        <v>-2191.0595355836899</v>
      </c>
      <c r="K54" s="21" t="s">
        <v>817</v>
      </c>
      <c r="L54" s="21" t="s">
        <v>783</v>
      </c>
      <c r="M54" s="21" t="s">
        <v>88</v>
      </c>
      <c r="N54" s="21" t="s">
        <v>89</v>
      </c>
      <c r="P54" t="str">
        <f t="shared" si="0"/>
        <v>USDT</v>
      </c>
      <c r="Q54">
        <f t="shared" si="1"/>
        <v>1.0001054103245359</v>
      </c>
      <c r="R54">
        <v>1.2567074957005918E-2</v>
      </c>
      <c r="S54">
        <f t="shared" si="2"/>
        <v>-27.532307229502518</v>
      </c>
      <c r="T54" t="str">
        <f t="shared" si="3"/>
        <v xml:space="preserve">'USDT', </v>
      </c>
      <c r="V54" s="3" t="s">
        <v>53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88</v>
      </c>
      <c r="AK54" s="45">
        <v>1593.7904690299999</v>
      </c>
      <c r="AL54">
        <v>9678.20707730504</v>
      </c>
      <c r="AN54" t="s">
        <v>220</v>
      </c>
      <c r="AO54" t="s">
        <v>15</v>
      </c>
      <c r="AP54">
        <v>1E-3</v>
      </c>
      <c r="AR54" s="4" t="s">
        <v>95</v>
      </c>
      <c r="AS54" s="43">
        <v>101</v>
      </c>
    </row>
    <row r="55" spans="1:45" x14ac:dyDescent="0.25">
      <c r="A55">
        <v>53</v>
      </c>
      <c r="B55" t="s">
        <v>96</v>
      </c>
      <c r="C55" s="1">
        <v>7.9996000000000008E-3</v>
      </c>
      <c r="E55" t="s">
        <v>15</v>
      </c>
      <c r="F55" t="s">
        <v>826</v>
      </c>
      <c r="G55" s="22">
        <v>20221214</v>
      </c>
      <c r="H55" s="61">
        <v>44910.000000231485</v>
      </c>
      <c r="I55">
        <v>142.518072577265</v>
      </c>
      <c r="K55" s="21" t="s">
        <v>827</v>
      </c>
      <c r="L55" s="21" t="s">
        <v>828</v>
      </c>
      <c r="M55" s="21" t="s">
        <v>88</v>
      </c>
      <c r="N55" s="21" t="s">
        <v>97</v>
      </c>
      <c r="P55" t="str">
        <f t="shared" si="0"/>
        <v>BTC</v>
      </c>
      <c r="Q55">
        <f t="shared" si="1"/>
        <v>17815.649854650856</v>
      </c>
      <c r="R55">
        <v>1</v>
      </c>
      <c r="S55">
        <f t="shared" si="2"/>
        <v>7.9996000000000008E-3</v>
      </c>
      <c r="T55" t="str">
        <f t="shared" si="3"/>
        <v xml:space="preserve">'BTC', </v>
      </c>
      <c r="V55" s="3" t="s">
        <v>54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25</v>
      </c>
      <c r="AK55" s="45">
        <v>239.37012394999999</v>
      </c>
      <c r="AL55">
        <v>13760.711951759526</v>
      </c>
      <c r="AN55" t="s">
        <v>220</v>
      </c>
      <c r="AO55" t="s">
        <v>16</v>
      </c>
      <c r="AP55">
        <v>0.02</v>
      </c>
      <c r="AR55" s="3" t="s">
        <v>33</v>
      </c>
      <c r="AS55" s="43">
        <v>174430.503494</v>
      </c>
    </row>
    <row r="56" spans="1:45" x14ac:dyDescent="0.25">
      <c r="A56">
        <v>54</v>
      </c>
      <c r="B56" t="s">
        <v>96</v>
      </c>
      <c r="C56" s="1">
        <v>0.02</v>
      </c>
      <c r="E56" t="s">
        <v>16</v>
      </c>
      <c r="F56" t="s">
        <v>826</v>
      </c>
      <c r="G56" s="22">
        <v>20221214</v>
      </c>
      <c r="H56" s="61">
        <v>44910.000000231485</v>
      </c>
      <c r="I56">
        <v>26.1865735386592</v>
      </c>
      <c r="K56" s="21" t="s">
        <v>829</v>
      </c>
      <c r="L56" s="21" t="s">
        <v>828</v>
      </c>
      <c r="M56" s="21" t="s">
        <v>88</v>
      </c>
      <c r="N56" s="21" t="s">
        <v>97</v>
      </c>
      <c r="P56" t="str">
        <f t="shared" si="0"/>
        <v>ETH</v>
      </c>
      <c r="Q56">
        <f t="shared" si="1"/>
        <v>1309.32867693296</v>
      </c>
      <c r="R56">
        <v>0.38471588000000001</v>
      </c>
      <c r="S56">
        <f t="shared" si="2"/>
        <v>7.6943176000000002E-3</v>
      </c>
      <c r="T56" t="str">
        <f t="shared" si="3"/>
        <v xml:space="preserve">'ETH', </v>
      </c>
      <c r="V56" s="3" t="s">
        <v>215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88</v>
      </c>
      <c r="AK56" s="45">
        <v>239.37012394999999</v>
      </c>
      <c r="AL56">
        <v>13760.711951759526</v>
      </c>
      <c r="AN56" t="s">
        <v>220</v>
      </c>
      <c r="AO56" t="s">
        <v>275</v>
      </c>
      <c r="AP56">
        <v>0.02</v>
      </c>
      <c r="AR56" s="4" t="s">
        <v>98</v>
      </c>
      <c r="AS56" s="43">
        <v>174430.503494</v>
      </c>
    </row>
    <row r="57" spans="1:45" x14ac:dyDescent="0.25">
      <c r="A57">
        <v>55</v>
      </c>
      <c r="B57" t="s">
        <v>96</v>
      </c>
      <c r="C57" s="1">
        <v>0.02</v>
      </c>
      <c r="E57" t="s">
        <v>275</v>
      </c>
      <c r="F57" t="s">
        <v>826</v>
      </c>
      <c r="G57" s="22">
        <v>20221214</v>
      </c>
      <c r="H57" s="61">
        <v>44910.000000231485</v>
      </c>
      <c r="I57">
        <v>7.0810243384961197E-2</v>
      </c>
      <c r="K57" s="21" t="s">
        <v>830</v>
      </c>
      <c r="L57" s="21" t="s">
        <v>828</v>
      </c>
      <c r="M57" s="21" t="s">
        <v>88</v>
      </c>
      <c r="N57" s="21" t="s">
        <v>97</v>
      </c>
      <c r="P57" t="str">
        <f t="shared" si="0"/>
        <v>ETHW</v>
      </c>
      <c r="Q57">
        <f t="shared" si="1"/>
        <v>3.5405121692480597</v>
      </c>
      <c r="R57">
        <v>16719.740000000002</v>
      </c>
      <c r="S57">
        <f t="shared" si="2"/>
        <v>334.39480000000003</v>
      </c>
      <c r="T57" t="str">
        <f t="shared" si="3"/>
        <v xml:space="preserve">'ETHW', </v>
      </c>
      <c r="V57" s="3" t="s">
        <v>178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195</v>
      </c>
      <c r="AK57" s="45">
        <v>-15874.837827430001</v>
      </c>
      <c r="AL57">
        <v>-7134.3255865844794</v>
      </c>
      <c r="AN57" t="s">
        <v>220</v>
      </c>
      <c r="AO57" t="s">
        <v>98</v>
      </c>
      <c r="AP57">
        <v>2.755467E-2</v>
      </c>
      <c r="AR57" s="3" t="s">
        <v>189</v>
      </c>
      <c r="AS57" s="43">
        <v>1137643.5941333489</v>
      </c>
    </row>
    <row r="58" spans="1:45" x14ac:dyDescent="0.25">
      <c r="A58">
        <v>56</v>
      </c>
      <c r="B58" t="s">
        <v>96</v>
      </c>
      <c r="C58" s="1">
        <v>2.755467E-2</v>
      </c>
      <c r="E58" t="s">
        <v>98</v>
      </c>
      <c r="F58" t="s">
        <v>826</v>
      </c>
      <c r="G58" s="22">
        <v>20221214</v>
      </c>
      <c r="H58" s="61">
        <v>44910.000000231485</v>
      </c>
      <c r="I58">
        <v>2.755467E-2</v>
      </c>
      <c r="K58" s="21" t="s">
        <v>831</v>
      </c>
      <c r="L58" s="21" t="s">
        <v>828</v>
      </c>
      <c r="M58" s="21" t="s">
        <v>88</v>
      </c>
      <c r="N58" s="21" t="s">
        <v>97</v>
      </c>
      <c r="P58" t="str">
        <f t="shared" si="0"/>
        <v>USD</v>
      </c>
      <c r="Q58">
        <f t="shared" si="1"/>
        <v>1</v>
      </c>
      <c r="R58">
        <v>1</v>
      </c>
      <c r="S58">
        <f t="shared" si="2"/>
        <v>2.755467E-2</v>
      </c>
      <c r="T58" t="str">
        <f t="shared" si="3"/>
        <v xml:space="preserve">'USD', </v>
      </c>
      <c r="V58" s="3" t="s">
        <v>183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88</v>
      </c>
      <c r="AK58" s="45">
        <v>4125.1621725699997</v>
      </c>
      <c r="AL58">
        <v>1853.8929566716131</v>
      </c>
      <c r="AN58" t="s">
        <v>220</v>
      </c>
      <c r="AO58" t="s">
        <v>99</v>
      </c>
      <c r="AP58">
        <v>29.9885932</v>
      </c>
      <c r="AR58" s="4" t="s">
        <v>119</v>
      </c>
      <c r="AS58" s="43">
        <v>150</v>
      </c>
    </row>
    <row r="59" spans="1:45" x14ac:dyDescent="0.25">
      <c r="A59">
        <v>57</v>
      </c>
      <c r="B59" t="s">
        <v>96</v>
      </c>
      <c r="C59" s="1">
        <v>29.9885932</v>
      </c>
      <c r="E59" t="s">
        <v>99</v>
      </c>
      <c r="F59" t="s">
        <v>826</v>
      </c>
      <c r="G59" s="22">
        <v>20221214</v>
      </c>
      <c r="H59" s="61">
        <v>44910.000000231485</v>
      </c>
      <c r="I59">
        <v>0</v>
      </c>
      <c r="K59" s="21" t="s">
        <v>832</v>
      </c>
      <c r="L59" s="21" t="s">
        <v>828</v>
      </c>
      <c r="M59" s="21" t="s">
        <v>88</v>
      </c>
      <c r="N59" s="21" t="s">
        <v>97</v>
      </c>
      <c r="P59" t="str">
        <f t="shared" si="0"/>
        <v>UST</v>
      </c>
      <c r="Q59">
        <f t="shared" si="1"/>
        <v>0</v>
      </c>
      <c r="R59">
        <v>1.0001621022067761</v>
      </c>
      <c r="S59">
        <f t="shared" si="2"/>
        <v>29.993454417135833</v>
      </c>
      <c r="T59" t="str">
        <f t="shared" si="3"/>
        <v xml:space="preserve">'UST', </v>
      </c>
      <c r="V59" s="3" t="s">
        <v>186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198</v>
      </c>
      <c r="AK59" s="45">
        <v>-20000</v>
      </c>
      <c r="AL59">
        <v>-8988.2185432560927</v>
      </c>
      <c r="AN59" t="s">
        <v>220</v>
      </c>
      <c r="AO59" t="s">
        <v>99</v>
      </c>
      <c r="AP59">
        <v>30</v>
      </c>
      <c r="AR59" s="4" t="s">
        <v>190</v>
      </c>
      <c r="AS59" s="43">
        <v>2.0391293999999999E-3</v>
      </c>
    </row>
    <row r="60" spans="1:45" x14ac:dyDescent="0.25">
      <c r="A60">
        <v>58</v>
      </c>
      <c r="B60" t="s">
        <v>100</v>
      </c>
      <c r="C60" s="1">
        <v>0.21932823000000001</v>
      </c>
      <c r="E60" t="s">
        <v>21</v>
      </c>
      <c r="F60" t="s">
        <v>833</v>
      </c>
      <c r="G60" s="22">
        <v>20221214</v>
      </c>
      <c r="H60" s="61">
        <v>44909.003277777774</v>
      </c>
      <c r="I60">
        <v>23.9305732953496</v>
      </c>
      <c r="K60" s="21" t="s">
        <v>834</v>
      </c>
      <c r="L60" s="21" t="s">
        <v>835</v>
      </c>
      <c r="M60" s="21" t="s">
        <v>88</v>
      </c>
      <c r="N60" s="21" t="s">
        <v>100</v>
      </c>
      <c r="P60" t="str">
        <f t="shared" si="0"/>
        <v>BCH</v>
      </c>
      <c r="Q60">
        <f t="shared" si="1"/>
        <v>109.1084959530727</v>
      </c>
      <c r="R60">
        <v>0.90154135000000002</v>
      </c>
      <c r="S60">
        <f t="shared" si="2"/>
        <v>0.19773346856731053</v>
      </c>
      <c r="T60" t="str">
        <f t="shared" si="3"/>
        <v xml:space="preserve">'BCH', </v>
      </c>
      <c r="V60" s="3" t="s">
        <v>217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92</v>
      </c>
      <c r="AK60" s="45">
        <v>405872.62526320003</v>
      </c>
      <c r="AL60">
        <v>33101.177068429613</v>
      </c>
      <c r="AN60" t="s">
        <v>220</v>
      </c>
      <c r="AO60" t="s">
        <v>333</v>
      </c>
      <c r="AP60">
        <v>30</v>
      </c>
      <c r="AR60" s="4" t="s">
        <v>21</v>
      </c>
      <c r="AS60" s="43">
        <v>1652.0172</v>
      </c>
    </row>
    <row r="61" spans="1:45" x14ac:dyDescent="0.25">
      <c r="A61">
        <v>59</v>
      </c>
      <c r="B61" t="s">
        <v>100</v>
      </c>
      <c r="C61" s="1">
        <v>5.7861299999999997E-2</v>
      </c>
      <c r="E61" t="s">
        <v>15</v>
      </c>
      <c r="F61" t="s">
        <v>833</v>
      </c>
      <c r="G61" s="22">
        <v>20221214</v>
      </c>
      <c r="H61" s="61">
        <v>44909.003290474539</v>
      </c>
      <c r="I61">
        <v>1030.83666093491</v>
      </c>
      <c r="K61" s="21" t="s">
        <v>836</v>
      </c>
      <c r="L61" s="21" t="s">
        <v>835</v>
      </c>
      <c r="M61" s="21" t="s">
        <v>88</v>
      </c>
      <c r="N61" s="21" t="s">
        <v>100</v>
      </c>
      <c r="P61" t="str">
        <f t="shared" si="0"/>
        <v>BTC</v>
      </c>
      <c r="Q61">
        <f t="shared" si="1"/>
        <v>17815.649854650863</v>
      </c>
      <c r="R61">
        <v>6.2919999999999998</v>
      </c>
      <c r="S61">
        <f t="shared" si="2"/>
        <v>0.3640632996</v>
      </c>
      <c r="T61" t="str">
        <f t="shared" si="3"/>
        <v xml:space="preserve">'BTC', </v>
      </c>
      <c r="V61" s="3" t="s">
        <v>284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88</v>
      </c>
      <c r="AK61" s="45">
        <v>405872.62526320003</v>
      </c>
      <c r="AL61">
        <v>33101.177068429613</v>
      </c>
      <c r="AN61" t="s">
        <v>100</v>
      </c>
      <c r="AO61" t="s">
        <v>21</v>
      </c>
      <c r="AP61">
        <v>0.21932823000000001</v>
      </c>
      <c r="AR61" s="4" t="s">
        <v>15</v>
      </c>
      <c r="AS61" s="43">
        <v>9.7591629999999999E-2</v>
      </c>
    </row>
    <row r="62" spans="1:45" x14ac:dyDescent="0.25">
      <c r="A62">
        <v>60</v>
      </c>
      <c r="B62" t="s">
        <v>100</v>
      </c>
      <c r="C62" s="1">
        <v>0.73541904000000002</v>
      </c>
      <c r="E62" t="s">
        <v>16</v>
      </c>
      <c r="F62" t="s">
        <v>833</v>
      </c>
      <c r="G62" s="22">
        <v>20221214</v>
      </c>
      <c r="H62" s="61">
        <v>44909.003303391204</v>
      </c>
      <c r="I62">
        <v>962.90523863450903</v>
      </c>
      <c r="K62" s="21" t="s">
        <v>837</v>
      </c>
      <c r="L62" s="21" t="s">
        <v>835</v>
      </c>
      <c r="M62" s="21" t="s">
        <v>88</v>
      </c>
      <c r="N62" s="21" t="s">
        <v>100</v>
      </c>
      <c r="P62" t="str">
        <f t="shared" si="0"/>
        <v>ETH</v>
      </c>
      <c r="Q62">
        <f t="shared" si="1"/>
        <v>1309.328676932962</v>
      </c>
      <c r="R62">
        <v>62.35</v>
      </c>
      <c r="S62">
        <f t="shared" si="2"/>
        <v>45.853377144</v>
      </c>
      <c r="T62" t="str">
        <f t="shared" si="3"/>
        <v xml:space="preserve">'ETH', </v>
      </c>
      <c r="V62" s="3" t="s">
        <v>300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38</v>
      </c>
      <c r="AK62" s="45">
        <v>-6000000000</v>
      </c>
      <c r="AL62">
        <v>-54169.844881511162</v>
      </c>
      <c r="AN62" t="s">
        <v>100</v>
      </c>
      <c r="AO62" t="s">
        <v>15</v>
      </c>
      <c r="AP62">
        <v>5.7861299999999997E-2</v>
      </c>
      <c r="AR62" s="4" t="s">
        <v>32</v>
      </c>
      <c r="AS62" s="43">
        <v>0.06</v>
      </c>
    </row>
    <row r="63" spans="1:45" x14ac:dyDescent="0.25">
      <c r="A63">
        <v>61</v>
      </c>
      <c r="B63" t="s">
        <v>100</v>
      </c>
      <c r="C63" s="1">
        <v>22277.5319929</v>
      </c>
      <c r="E63" t="s">
        <v>101</v>
      </c>
      <c r="F63" t="s">
        <v>833</v>
      </c>
      <c r="G63" s="22">
        <v>20221214</v>
      </c>
      <c r="H63" s="61">
        <v>44909.003316168979</v>
      </c>
      <c r="I63">
        <v>265.095232665955</v>
      </c>
      <c r="K63" s="21" t="s">
        <v>838</v>
      </c>
      <c r="L63" s="21" t="s">
        <v>835</v>
      </c>
      <c r="M63" s="21" t="s">
        <v>88</v>
      </c>
      <c r="N63" s="21" t="s">
        <v>100</v>
      </c>
      <c r="P63" t="str">
        <f t="shared" si="0"/>
        <v>SGB</v>
      </c>
      <c r="Q63">
        <f t="shared" si="1"/>
        <v>1.1899667914311273E-2</v>
      </c>
      <c r="R63">
        <v>1</v>
      </c>
      <c r="S63">
        <f t="shared" si="2"/>
        <v>22277.5319929</v>
      </c>
      <c r="T63" t="str">
        <f t="shared" si="3"/>
        <v xml:space="preserve">'SGB', </v>
      </c>
      <c r="V63" s="3" t="s">
        <v>59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198</v>
      </c>
      <c r="AK63" s="45">
        <v>-6000000000</v>
      </c>
      <c r="AL63">
        <v>-54169.844881511162</v>
      </c>
      <c r="AN63" t="s">
        <v>100</v>
      </c>
      <c r="AO63" t="s">
        <v>16</v>
      </c>
      <c r="AP63">
        <v>0.73541904000000002</v>
      </c>
      <c r="AR63" s="4" t="s">
        <v>191</v>
      </c>
      <c r="AS63" s="43">
        <v>9.7777784334</v>
      </c>
    </row>
    <row r="64" spans="1:45" x14ac:dyDescent="0.25">
      <c r="A64">
        <v>62</v>
      </c>
      <c r="B64" t="s">
        <v>100</v>
      </c>
      <c r="C64" s="1">
        <v>114736.84</v>
      </c>
      <c r="E64" t="s">
        <v>98</v>
      </c>
      <c r="F64" t="s">
        <v>833</v>
      </c>
      <c r="G64" s="22">
        <v>20221214</v>
      </c>
      <c r="H64" s="61">
        <v>44909.003329016203</v>
      </c>
      <c r="I64">
        <v>114736.84</v>
      </c>
      <c r="K64" s="21" t="s">
        <v>839</v>
      </c>
      <c r="L64" s="21" t="s">
        <v>835</v>
      </c>
      <c r="M64" s="21" t="s">
        <v>88</v>
      </c>
      <c r="N64" s="21" t="s">
        <v>100</v>
      </c>
      <c r="P64" t="str">
        <f t="shared" si="0"/>
        <v>USD</v>
      </c>
      <c r="Q64">
        <f t="shared" si="1"/>
        <v>1</v>
      </c>
      <c r="R64">
        <v>1208.73</v>
      </c>
      <c r="S64">
        <f t="shared" si="2"/>
        <v>138685860.61320001</v>
      </c>
      <c r="T64" t="str">
        <f t="shared" si="3"/>
        <v xml:space="preserve">'USD',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157</v>
      </c>
      <c r="AK64" s="45">
        <v>-2.7772087900000031</v>
      </c>
      <c r="AL64">
        <v>-36.560644480969472</v>
      </c>
      <c r="AN64" t="s">
        <v>100</v>
      </c>
      <c r="AO64" t="s">
        <v>25</v>
      </c>
      <c r="AP64">
        <v>15.892145019999999</v>
      </c>
      <c r="AR64" s="4" t="s">
        <v>23</v>
      </c>
      <c r="AS64" s="43">
        <v>1.0009999999999999</v>
      </c>
    </row>
    <row r="65" spans="1:45" x14ac:dyDescent="0.25">
      <c r="A65">
        <v>63</v>
      </c>
      <c r="B65" t="s">
        <v>100</v>
      </c>
      <c r="C65" s="1">
        <v>116647.68407285</v>
      </c>
      <c r="E65" t="s">
        <v>102</v>
      </c>
      <c r="F65" t="s">
        <v>833</v>
      </c>
      <c r="G65" s="22">
        <v>20221214</v>
      </c>
      <c r="H65" s="61">
        <v>44909.00334166667</v>
      </c>
      <c r="I65">
        <v>45074.265272861601</v>
      </c>
      <c r="K65" s="21" t="s">
        <v>840</v>
      </c>
      <c r="L65" s="21" t="s">
        <v>835</v>
      </c>
      <c r="M65" s="21" t="s">
        <v>88</v>
      </c>
      <c r="N65" s="21" t="s">
        <v>100</v>
      </c>
      <c r="P65" t="str">
        <f t="shared" si="0"/>
        <v>XRP</v>
      </c>
      <c r="Q65">
        <f t="shared" si="1"/>
        <v>0.38641371777866901</v>
      </c>
      <c r="R65">
        <v>1</v>
      </c>
      <c r="S65">
        <f t="shared" si="2"/>
        <v>116647.68407285</v>
      </c>
      <c r="T65" t="str">
        <f t="shared" si="3"/>
        <v xml:space="preserve">'XRP', </v>
      </c>
      <c r="AJ65" s="27" t="s">
        <v>88</v>
      </c>
      <c r="AK65" s="45">
        <v>57.222791209999997</v>
      </c>
      <c r="AL65">
        <v>753.31107015455927</v>
      </c>
      <c r="AN65" t="s">
        <v>100</v>
      </c>
      <c r="AO65" t="s">
        <v>101</v>
      </c>
      <c r="AP65">
        <v>22277.5319929</v>
      </c>
      <c r="AR65" s="4" t="s">
        <v>24</v>
      </c>
      <c r="AS65" s="43">
        <v>3.4999999999999996E-3</v>
      </c>
    </row>
    <row r="66" spans="1:45" x14ac:dyDescent="0.25">
      <c r="A66">
        <v>64</v>
      </c>
      <c r="B66" t="s">
        <v>103</v>
      </c>
      <c r="C66" s="1">
        <v>1811.18993475</v>
      </c>
      <c r="E66" t="s">
        <v>15</v>
      </c>
      <c r="F66" t="s">
        <v>841</v>
      </c>
      <c r="G66" s="22">
        <v>20221214</v>
      </c>
      <c r="H66" s="61">
        <v>44910.000005324073</v>
      </c>
      <c r="I66">
        <v>32267525.697774</v>
      </c>
      <c r="K66" s="21" t="s">
        <v>842</v>
      </c>
      <c r="L66" s="21" t="s">
        <v>843</v>
      </c>
      <c r="M66" s="21" t="s">
        <v>88</v>
      </c>
      <c r="N66" s="21" t="s">
        <v>104</v>
      </c>
      <c r="P66" t="str">
        <f t="shared" ref="P66:P129" si="4">IF($C66="","",$E66)</f>
        <v>BTC</v>
      </c>
      <c r="Q66">
        <f t="shared" si="1"/>
        <v>17815.649854650896</v>
      </c>
      <c r="R66">
        <v>16719.740000000002</v>
      </c>
      <c r="S66">
        <f t="shared" si="2"/>
        <v>30282624.799636967</v>
      </c>
      <c r="T66" t="str">
        <f t="shared" si="3"/>
        <v xml:space="preserve">'BTC', </v>
      </c>
      <c r="AJ66" s="27" t="s">
        <v>198</v>
      </c>
      <c r="AK66" s="45">
        <v>-60</v>
      </c>
      <c r="AL66">
        <v>-789.87171463552875</v>
      </c>
      <c r="AN66" t="s">
        <v>100</v>
      </c>
      <c r="AO66" t="s">
        <v>98</v>
      </c>
      <c r="AP66">
        <v>114736.84</v>
      </c>
      <c r="AR66" s="4" t="s">
        <v>30</v>
      </c>
      <c r="AS66" s="43">
        <v>2.94E-5</v>
      </c>
    </row>
    <row r="67" spans="1:45" x14ac:dyDescent="0.25">
      <c r="A67">
        <v>65</v>
      </c>
      <c r="B67" t="s">
        <v>103</v>
      </c>
      <c r="C67" s="1">
        <v>62054507.6281</v>
      </c>
      <c r="E67" t="s">
        <v>98</v>
      </c>
      <c r="F67" t="s">
        <v>841</v>
      </c>
      <c r="G67" s="22">
        <v>20221214</v>
      </c>
      <c r="H67" s="61">
        <v>44910.000005324073</v>
      </c>
      <c r="I67">
        <v>62054507.6281</v>
      </c>
      <c r="K67" s="21" t="s">
        <v>844</v>
      </c>
      <c r="L67" s="21" t="s">
        <v>843</v>
      </c>
      <c r="M67" s="21" t="s">
        <v>88</v>
      </c>
      <c r="N67" s="21" t="s">
        <v>104</v>
      </c>
      <c r="P67" t="str">
        <f t="shared" si="4"/>
        <v>USD</v>
      </c>
      <c r="Q67">
        <f t="shared" ref="Q67:Q130" si="5">IF($C67="","",$I67/$C67)</f>
        <v>1</v>
      </c>
      <c r="R67">
        <v>1208.73</v>
      </c>
      <c r="S67">
        <f t="shared" ref="S67:S130" si="6">IF($B67="","",$C67*$R67)</f>
        <v>75007145005.313309</v>
      </c>
      <c r="T67" t="str">
        <f t="shared" ref="T67:T130" si="7">"'"&amp;P67&amp;"', "</f>
        <v xml:space="preserve">'USD', </v>
      </c>
      <c r="AJ67" s="4" t="s">
        <v>39</v>
      </c>
      <c r="AK67" s="45">
        <v>54439806.948957697</v>
      </c>
      <c r="AL67">
        <v>54372007.523896657</v>
      </c>
      <c r="AN67" t="s">
        <v>100</v>
      </c>
      <c r="AO67" t="s">
        <v>102</v>
      </c>
      <c r="AP67">
        <v>116647.68407285</v>
      </c>
      <c r="AR67" s="4" t="s">
        <v>16</v>
      </c>
      <c r="AS67" s="43">
        <v>2881.3193266304006</v>
      </c>
    </row>
    <row r="68" spans="1:45" x14ac:dyDescent="0.25">
      <c r="A68">
        <v>66</v>
      </c>
      <c r="B68" t="s">
        <v>103</v>
      </c>
      <c r="C68" s="1">
        <v>101</v>
      </c>
      <c r="E68" t="s">
        <v>95</v>
      </c>
      <c r="F68" t="s">
        <v>841</v>
      </c>
      <c r="G68" s="22">
        <v>20221214</v>
      </c>
      <c r="H68" s="61">
        <v>44910.000005324073</v>
      </c>
      <c r="I68">
        <v>100.997932055747</v>
      </c>
      <c r="K68" s="21" t="s">
        <v>845</v>
      </c>
      <c r="L68" s="21" t="s">
        <v>843</v>
      </c>
      <c r="M68" s="21" t="s">
        <v>88</v>
      </c>
      <c r="N68" s="21" t="s">
        <v>104</v>
      </c>
      <c r="P68" t="str">
        <f t="shared" si="4"/>
        <v>USDC</v>
      </c>
      <c r="Q68">
        <f t="shared" si="5"/>
        <v>0.9999795253044258</v>
      </c>
      <c r="R68">
        <v>0.55510000000000004</v>
      </c>
      <c r="S68">
        <f t="shared" si="6"/>
        <v>56.065100000000001</v>
      </c>
      <c r="T68" t="str">
        <f t="shared" si="7"/>
        <v xml:space="preserve">'USDC', </v>
      </c>
      <c r="AJ68" s="27" t="s">
        <v>88</v>
      </c>
      <c r="AK68" s="45">
        <v>54439806.948957697</v>
      </c>
      <c r="AL68">
        <v>54372007.523896657</v>
      </c>
      <c r="AN68" t="s">
        <v>104</v>
      </c>
      <c r="AO68" t="s">
        <v>15</v>
      </c>
      <c r="AP68">
        <v>4480.5611189399997</v>
      </c>
      <c r="AR68" s="4" t="s">
        <v>275</v>
      </c>
      <c r="AS68" s="43">
        <v>4.0610759158</v>
      </c>
    </row>
    <row r="69" spans="1:45" x14ac:dyDescent="0.25">
      <c r="A69">
        <v>67</v>
      </c>
      <c r="B69" t="s">
        <v>105</v>
      </c>
      <c r="C69" s="1">
        <v>3305322.7056</v>
      </c>
      <c r="E69" t="s">
        <v>24</v>
      </c>
      <c r="F69" t="s">
        <v>846</v>
      </c>
      <c r="G69" s="22">
        <v>20221214</v>
      </c>
      <c r="H69" s="61">
        <v>44910.000004085647</v>
      </c>
      <c r="I69">
        <v>3232676.1307260599</v>
      </c>
      <c r="K69" s="21" t="s">
        <v>847</v>
      </c>
      <c r="L69" s="21" t="s">
        <v>843</v>
      </c>
      <c r="M69" s="21" t="s">
        <v>88</v>
      </c>
      <c r="N69" s="21" t="s">
        <v>104</v>
      </c>
      <c r="P69" t="str">
        <f t="shared" si="4"/>
        <v>EOS</v>
      </c>
      <c r="Q69">
        <f t="shared" si="5"/>
        <v>0.97802133669101066</v>
      </c>
      <c r="R69">
        <v>0.55510000000000004</v>
      </c>
      <c r="S69">
        <f t="shared" si="6"/>
        <v>1834784.63387856</v>
      </c>
      <c r="T69" t="str">
        <f t="shared" si="7"/>
        <v xml:space="preserve">'EOS', </v>
      </c>
      <c r="AJ69" s="4" t="s">
        <v>199</v>
      </c>
      <c r="AK69" s="45">
        <v>-100</v>
      </c>
      <c r="AL69">
        <v>-1.9187923619706171</v>
      </c>
      <c r="AN69" t="s">
        <v>104</v>
      </c>
      <c r="AO69" t="s">
        <v>15</v>
      </c>
      <c r="AP69">
        <v>70.363883130000005</v>
      </c>
      <c r="AR69" s="4" t="s">
        <v>335</v>
      </c>
      <c r="AS69" s="43">
        <v>5024</v>
      </c>
    </row>
    <row r="70" spans="1:45" x14ac:dyDescent="0.25">
      <c r="A70">
        <v>68</v>
      </c>
      <c r="B70" t="s">
        <v>105</v>
      </c>
      <c r="C70" s="1">
        <v>60029.229923910003</v>
      </c>
      <c r="E70" t="s">
        <v>28</v>
      </c>
      <c r="F70" t="s">
        <v>846</v>
      </c>
      <c r="G70" s="22">
        <v>20221214</v>
      </c>
      <c r="H70" s="61">
        <v>44910.000004085647</v>
      </c>
      <c r="I70">
        <v>403926.36658765498</v>
      </c>
      <c r="K70" s="21" t="s">
        <v>848</v>
      </c>
      <c r="L70" s="21" t="s">
        <v>843</v>
      </c>
      <c r="M70" s="21" t="s">
        <v>88</v>
      </c>
      <c r="N70" s="21" t="s">
        <v>104</v>
      </c>
      <c r="P70" t="str">
        <f t="shared" si="4"/>
        <v>LINK</v>
      </c>
      <c r="Q70">
        <f t="shared" si="5"/>
        <v>6.7288280575921346</v>
      </c>
      <c r="R70">
        <v>3.9590679999999998</v>
      </c>
      <c r="S70">
        <f t="shared" si="6"/>
        <v>237659.80325639452</v>
      </c>
      <c r="T70" t="str">
        <f t="shared" si="7"/>
        <v xml:space="preserve">'LINK', </v>
      </c>
      <c r="AJ70" s="27" t="s">
        <v>198</v>
      </c>
      <c r="AK70" s="45">
        <v>-100</v>
      </c>
      <c r="AL70">
        <v>-1.9187923619706171</v>
      </c>
      <c r="AN70" t="s">
        <v>104</v>
      </c>
      <c r="AO70" t="s">
        <v>24</v>
      </c>
      <c r="AP70">
        <v>1817950.4935000001</v>
      </c>
      <c r="AR70" s="4" t="s">
        <v>336</v>
      </c>
      <c r="AS70" s="43">
        <v>8.9826517890000002</v>
      </c>
    </row>
    <row r="71" spans="1:45" x14ac:dyDescent="0.25">
      <c r="A71">
        <v>69</v>
      </c>
      <c r="B71" t="s">
        <v>105</v>
      </c>
      <c r="C71" s="1">
        <v>6062.1725529100004</v>
      </c>
      <c r="E71" t="s">
        <v>25</v>
      </c>
      <c r="F71" t="s">
        <v>846</v>
      </c>
      <c r="G71" s="22">
        <v>20221214</v>
      </c>
      <c r="H71" s="61">
        <v>44910.000004085647</v>
      </c>
      <c r="I71">
        <v>457547.709002777</v>
      </c>
      <c r="K71" s="21" t="s">
        <v>849</v>
      </c>
      <c r="L71" s="21" t="s">
        <v>843</v>
      </c>
      <c r="M71" s="21" t="s">
        <v>88</v>
      </c>
      <c r="N71" s="21" t="s">
        <v>104</v>
      </c>
      <c r="P71" t="str">
        <f t="shared" si="4"/>
        <v>LTC</v>
      </c>
      <c r="Q71">
        <f t="shared" si="5"/>
        <v>75.475863646134954</v>
      </c>
      <c r="R71">
        <v>1208.73</v>
      </c>
      <c r="S71">
        <f t="shared" si="6"/>
        <v>7327529.8298789049</v>
      </c>
      <c r="T71" t="str">
        <f t="shared" si="7"/>
        <v xml:space="preserve">'LTC', </v>
      </c>
      <c r="AJ71" s="3" t="s">
        <v>121</v>
      </c>
      <c r="AK71" s="45">
        <v>657917.874052139</v>
      </c>
      <c r="AL71">
        <v>9145970.5024458934</v>
      </c>
      <c r="AN71" t="s">
        <v>104</v>
      </c>
      <c r="AO71" t="s">
        <v>16</v>
      </c>
      <c r="AP71">
        <v>1027.8621034600001</v>
      </c>
      <c r="AR71" s="4" t="s">
        <v>112</v>
      </c>
      <c r="AS71" s="43">
        <v>2.53888889</v>
      </c>
    </row>
    <row r="72" spans="1:45" x14ac:dyDescent="0.25">
      <c r="A72">
        <v>70</v>
      </c>
      <c r="B72" t="s">
        <v>105</v>
      </c>
      <c r="C72" s="1">
        <v>5014251.5754000004</v>
      </c>
      <c r="E72" t="s">
        <v>98</v>
      </c>
      <c r="F72" t="s">
        <v>846</v>
      </c>
      <c r="G72" s="22">
        <v>20221214</v>
      </c>
      <c r="H72" s="61">
        <v>44910.000004085647</v>
      </c>
      <c r="I72">
        <v>5014251.5754000004</v>
      </c>
      <c r="K72" s="21" t="s">
        <v>844</v>
      </c>
      <c r="L72" s="21" t="s">
        <v>843</v>
      </c>
      <c r="M72" s="21" t="s">
        <v>88</v>
      </c>
      <c r="N72" s="21" t="s">
        <v>104</v>
      </c>
      <c r="P72" t="str">
        <f t="shared" si="4"/>
        <v>USD</v>
      </c>
      <c r="Q72">
        <f t="shared" si="5"/>
        <v>1</v>
      </c>
      <c r="R72">
        <v>1.0001621022067761</v>
      </c>
      <c r="S72">
        <f t="shared" si="6"/>
        <v>5015064.3966457034</v>
      </c>
      <c r="T72" t="str">
        <f t="shared" si="7"/>
        <v xml:space="preserve">'USD', </v>
      </c>
      <c r="AJ72" s="4" t="s">
        <v>15</v>
      </c>
      <c r="AK72" s="45">
        <v>519.12191182000004</v>
      </c>
      <c r="AL72">
        <v>8489390.4757921025</v>
      </c>
      <c r="AN72" t="s">
        <v>104</v>
      </c>
      <c r="AO72" t="s">
        <v>16</v>
      </c>
      <c r="AP72">
        <v>18730.582337479998</v>
      </c>
      <c r="AR72" s="4" t="s">
        <v>138</v>
      </c>
      <c r="AS72" s="43">
        <v>79.958187959999989</v>
      </c>
    </row>
    <row r="73" spans="1:45" x14ac:dyDescent="0.25">
      <c r="A73">
        <v>71</v>
      </c>
      <c r="B73" t="s">
        <v>107</v>
      </c>
      <c r="C73" s="1">
        <v>15355.680843669999</v>
      </c>
      <c r="E73" t="s">
        <v>16</v>
      </c>
      <c r="F73" t="s">
        <v>850</v>
      </c>
      <c r="G73" s="22">
        <v>20221214</v>
      </c>
      <c r="H73" s="61">
        <v>44910.000002511573</v>
      </c>
      <c r="I73">
        <v>20105633.2824472</v>
      </c>
      <c r="K73" s="21" t="s">
        <v>851</v>
      </c>
      <c r="L73" s="21" t="s">
        <v>843</v>
      </c>
      <c r="M73" s="21" t="s">
        <v>88</v>
      </c>
      <c r="N73" s="21" t="s">
        <v>104</v>
      </c>
      <c r="P73" t="str">
        <f t="shared" si="4"/>
        <v>ETH</v>
      </c>
      <c r="Q73">
        <f t="shared" si="5"/>
        <v>1309.3286769329575</v>
      </c>
      <c r="R73">
        <v>0</v>
      </c>
      <c r="S73">
        <f t="shared" si="6"/>
        <v>0</v>
      </c>
      <c r="T73" t="str">
        <f t="shared" si="7"/>
        <v xml:space="preserve">'ETH', </v>
      </c>
      <c r="AJ73" s="27" t="s">
        <v>88</v>
      </c>
      <c r="AK73" s="45">
        <v>519.12191182000004</v>
      </c>
      <c r="AL73">
        <v>8489390.4757921025</v>
      </c>
      <c r="AN73" t="s">
        <v>104</v>
      </c>
      <c r="AO73" t="s">
        <v>28</v>
      </c>
      <c r="AP73">
        <v>44259.146574890001</v>
      </c>
      <c r="AR73" s="4" t="s">
        <v>44</v>
      </c>
      <c r="AS73" s="43">
        <v>1.9338685143000001</v>
      </c>
    </row>
    <row r="74" spans="1:45" x14ac:dyDescent="0.25">
      <c r="A74">
        <v>72</v>
      </c>
      <c r="B74" t="s">
        <v>107</v>
      </c>
      <c r="C74" s="1">
        <v>10179492.812899999</v>
      </c>
      <c r="E74" t="s">
        <v>98</v>
      </c>
      <c r="F74" t="s">
        <v>850</v>
      </c>
      <c r="G74" s="22">
        <v>20221214</v>
      </c>
      <c r="H74" s="61">
        <v>44910.000002511573</v>
      </c>
      <c r="I74">
        <v>10179492.812899999</v>
      </c>
      <c r="K74" s="21" t="s">
        <v>844</v>
      </c>
      <c r="L74" s="21" t="s">
        <v>843</v>
      </c>
      <c r="M74" s="21" t="s">
        <v>88</v>
      </c>
      <c r="N74" s="21" t="s">
        <v>104</v>
      </c>
      <c r="P74" t="str">
        <f t="shared" si="4"/>
        <v>USD</v>
      </c>
      <c r="Q74">
        <f t="shared" si="5"/>
        <v>1</v>
      </c>
      <c r="R74">
        <v>0</v>
      </c>
      <c r="S74">
        <f t="shared" si="6"/>
        <v>0</v>
      </c>
      <c r="T74" t="str">
        <f t="shared" si="7"/>
        <v xml:space="preserve">'USD', </v>
      </c>
      <c r="AJ74" s="4" t="s">
        <v>39</v>
      </c>
      <c r="AK74" s="45">
        <v>657398.75214031897</v>
      </c>
      <c r="AL74">
        <v>656580.02665379085</v>
      </c>
      <c r="AN74" t="s">
        <v>104</v>
      </c>
      <c r="AO74" t="s">
        <v>25</v>
      </c>
      <c r="AP74">
        <v>7003.5866771999999</v>
      </c>
      <c r="AR74" s="4" t="s">
        <v>28</v>
      </c>
      <c r="AS74" s="43">
        <v>53.117741070000001</v>
      </c>
    </row>
    <row r="75" spans="1:45" x14ac:dyDescent="0.25">
      <c r="A75">
        <v>73</v>
      </c>
      <c r="B75" t="s">
        <v>108</v>
      </c>
      <c r="C75" s="1">
        <v>65.807786899999996</v>
      </c>
      <c r="E75" t="s">
        <v>15</v>
      </c>
      <c r="F75" t="s">
        <v>852</v>
      </c>
      <c r="G75" s="22">
        <v>20221214</v>
      </c>
      <c r="H75" s="61">
        <v>44910.000005208334</v>
      </c>
      <c r="I75">
        <v>1172408.4891198799</v>
      </c>
      <c r="K75" s="21" t="s">
        <v>842</v>
      </c>
      <c r="L75" s="21" t="s">
        <v>843</v>
      </c>
      <c r="M75" s="21" t="s">
        <v>88</v>
      </c>
      <c r="N75" s="21" t="s">
        <v>104</v>
      </c>
      <c r="P75" t="str">
        <f t="shared" si="4"/>
        <v>BTC</v>
      </c>
      <c r="Q75">
        <f t="shared" si="5"/>
        <v>17815.649854650863</v>
      </c>
      <c r="R75">
        <v>59.23</v>
      </c>
      <c r="S75">
        <f t="shared" si="6"/>
        <v>3897.7952180869997</v>
      </c>
      <c r="T75" t="str">
        <f t="shared" si="7"/>
        <v xml:space="preserve">'BTC', </v>
      </c>
      <c r="AJ75" s="27" t="s">
        <v>88</v>
      </c>
      <c r="AK75" s="45">
        <v>10186046.830971619</v>
      </c>
      <c r="AL75">
        <v>10173361.11150476</v>
      </c>
      <c r="AN75" t="s">
        <v>104</v>
      </c>
      <c r="AO75" t="s">
        <v>98</v>
      </c>
      <c r="AP75">
        <v>16767943.4275</v>
      </c>
      <c r="AR75" s="4" t="s">
        <v>25</v>
      </c>
      <c r="AS75" s="43">
        <v>180.67693722999999</v>
      </c>
    </row>
    <row r="76" spans="1:45" x14ac:dyDescent="0.25">
      <c r="A76">
        <v>74</v>
      </c>
      <c r="B76" t="s">
        <v>108</v>
      </c>
      <c r="C76" s="1">
        <v>1094.7835571000001</v>
      </c>
      <c r="E76" t="s">
        <v>16</v>
      </c>
      <c r="F76" t="s">
        <v>852</v>
      </c>
      <c r="G76" s="22">
        <v>20221214</v>
      </c>
      <c r="H76" s="61">
        <v>44910.000005208334</v>
      </c>
      <c r="I76">
        <v>1433431.5063457</v>
      </c>
      <c r="K76" s="21" t="s">
        <v>851</v>
      </c>
      <c r="L76" s="21" t="s">
        <v>843</v>
      </c>
      <c r="M76" s="21" t="s">
        <v>88</v>
      </c>
      <c r="N76" s="21" t="s">
        <v>104</v>
      </c>
      <c r="P76" t="str">
        <f t="shared" si="4"/>
        <v>ETH</v>
      </c>
      <c r="Q76">
        <f t="shared" si="5"/>
        <v>1309.3286769329575</v>
      </c>
      <c r="R76">
        <v>1208.73</v>
      </c>
      <c r="S76">
        <f t="shared" si="6"/>
        <v>1323297.728973483</v>
      </c>
      <c r="T76" t="str">
        <f t="shared" si="7"/>
        <v xml:space="preserve">'ETH', </v>
      </c>
      <c r="AJ76" s="27" t="s">
        <v>198</v>
      </c>
      <c r="AK76" s="45">
        <v>-9528648.0788313001</v>
      </c>
      <c r="AL76">
        <v>-9516781.0848509688</v>
      </c>
      <c r="AN76" t="s">
        <v>104</v>
      </c>
      <c r="AO76" t="s">
        <v>98</v>
      </c>
      <c r="AP76">
        <v>5845736.2089999998</v>
      </c>
      <c r="AR76" s="4" t="s">
        <v>196</v>
      </c>
      <c r="AS76" s="43">
        <v>5.6554146698999999</v>
      </c>
    </row>
    <row r="77" spans="1:45" x14ac:dyDescent="0.25">
      <c r="A77">
        <v>75</v>
      </c>
      <c r="B77" t="s">
        <v>292</v>
      </c>
      <c r="C77" s="1">
        <v>0.26739257999999999</v>
      </c>
      <c r="D77" t="s">
        <v>293</v>
      </c>
      <c r="E77" t="s">
        <v>191</v>
      </c>
      <c r="F77">
        <v>0</v>
      </c>
      <c r="G77" s="22">
        <v>20221214</v>
      </c>
      <c r="H77" s="61">
        <v>44910.000004594905</v>
      </c>
      <c r="I77">
        <v>0.17286556285693799</v>
      </c>
      <c r="K77" s="21" t="s">
        <v>853</v>
      </c>
      <c r="L77" s="21" t="s">
        <v>854</v>
      </c>
      <c r="M77" s="21" t="s">
        <v>88</v>
      </c>
      <c r="N77" s="21" t="s">
        <v>301</v>
      </c>
      <c r="P77" t="str">
        <f t="shared" si="4"/>
        <v>CRV</v>
      </c>
      <c r="Q77">
        <f t="shared" si="5"/>
        <v>0.64648601265202643</v>
      </c>
      <c r="R77">
        <v>0</v>
      </c>
      <c r="S77">
        <f t="shared" si="6"/>
        <v>0</v>
      </c>
      <c r="T77" t="str">
        <f t="shared" si="7"/>
        <v xml:space="preserve">'CRV', </v>
      </c>
      <c r="AJ77" s="3" t="s">
        <v>97</v>
      </c>
      <c r="AK77" s="45">
        <v>30.064147470000002</v>
      </c>
      <c r="AL77">
        <v>155.36225687767956</v>
      </c>
      <c r="AN77" t="s">
        <v>104</v>
      </c>
      <c r="AO77" t="s">
        <v>98</v>
      </c>
      <c r="AP77">
        <v>6701112.0306000002</v>
      </c>
      <c r="AR77" s="4" t="s">
        <v>153</v>
      </c>
      <c r="AS77" s="43">
        <v>4.7709999999999999</v>
      </c>
    </row>
    <row r="78" spans="1:45" x14ac:dyDescent="0.25">
      <c r="A78">
        <v>76</v>
      </c>
      <c r="B78" t="s">
        <v>292</v>
      </c>
      <c r="C78" s="1">
        <v>9.7777784299999997</v>
      </c>
      <c r="D78" t="s">
        <v>295</v>
      </c>
      <c r="E78" t="s">
        <v>191</v>
      </c>
      <c r="F78">
        <v>0</v>
      </c>
      <c r="G78" s="22">
        <v>20221214</v>
      </c>
      <c r="H78" s="61">
        <v>44910.000004594905</v>
      </c>
      <c r="I78">
        <v>6.3211969898057001</v>
      </c>
      <c r="K78" s="21" t="s">
        <v>853</v>
      </c>
      <c r="L78" s="21" t="s">
        <v>854</v>
      </c>
      <c r="M78" s="21" t="s">
        <v>88</v>
      </c>
      <c r="N78" s="21" t="s">
        <v>301</v>
      </c>
      <c r="P78" t="str">
        <f t="shared" si="4"/>
        <v>CRV</v>
      </c>
      <c r="Q78">
        <f t="shared" si="5"/>
        <v>0.64648601265202732</v>
      </c>
      <c r="R78">
        <v>0</v>
      </c>
      <c r="S78">
        <f t="shared" si="6"/>
        <v>0</v>
      </c>
      <c r="T78" t="str">
        <f t="shared" si="7"/>
        <v xml:space="preserve">'CRV', </v>
      </c>
      <c r="AJ78" s="4" t="s">
        <v>15</v>
      </c>
      <c r="AK78" s="45">
        <v>7.9996000000000008E-3</v>
      </c>
      <c r="AL78">
        <v>130.82038439112191</v>
      </c>
      <c r="AN78" t="s">
        <v>104</v>
      </c>
      <c r="AO78" t="s">
        <v>95</v>
      </c>
      <c r="AP78">
        <v>101</v>
      </c>
      <c r="AR78" s="4" t="s">
        <v>320</v>
      </c>
      <c r="AS78" s="43">
        <v>5625.02729593</v>
      </c>
    </row>
    <row r="79" spans="1:45" x14ac:dyDescent="0.25">
      <c r="A79">
        <v>77</v>
      </c>
      <c r="B79" t="s">
        <v>292</v>
      </c>
      <c r="C79" s="1">
        <v>2.9103980000000002E-2</v>
      </c>
      <c r="D79" t="s">
        <v>293</v>
      </c>
      <c r="E79" t="s">
        <v>192</v>
      </c>
      <c r="F79">
        <v>0</v>
      </c>
      <c r="G79" s="22">
        <v>20221214</v>
      </c>
      <c r="H79" s="61">
        <v>44910.000004594905</v>
      </c>
      <c r="I79">
        <v>0.113727425027493</v>
      </c>
      <c r="K79" s="21" t="s">
        <v>855</v>
      </c>
      <c r="L79" s="21" t="s">
        <v>854</v>
      </c>
      <c r="M79" s="21" t="s">
        <v>88</v>
      </c>
      <c r="N79" s="21" t="s">
        <v>301</v>
      </c>
      <c r="P79" t="str">
        <f t="shared" si="4"/>
        <v>CVX</v>
      </c>
      <c r="Q79">
        <f t="shared" si="5"/>
        <v>3.9076244907910533</v>
      </c>
      <c r="R79">
        <v>1.0001621022067761</v>
      </c>
      <c r="S79">
        <f t="shared" si="6"/>
        <v>2.910869781938397E-2</v>
      </c>
      <c r="T79" t="str">
        <f t="shared" si="7"/>
        <v xml:space="preserve">'CVX', </v>
      </c>
      <c r="AJ79" s="27" t="s">
        <v>88</v>
      </c>
      <c r="AK79" s="45">
        <v>7.9996000000000008E-3</v>
      </c>
      <c r="AL79">
        <v>130.82038439112191</v>
      </c>
      <c r="AN79" t="s">
        <v>104</v>
      </c>
      <c r="AO79" t="s">
        <v>334</v>
      </c>
      <c r="AP79">
        <v>-67594809.802665502</v>
      </c>
      <c r="AR79" s="4" t="s">
        <v>259</v>
      </c>
      <c r="AS79" s="43">
        <v>5968</v>
      </c>
    </row>
    <row r="80" spans="1:45" x14ac:dyDescent="0.25">
      <c r="A80">
        <v>78</v>
      </c>
      <c r="B80" t="s">
        <v>292</v>
      </c>
      <c r="C80" s="1">
        <v>3.67060545</v>
      </c>
      <c r="D80" t="s">
        <v>295</v>
      </c>
      <c r="E80" t="s">
        <v>16</v>
      </c>
      <c r="F80">
        <v>0</v>
      </c>
      <c r="G80" s="22">
        <v>20221214</v>
      </c>
      <c r="H80" s="61">
        <v>44910.000004594905</v>
      </c>
      <c r="I80">
        <v>4806.0289773914201</v>
      </c>
      <c r="K80" s="21" t="s">
        <v>856</v>
      </c>
      <c r="L80" s="21" t="s">
        <v>854</v>
      </c>
      <c r="M80" s="21" t="s">
        <v>88</v>
      </c>
      <c r="N80" s="21" t="s">
        <v>301</v>
      </c>
      <c r="P80" t="str">
        <f t="shared" si="4"/>
        <v>ETH</v>
      </c>
      <c r="Q80">
        <f t="shared" si="5"/>
        <v>1309.328676932962</v>
      </c>
      <c r="R80">
        <v>1199.5931351642498</v>
      </c>
      <c r="S80">
        <f t="shared" si="6"/>
        <v>4403.2330997164818</v>
      </c>
      <c r="T80" t="str">
        <f t="shared" si="7"/>
        <v xml:space="preserve">'ETH', </v>
      </c>
      <c r="AJ80" s="4" t="s">
        <v>16</v>
      </c>
      <c r="AK80" s="45">
        <v>0.02</v>
      </c>
      <c r="AL80">
        <v>24.436384354632999</v>
      </c>
      <c r="AN80" t="s">
        <v>33</v>
      </c>
      <c r="AO80" t="s">
        <v>334</v>
      </c>
      <c r="AP80">
        <v>174430.503494</v>
      </c>
      <c r="AR80" s="4" t="s">
        <v>92</v>
      </c>
      <c r="AS80" s="43">
        <v>76.700156329999999</v>
      </c>
    </row>
    <row r="81" spans="1:45" x14ac:dyDescent="0.25">
      <c r="A81">
        <v>79</v>
      </c>
      <c r="B81" t="s">
        <v>292</v>
      </c>
      <c r="C81" s="1">
        <v>13972.219738</v>
      </c>
      <c r="D81" t="s">
        <v>295</v>
      </c>
      <c r="E81" t="s">
        <v>95</v>
      </c>
      <c r="F81">
        <v>0</v>
      </c>
      <c r="G81" s="22">
        <v>20221214</v>
      </c>
      <c r="H81" s="61">
        <v>44910.000004594905</v>
      </c>
      <c r="I81">
        <v>13971.9336610544</v>
      </c>
      <c r="K81" s="21" t="s">
        <v>857</v>
      </c>
      <c r="L81" s="21" t="s">
        <v>854</v>
      </c>
      <c r="M81" s="21" t="s">
        <v>88</v>
      </c>
      <c r="N81" s="21" t="s">
        <v>301</v>
      </c>
      <c r="P81" t="str">
        <f t="shared" si="4"/>
        <v>USDC</v>
      </c>
      <c r="Q81">
        <f t="shared" si="5"/>
        <v>0.99997952530442802</v>
      </c>
      <c r="R81">
        <v>1208.73</v>
      </c>
      <c r="S81">
        <f t="shared" si="6"/>
        <v>16888641.16391274</v>
      </c>
      <c r="T81" t="str">
        <f t="shared" si="7"/>
        <v xml:space="preserve">'USDC', </v>
      </c>
      <c r="AJ81" s="27" t="s">
        <v>88</v>
      </c>
      <c r="AK81" s="45">
        <v>0.02</v>
      </c>
      <c r="AL81">
        <v>24.436384354632999</v>
      </c>
      <c r="AN81" t="s">
        <v>189</v>
      </c>
      <c r="AO81" t="s">
        <v>119</v>
      </c>
      <c r="AP81">
        <v>150</v>
      </c>
      <c r="AR81" s="4" t="s">
        <v>157</v>
      </c>
      <c r="AS81" s="43">
        <v>2.8970426800000002</v>
      </c>
    </row>
    <row r="82" spans="1:45" x14ac:dyDescent="0.25">
      <c r="A82">
        <v>80</v>
      </c>
      <c r="B82" t="s">
        <v>307</v>
      </c>
      <c r="C82" s="1">
        <v>7000</v>
      </c>
      <c r="D82" t="s">
        <v>295</v>
      </c>
      <c r="E82" t="s">
        <v>308</v>
      </c>
      <c r="F82">
        <v>0</v>
      </c>
      <c r="G82" s="22">
        <v>20221214</v>
      </c>
      <c r="H82" s="61">
        <v>44910.000004594905</v>
      </c>
      <c r="I82">
        <v>0</v>
      </c>
      <c r="K82" s="21" t="s">
        <v>858</v>
      </c>
      <c r="L82" s="21" t="s">
        <v>854</v>
      </c>
      <c r="M82" s="21" t="s">
        <v>88</v>
      </c>
      <c r="N82" s="21" t="s">
        <v>301</v>
      </c>
      <c r="P82" t="str">
        <f t="shared" si="4"/>
        <v>$ USDCBONUS.COM &lt;- VISIT TO CLAIM BONUS</v>
      </c>
      <c r="Q82">
        <f t="shared" si="5"/>
        <v>0</v>
      </c>
      <c r="R82">
        <v>1.0001621022067759</v>
      </c>
      <c r="S82">
        <f t="shared" si="6"/>
        <v>7001.1347154474315</v>
      </c>
      <c r="T82" t="str">
        <f t="shared" si="7"/>
        <v xml:space="preserve">'$ USDCBONUS.COM &lt;- VISIT TO CLAIM BONUS', </v>
      </c>
      <c r="AJ82" s="4" t="s">
        <v>275</v>
      </c>
      <c r="AK82" s="45">
        <v>0.02</v>
      </c>
      <c r="AL82">
        <v>7.7933461924647243E-2</v>
      </c>
      <c r="AN82" t="s">
        <v>189</v>
      </c>
      <c r="AO82" t="s">
        <v>190</v>
      </c>
      <c r="AP82">
        <v>2.0391293999999999E-3</v>
      </c>
      <c r="AR82" s="4" t="s">
        <v>162</v>
      </c>
      <c r="AS82" s="43">
        <v>0.82786806999999996</v>
      </c>
    </row>
    <row r="83" spans="1:45" x14ac:dyDescent="0.25">
      <c r="A83">
        <v>81</v>
      </c>
      <c r="B83" t="s">
        <v>307</v>
      </c>
      <c r="C83" s="1">
        <v>7000</v>
      </c>
      <c r="D83" t="s">
        <v>295</v>
      </c>
      <c r="E83" t="s">
        <v>324</v>
      </c>
      <c r="F83">
        <v>0</v>
      </c>
      <c r="G83" s="22">
        <v>20221214</v>
      </c>
      <c r="H83" s="61">
        <v>44910.000004594905</v>
      </c>
      <c r="I83">
        <v>0</v>
      </c>
      <c r="K83" s="21" t="s">
        <v>859</v>
      </c>
      <c r="L83" s="21" t="s">
        <v>854</v>
      </c>
      <c r="M83" s="21" t="s">
        <v>88</v>
      </c>
      <c r="N83" s="21" t="s">
        <v>301</v>
      </c>
      <c r="P83" t="str">
        <f t="shared" si="4"/>
        <v>$ USDCGIFT.COM &lt;- VISIT TO CLAIM BONUS</v>
      </c>
      <c r="Q83">
        <f t="shared" si="5"/>
        <v>0</v>
      </c>
      <c r="R83">
        <v>1208.73</v>
      </c>
      <c r="S83">
        <f t="shared" si="6"/>
        <v>8461110</v>
      </c>
      <c r="T83" t="str">
        <f t="shared" si="7"/>
        <v xml:space="preserve">'$ USDCGIFT.COM &lt;- VISIT TO CLAIM BONUS', </v>
      </c>
      <c r="AJ83" s="27" t="s">
        <v>88</v>
      </c>
      <c r="AK83" s="45">
        <v>0.02</v>
      </c>
      <c r="AL83">
        <v>7.7933461924647243E-2</v>
      </c>
      <c r="AN83" t="s">
        <v>189</v>
      </c>
      <c r="AO83" t="s">
        <v>21</v>
      </c>
      <c r="AP83">
        <v>1652.0172</v>
      </c>
      <c r="AR83" s="4" t="s">
        <v>95</v>
      </c>
      <c r="AS83" s="43">
        <v>1080526.820576</v>
      </c>
    </row>
    <row r="84" spans="1:45" x14ac:dyDescent="0.25">
      <c r="A84">
        <v>82</v>
      </c>
      <c r="B84" t="s">
        <v>307</v>
      </c>
      <c r="C84" s="1">
        <v>8</v>
      </c>
      <c r="D84" t="s">
        <v>295</v>
      </c>
      <c r="E84" t="s">
        <v>714</v>
      </c>
      <c r="F84">
        <v>0</v>
      </c>
      <c r="G84" s="22">
        <v>20221214</v>
      </c>
      <c r="H84" s="61">
        <v>44910.000004594905</v>
      </c>
      <c r="I84">
        <v>0</v>
      </c>
      <c r="K84" s="21" t="s">
        <v>860</v>
      </c>
      <c r="L84" s="21" t="s">
        <v>854</v>
      </c>
      <c r="M84" s="21" t="s">
        <v>88</v>
      </c>
      <c r="N84" s="21" t="s">
        <v>301</v>
      </c>
      <c r="P84" t="str">
        <f t="shared" si="4"/>
        <v>927$ VISIT AUSDBONUS.COM TO CLAIM</v>
      </c>
      <c r="Q84">
        <f t="shared" si="5"/>
        <v>0</v>
      </c>
      <c r="R84">
        <v>1.0001621022067759</v>
      </c>
      <c r="S84">
        <f t="shared" si="6"/>
        <v>8.0012968176542074</v>
      </c>
      <c r="T84" t="str">
        <f t="shared" si="7"/>
        <v xml:space="preserve">'927$ VISIT AUSDBONUS.COM TO CLAIM', </v>
      </c>
      <c r="AJ84" s="4" t="s">
        <v>98</v>
      </c>
      <c r="AK84" s="45">
        <v>2.755467E-2</v>
      </c>
      <c r="AL84">
        <v>2.755467E-2</v>
      </c>
      <c r="AN84" t="s">
        <v>189</v>
      </c>
      <c r="AO84" t="s">
        <v>15</v>
      </c>
      <c r="AP84">
        <v>9.7342860000000003E-2</v>
      </c>
      <c r="AR84" s="4" t="s">
        <v>337</v>
      </c>
      <c r="AS84" s="43">
        <v>35119.677000000003</v>
      </c>
    </row>
    <row r="85" spans="1:45" x14ac:dyDescent="0.25">
      <c r="A85">
        <v>83</v>
      </c>
      <c r="B85" t="s">
        <v>307</v>
      </c>
      <c r="C85" s="1">
        <v>180.62351240000001</v>
      </c>
      <c r="D85" t="s">
        <v>295</v>
      </c>
      <c r="E85" t="s">
        <v>119</v>
      </c>
      <c r="F85">
        <v>0</v>
      </c>
      <c r="G85" s="22">
        <v>20221214</v>
      </c>
      <c r="H85" s="61">
        <v>44910.000004594905</v>
      </c>
      <c r="I85">
        <v>11300.329050841099</v>
      </c>
      <c r="K85" s="21" t="s">
        <v>861</v>
      </c>
      <c r="L85" s="21" t="s">
        <v>854</v>
      </c>
      <c r="M85" s="21" t="s">
        <v>88</v>
      </c>
      <c r="N85" s="21" t="s">
        <v>301</v>
      </c>
      <c r="P85" t="str">
        <f t="shared" si="4"/>
        <v>AAVE</v>
      </c>
      <c r="Q85">
        <f t="shared" si="5"/>
        <v>62.562890626420455</v>
      </c>
      <c r="R85">
        <v>0.32653653999999999</v>
      </c>
      <c r="S85">
        <f t="shared" si="6"/>
        <v>58.980176781743097</v>
      </c>
      <c r="T85" t="str">
        <f t="shared" si="7"/>
        <v xml:space="preserve">'AAVE', </v>
      </c>
      <c r="AJ85" s="27" t="s">
        <v>88</v>
      </c>
      <c r="AK85" s="45">
        <v>2.755467E-2</v>
      </c>
      <c r="AL85">
        <v>2.755467E-2</v>
      </c>
      <c r="AN85" t="s">
        <v>189</v>
      </c>
      <c r="AO85" t="s">
        <v>15</v>
      </c>
      <c r="AP85">
        <v>2.4876999999999999E-4</v>
      </c>
      <c r="AR85" s="4" t="s">
        <v>260</v>
      </c>
      <c r="AS85" s="43">
        <v>7.9373880867000004</v>
      </c>
    </row>
    <row r="86" spans="1:45" x14ac:dyDescent="0.25">
      <c r="A86">
        <v>84</v>
      </c>
      <c r="B86" t="s">
        <v>307</v>
      </c>
      <c r="C86" s="1">
        <v>69.006194350000001</v>
      </c>
      <c r="D86" t="s">
        <v>295</v>
      </c>
      <c r="E86" t="s">
        <v>190</v>
      </c>
      <c r="F86">
        <v>0</v>
      </c>
      <c r="G86" s="22">
        <v>20221214</v>
      </c>
      <c r="H86" s="61">
        <v>44910.000004594905</v>
      </c>
      <c r="I86">
        <v>947.28664425413604</v>
      </c>
      <c r="K86" s="21" t="s">
        <v>862</v>
      </c>
      <c r="L86" s="21" t="s">
        <v>854</v>
      </c>
      <c r="M86" s="21" t="s">
        <v>88</v>
      </c>
      <c r="N86" s="21" t="s">
        <v>301</v>
      </c>
      <c r="P86" t="str">
        <f t="shared" si="4"/>
        <v>AVAX</v>
      </c>
      <c r="Q86">
        <f t="shared" si="5"/>
        <v>13.727559578919687</v>
      </c>
      <c r="R86">
        <v>103.98</v>
      </c>
      <c r="S86">
        <f t="shared" si="6"/>
        <v>7175.2640885130004</v>
      </c>
      <c r="T86" t="str">
        <f t="shared" si="7"/>
        <v xml:space="preserve">'AVAX', </v>
      </c>
      <c r="AJ86" s="4" t="s">
        <v>99</v>
      </c>
      <c r="AK86" s="45">
        <v>29.9885932</v>
      </c>
      <c r="AL86">
        <v>0</v>
      </c>
      <c r="AN86" t="s">
        <v>189</v>
      </c>
      <c r="AO86" t="s">
        <v>32</v>
      </c>
      <c r="AP86">
        <v>0.06</v>
      </c>
      <c r="AR86" s="4" t="s">
        <v>166</v>
      </c>
      <c r="AS86" s="43">
        <v>2.0349905000000001</v>
      </c>
    </row>
    <row r="87" spans="1:45" x14ac:dyDescent="0.25">
      <c r="A87">
        <v>85</v>
      </c>
      <c r="B87" t="s">
        <v>307</v>
      </c>
      <c r="C87" s="1">
        <v>25</v>
      </c>
      <c r="D87" t="s">
        <v>295</v>
      </c>
      <c r="E87" t="s">
        <v>747</v>
      </c>
      <c r="F87">
        <v>0</v>
      </c>
      <c r="G87" s="22">
        <v>20221214</v>
      </c>
      <c r="H87" s="61">
        <v>44910.000004594905</v>
      </c>
      <c r="I87">
        <v>0</v>
      </c>
      <c r="K87" s="21" t="s">
        <v>863</v>
      </c>
      <c r="L87" s="21" t="s">
        <v>854</v>
      </c>
      <c r="M87" s="21" t="s">
        <v>88</v>
      </c>
      <c r="N87" s="21" t="s">
        <v>301</v>
      </c>
      <c r="P87" t="str">
        <f t="shared" si="4"/>
        <v>BONUS. VISIT HTTPS://BITBONUS.TECH TO CLAIM REWARD.</v>
      </c>
      <c r="Q87">
        <f t="shared" si="5"/>
        <v>0</v>
      </c>
      <c r="R87">
        <v>39.841106000000003</v>
      </c>
      <c r="S87">
        <f t="shared" si="6"/>
        <v>996.02765000000011</v>
      </c>
      <c r="T87" t="str">
        <f t="shared" si="7"/>
        <v xml:space="preserve">'BONUS. VISIT HTTPS://BITBONUS.TECH TO CLAIM REWARD.', </v>
      </c>
      <c r="AJ87" s="27" t="s">
        <v>88</v>
      </c>
      <c r="AK87" s="45">
        <v>29.9885932</v>
      </c>
      <c r="AL87">
        <v>0</v>
      </c>
      <c r="AN87" t="s">
        <v>189</v>
      </c>
      <c r="AO87" t="s">
        <v>191</v>
      </c>
      <c r="AP87">
        <v>9.7777784334</v>
      </c>
      <c r="AR87" s="4" t="s">
        <v>102</v>
      </c>
      <c r="AS87" s="43">
        <v>253.68991600000001</v>
      </c>
    </row>
    <row r="88" spans="1:45" x14ac:dyDescent="0.25">
      <c r="A88">
        <v>86</v>
      </c>
      <c r="B88" t="s">
        <v>307</v>
      </c>
      <c r="C88" s="1">
        <v>16.894087620000001</v>
      </c>
      <c r="D88" t="s">
        <v>295</v>
      </c>
      <c r="E88" t="s">
        <v>16</v>
      </c>
      <c r="F88">
        <v>0</v>
      </c>
      <c r="G88" s="22">
        <v>20221214</v>
      </c>
      <c r="H88" s="61">
        <v>44910.000004594905</v>
      </c>
      <c r="I88">
        <v>22119.9133914841</v>
      </c>
      <c r="K88" s="21" t="s">
        <v>856</v>
      </c>
      <c r="L88" s="21" t="s">
        <v>854</v>
      </c>
      <c r="M88" s="21" t="s">
        <v>88</v>
      </c>
      <c r="N88" s="21" t="s">
        <v>301</v>
      </c>
      <c r="P88" t="str">
        <f t="shared" si="4"/>
        <v>ETH</v>
      </c>
      <c r="Q88">
        <f t="shared" si="5"/>
        <v>1309.32867693296</v>
      </c>
      <c r="R88">
        <v>16719.740000000002</v>
      </c>
      <c r="S88">
        <f t="shared" si="6"/>
        <v>282464.75254361884</v>
      </c>
      <c r="T88" t="str">
        <f t="shared" si="7"/>
        <v xml:space="preserve">'ETH', </v>
      </c>
      <c r="AJ88" s="3" t="s">
        <v>100</v>
      </c>
      <c r="AK88" s="45">
        <v>253663.06867432001</v>
      </c>
      <c r="AL88">
        <v>156565.89307567541</v>
      </c>
      <c r="AN88" t="s">
        <v>189</v>
      </c>
      <c r="AO88" t="s">
        <v>23</v>
      </c>
      <c r="AP88">
        <v>1.0009999999999999</v>
      </c>
      <c r="AR88" s="4" t="s">
        <v>174</v>
      </c>
      <c r="AS88" s="43">
        <v>7.66849E-3</v>
      </c>
    </row>
    <row r="89" spans="1:45" x14ac:dyDescent="0.25">
      <c r="A89">
        <v>87</v>
      </c>
      <c r="B89" t="s">
        <v>307</v>
      </c>
      <c r="C89" s="1">
        <v>480000</v>
      </c>
      <c r="D89" t="s">
        <v>295</v>
      </c>
      <c r="E89" t="s">
        <v>715</v>
      </c>
      <c r="F89">
        <v>0</v>
      </c>
      <c r="G89" s="22">
        <v>20221214</v>
      </c>
      <c r="H89" s="61">
        <v>44910.000004594905</v>
      </c>
      <c r="I89">
        <v>0</v>
      </c>
      <c r="K89" s="21" t="s">
        <v>864</v>
      </c>
      <c r="L89" s="21" t="s">
        <v>854</v>
      </c>
      <c r="M89" s="21" t="s">
        <v>88</v>
      </c>
      <c r="N89" s="21" t="s">
        <v>301</v>
      </c>
      <c r="P89" t="str">
        <f t="shared" si="4"/>
        <v>INVITATION TOKEN. PLEASE VISIT HTTPS://AAKER.SITE AND CLAIM REWARDS.</v>
      </c>
      <c r="Q89">
        <f t="shared" si="5"/>
        <v>0</v>
      </c>
      <c r="R89">
        <v>0.90154135000000002</v>
      </c>
      <c r="S89">
        <f t="shared" si="6"/>
        <v>432739.848</v>
      </c>
      <c r="T89" t="str">
        <f t="shared" si="7"/>
        <v xml:space="preserve">'INVITATION TOKEN. PLEASE VISIT HTTPS://AAKER.SITE AND CLAIM REWARDS.', </v>
      </c>
      <c r="AJ89" s="4" t="s">
        <v>21</v>
      </c>
      <c r="AK89" s="45">
        <v>0.21932823000000001</v>
      </c>
      <c r="AL89">
        <v>21.855292133647719</v>
      </c>
      <c r="AN89" t="s">
        <v>189</v>
      </c>
      <c r="AO89" t="s">
        <v>24</v>
      </c>
      <c r="AP89">
        <v>2.0999999999999999E-3</v>
      </c>
      <c r="AR89" s="3" t="s">
        <v>218</v>
      </c>
      <c r="AS89" s="43">
        <v>5456.7441369517992</v>
      </c>
    </row>
    <row r="90" spans="1:45" x14ac:dyDescent="0.25">
      <c r="A90">
        <v>88</v>
      </c>
      <c r="B90" t="s">
        <v>307</v>
      </c>
      <c r="C90" s="1">
        <v>34311.93215886</v>
      </c>
      <c r="D90" t="s">
        <v>295</v>
      </c>
      <c r="E90" t="s">
        <v>716</v>
      </c>
      <c r="F90">
        <v>0</v>
      </c>
      <c r="G90" s="22">
        <v>20221214</v>
      </c>
      <c r="H90" s="61">
        <v>44910.000004594905</v>
      </c>
      <c r="I90">
        <v>0</v>
      </c>
      <c r="K90" s="21" t="s">
        <v>865</v>
      </c>
      <c r="L90" s="21" t="s">
        <v>854</v>
      </c>
      <c r="M90" s="21" t="s">
        <v>88</v>
      </c>
      <c r="N90" s="21" t="s">
        <v>301</v>
      </c>
      <c r="P90" t="str">
        <f t="shared" si="4"/>
        <v>OAAVEUSDC/AAVE-02DEC22-67.5C</v>
      </c>
      <c r="Q90">
        <f t="shared" si="5"/>
        <v>0</v>
      </c>
      <c r="R90">
        <v>19.614688999999998</v>
      </c>
      <c r="S90">
        <f t="shared" si="6"/>
        <v>673017.87828513747</v>
      </c>
      <c r="T90" t="str">
        <f t="shared" si="7"/>
        <v xml:space="preserve">'OAAVEUSDC/AAVE-02DEC22-67.5C', </v>
      </c>
      <c r="AJ90" s="27" t="s">
        <v>88</v>
      </c>
      <c r="AK90" s="45">
        <v>0.21932823000000001</v>
      </c>
      <c r="AL90">
        <v>21.855292133647719</v>
      </c>
      <c r="AN90" t="s">
        <v>189</v>
      </c>
      <c r="AO90" t="s">
        <v>24</v>
      </c>
      <c r="AP90">
        <v>1.4E-3</v>
      </c>
      <c r="AR90" s="4" t="s">
        <v>87</v>
      </c>
      <c r="AS90" s="43">
        <v>5.7406690000000003E-3</v>
      </c>
    </row>
    <row r="91" spans="1:45" x14ac:dyDescent="0.25">
      <c r="A91">
        <v>89</v>
      </c>
      <c r="B91" t="s">
        <v>307</v>
      </c>
      <c r="C91" s="1">
        <v>33793.379334129997</v>
      </c>
      <c r="D91" t="s">
        <v>295</v>
      </c>
      <c r="E91" t="s">
        <v>748</v>
      </c>
      <c r="F91">
        <v>0</v>
      </c>
      <c r="G91" s="22">
        <v>20221214</v>
      </c>
      <c r="H91" s="61">
        <v>44910.000004594905</v>
      </c>
      <c r="I91">
        <v>0</v>
      </c>
      <c r="K91" s="21" t="s">
        <v>866</v>
      </c>
      <c r="L91" s="21" t="s">
        <v>854</v>
      </c>
      <c r="M91" s="21" t="s">
        <v>88</v>
      </c>
      <c r="N91" s="21" t="s">
        <v>301</v>
      </c>
      <c r="P91" t="str">
        <f t="shared" si="4"/>
        <v>OAAVEUSDC/AAVE-16DEC22-72.5C</v>
      </c>
      <c r="Q91">
        <f t="shared" si="5"/>
        <v>0</v>
      </c>
      <c r="R91">
        <v>1208.73</v>
      </c>
      <c r="S91">
        <f t="shared" si="6"/>
        <v>40847071.402542949</v>
      </c>
      <c r="T91" t="str">
        <f t="shared" si="7"/>
        <v xml:space="preserve">'OAAVEUSDC/AAVE-16DEC22-72.5C', </v>
      </c>
      <c r="AJ91" s="4" t="s">
        <v>15</v>
      </c>
      <c r="AK91" s="45">
        <v>5.7861299999999997E-2</v>
      </c>
      <c r="AL91">
        <v>946.22699977124137</v>
      </c>
      <c r="AN91" t="s">
        <v>189</v>
      </c>
      <c r="AO91" t="s">
        <v>30</v>
      </c>
      <c r="AP91">
        <v>2.94E-5</v>
      </c>
      <c r="AR91" s="4" t="s">
        <v>21</v>
      </c>
      <c r="AS91" s="43">
        <v>0.72885033050000003</v>
      </c>
    </row>
    <row r="92" spans="1:45" x14ac:dyDescent="0.25">
      <c r="A92">
        <v>90</v>
      </c>
      <c r="B92" t="s">
        <v>307</v>
      </c>
      <c r="C92" s="1">
        <v>33991.374100820001</v>
      </c>
      <c r="D92" t="s">
        <v>295</v>
      </c>
      <c r="E92" t="s">
        <v>704</v>
      </c>
      <c r="F92">
        <v>0</v>
      </c>
      <c r="G92" s="22">
        <v>20221214</v>
      </c>
      <c r="H92" s="61">
        <v>44910.000004594905</v>
      </c>
      <c r="I92">
        <v>0</v>
      </c>
      <c r="K92" s="21" t="s">
        <v>867</v>
      </c>
      <c r="L92" s="21" t="s">
        <v>854</v>
      </c>
      <c r="M92" s="21" t="s">
        <v>88</v>
      </c>
      <c r="N92" s="21" t="s">
        <v>301</v>
      </c>
      <c r="P92" t="str">
        <f t="shared" si="4"/>
        <v>OAAVEUSDC/AAVE-25NOV22-72.5C</v>
      </c>
      <c r="Q92">
        <f t="shared" si="5"/>
        <v>0</v>
      </c>
      <c r="R92">
        <v>62.35</v>
      </c>
      <c r="S92">
        <f t="shared" si="6"/>
        <v>2119362.175186127</v>
      </c>
      <c r="T92" t="str">
        <f t="shared" si="7"/>
        <v xml:space="preserve">'OAAVEUSDC/AAVE-25NOV22-72.5C', </v>
      </c>
      <c r="AJ92" s="27" t="s">
        <v>88</v>
      </c>
      <c r="AK92" s="45">
        <v>5.7861299999999997E-2</v>
      </c>
      <c r="AL92">
        <v>946.22699977124137</v>
      </c>
      <c r="AN92" t="s">
        <v>189</v>
      </c>
      <c r="AO92" t="s">
        <v>16</v>
      </c>
      <c r="AP92">
        <v>2821.3388136228</v>
      </c>
      <c r="AR92" s="4" t="s">
        <v>116</v>
      </c>
      <c r="AS92" s="43">
        <v>0.5860098051</v>
      </c>
    </row>
    <row r="93" spans="1:45" x14ac:dyDescent="0.25">
      <c r="A93">
        <v>91</v>
      </c>
      <c r="B93" t="s">
        <v>307</v>
      </c>
      <c r="C93" s="1">
        <v>29214.150499390002</v>
      </c>
      <c r="D93" t="s">
        <v>295</v>
      </c>
      <c r="E93" t="s">
        <v>730</v>
      </c>
      <c r="F93">
        <v>0</v>
      </c>
      <c r="G93" s="22">
        <v>20221214</v>
      </c>
      <c r="H93" s="61">
        <v>44910.000004594905</v>
      </c>
      <c r="I93">
        <v>0</v>
      </c>
      <c r="K93" s="21" t="s">
        <v>868</v>
      </c>
      <c r="L93" s="21" t="s">
        <v>854</v>
      </c>
      <c r="M93" s="21" t="s">
        <v>88</v>
      </c>
      <c r="N93" s="21" t="s">
        <v>301</v>
      </c>
      <c r="P93" t="str">
        <f t="shared" si="4"/>
        <v>OWAVAXUSDC.E/WAVAX-09DEC22-15.5C</v>
      </c>
      <c r="Q93">
        <f t="shared" si="5"/>
        <v>0</v>
      </c>
      <c r="R93">
        <v>5.0092902000000002E-2</v>
      </c>
      <c r="S93">
        <f t="shared" si="6"/>
        <v>1463.4215779791944</v>
      </c>
      <c r="T93" t="str">
        <f t="shared" si="7"/>
        <v xml:space="preserve">'OWAVAXUSDC.E/WAVAX-09DEC22-15.5C', </v>
      </c>
      <c r="AJ93" s="4" t="s">
        <v>16</v>
      </c>
      <c r="AK93" s="45">
        <v>0.73541904000000002</v>
      </c>
      <c r="AL93">
        <v>898.54911615776086</v>
      </c>
      <c r="AN93" t="s">
        <v>189</v>
      </c>
      <c r="AO93" t="s">
        <v>16</v>
      </c>
      <c r="AP93">
        <v>0.57950425419999996</v>
      </c>
      <c r="AR93" s="4" t="s">
        <v>15</v>
      </c>
      <c r="AS93" s="43">
        <v>473.54122324239995</v>
      </c>
    </row>
    <row r="94" spans="1:45" x14ac:dyDescent="0.25">
      <c r="A94">
        <v>92</v>
      </c>
      <c r="B94" t="s">
        <v>307</v>
      </c>
      <c r="C94" s="1">
        <v>20213.414599259999</v>
      </c>
      <c r="D94" t="s">
        <v>295</v>
      </c>
      <c r="E94" t="s">
        <v>749</v>
      </c>
      <c r="F94">
        <v>0</v>
      </c>
      <c r="G94" s="22">
        <v>20221214</v>
      </c>
      <c r="H94" s="61">
        <v>44910.000004594905</v>
      </c>
      <c r="I94">
        <v>0</v>
      </c>
      <c r="K94" s="21" t="s">
        <v>869</v>
      </c>
      <c r="L94" s="21" t="s">
        <v>854</v>
      </c>
      <c r="M94" s="21" t="s">
        <v>88</v>
      </c>
      <c r="N94" s="21" t="s">
        <v>301</v>
      </c>
      <c r="P94" t="str">
        <f t="shared" si="4"/>
        <v>OWAVAXUSDC.E/WAVAX-16DEC22-15.25C</v>
      </c>
      <c r="Q94">
        <f t="shared" si="5"/>
        <v>0</v>
      </c>
      <c r="R94">
        <v>0.38471588000000001</v>
      </c>
      <c r="S94">
        <f t="shared" si="6"/>
        <v>7776.4215853591577</v>
      </c>
      <c r="T94" t="str">
        <f t="shared" si="7"/>
        <v xml:space="preserve">'OWAVAXUSDC.E/WAVAX-16DEC22-15.25C', </v>
      </c>
      <c r="AJ94" s="27" t="s">
        <v>88</v>
      </c>
      <c r="AK94" s="45">
        <v>0.73541904000000002</v>
      </c>
      <c r="AL94">
        <v>898.54911615776086</v>
      </c>
      <c r="AN94" t="s">
        <v>189</v>
      </c>
      <c r="AO94" t="s">
        <v>16</v>
      </c>
      <c r="AP94">
        <v>4.4272812999999996E-3</v>
      </c>
      <c r="AR94" s="4" t="s">
        <v>23</v>
      </c>
      <c r="AS94" s="43">
        <v>0.97764076359999996</v>
      </c>
    </row>
    <row r="95" spans="1:45" x14ac:dyDescent="0.25">
      <c r="A95">
        <v>93</v>
      </c>
      <c r="B95" t="s">
        <v>307</v>
      </c>
      <c r="C95" s="1">
        <v>31925.004081070001</v>
      </c>
      <c r="D95" t="s">
        <v>295</v>
      </c>
      <c r="E95" t="s">
        <v>731</v>
      </c>
      <c r="F95">
        <v>0</v>
      </c>
      <c r="G95" s="22">
        <v>20221214</v>
      </c>
      <c r="H95" s="61">
        <v>44910.000004594905</v>
      </c>
      <c r="I95">
        <v>0</v>
      </c>
      <c r="K95" s="21" t="s">
        <v>870</v>
      </c>
      <c r="L95" s="21" t="s">
        <v>854</v>
      </c>
      <c r="M95" s="21" t="s">
        <v>88</v>
      </c>
      <c r="N95" s="21" t="s">
        <v>301</v>
      </c>
      <c r="P95" t="str">
        <f t="shared" si="4"/>
        <v>OWAVAXUSDC.E/WAVAX-25NOV22-15.5C</v>
      </c>
      <c r="Q95">
        <f t="shared" si="5"/>
        <v>0</v>
      </c>
      <c r="R95">
        <v>0.32653653999999999</v>
      </c>
      <c r="S95">
        <f t="shared" si="6"/>
        <v>10424.680372118477</v>
      </c>
      <c r="T95" t="str">
        <f t="shared" si="7"/>
        <v xml:space="preserve">'OWAVAXUSDC.E/WAVAX-25NOV22-15.5C', </v>
      </c>
      <c r="AJ95" s="4" t="s">
        <v>101</v>
      </c>
      <c r="AK95" s="45">
        <v>22277.5319929</v>
      </c>
      <c r="AL95">
        <v>267.63111879024041</v>
      </c>
      <c r="AN95" t="s">
        <v>189</v>
      </c>
      <c r="AO95" t="s">
        <v>16</v>
      </c>
      <c r="AP95">
        <v>6.3310570499999996E-2</v>
      </c>
      <c r="AR95" s="4" t="s">
        <v>24</v>
      </c>
      <c r="AS95" s="43">
        <v>3.7085183000000001E-2</v>
      </c>
    </row>
    <row r="96" spans="1:45" x14ac:dyDescent="0.25">
      <c r="A96">
        <v>94</v>
      </c>
      <c r="B96" t="s">
        <v>307</v>
      </c>
      <c r="C96" s="1">
        <v>2698</v>
      </c>
      <c r="D96" t="s">
        <v>295</v>
      </c>
      <c r="E96" t="s">
        <v>720</v>
      </c>
      <c r="F96">
        <v>0</v>
      </c>
      <c r="G96" s="22">
        <v>20221214</v>
      </c>
      <c r="H96" s="61">
        <v>44910.000004594905</v>
      </c>
      <c r="I96">
        <v>0</v>
      </c>
      <c r="K96" s="21" t="s">
        <v>871</v>
      </c>
      <c r="L96" s="21" t="s">
        <v>854</v>
      </c>
      <c r="M96" s="21" t="s">
        <v>88</v>
      </c>
      <c r="N96" s="21" t="s">
        <v>301</v>
      </c>
      <c r="P96" t="str">
        <f t="shared" si="4"/>
        <v>OWETHUSDC/WETH-09DEC22-1450C</v>
      </c>
      <c r="Q96">
        <f t="shared" si="5"/>
        <v>0</v>
      </c>
      <c r="R96">
        <v>103.98</v>
      </c>
      <c r="S96">
        <f t="shared" si="6"/>
        <v>280538.04000000004</v>
      </c>
      <c r="T96" t="str">
        <f t="shared" si="7"/>
        <v xml:space="preserve">'OWETHUSDC/WETH-09DEC22-1450C', </v>
      </c>
      <c r="AJ96" s="27" t="s">
        <v>88</v>
      </c>
      <c r="AK96" s="45">
        <v>22277.5319929</v>
      </c>
      <c r="AL96">
        <v>267.63111879024041</v>
      </c>
      <c r="AN96" t="s">
        <v>189</v>
      </c>
      <c r="AO96" t="s">
        <v>16</v>
      </c>
      <c r="AP96">
        <v>4.8358750000000001E-4</v>
      </c>
      <c r="AR96" s="4" t="s">
        <v>30</v>
      </c>
      <c r="AS96" s="43">
        <v>0.70701213539999996</v>
      </c>
    </row>
    <row r="97" spans="1:45" x14ac:dyDescent="0.25">
      <c r="A97">
        <v>95</v>
      </c>
      <c r="B97" t="s">
        <v>307</v>
      </c>
      <c r="C97" s="1">
        <v>2891</v>
      </c>
      <c r="D97" t="s">
        <v>295</v>
      </c>
      <c r="E97" t="s">
        <v>750</v>
      </c>
      <c r="F97">
        <v>0</v>
      </c>
      <c r="G97" s="22">
        <v>20221214</v>
      </c>
      <c r="H97" s="61">
        <v>44910.000004594905</v>
      </c>
      <c r="I97">
        <v>0</v>
      </c>
      <c r="K97" s="21" t="s">
        <v>872</v>
      </c>
      <c r="L97" s="21" t="s">
        <v>854</v>
      </c>
      <c r="M97" s="21" t="s">
        <v>88</v>
      </c>
      <c r="N97" s="21" t="s">
        <v>301</v>
      </c>
      <c r="P97" t="str">
        <f t="shared" si="4"/>
        <v>OWETHUSDC/WETH-16DEC22-1450C</v>
      </c>
      <c r="Q97">
        <f t="shared" si="5"/>
        <v>0</v>
      </c>
      <c r="R97">
        <v>39.841106000000003</v>
      </c>
      <c r="S97">
        <f t="shared" si="6"/>
        <v>115180.63744600001</v>
      </c>
      <c r="T97" t="str">
        <f t="shared" si="7"/>
        <v xml:space="preserve">'OWETHUSDC/WETH-16DEC22-1450C', </v>
      </c>
      <c r="AJ97" s="4" t="s">
        <v>98</v>
      </c>
      <c r="AK97" s="45">
        <v>114736.84</v>
      </c>
      <c r="AL97">
        <v>114736.84</v>
      </c>
      <c r="AN97" t="s">
        <v>189</v>
      </c>
      <c r="AO97" t="s">
        <v>16</v>
      </c>
      <c r="AP97">
        <v>1.8303131E-2</v>
      </c>
      <c r="AR97" s="4" t="s">
        <v>16</v>
      </c>
      <c r="AS97" s="43">
        <v>4971.4403833986999</v>
      </c>
    </row>
    <row r="98" spans="1:45" x14ac:dyDescent="0.25">
      <c r="A98">
        <v>96</v>
      </c>
      <c r="B98" t="s">
        <v>307</v>
      </c>
      <c r="C98" s="1">
        <v>2904</v>
      </c>
      <c r="D98" t="s">
        <v>295</v>
      </c>
      <c r="E98" t="s">
        <v>705</v>
      </c>
      <c r="F98">
        <v>0</v>
      </c>
      <c r="G98" s="22">
        <v>20221214</v>
      </c>
      <c r="H98" s="61">
        <v>44910.000004594905</v>
      </c>
      <c r="I98">
        <v>0</v>
      </c>
      <c r="K98" s="21" t="s">
        <v>873</v>
      </c>
      <c r="L98" s="21" t="s">
        <v>854</v>
      </c>
      <c r="M98" s="21" t="s">
        <v>88</v>
      </c>
      <c r="N98" s="21" t="s">
        <v>301</v>
      </c>
      <c r="P98" t="str">
        <f t="shared" si="4"/>
        <v>OWETHUSDC/WETH-25NOV22-1400C</v>
      </c>
      <c r="Q98">
        <f t="shared" si="5"/>
        <v>0</v>
      </c>
      <c r="R98">
        <v>16719.740000000002</v>
      </c>
      <c r="S98">
        <f t="shared" si="6"/>
        <v>48554124.960000008</v>
      </c>
      <c r="T98" t="str">
        <f t="shared" si="7"/>
        <v xml:space="preserve">'OWETHUSDC/WETH-25NOV22-1400C', </v>
      </c>
      <c r="AJ98" s="27" t="s">
        <v>88</v>
      </c>
      <c r="AK98" s="45">
        <v>114736.84</v>
      </c>
      <c r="AL98">
        <v>114736.84</v>
      </c>
      <c r="AN98" t="s">
        <v>189</v>
      </c>
      <c r="AO98" t="s">
        <v>16</v>
      </c>
      <c r="AP98">
        <v>1.16617652E-2</v>
      </c>
      <c r="AR98" s="4" t="s">
        <v>28</v>
      </c>
      <c r="AS98" s="43">
        <v>6.2442437099999998E-2</v>
      </c>
    </row>
    <row r="99" spans="1:45" x14ac:dyDescent="0.25">
      <c r="A99">
        <v>97</v>
      </c>
      <c r="B99" t="s">
        <v>307</v>
      </c>
      <c r="C99" s="1">
        <v>9472.1338239899997</v>
      </c>
      <c r="D99" t="s">
        <v>295</v>
      </c>
      <c r="E99" t="s">
        <v>717</v>
      </c>
      <c r="F99">
        <v>0</v>
      </c>
      <c r="G99" s="22">
        <v>20221214</v>
      </c>
      <c r="H99" s="61">
        <v>44910.000004594905</v>
      </c>
      <c r="I99">
        <v>0</v>
      </c>
      <c r="K99" s="21" t="s">
        <v>874</v>
      </c>
      <c r="L99" s="21" t="s">
        <v>854</v>
      </c>
      <c r="M99" s="21" t="s">
        <v>88</v>
      </c>
      <c r="N99" s="21" t="s">
        <v>301</v>
      </c>
      <c r="P99" t="str">
        <f t="shared" si="4"/>
        <v>OWETHUSDC/WSTETH-02DEC22-1350C</v>
      </c>
      <c r="Q99">
        <f t="shared" si="5"/>
        <v>0</v>
      </c>
      <c r="R99">
        <v>16719.740000000002</v>
      </c>
      <c r="S99">
        <f t="shared" si="6"/>
        <v>158371614.78231856</v>
      </c>
      <c r="T99" t="str">
        <f t="shared" si="7"/>
        <v xml:space="preserve">'OWETHUSDC/WSTETH-02DEC22-1350C', </v>
      </c>
      <c r="AJ99" s="4" t="s">
        <v>102</v>
      </c>
      <c r="AK99" s="45">
        <v>116647.68407285</v>
      </c>
      <c r="AL99">
        <v>39694.790548822508</v>
      </c>
      <c r="AN99" t="s">
        <v>189</v>
      </c>
      <c r="AO99" t="s">
        <v>16</v>
      </c>
      <c r="AP99">
        <v>8.0959692700000002E-2</v>
      </c>
      <c r="AR99" s="4" t="s">
        <v>25</v>
      </c>
      <c r="AS99" s="43">
        <v>7.1564416216</v>
      </c>
    </row>
    <row r="100" spans="1:45" x14ac:dyDescent="0.25">
      <c r="A100">
        <v>98</v>
      </c>
      <c r="B100" t="s">
        <v>307</v>
      </c>
      <c r="C100" s="1">
        <v>5625.02729593</v>
      </c>
      <c r="D100" t="s">
        <v>295</v>
      </c>
      <c r="E100" t="s">
        <v>309</v>
      </c>
      <c r="F100">
        <v>0</v>
      </c>
      <c r="G100" s="22">
        <v>20221214</v>
      </c>
      <c r="H100" s="61">
        <v>44910.000004594905</v>
      </c>
      <c r="I100">
        <v>0</v>
      </c>
      <c r="K100" s="21" t="s">
        <v>875</v>
      </c>
      <c r="L100" s="21" t="s">
        <v>854</v>
      </c>
      <c r="M100" s="21" t="s">
        <v>88</v>
      </c>
      <c r="N100" s="21" t="s">
        <v>301</v>
      </c>
      <c r="P100" t="str">
        <f t="shared" si="4"/>
        <v>OWETHUSDC/WSTETH-04NOV22-1700C</v>
      </c>
      <c r="Q100">
        <f t="shared" si="5"/>
        <v>0</v>
      </c>
      <c r="R100">
        <v>5.6989999999999998</v>
      </c>
      <c r="S100">
        <f t="shared" si="6"/>
        <v>32057.03055950507</v>
      </c>
      <c r="T100" t="str">
        <f t="shared" si="7"/>
        <v xml:space="preserve">'OWETHUSDC/WSTETH-04NOV22-1700C', </v>
      </c>
      <c r="AJ100" s="27" t="s">
        <v>88</v>
      </c>
      <c r="AK100" s="45">
        <v>116647.68407285</v>
      </c>
      <c r="AL100">
        <v>39694.790548822508</v>
      </c>
      <c r="AN100" t="s">
        <v>189</v>
      </c>
      <c r="AO100" t="s">
        <v>16</v>
      </c>
      <c r="AP100">
        <v>7.5791675000000001E-3</v>
      </c>
      <c r="AR100" s="4" t="s">
        <v>26</v>
      </c>
      <c r="AS100" s="43">
        <v>0.95766242349999997</v>
      </c>
    </row>
    <row r="101" spans="1:45" x14ac:dyDescent="0.25">
      <c r="A101">
        <v>99</v>
      </c>
      <c r="B101" t="s">
        <v>307</v>
      </c>
      <c r="C101" s="1">
        <v>5968</v>
      </c>
      <c r="D101" t="s">
        <v>295</v>
      </c>
      <c r="E101" t="s">
        <v>310</v>
      </c>
      <c r="F101">
        <v>0</v>
      </c>
      <c r="G101" s="22">
        <v>20221214</v>
      </c>
      <c r="H101" s="61">
        <v>44910.000004594905</v>
      </c>
      <c r="I101">
        <v>0</v>
      </c>
      <c r="K101" s="21" t="s">
        <v>876</v>
      </c>
      <c r="L101" s="21" t="s">
        <v>854</v>
      </c>
      <c r="M101" s="21" t="s">
        <v>88</v>
      </c>
      <c r="N101" s="21" t="s">
        <v>301</v>
      </c>
      <c r="P101" t="str">
        <f t="shared" si="4"/>
        <v>OWETHUSDC/WSTETH-09SEP22-1900C</v>
      </c>
      <c r="Q101">
        <f t="shared" si="5"/>
        <v>0</v>
      </c>
      <c r="R101">
        <v>0.90154135000000002</v>
      </c>
      <c r="S101">
        <f t="shared" si="6"/>
        <v>5380.3987767999997</v>
      </c>
      <c r="T101" t="str">
        <f t="shared" si="7"/>
        <v xml:space="preserve">'OWETHUSDC/WSTETH-09SEP22-1900C', </v>
      </c>
      <c r="AJ101" s="3" t="s">
        <v>104</v>
      </c>
      <c r="AK101" s="45">
        <v>42582495.852292202</v>
      </c>
      <c r="AL101">
        <v>69758507.524026811</v>
      </c>
      <c r="AN101" t="s">
        <v>189</v>
      </c>
      <c r="AO101" t="s">
        <v>16</v>
      </c>
      <c r="AP101">
        <v>50.996764155000001</v>
      </c>
      <c r="AR101" s="4" t="s">
        <v>102</v>
      </c>
      <c r="AS101" s="43">
        <v>0.54364494190000001</v>
      </c>
    </row>
    <row r="102" spans="1:45" x14ac:dyDescent="0.25">
      <c r="A102">
        <v>100</v>
      </c>
      <c r="B102" t="s">
        <v>307</v>
      </c>
      <c r="C102" s="1">
        <v>60000</v>
      </c>
      <c r="D102" t="s">
        <v>295</v>
      </c>
      <c r="E102" t="s">
        <v>95</v>
      </c>
      <c r="F102">
        <v>0</v>
      </c>
      <c r="G102" s="22">
        <v>20221214</v>
      </c>
      <c r="H102" s="61">
        <v>44910.000004594905</v>
      </c>
      <c r="I102">
        <v>59998.771518266098</v>
      </c>
      <c r="K102" s="21" t="s">
        <v>857</v>
      </c>
      <c r="L102" s="21" t="s">
        <v>854</v>
      </c>
      <c r="M102" s="21" t="s">
        <v>88</v>
      </c>
      <c r="N102" s="21" t="s">
        <v>301</v>
      </c>
      <c r="P102" t="str">
        <f t="shared" si="4"/>
        <v>USDC</v>
      </c>
      <c r="Q102">
        <f t="shared" si="5"/>
        <v>0.99997952530443501</v>
      </c>
      <c r="R102">
        <v>19.614688999999998</v>
      </c>
      <c r="S102">
        <f t="shared" si="6"/>
        <v>1176881.3399999999</v>
      </c>
      <c r="T102" t="str">
        <f t="shared" si="7"/>
        <v xml:space="preserve">'USDC', </v>
      </c>
      <c r="AJ102" s="4" t="s">
        <v>15</v>
      </c>
      <c r="AK102" s="45">
        <v>853.28931056000056</v>
      </c>
      <c r="AL102">
        <v>13954152.158144735</v>
      </c>
      <c r="AN102" t="s">
        <v>189</v>
      </c>
      <c r="AO102" t="s">
        <v>16</v>
      </c>
      <c r="AP102">
        <v>4.5371055728999998</v>
      </c>
      <c r="AR102" s="3" t="s">
        <v>115</v>
      </c>
      <c r="AS102" s="43">
        <v>9216645331.4634724</v>
      </c>
    </row>
    <row r="103" spans="1:45" x14ac:dyDescent="0.25">
      <c r="A103">
        <v>101</v>
      </c>
      <c r="B103" t="s">
        <v>307</v>
      </c>
      <c r="C103" s="1">
        <v>188.04277877999999</v>
      </c>
      <c r="D103" t="s">
        <v>295</v>
      </c>
      <c r="E103" t="s">
        <v>732</v>
      </c>
      <c r="F103">
        <v>0</v>
      </c>
      <c r="G103" s="22">
        <v>20221214</v>
      </c>
      <c r="H103" s="61">
        <v>44910.000004594905</v>
      </c>
      <c r="I103">
        <v>2579.1970989751999</v>
      </c>
      <c r="K103" s="21" t="s">
        <v>877</v>
      </c>
      <c r="L103" s="21" t="s">
        <v>854</v>
      </c>
      <c r="M103" s="21" t="s">
        <v>88</v>
      </c>
      <c r="N103" s="21" t="s">
        <v>301</v>
      </c>
      <c r="P103" t="str">
        <f t="shared" si="4"/>
        <v>WAVAX</v>
      </c>
      <c r="Q103">
        <f t="shared" si="5"/>
        <v>13.716012471782937</v>
      </c>
      <c r="R103">
        <v>1208.73</v>
      </c>
      <c r="S103">
        <f t="shared" si="6"/>
        <v>227292.94799474938</v>
      </c>
      <c r="T103" t="str">
        <f t="shared" si="7"/>
        <v xml:space="preserve">'WAVAX', </v>
      </c>
      <c r="AJ103" s="27" t="s">
        <v>88</v>
      </c>
      <c r="AK103" s="45">
        <v>4203.2893105600006</v>
      </c>
      <c r="AL103">
        <v>68737927.310684666</v>
      </c>
      <c r="AN103" t="s">
        <v>189</v>
      </c>
      <c r="AO103" t="s">
        <v>16</v>
      </c>
      <c r="AP103">
        <v>1.029E-3</v>
      </c>
      <c r="AR103" s="4" t="s">
        <v>338</v>
      </c>
      <c r="AS103" s="43">
        <v>377.09760540000002</v>
      </c>
    </row>
    <row r="104" spans="1:45" x14ac:dyDescent="0.25">
      <c r="A104">
        <v>102</v>
      </c>
      <c r="B104" t="s">
        <v>307</v>
      </c>
      <c r="C104" s="1">
        <v>154.70349367</v>
      </c>
      <c r="D104" t="s">
        <v>295</v>
      </c>
      <c r="E104" t="s">
        <v>260</v>
      </c>
      <c r="F104">
        <v>0</v>
      </c>
      <c r="G104" s="22">
        <v>20221214</v>
      </c>
      <c r="H104" s="61">
        <v>44910.000004594905</v>
      </c>
      <c r="I104">
        <v>202282.976567092</v>
      </c>
      <c r="K104" s="21" t="s">
        <v>878</v>
      </c>
      <c r="L104" s="21" t="s">
        <v>854</v>
      </c>
      <c r="M104" s="21" t="s">
        <v>88</v>
      </c>
      <c r="N104" s="21" t="s">
        <v>301</v>
      </c>
      <c r="P104" t="str">
        <f t="shared" si="4"/>
        <v>WETH</v>
      </c>
      <c r="Q104">
        <f t="shared" si="5"/>
        <v>1307.5527369704037</v>
      </c>
      <c r="R104">
        <v>1208.73</v>
      </c>
      <c r="S104">
        <f t="shared" si="6"/>
        <v>186994.7539037391</v>
      </c>
      <c r="T104" t="str">
        <f t="shared" si="7"/>
        <v xml:space="preserve">'WETH', </v>
      </c>
      <c r="AJ104" s="27" t="s">
        <v>198</v>
      </c>
      <c r="AK104" s="45">
        <v>-3350</v>
      </c>
      <c r="AL104">
        <v>-54783775.152539931</v>
      </c>
      <c r="AN104" t="s">
        <v>189</v>
      </c>
      <c r="AO104" t="s">
        <v>16</v>
      </c>
      <c r="AP104">
        <v>3.3981742E-3</v>
      </c>
      <c r="AR104" s="4" t="s">
        <v>119</v>
      </c>
      <c r="AS104" s="43">
        <v>0.10014646000000001</v>
      </c>
    </row>
    <row r="105" spans="1:45" x14ac:dyDescent="0.25">
      <c r="A105">
        <v>103</v>
      </c>
      <c r="B105" t="s">
        <v>311</v>
      </c>
      <c r="C105" s="1">
        <v>95.239435409999999</v>
      </c>
      <c r="D105" t="s">
        <v>293</v>
      </c>
      <c r="E105" t="s">
        <v>191</v>
      </c>
      <c r="F105">
        <v>0</v>
      </c>
      <c r="G105" s="22">
        <v>20221214</v>
      </c>
      <c r="H105" s="61">
        <v>44910.000004594905</v>
      </c>
      <c r="I105">
        <v>61.570962845441201</v>
      </c>
      <c r="K105" s="21" t="s">
        <v>853</v>
      </c>
      <c r="L105" s="21" t="s">
        <v>854</v>
      </c>
      <c r="M105" s="21" t="s">
        <v>88</v>
      </c>
      <c r="N105" s="21" t="s">
        <v>301</v>
      </c>
      <c r="P105" t="str">
        <f t="shared" si="4"/>
        <v>CRV</v>
      </c>
      <c r="Q105">
        <f t="shared" si="5"/>
        <v>0.64648601265202732</v>
      </c>
      <c r="R105">
        <v>6.2919999999999998</v>
      </c>
      <c r="S105">
        <f t="shared" si="6"/>
        <v>599.24652759972003</v>
      </c>
      <c r="T105" t="str">
        <f t="shared" si="7"/>
        <v xml:space="preserve">'CRV', </v>
      </c>
      <c r="AJ105" s="4" t="s">
        <v>24</v>
      </c>
      <c r="AK105" s="45">
        <v>-3053793.4531</v>
      </c>
      <c r="AL105">
        <v>-2707390.3915035431</v>
      </c>
      <c r="AN105" t="s">
        <v>189</v>
      </c>
      <c r="AO105" t="s">
        <v>16</v>
      </c>
      <c r="AP105">
        <v>5.2185100000000004E-4</v>
      </c>
      <c r="AR105" s="4" t="s">
        <v>87</v>
      </c>
      <c r="AS105" s="43">
        <v>3.210377E-4</v>
      </c>
    </row>
    <row r="106" spans="1:45" x14ac:dyDescent="0.25">
      <c r="A106">
        <v>104</v>
      </c>
      <c r="B106" t="s">
        <v>311</v>
      </c>
      <c r="C106" s="1">
        <v>3.4335947500000001</v>
      </c>
      <c r="D106" t="s">
        <v>293</v>
      </c>
      <c r="E106" t="s">
        <v>192</v>
      </c>
      <c r="F106">
        <v>0</v>
      </c>
      <c r="G106" s="22">
        <v>20221214</v>
      </c>
      <c r="H106" s="61">
        <v>44910.000004594905</v>
      </c>
      <c r="I106">
        <v>13.4171989365516</v>
      </c>
      <c r="K106" s="21" t="s">
        <v>855</v>
      </c>
      <c r="L106" s="21" t="s">
        <v>854</v>
      </c>
      <c r="M106" s="21" t="s">
        <v>88</v>
      </c>
      <c r="N106" s="21" t="s">
        <v>301</v>
      </c>
      <c r="P106" t="str">
        <f t="shared" si="4"/>
        <v>CVX</v>
      </c>
      <c r="Q106">
        <f t="shared" si="5"/>
        <v>3.9076244907910578</v>
      </c>
      <c r="R106">
        <v>62.35</v>
      </c>
      <c r="S106">
        <f t="shared" si="6"/>
        <v>214.08463266250001</v>
      </c>
      <c r="T106" t="str">
        <f t="shared" si="7"/>
        <v xml:space="preserve">'CVX', </v>
      </c>
      <c r="AJ106" s="27" t="s">
        <v>88</v>
      </c>
      <c r="AK106" s="45">
        <v>1297032.5469</v>
      </c>
      <c r="AL106">
        <v>1149905.35832727</v>
      </c>
      <c r="AN106" t="s">
        <v>189</v>
      </c>
      <c r="AO106" t="s">
        <v>16</v>
      </c>
      <c r="AP106">
        <v>1.4090999999999999E-3</v>
      </c>
      <c r="AR106" s="4" t="s">
        <v>125</v>
      </c>
      <c r="AS106" s="43">
        <v>3587.9402382600001</v>
      </c>
    </row>
    <row r="107" spans="1:45" x14ac:dyDescent="0.25">
      <c r="A107">
        <v>105</v>
      </c>
      <c r="B107" t="s">
        <v>311</v>
      </c>
      <c r="C107" s="1">
        <v>168347.15939687999</v>
      </c>
      <c r="D107" t="s">
        <v>294</v>
      </c>
      <c r="E107" t="s">
        <v>670</v>
      </c>
      <c r="F107">
        <v>0</v>
      </c>
      <c r="G107" s="22">
        <v>20221214</v>
      </c>
      <c r="H107" s="61">
        <v>44910.000004594905</v>
      </c>
      <c r="I107">
        <v>168275.44119131</v>
      </c>
      <c r="K107" s="21" t="s">
        <v>1177</v>
      </c>
      <c r="L107" s="21" t="s">
        <v>854</v>
      </c>
      <c r="M107" s="21" t="s">
        <v>88</v>
      </c>
      <c r="N107" s="21" t="s">
        <v>301</v>
      </c>
      <c r="P107" t="str">
        <f t="shared" si="4"/>
        <v>DAI</v>
      </c>
      <c r="Q107">
        <f t="shared" si="5"/>
        <v>0.99957398624469274</v>
      </c>
      <c r="R107">
        <v>5.0092902000000002E-2</v>
      </c>
      <c r="S107">
        <f t="shared" si="6"/>
        <v>8432.9977576462879</v>
      </c>
      <c r="T107" t="str">
        <f t="shared" si="7"/>
        <v xml:space="preserve">'DAI', </v>
      </c>
      <c r="AJ107" s="27" t="s">
        <v>198</v>
      </c>
      <c r="AK107" s="45">
        <v>-4350826</v>
      </c>
      <c r="AL107">
        <v>-3857295.7498308131</v>
      </c>
      <c r="AN107" t="s">
        <v>189</v>
      </c>
      <c r="AO107" t="s">
        <v>16</v>
      </c>
      <c r="AP107">
        <v>3.4502529999999999E-3</v>
      </c>
      <c r="AR107" s="4" t="s">
        <v>341</v>
      </c>
      <c r="AS107" s="43">
        <v>0.53247394999999997</v>
      </c>
    </row>
    <row r="108" spans="1:45" x14ac:dyDescent="0.25">
      <c r="A108">
        <v>106</v>
      </c>
      <c r="B108" t="s">
        <v>311</v>
      </c>
      <c r="C108" s="1">
        <v>0.56165878999999996</v>
      </c>
      <c r="D108" t="s">
        <v>295</v>
      </c>
      <c r="E108" t="s">
        <v>16</v>
      </c>
      <c r="F108">
        <v>0</v>
      </c>
      <c r="G108" s="22">
        <v>20221214</v>
      </c>
      <c r="H108" s="61">
        <v>44910.000004594905</v>
      </c>
      <c r="I108">
        <v>735.39596039846799</v>
      </c>
      <c r="K108" s="21" t="s">
        <v>856</v>
      </c>
      <c r="L108" s="21" t="s">
        <v>854</v>
      </c>
      <c r="M108" s="21" t="s">
        <v>88</v>
      </c>
      <c r="N108" s="21" t="s">
        <v>301</v>
      </c>
      <c r="P108" t="str">
        <f t="shared" si="4"/>
        <v>ETH</v>
      </c>
      <c r="Q108">
        <f t="shared" si="5"/>
        <v>1309.3286769329613</v>
      </c>
      <c r="R108">
        <v>0.38471588000000001</v>
      </c>
      <c r="S108">
        <f t="shared" si="6"/>
        <v>0.21607905565458518</v>
      </c>
      <c r="T108" t="str">
        <f t="shared" si="7"/>
        <v xml:space="preserve">'ETH', </v>
      </c>
      <c r="AJ108" s="4" t="s">
        <v>16</v>
      </c>
      <c r="AK108" s="45">
        <v>10393.930989439999</v>
      </c>
      <c r="AL108">
        <v>12699504.630674329</v>
      </c>
      <c r="AN108" t="s">
        <v>189</v>
      </c>
      <c r="AO108" t="s">
        <v>16</v>
      </c>
      <c r="AP108">
        <v>3.6706054516000002</v>
      </c>
      <c r="AR108" s="4" t="s">
        <v>36</v>
      </c>
      <c r="AS108" s="43">
        <v>5.2478028200000004</v>
      </c>
    </row>
    <row r="109" spans="1:45" x14ac:dyDescent="0.25">
      <c r="A109">
        <v>107</v>
      </c>
      <c r="B109" t="s">
        <v>311</v>
      </c>
      <c r="C109" s="1">
        <v>524889.41030044004</v>
      </c>
      <c r="D109" t="s">
        <v>294</v>
      </c>
      <c r="E109" t="s">
        <v>1176</v>
      </c>
      <c r="F109">
        <v>0</v>
      </c>
      <c r="G109" s="22">
        <v>20221214</v>
      </c>
      <c r="H109" s="61">
        <v>44910.000004594905</v>
      </c>
      <c r="I109">
        <v>522674.40974300198</v>
      </c>
      <c r="K109" s="21" t="s">
        <v>1178</v>
      </c>
      <c r="L109" s="21" t="s">
        <v>854</v>
      </c>
      <c r="M109" s="21" t="s">
        <v>88</v>
      </c>
      <c r="N109" s="21" t="s">
        <v>301</v>
      </c>
      <c r="P109" t="str">
        <f t="shared" si="4"/>
        <v>MIM</v>
      </c>
      <c r="Q109">
        <f t="shared" si="5"/>
        <v>0.99578006240177297</v>
      </c>
      <c r="R109">
        <v>16719.740000000002</v>
      </c>
      <c r="S109">
        <f t="shared" si="6"/>
        <v>8776014468.9766808</v>
      </c>
      <c r="T109" t="str">
        <f t="shared" si="7"/>
        <v xml:space="preserve">'MIM', </v>
      </c>
      <c r="AJ109" s="27" t="s">
        <v>88</v>
      </c>
      <c r="AK109" s="45">
        <v>16893.930989439999</v>
      </c>
      <c r="AL109">
        <v>20641329.545930054</v>
      </c>
      <c r="AN109" t="s">
        <v>189</v>
      </c>
      <c r="AO109" t="s">
        <v>275</v>
      </c>
      <c r="AP109">
        <v>4.1382783000000001E-3</v>
      </c>
      <c r="AR109" s="4" t="s">
        <v>190</v>
      </c>
      <c r="AS109" s="43">
        <v>1.5389969999999999E-2</v>
      </c>
    </row>
    <row r="110" spans="1:45" x14ac:dyDescent="0.25">
      <c r="A110">
        <v>108</v>
      </c>
      <c r="B110" t="s">
        <v>311</v>
      </c>
      <c r="C110" s="1">
        <v>160870.93304174001</v>
      </c>
      <c r="D110" t="s">
        <v>294</v>
      </c>
      <c r="E110" t="s">
        <v>95</v>
      </c>
      <c r="F110">
        <v>0</v>
      </c>
      <c r="G110" s="22">
        <v>20221214</v>
      </c>
      <c r="H110" s="61">
        <v>44910.000004594905</v>
      </c>
      <c r="I110">
        <v>160867.63925836</v>
      </c>
      <c r="K110" s="21" t="s">
        <v>857</v>
      </c>
      <c r="L110" s="21" t="s">
        <v>854</v>
      </c>
      <c r="M110" s="21" t="s">
        <v>88</v>
      </c>
      <c r="N110" s="21" t="s">
        <v>301</v>
      </c>
      <c r="P110" t="str">
        <f t="shared" si="4"/>
        <v>USDC</v>
      </c>
      <c r="Q110">
        <f t="shared" si="5"/>
        <v>0.99997952530443046</v>
      </c>
      <c r="R110">
        <v>0.3049998540388914</v>
      </c>
      <c r="S110">
        <f t="shared" si="6"/>
        <v>49065.611096830973</v>
      </c>
      <c r="T110" t="str">
        <f t="shared" si="7"/>
        <v xml:space="preserve">'USDC', </v>
      </c>
      <c r="AJ110" s="27" t="s">
        <v>198</v>
      </c>
      <c r="AK110" s="45">
        <v>-6500</v>
      </c>
      <c r="AL110">
        <v>-7941824.9152557245</v>
      </c>
      <c r="AN110" t="s">
        <v>189</v>
      </c>
      <c r="AO110" t="s">
        <v>275</v>
      </c>
      <c r="AP110">
        <v>2.2650990999999999E-2</v>
      </c>
      <c r="AR110" s="4" t="s">
        <v>127</v>
      </c>
      <c r="AS110" s="43">
        <v>152.41521331999999</v>
      </c>
    </row>
    <row r="111" spans="1:45" x14ac:dyDescent="0.25">
      <c r="A111">
        <v>109</v>
      </c>
      <c r="B111" t="s">
        <v>311</v>
      </c>
      <c r="C111" s="1">
        <v>1006533.600838</v>
      </c>
      <c r="D111" t="s">
        <v>295</v>
      </c>
      <c r="E111" t="s">
        <v>95</v>
      </c>
      <c r="F111">
        <v>0</v>
      </c>
      <c r="G111" s="22">
        <v>20221214</v>
      </c>
      <c r="H111" s="61">
        <v>44909.666671840278</v>
      </c>
      <c r="I111">
        <v>1006512.99236894</v>
      </c>
      <c r="K111" s="21" t="s">
        <v>857</v>
      </c>
      <c r="L111" s="21" t="s">
        <v>854</v>
      </c>
      <c r="M111" s="21" t="s">
        <v>88</v>
      </c>
      <c r="N111" s="21" t="s">
        <v>301</v>
      </c>
      <c r="P111" t="str">
        <f t="shared" si="4"/>
        <v>USDC</v>
      </c>
      <c r="Q111">
        <f t="shared" si="5"/>
        <v>0.99997952530442824</v>
      </c>
      <c r="R111">
        <v>3.7800280517057789</v>
      </c>
      <c r="S111">
        <f t="shared" si="6"/>
        <v>3804725.2461520671</v>
      </c>
      <c r="T111" t="str">
        <f t="shared" si="7"/>
        <v xml:space="preserve">'USDC', </v>
      </c>
      <c r="AJ111" s="4" t="s">
        <v>28</v>
      </c>
      <c r="AK111" s="45">
        <v>14768.90497507</v>
      </c>
      <c r="AL111">
        <v>89683.382747771728</v>
      </c>
      <c r="AN111" t="s">
        <v>189</v>
      </c>
      <c r="AO111" t="s">
        <v>275</v>
      </c>
      <c r="AP111">
        <v>1.6639433999999999E-3</v>
      </c>
      <c r="AR111" s="4" t="s">
        <v>21</v>
      </c>
      <c r="AS111" s="43">
        <v>2.035388060999999</v>
      </c>
    </row>
    <row r="112" spans="1:45" x14ac:dyDescent="0.25">
      <c r="A112">
        <v>110</v>
      </c>
      <c r="B112" t="s">
        <v>311</v>
      </c>
      <c r="C112" s="1">
        <v>152185.53478941999</v>
      </c>
      <c r="D112" t="s">
        <v>294</v>
      </c>
      <c r="E112" t="s">
        <v>39</v>
      </c>
      <c r="F112">
        <v>0</v>
      </c>
      <c r="G112" s="22">
        <v>20221214</v>
      </c>
      <c r="H112" s="61">
        <v>44910.000004594905</v>
      </c>
      <c r="I112">
        <v>152201.576716032</v>
      </c>
      <c r="K112" s="21" t="s">
        <v>1179</v>
      </c>
      <c r="L112" s="21" t="s">
        <v>854</v>
      </c>
      <c r="M112" s="21" t="s">
        <v>88</v>
      </c>
      <c r="N112" s="21" t="s">
        <v>301</v>
      </c>
      <c r="P112" t="str">
        <f t="shared" si="4"/>
        <v>USDT</v>
      </c>
      <c r="Q112">
        <f t="shared" si="5"/>
        <v>1.000105410324537</v>
      </c>
      <c r="R112">
        <v>4.7021920000000002E-2</v>
      </c>
      <c r="S112">
        <f t="shared" si="6"/>
        <v>7156.0560420253241</v>
      </c>
      <c r="T112" t="str">
        <f t="shared" si="7"/>
        <v xml:space="preserve">'USDT', </v>
      </c>
      <c r="AJ112" s="27" t="s">
        <v>88</v>
      </c>
      <c r="AK112" s="45">
        <v>14768.90497507</v>
      </c>
      <c r="AL112">
        <v>89683.382747771728</v>
      </c>
      <c r="AN112" t="s">
        <v>189</v>
      </c>
      <c r="AO112" t="s">
        <v>275</v>
      </c>
      <c r="AP112">
        <v>1.4090999999999999E-3</v>
      </c>
      <c r="AR112" s="4" t="s">
        <v>346</v>
      </c>
      <c r="AS112" s="43">
        <v>2.5033500000000001E-3</v>
      </c>
    </row>
    <row r="113" spans="1:45" x14ac:dyDescent="0.25">
      <c r="A113">
        <v>111</v>
      </c>
      <c r="B113" t="s">
        <v>312</v>
      </c>
      <c r="C113" s="1">
        <v>463.45655553</v>
      </c>
      <c r="D113" t="s">
        <v>293</v>
      </c>
      <c r="E113" t="s">
        <v>313</v>
      </c>
      <c r="F113">
        <v>0</v>
      </c>
      <c r="G113" s="22">
        <v>20221214</v>
      </c>
      <c r="H113" s="61">
        <v>44910.000004594905</v>
      </c>
      <c r="I113">
        <v>26.842364961398999</v>
      </c>
      <c r="K113" s="21" t="s">
        <v>879</v>
      </c>
      <c r="L113" s="21" t="s">
        <v>854</v>
      </c>
      <c r="M113" s="21" t="s">
        <v>88</v>
      </c>
      <c r="N113" s="21" t="s">
        <v>301</v>
      </c>
      <c r="P113" t="str">
        <f t="shared" si="4"/>
        <v>AURA</v>
      </c>
      <c r="Q113">
        <f t="shared" si="5"/>
        <v>5.7917758722179663E-2</v>
      </c>
      <c r="R113">
        <v>0.99940190110900451</v>
      </c>
      <c r="S113">
        <f t="shared" si="6"/>
        <v>463.17936267811291</v>
      </c>
      <c r="T113" t="str">
        <f t="shared" si="7"/>
        <v xml:space="preserve">'AURA', </v>
      </c>
      <c r="AJ113" s="4" t="s">
        <v>25</v>
      </c>
      <c r="AK113" s="45">
        <v>1987.78841713</v>
      </c>
      <c r="AL113">
        <v>114272.33849318451</v>
      </c>
      <c r="AN113" t="s">
        <v>189</v>
      </c>
      <c r="AO113" t="s">
        <v>275</v>
      </c>
      <c r="AP113">
        <v>5.2499999999999997E-4</v>
      </c>
      <c r="AR113" s="4" t="s">
        <v>347</v>
      </c>
      <c r="AS113" s="43">
        <v>115.29838952</v>
      </c>
    </row>
    <row r="114" spans="1:45" x14ac:dyDescent="0.25">
      <c r="A114">
        <v>112</v>
      </c>
      <c r="B114" t="s">
        <v>312</v>
      </c>
      <c r="C114" s="1">
        <v>128.13018736000001</v>
      </c>
      <c r="D114" t="s">
        <v>293</v>
      </c>
      <c r="E114" t="s">
        <v>314</v>
      </c>
      <c r="F114">
        <v>0</v>
      </c>
      <c r="G114" s="22">
        <v>20221214</v>
      </c>
      <c r="H114" s="61">
        <v>44910.000004594905</v>
      </c>
      <c r="I114">
        <v>787.63144938300502</v>
      </c>
      <c r="K114" s="21" t="s">
        <v>880</v>
      </c>
      <c r="L114" s="21" t="s">
        <v>854</v>
      </c>
      <c r="M114" s="21" t="s">
        <v>88</v>
      </c>
      <c r="N114" s="21" t="s">
        <v>301</v>
      </c>
      <c r="P114" t="str">
        <f t="shared" si="4"/>
        <v>BAL</v>
      </c>
      <c r="Q114">
        <f t="shared" si="5"/>
        <v>6.1471185331996923</v>
      </c>
      <c r="R114">
        <v>16719.740000000002</v>
      </c>
      <c r="S114">
        <f t="shared" si="6"/>
        <v>2142303.4188104868</v>
      </c>
      <c r="T114" t="str">
        <f t="shared" si="7"/>
        <v xml:space="preserve">'BAL', </v>
      </c>
      <c r="AJ114" s="27" t="s">
        <v>88</v>
      </c>
      <c r="AK114" s="45">
        <v>1987.78841713</v>
      </c>
      <c r="AL114">
        <v>114272.33849318451</v>
      </c>
      <c r="AN114" t="s">
        <v>189</v>
      </c>
      <c r="AO114" t="s">
        <v>275</v>
      </c>
      <c r="AP114">
        <v>1.8303131E-2</v>
      </c>
      <c r="AR114" s="4" t="s">
        <v>348</v>
      </c>
      <c r="AS114" s="43">
        <v>14.7502</v>
      </c>
    </row>
    <row r="115" spans="1:45" x14ac:dyDescent="0.25">
      <c r="A115">
        <v>113</v>
      </c>
      <c r="B115" t="s">
        <v>312</v>
      </c>
      <c r="C115" s="1">
        <v>385.80857076000001</v>
      </c>
      <c r="D115" t="s">
        <v>294</v>
      </c>
      <c r="E115" t="s">
        <v>16</v>
      </c>
      <c r="F115">
        <v>0</v>
      </c>
      <c r="G115" s="22">
        <v>20221214</v>
      </c>
      <c r="H115" s="61">
        <v>44910.000004594905</v>
      </c>
      <c r="I115">
        <v>505150.22550258797</v>
      </c>
      <c r="K115" s="21" t="s">
        <v>856</v>
      </c>
      <c r="L115" s="21" t="s">
        <v>854</v>
      </c>
      <c r="M115" s="21" t="s">
        <v>88</v>
      </c>
      <c r="N115" s="21" t="s">
        <v>301</v>
      </c>
      <c r="P115" t="str">
        <f t="shared" si="4"/>
        <v>ETH</v>
      </c>
      <c r="Q115">
        <f t="shared" si="5"/>
        <v>1309.3286769329623</v>
      </c>
      <c r="R115">
        <v>1208.73</v>
      </c>
      <c r="S115">
        <f t="shared" si="6"/>
        <v>466338.3937347348</v>
      </c>
      <c r="T115" t="str">
        <f t="shared" si="7"/>
        <v xml:space="preserve">'ETH', </v>
      </c>
      <c r="AJ115" s="4" t="s">
        <v>98</v>
      </c>
      <c r="AK115" s="45">
        <v>45608184.3917</v>
      </c>
      <c r="AL115">
        <v>45608184.3917</v>
      </c>
      <c r="AN115" t="s">
        <v>189</v>
      </c>
      <c r="AO115" t="s">
        <v>275</v>
      </c>
      <c r="AP115">
        <v>4.4272812999999996E-3</v>
      </c>
      <c r="AR115" s="4" t="s">
        <v>116</v>
      </c>
      <c r="AS115" s="43">
        <v>3684.9042316034001</v>
      </c>
    </row>
    <row r="116" spans="1:45" x14ac:dyDescent="0.25">
      <c r="A116">
        <v>114</v>
      </c>
      <c r="B116" t="s">
        <v>312</v>
      </c>
      <c r="C116" s="1">
        <v>2.5209147500000002</v>
      </c>
      <c r="D116" t="s">
        <v>295</v>
      </c>
      <c r="E116" t="s">
        <v>16</v>
      </c>
      <c r="F116">
        <v>0</v>
      </c>
      <c r="G116" s="22">
        <v>20221214</v>
      </c>
      <c r="H116" s="61">
        <v>44910.000004594905</v>
      </c>
      <c r="I116">
        <v>3300.7059742782899</v>
      </c>
      <c r="K116" s="21" t="s">
        <v>856</v>
      </c>
      <c r="L116" s="21" t="s">
        <v>854</v>
      </c>
      <c r="M116" s="21" t="s">
        <v>88</v>
      </c>
      <c r="N116" s="21" t="s">
        <v>301</v>
      </c>
      <c r="P116" t="str">
        <f t="shared" si="4"/>
        <v>ETH</v>
      </c>
      <c r="Q116">
        <f t="shared" si="5"/>
        <v>1309.3286769329625</v>
      </c>
      <c r="R116">
        <v>0.9994019011090044</v>
      </c>
      <c r="S116">
        <f t="shared" si="6"/>
        <v>2.5194069936837309</v>
      </c>
      <c r="T116" t="str">
        <f t="shared" si="7"/>
        <v xml:space="preserve">'ETH', </v>
      </c>
      <c r="AJ116" s="27" t="s">
        <v>88</v>
      </c>
      <c r="AK116" s="45">
        <v>45608184.3917</v>
      </c>
      <c r="AL116">
        <v>45608184.3917</v>
      </c>
      <c r="AN116" t="s">
        <v>189</v>
      </c>
      <c r="AO116" t="s">
        <v>275</v>
      </c>
      <c r="AP116">
        <v>3.6355406787</v>
      </c>
      <c r="AR116" s="4" t="s">
        <v>15</v>
      </c>
      <c r="AS116" s="43">
        <v>1584.5868112820999</v>
      </c>
    </row>
    <row r="117" spans="1:45" x14ac:dyDescent="0.25">
      <c r="A117">
        <v>115</v>
      </c>
      <c r="B117" t="s">
        <v>312</v>
      </c>
      <c r="C117" s="1">
        <v>623.41986664000001</v>
      </c>
      <c r="D117" t="s">
        <v>294</v>
      </c>
      <c r="E117" t="s">
        <v>315</v>
      </c>
      <c r="F117">
        <v>0</v>
      </c>
      <c r="G117" s="22">
        <v>20221214</v>
      </c>
      <c r="H117" s="61">
        <v>44910.000004594905</v>
      </c>
      <c r="I117">
        <v>799906.53314526705</v>
      </c>
      <c r="K117" s="21" t="s">
        <v>881</v>
      </c>
      <c r="L117" s="21" t="s">
        <v>854</v>
      </c>
      <c r="M117" s="21" t="s">
        <v>88</v>
      </c>
      <c r="N117" s="21" t="s">
        <v>301</v>
      </c>
      <c r="P117" t="str">
        <f t="shared" si="4"/>
        <v>STETH</v>
      </c>
      <c r="Q117">
        <f t="shared" si="5"/>
        <v>1283.094389430456</v>
      </c>
      <c r="R117">
        <v>0.9994019011090044</v>
      </c>
      <c r="S117">
        <f t="shared" si="6"/>
        <v>623.04699990913798</v>
      </c>
      <c r="T117" t="str">
        <f t="shared" si="7"/>
        <v xml:space="preserve">'STETH', </v>
      </c>
      <c r="AJ117" s="4" t="s">
        <v>95</v>
      </c>
      <c r="AK117" s="45">
        <v>101</v>
      </c>
      <c r="AL117">
        <v>101.01377034016269</v>
      </c>
      <c r="AN117" t="s">
        <v>189</v>
      </c>
      <c r="AO117" t="s">
        <v>275</v>
      </c>
      <c r="AP117">
        <v>6.3310570499999996E-2</v>
      </c>
      <c r="AR117" s="4" t="s">
        <v>351</v>
      </c>
      <c r="AS117" s="43">
        <v>0.33565571999999999</v>
      </c>
    </row>
    <row r="118" spans="1:45" x14ac:dyDescent="0.25">
      <c r="A118">
        <v>116</v>
      </c>
      <c r="B118" t="s">
        <v>726</v>
      </c>
      <c r="C118" s="1">
        <v>9.8779060000000002E-2</v>
      </c>
      <c r="D118" t="s">
        <v>295</v>
      </c>
      <c r="E118" t="s">
        <v>16</v>
      </c>
      <c r="F118">
        <v>0</v>
      </c>
      <c r="G118" s="22">
        <v>20221214</v>
      </c>
      <c r="H118" s="61">
        <v>44910.000004594905</v>
      </c>
      <c r="I118">
        <v>129.33425593848099</v>
      </c>
      <c r="K118" s="21" t="s">
        <v>856</v>
      </c>
      <c r="L118" s="21" t="s">
        <v>854</v>
      </c>
      <c r="M118" s="21" t="s">
        <v>88</v>
      </c>
      <c r="N118" s="21" t="s">
        <v>301</v>
      </c>
      <c r="P118" t="str">
        <f t="shared" si="4"/>
        <v>ETH</v>
      </c>
      <c r="Q118">
        <f t="shared" si="5"/>
        <v>1309.3286769329552</v>
      </c>
      <c r="R118">
        <v>0.38471588000000001</v>
      </c>
      <c r="S118">
        <f t="shared" si="6"/>
        <v>3.8001872993472803E-2</v>
      </c>
      <c r="T118" t="str">
        <f t="shared" si="7"/>
        <v xml:space="preserve">'ETH', </v>
      </c>
      <c r="AJ118" s="27" t="s">
        <v>88</v>
      </c>
      <c r="AK118" s="45">
        <v>101</v>
      </c>
      <c r="AL118">
        <v>101.01377034016269</v>
      </c>
      <c r="AN118" t="s">
        <v>189</v>
      </c>
      <c r="AO118" t="s">
        <v>275</v>
      </c>
      <c r="AP118">
        <v>3.3981742E-3</v>
      </c>
      <c r="AR118" s="4" t="s">
        <v>352</v>
      </c>
      <c r="AS118" s="43">
        <v>1367501156.8785999</v>
      </c>
    </row>
    <row r="119" spans="1:45" x14ac:dyDescent="0.25">
      <c r="A119">
        <v>117</v>
      </c>
      <c r="B119" t="s">
        <v>726</v>
      </c>
      <c r="C119" s="1">
        <v>196525.25441796001</v>
      </c>
      <c r="D119" t="s">
        <v>295</v>
      </c>
      <c r="E119" t="s">
        <v>733</v>
      </c>
      <c r="F119">
        <v>0</v>
      </c>
      <c r="G119" s="22">
        <v>20221214</v>
      </c>
      <c r="H119" s="61">
        <v>44910.000004594905</v>
      </c>
      <c r="I119">
        <v>0</v>
      </c>
      <c r="K119" s="21" t="s">
        <v>882</v>
      </c>
      <c r="L119" s="21" t="s">
        <v>854</v>
      </c>
      <c r="M119" s="21" t="s">
        <v>88</v>
      </c>
      <c r="N119" s="21" t="s">
        <v>301</v>
      </c>
      <c r="P119" t="str">
        <f t="shared" si="4"/>
        <v>OBALUSDC/BAL-30DEC22-7.6C</v>
      </c>
      <c r="Q119">
        <f t="shared" si="5"/>
        <v>0</v>
      </c>
      <c r="R119">
        <v>0.32653653999999999</v>
      </c>
      <c r="S119">
        <f t="shared" si="6"/>
        <v>64172.676600260369</v>
      </c>
      <c r="T119" t="str">
        <f t="shared" si="7"/>
        <v xml:space="preserve">'OBALUSDC/BAL-30DEC22-7.6C', </v>
      </c>
      <c r="AJ119" s="3" t="s">
        <v>262</v>
      </c>
      <c r="AK119" s="45">
        <v>118588.3</v>
      </c>
      <c r="AL119">
        <v>118588.3</v>
      </c>
      <c r="AN119" t="s">
        <v>189</v>
      </c>
      <c r="AO119" t="s">
        <v>275</v>
      </c>
      <c r="AP119">
        <v>0.29467934690000003</v>
      </c>
      <c r="AR119" s="4" t="s">
        <v>353</v>
      </c>
      <c r="AS119" s="43">
        <v>1.7855998900000001</v>
      </c>
    </row>
    <row r="120" spans="1:45" x14ac:dyDescent="0.25">
      <c r="A120">
        <v>118</v>
      </c>
      <c r="B120" t="s">
        <v>726</v>
      </c>
      <c r="C120" s="1">
        <v>201000.92417708001</v>
      </c>
      <c r="D120" t="s">
        <v>295</v>
      </c>
      <c r="E120" t="s">
        <v>734</v>
      </c>
      <c r="F120">
        <v>0</v>
      </c>
      <c r="G120" s="22">
        <v>20221214</v>
      </c>
      <c r="H120" s="61">
        <v>44910.000004594905</v>
      </c>
      <c r="I120">
        <v>0</v>
      </c>
      <c r="K120" s="21" t="s">
        <v>883</v>
      </c>
      <c r="L120" s="21" t="s">
        <v>854</v>
      </c>
      <c r="M120" s="21" t="s">
        <v>88</v>
      </c>
      <c r="N120" s="21" t="s">
        <v>301</v>
      </c>
      <c r="P120" t="str">
        <f t="shared" si="4"/>
        <v>OPERPUSDC/PERP-30DEC22-0.54C</v>
      </c>
      <c r="Q120">
        <f t="shared" si="5"/>
        <v>0</v>
      </c>
      <c r="R120">
        <v>103.98</v>
      </c>
      <c r="S120">
        <f t="shared" si="6"/>
        <v>20900076.095932782</v>
      </c>
      <c r="T120" t="str">
        <f t="shared" si="7"/>
        <v xml:space="preserve">'OPERPUSDC/PERP-30DEC22-0.54C', </v>
      </c>
      <c r="AJ120" s="4" t="s">
        <v>98</v>
      </c>
      <c r="AK120" s="45">
        <v>118588.3</v>
      </c>
      <c r="AL120">
        <v>118588.3</v>
      </c>
      <c r="AN120" t="s">
        <v>189</v>
      </c>
      <c r="AO120" t="s">
        <v>275</v>
      </c>
      <c r="AP120">
        <v>3.4502529999999999E-3</v>
      </c>
      <c r="AR120" s="4" t="s">
        <v>32</v>
      </c>
      <c r="AS120" s="43">
        <v>43.072197150000001</v>
      </c>
    </row>
    <row r="121" spans="1:45" x14ac:dyDescent="0.25">
      <c r="A121">
        <v>119</v>
      </c>
      <c r="B121" t="s">
        <v>726</v>
      </c>
      <c r="C121" s="1">
        <v>100050250.667</v>
      </c>
      <c r="D121" t="s">
        <v>295</v>
      </c>
      <c r="E121" t="s">
        <v>735</v>
      </c>
      <c r="F121">
        <v>0</v>
      </c>
      <c r="G121" s="22">
        <v>20221214</v>
      </c>
      <c r="H121" s="61">
        <v>44910.000004594905</v>
      </c>
      <c r="I121">
        <v>0</v>
      </c>
      <c r="K121" s="21" t="s">
        <v>884</v>
      </c>
      <c r="L121" s="21" t="s">
        <v>854</v>
      </c>
      <c r="M121" s="21" t="s">
        <v>88</v>
      </c>
      <c r="N121" s="21" t="s">
        <v>301</v>
      </c>
      <c r="P121" t="str">
        <f t="shared" si="4"/>
        <v>OSPELLUSDC/SPELL-30DEC22-0.00079C</v>
      </c>
      <c r="Q121">
        <f t="shared" si="5"/>
        <v>0</v>
      </c>
      <c r="R121">
        <v>39.841106000000003</v>
      </c>
      <c r="S121">
        <f t="shared" si="6"/>
        <v>3986112642.1505179</v>
      </c>
      <c r="T121" t="str">
        <f t="shared" si="7"/>
        <v xml:space="preserve">'OSPELLUSDC/SPELL-30DEC22-0.00079C', </v>
      </c>
      <c r="AJ121" s="27" t="s">
        <v>88</v>
      </c>
      <c r="AK121" s="45">
        <v>118588.3</v>
      </c>
      <c r="AL121">
        <v>118588.3</v>
      </c>
      <c r="AN121" t="s">
        <v>189</v>
      </c>
      <c r="AO121" t="s">
        <v>275</v>
      </c>
      <c r="AP121">
        <v>7.5791675000000001E-3</v>
      </c>
      <c r="AR121" s="4" t="s">
        <v>355</v>
      </c>
      <c r="AS121" s="43">
        <v>0.30791584</v>
      </c>
    </row>
    <row r="122" spans="1:45" x14ac:dyDescent="0.25">
      <c r="A122">
        <v>120</v>
      </c>
      <c r="B122" t="s">
        <v>727</v>
      </c>
      <c r="C122" s="1">
        <v>498.76775994000002</v>
      </c>
      <c r="D122" t="s">
        <v>294</v>
      </c>
      <c r="E122" t="s">
        <v>16</v>
      </c>
      <c r="F122">
        <v>0</v>
      </c>
      <c r="G122" s="22">
        <v>20221214</v>
      </c>
      <c r="H122" s="61">
        <v>44907.958337997683</v>
      </c>
      <c r="I122">
        <v>653050.93121905695</v>
      </c>
      <c r="K122" s="21" t="s">
        <v>856</v>
      </c>
      <c r="L122" s="21" t="s">
        <v>854</v>
      </c>
      <c r="M122" s="21" t="s">
        <v>88</v>
      </c>
      <c r="N122" s="21" t="s">
        <v>301</v>
      </c>
      <c r="P122" t="str">
        <f t="shared" si="4"/>
        <v>ETH</v>
      </c>
      <c r="Q122">
        <f t="shared" si="5"/>
        <v>1309.3286769329611</v>
      </c>
      <c r="R122">
        <v>0.90154135000000002</v>
      </c>
      <c r="S122">
        <f t="shared" si="6"/>
        <v>449.65975963278356</v>
      </c>
      <c r="T122" t="str">
        <f t="shared" si="7"/>
        <v xml:space="preserve">'ETH', </v>
      </c>
      <c r="AJ122" s="3" t="s">
        <v>301</v>
      </c>
      <c r="AK122" s="45">
        <v>1110468.9355053599</v>
      </c>
      <c r="AL122">
        <v>3746103.6432988765</v>
      </c>
      <c r="AN122" t="s">
        <v>189</v>
      </c>
      <c r="AO122" t="s">
        <v>335</v>
      </c>
      <c r="AP122">
        <v>5024</v>
      </c>
      <c r="AR122" s="4" t="s">
        <v>356</v>
      </c>
      <c r="AS122" s="43">
        <v>5.6119999999999998E-5</v>
      </c>
    </row>
    <row r="123" spans="1:45" x14ac:dyDescent="0.25">
      <c r="A123">
        <v>121</v>
      </c>
      <c r="B123" t="s">
        <v>727</v>
      </c>
      <c r="C123" s="1">
        <v>2.96051419</v>
      </c>
      <c r="D123" t="s">
        <v>295</v>
      </c>
      <c r="E123" t="s">
        <v>16</v>
      </c>
      <c r="F123">
        <v>0</v>
      </c>
      <c r="G123" s="22">
        <v>20221214</v>
      </c>
      <c r="H123" s="61">
        <v>44910.000004594905</v>
      </c>
      <c r="I123">
        <v>3876.2861274339598</v>
      </c>
      <c r="K123" s="21" t="s">
        <v>856</v>
      </c>
      <c r="L123" s="21" t="s">
        <v>854</v>
      </c>
      <c r="M123" s="21" t="s">
        <v>88</v>
      </c>
      <c r="N123" s="21" t="s">
        <v>301</v>
      </c>
      <c r="P123" t="str">
        <f t="shared" si="4"/>
        <v>ETH</v>
      </c>
      <c r="Q123">
        <f t="shared" si="5"/>
        <v>1309.328676932962</v>
      </c>
      <c r="R123">
        <v>19.614688999999998</v>
      </c>
      <c r="S123">
        <f t="shared" si="6"/>
        <v>58.069565116936907</v>
      </c>
      <c r="T123" t="str">
        <f t="shared" si="7"/>
        <v xml:space="preserve">'ETH', </v>
      </c>
      <c r="AJ123" s="4" t="s">
        <v>308</v>
      </c>
      <c r="AK123" s="45">
        <v>7000</v>
      </c>
      <c r="AL123">
        <v>0</v>
      </c>
      <c r="AN123" t="s">
        <v>189</v>
      </c>
      <c r="AO123" t="s">
        <v>336</v>
      </c>
      <c r="AP123">
        <v>8.9826517890000002</v>
      </c>
      <c r="AR123" s="4" t="s">
        <v>357</v>
      </c>
      <c r="AS123" s="43">
        <v>5.9800000000000001E-4</v>
      </c>
    </row>
    <row r="124" spans="1:45" x14ac:dyDescent="0.25">
      <c r="A124">
        <v>122</v>
      </c>
      <c r="B124" t="s">
        <v>727</v>
      </c>
      <c r="C124" s="1">
        <v>498.37304568000002</v>
      </c>
      <c r="D124" t="s">
        <v>294</v>
      </c>
      <c r="E124" t="s">
        <v>736</v>
      </c>
      <c r="F124">
        <v>0</v>
      </c>
      <c r="G124" s="22">
        <v>20221214</v>
      </c>
      <c r="H124" s="61">
        <v>44907.958337997683</v>
      </c>
      <c r="I124">
        <v>0</v>
      </c>
      <c r="K124" s="21" t="s">
        <v>885</v>
      </c>
      <c r="L124" s="21" t="s">
        <v>854</v>
      </c>
      <c r="M124" s="21" t="s">
        <v>88</v>
      </c>
      <c r="N124" s="21" t="s">
        <v>301</v>
      </c>
      <c r="P124" t="str">
        <f t="shared" si="4"/>
        <v>FRXETH</v>
      </c>
      <c r="Q124">
        <f t="shared" si="5"/>
        <v>0</v>
      </c>
      <c r="R124">
        <v>1208.73</v>
      </c>
      <c r="S124">
        <f t="shared" si="6"/>
        <v>602398.45150478638</v>
      </c>
      <c r="T124" t="str">
        <f t="shared" si="7"/>
        <v xml:space="preserve">'FRXETH', </v>
      </c>
      <c r="AJ124" s="27" t="s">
        <v>88</v>
      </c>
      <c r="AK124" s="45">
        <v>7000</v>
      </c>
      <c r="AL124">
        <v>0</v>
      </c>
      <c r="AN124" t="s">
        <v>189</v>
      </c>
      <c r="AO124" t="s">
        <v>112</v>
      </c>
      <c r="AP124">
        <v>2.53888889</v>
      </c>
      <c r="AR124" s="4" t="s">
        <v>23</v>
      </c>
      <c r="AS124" s="43">
        <v>37157.267476706998</v>
      </c>
    </row>
    <row r="125" spans="1:45" x14ac:dyDescent="0.25">
      <c r="A125">
        <v>123</v>
      </c>
      <c r="B125" t="s">
        <v>34</v>
      </c>
      <c r="C125" s="1">
        <v>172499.35324299999</v>
      </c>
      <c r="E125" t="s">
        <v>95</v>
      </c>
      <c r="F125">
        <v>0</v>
      </c>
      <c r="G125" s="22">
        <v>20221214</v>
      </c>
      <c r="H125" s="61">
        <v>44910.000004780093</v>
      </c>
      <c r="I125">
        <v>172495.82137125701</v>
      </c>
      <c r="K125" s="21" t="s">
        <v>886</v>
      </c>
      <c r="L125" s="21" t="s">
        <v>887</v>
      </c>
      <c r="M125" s="21" t="s">
        <v>88</v>
      </c>
      <c r="N125" s="21" t="s">
        <v>33</v>
      </c>
      <c r="P125" t="str">
        <f t="shared" si="4"/>
        <v>USDC</v>
      </c>
      <c r="Q125">
        <f t="shared" si="5"/>
        <v>0.99997952530443401</v>
      </c>
      <c r="R125">
        <v>6.2919999999999998</v>
      </c>
      <c r="S125">
        <f t="shared" si="6"/>
        <v>1085365.9306049559</v>
      </c>
      <c r="T125" t="str">
        <f t="shared" si="7"/>
        <v xml:space="preserve">'USDC', </v>
      </c>
      <c r="AJ125" s="4" t="s">
        <v>324</v>
      </c>
      <c r="AK125" s="45">
        <v>7000</v>
      </c>
      <c r="AL125">
        <v>0</v>
      </c>
      <c r="AN125" t="s">
        <v>189</v>
      </c>
      <c r="AO125" t="s">
        <v>138</v>
      </c>
      <c r="AP125">
        <v>1.7534640000000001E-2</v>
      </c>
      <c r="AR125" s="4" t="s">
        <v>359</v>
      </c>
      <c r="AS125" s="43">
        <v>241319.15317850999</v>
      </c>
    </row>
    <row r="126" spans="1:45" x14ac:dyDescent="0.25">
      <c r="A126">
        <v>124</v>
      </c>
      <c r="B126" t="s">
        <v>114</v>
      </c>
      <c r="C126" s="1">
        <v>1E-8</v>
      </c>
      <c r="D126" t="s">
        <v>75</v>
      </c>
      <c r="E126" t="s">
        <v>87</v>
      </c>
      <c r="F126" t="s">
        <v>888</v>
      </c>
      <c r="G126" s="22">
        <v>20221214</v>
      </c>
      <c r="H126" s="61">
        <v>44910.000000231485</v>
      </c>
      <c r="I126">
        <v>3.0813425194694101E-9</v>
      </c>
      <c r="K126" s="21" t="s">
        <v>889</v>
      </c>
      <c r="L126" s="21" t="s">
        <v>890</v>
      </c>
      <c r="M126" s="21" t="s">
        <v>88</v>
      </c>
      <c r="N126" s="21" t="s">
        <v>115</v>
      </c>
      <c r="P126" t="str">
        <f t="shared" si="4"/>
        <v>ADA</v>
      </c>
      <c r="Q126">
        <f t="shared" si="5"/>
        <v>0.308134251946941</v>
      </c>
      <c r="R126">
        <v>62.35</v>
      </c>
      <c r="S126">
        <f t="shared" si="6"/>
        <v>6.2350000000000004E-7</v>
      </c>
      <c r="T126" t="str">
        <f t="shared" si="7"/>
        <v xml:space="preserve">'ADA', </v>
      </c>
      <c r="AJ126" s="27" t="s">
        <v>88</v>
      </c>
      <c r="AK126" s="45">
        <v>7000</v>
      </c>
      <c r="AL126">
        <v>0</v>
      </c>
      <c r="AN126" t="s">
        <v>189</v>
      </c>
      <c r="AO126" t="s">
        <v>138</v>
      </c>
      <c r="AP126">
        <v>79.940653319999996</v>
      </c>
      <c r="AR126" s="4" t="s">
        <v>24</v>
      </c>
      <c r="AS126" s="43">
        <v>170268.13208671001</v>
      </c>
    </row>
    <row r="127" spans="1:45" x14ac:dyDescent="0.25">
      <c r="A127">
        <v>125</v>
      </c>
      <c r="B127" t="s">
        <v>114</v>
      </c>
      <c r="C127" s="1">
        <v>4.9999999999999998E-8</v>
      </c>
      <c r="D127" t="s">
        <v>75</v>
      </c>
      <c r="E127" t="s">
        <v>21</v>
      </c>
      <c r="F127" t="s">
        <v>888</v>
      </c>
      <c r="G127" s="22">
        <v>20221214</v>
      </c>
      <c r="H127" s="61">
        <v>44910.000000231485</v>
      </c>
      <c r="I127">
        <v>5.4554247976536396E-6</v>
      </c>
      <c r="K127" s="21" t="s">
        <v>891</v>
      </c>
      <c r="L127" s="21" t="s">
        <v>890</v>
      </c>
      <c r="M127" s="21" t="s">
        <v>88</v>
      </c>
      <c r="N127" s="21" t="s">
        <v>115</v>
      </c>
      <c r="P127" t="str">
        <f t="shared" si="4"/>
        <v>BCH</v>
      </c>
      <c r="Q127">
        <f t="shared" si="5"/>
        <v>109.10849595307279</v>
      </c>
      <c r="R127">
        <v>0.99940190110900451</v>
      </c>
      <c r="S127">
        <f t="shared" si="6"/>
        <v>4.9970095055450222E-8</v>
      </c>
      <c r="T127" t="str">
        <f t="shared" si="7"/>
        <v xml:space="preserve">'BCH', </v>
      </c>
      <c r="AJ127" s="4" t="s">
        <v>119</v>
      </c>
      <c r="AK127" s="45">
        <v>150</v>
      </c>
      <c r="AL127">
        <v>8504.5901486239272</v>
      </c>
      <c r="AN127" t="s">
        <v>189</v>
      </c>
      <c r="AO127" t="s">
        <v>44</v>
      </c>
      <c r="AP127">
        <v>1.9338685143000001</v>
      </c>
      <c r="AR127" s="4" t="s">
        <v>30</v>
      </c>
      <c r="AS127" s="43">
        <v>9625.8983043931003</v>
      </c>
    </row>
    <row r="128" spans="1:45" x14ac:dyDescent="0.25">
      <c r="A128">
        <v>126</v>
      </c>
      <c r="B128" t="s">
        <v>114</v>
      </c>
      <c r="C128" s="1">
        <v>0.47315189000000002</v>
      </c>
      <c r="D128" t="s">
        <v>75</v>
      </c>
      <c r="E128" t="s">
        <v>116</v>
      </c>
      <c r="F128" t="s">
        <v>888</v>
      </c>
      <c r="G128" s="22">
        <v>20221214</v>
      </c>
      <c r="H128" s="61">
        <v>44910.000000231485</v>
      </c>
      <c r="I128">
        <v>21.439278037545701</v>
      </c>
      <c r="K128" s="21" t="s">
        <v>892</v>
      </c>
      <c r="L128" s="21" t="s">
        <v>890</v>
      </c>
      <c r="M128" s="21" t="s">
        <v>88</v>
      </c>
      <c r="N128" s="21" t="s">
        <v>115</v>
      </c>
      <c r="P128" t="str">
        <f t="shared" si="4"/>
        <v>BSV</v>
      </c>
      <c r="Q128">
        <f t="shared" si="5"/>
        <v>45.311618722574899</v>
      </c>
      <c r="R128">
        <v>0.38471588000000001</v>
      </c>
      <c r="S128">
        <f t="shared" si="6"/>
        <v>0.18202904573501322</v>
      </c>
      <c r="T128" t="str">
        <f t="shared" si="7"/>
        <v xml:space="preserve">'BSV', </v>
      </c>
      <c r="AJ128" s="27" t="s">
        <v>88</v>
      </c>
      <c r="AK128" s="45">
        <v>150</v>
      </c>
      <c r="AL128">
        <v>8504.5901486239272</v>
      </c>
      <c r="AN128" t="s">
        <v>189</v>
      </c>
      <c r="AO128" t="s">
        <v>28</v>
      </c>
      <c r="AP128">
        <v>53.117741070000001</v>
      </c>
      <c r="AR128" s="4" t="s">
        <v>16</v>
      </c>
      <c r="AS128" s="43">
        <v>876.84472940049977</v>
      </c>
    </row>
    <row r="129" spans="1:45" x14ac:dyDescent="0.25">
      <c r="A129">
        <v>127</v>
      </c>
      <c r="B129" t="s">
        <v>114</v>
      </c>
      <c r="C129" s="1">
        <v>4.0000000000000001E-8</v>
      </c>
      <c r="D129" t="s">
        <v>75</v>
      </c>
      <c r="E129" t="s">
        <v>15</v>
      </c>
      <c r="F129" t="s">
        <v>888</v>
      </c>
      <c r="G129" s="22">
        <v>20221214</v>
      </c>
      <c r="H129" s="61">
        <v>44910.000000231485</v>
      </c>
      <c r="I129">
        <v>7.1262599418603595E-4</v>
      </c>
      <c r="K129" s="21" t="s">
        <v>893</v>
      </c>
      <c r="L129" s="21" t="s">
        <v>890</v>
      </c>
      <c r="M129" s="21" t="s">
        <v>88</v>
      </c>
      <c r="N129" s="21" t="s">
        <v>115</v>
      </c>
      <c r="P129" t="str">
        <f t="shared" si="4"/>
        <v>BTC</v>
      </c>
      <c r="Q129">
        <f t="shared" si="5"/>
        <v>17815.649854650899</v>
      </c>
      <c r="R129">
        <v>59.23</v>
      </c>
      <c r="S129">
        <f t="shared" si="6"/>
        <v>2.3692000000000001E-6</v>
      </c>
      <c r="T129" t="str">
        <f t="shared" si="7"/>
        <v xml:space="preserve">'BTC', </v>
      </c>
      <c r="AJ129" s="4" t="s">
        <v>313</v>
      </c>
      <c r="AK129" s="45">
        <v>1394.8793011</v>
      </c>
      <c r="AL129">
        <v>116.71120090001483</v>
      </c>
      <c r="AN129" t="s">
        <v>189</v>
      </c>
      <c r="AO129" t="s">
        <v>25</v>
      </c>
      <c r="AP129">
        <v>180.67693722999999</v>
      </c>
      <c r="AR129" s="4" t="s">
        <v>363</v>
      </c>
      <c r="AS129" s="43">
        <v>9823.8364263999993</v>
      </c>
    </row>
    <row r="130" spans="1:45" x14ac:dyDescent="0.25">
      <c r="A130">
        <v>128</v>
      </c>
      <c r="B130" t="s">
        <v>114</v>
      </c>
      <c r="C130" s="1">
        <v>2.9999999999999997E-8</v>
      </c>
      <c r="D130" t="s">
        <v>75</v>
      </c>
      <c r="E130" t="s">
        <v>24</v>
      </c>
      <c r="F130" t="s">
        <v>888</v>
      </c>
      <c r="G130" s="22">
        <v>20221214</v>
      </c>
      <c r="H130" s="61">
        <v>44910.000000231485</v>
      </c>
      <c r="I130">
        <v>2.9340640100730401E-8</v>
      </c>
      <c r="K130" s="21" t="s">
        <v>894</v>
      </c>
      <c r="L130" s="21" t="s">
        <v>890</v>
      </c>
      <c r="M130" s="21" t="s">
        <v>88</v>
      </c>
      <c r="N130" s="21" t="s">
        <v>115</v>
      </c>
      <c r="P130" t="str">
        <f t="shared" ref="P130:P193" si="8">IF($C130="","",$E130)</f>
        <v>EOS</v>
      </c>
      <c r="Q130">
        <f t="shared" si="5"/>
        <v>0.97802133669101343</v>
      </c>
      <c r="R130">
        <v>0.32653653999999999</v>
      </c>
      <c r="S130">
        <f t="shared" si="6"/>
        <v>9.7960961999999981E-9</v>
      </c>
      <c r="T130" t="str">
        <f t="shared" si="7"/>
        <v xml:space="preserve">'EOS', </v>
      </c>
      <c r="AJ130" s="27" t="s">
        <v>88</v>
      </c>
      <c r="AK130" s="45">
        <v>1394.8793011</v>
      </c>
      <c r="AL130">
        <v>116.71120090001483</v>
      </c>
      <c r="AN130" t="s">
        <v>189</v>
      </c>
      <c r="AO130" t="s">
        <v>196</v>
      </c>
      <c r="AP130">
        <v>5.6554146698999999</v>
      </c>
      <c r="AR130" s="4" t="s">
        <v>275</v>
      </c>
      <c r="AS130" s="43">
        <v>3460.93190667</v>
      </c>
    </row>
    <row r="131" spans="1:45" x14ac:dyDescent="0.25">
      <c r="A131">
        <v>129</v>
      </c>
      <c r="B131" t="s">
        <v>114</v>
      </c>
      <c r="C131" s="1">
        <v>1E-8</v>
      </c>
      <c r="D131" t="s">
        <v>75</v>
      </c>
      <c r="E131" t="s">
        <v>30</v>
      </c>
      <c r="F131" t="s">
        <v>888</v>
      </c>
      <c r="G131" s="22">
        <v>20221214</v>
      </c>
      <c r="H131" s="61">
        <v>44910.000000231485</v>
      </c>
      <c r="I131">
        <v>1.87876872284171E-7</v>
      </c>
      <c r="K131" s="21" t="s">
        <v>895</v>
      </c>
      <c r="L131" s="21" t="s">
        <v>890</v>
      </c>
      <c r="M131" s="21" t="s">
        <v>88</v>
      </c>
      <c r="N131" s="21" t="s">
        <v>115</v>
      </c>
      <c r="P131" t="str">
        <f t="shared" si="8"/>
        <v>ETC</v>
      </c>
      <c r="Q131">
        <f t="shared" ref="Q131:Q194" si="9">IF($C131="","",$I131/$C131)</f>
        <v>18.787687228417099</v>
      </c>
      <c r="R131">
        <v>103.98</v>
      </c>
      <c r="S131">
        <f t="shared" ref="S131:S194" si="10">IF($B131="","",$C131*$R131)</f>
        <v>1.0398E-6</v>
      </c>
      <c r="T131" t="str">
        <f t="shared" ref="T131:T194" si="11">"'"&amp;P131&amp;"', "</f>
        <v xml:space="preserve">'ETC', </v>
      </c>
      <c r="AJ131" s="4" t="s">
        <v>314</v>
      </c>
      <c r="AK131" s="45">
        <v>379.65103078999999</v>
      </c>
      <c r="AL131">
        <v>2021.1598199270716</v>
      </c>
      <c r="AN131" t="s">
        <v>189</v>
      </c>
      <c r="AO131" t="s">
        <v>153</v>
      </c>
      <c r="AP131">
        <v>4.7709999999999999</v>
      </c>
      <c r="AR131" s="4" t="s">
        <v>365</v>
      </c>
      <c r="AS131" s="43">
        <v>347619.75382405001</v>
      </c>
    </row>
    <row r="132" spans="1:45" x14ac:dyDescent="0.25">
      <c r="A132">
        <v>130</v>
      </c>
      <c r="B132" t="s">
        <v>114</v>
      </c>
      <c r="C132" s="1">
        <v>2.9999999999999997E-8</v>
      </c>
      <c r="D132" t="s">
        <v>75</v>
      </c>
      <c r="E132" t="s">
        <v>16</v>
      </c>
      <c r="F132" t="s">
        <v>888</v>
      </c>
      <c r="G132" s="22">
        <v>20221214</v>
      </c>
      <c r="H132" s="61">
        <v>44910.000000231485</v>
      </c>
      <c r="I132">
        <v>3.9279860307988803E-5</v>
      </c>
      <c r="K132" s="21" t="s">
        <v>896</v>
      </c>
      <c r="L132" s="21" t="s">
        <v>890</v>
      </c>
      <c r="M132" s="21" t="s">
        <v>88</v>
      </c>
      <c r="N132" s="21" t="s">
        <v>115</v>
      </c>
      <c r="P132" t="str">
        <f t="shared" si="8"/>
        <v>ETH</v>
      </c>
      <c r="Q132">
        <f t="shared" si="9"/>
        <v>1309.3286769329602</v>
      </c>
      <c r="R132">
        <v>39.841106000000003</v>
      </c>
      <c r="S132">
        <f t="shared" si="10"/>
        <v>1.1952331800000001E-6</v>
      </c>
      <c r="T132" t="str">
        <f t="shared" si="11"/>
        <v xml:space="preserve">'ETH', </v>
      </c>
      <c r="AJ132" s="27" t="s">
        <v>88</v>
      </c>
      <c r="AK132" s="45">
        <v>379.65103078999999</v>
      </c>
      <c r="AL132">
        <v>2021.1598199270716</v>
      </c>
      <c r="AN132" t="s">
        <v>189</v>
      </c>
      <c r="AO132" t="s">
        <v>320</v>
      </c>
      <c r="AP132">
        <v>5625.02729593</v>
      </c>
      <c r="AR132" s="4" t="s">
        <v>31</v>
      </c>
      <c r="AS132" s="43">
        <v>2339.8611111199998</v>
      </c>
    </row>
    <row r="133" spans="1:45" x14ac:dyDescent="0.25">
      <c r="A133">
        <v>131</v>
      </c>
      <c r="B133" t="s">
        <v>114</v>
      </c>
      <c r="C133" s="1">
        <v>1E-8</v>
      </c>
      <c r="D133" t="s">
        <v>75</v>
      </c>
      <c r="E133" t="s">
        <v>25</v>
      </c>
      <c r="F133" t="s">
        <v>888</v>
      </c>
      <c r="G133" s="22">
        <v>20221214</v>
      </c>
      <c r="H133" s="61">
        <v>44910.000000231485</v>
      </c>
      <c r="I133">
        <v>7.5475863646134999E-7</v>
      </c>
      <c r="K133" s="21" t="s">
        <v>897</v>
      </c>
      <c r="L133" s="21" t="s">
        <v>890</v>
      </c>
      <c r="M133" s="21" t="s">
        <v>88</v>
      </c>
      <c r="N133" s="21" t="s">
        <v>115</v>
      </c>
      <c r="P133" t="str">
        <f t="shared" si="8"/>
        <v>LTC</v>
      </c>
      <c r="Q133">
        <f t="shared" si="9"/>
        <v>75.475863646134997</v>
      </c>
      <c r="R133">
        <v>16719.740000000002</v>
      </c>
      <c r="S133">
        <f t="shared" si="10"/>
        <v>1.6719740000000001E-4</v>
      </c>
      <c r="T133" t="str">
        <f t="shared" si="11"/>
        <v xml:space="preserve">'LTC', </v>
      </c>
      <c r="AJ133" s="4" t="s">
        <v>191</v>
      </c>
      <c r="AK133" s="45">
        <v>-11772.469434529999</v>
      </c>
      <c r="AL133">
        <v>-7433.8382730026697</v>
      </c>
      <c r="AN133" t="s">
        <v>189</v>
      </c>
      <c r="AO133" t="s">
        <v>259</v>
      </c>
      <c r="AP133">
        <v>5968</v>
      </c>
      <c r="AR133" s="4" t="s">
        <v>112</v>
      </c>
      <c r="AS133" s="43">
        <v>0.68557060000000003</v>
      </c>
    </row>
    <row r="134" spans="1:45" x14ac:dyDescent="0.25">
      <c r="A134">
        <v>132</v>
      </c>
      <c r="B134" t="s">
        <v>114</v>
      </c>
      <c r="C134" s="1">
        <v>1E-8</v>
      </c>
      <c r="D134" t="s">
        <v>75</v>
      </c>
      <c r="E134" t="s">
        <v>26</v>
      </c>
      <c r="F134" t="s">
        <v>888</v>
      </c>
      <c r="G134" s="22">
        <v>20221214</v>
      </c>
      <c r="H134" s="61">
        <v>44910.000000231485</v>
      </c>
      <c r="I134">
        <v>5.5666357131219E-10</v>
      </c>
      <c r="K134" s="21" t="s">
        <v>898</v>
      </c>
      <c r="L134" s="21" t="s">
        <v>890</v>
      </c>
      <c r="M134" s="21" t="s">
        <v>88</v>
      </c>
      <c r="N134" s="21" t="s">
        <v>115</v>
      </c>
      <c r="P134" t="str">
        <f t="shared" si="8"/>
        <v>TRX</v>
      </c>
      <c r="Q134">
        <f t="shared" si="9"/>
        <v>5.5666357131219001E-2</v>
      </c>
      <c r="R134">
        <v>16719.740000000002</v>
      </c>
      <c r="S134">
        <f t="shared" si="10"/>
        <v>1.6719740000000001E-4</v>
      </c>
      <c r="T134" t="str">
        <f t="shared" si="11"/>
        <v xml:space="preserve">'TRX', </v>
      </c>
      <c r="AJ134" s="27" t="s">
        <v>88</v>
      </c>
      <c r="AK134" s="45">
        <v>10.045171009999999</v>
      </c>
      <c r="AL134">
        <v>6.3431191839808037</v>
      </c>
      <c r="AN134" t="s">
        <v>189</v>
      </c>
      <c r="AO134" t="s">
        <v>92</v>
      </c>
      <c r="AP134">
        <v>24.565999999999999</v>
      </c>
      <c r="AR134" s="4" t="s">
        <v>368</v>
      </c>
      <c r="AS134" s="43">
        <v>54.776400000000002</v>
      </c>
    </row>
    <row r="135" spans="1:45" x14ac:dyDescent="0.25">
      <c r="A135">
        <v>133</v>
      </c>
      <c r="B135" t="s">
        <v>114</v>
      </c>
      <c r="C135" s="1">
        <v>9.9999999999999995E-8</v>
      </c>
      <c r="D135" t="s">
        <v>75</v>
      </c>
      <c r="E135" t="s">
        <v>102</v>
      </c>
      <c r="F135" t="s">
        <v>888</v>
      </c>
      <c r="G135" s="22">
        <v>20221214</v>
      </c>
      <c r="H135" s="61">
        <v>44910.000000231485</v>
      </c>
      <c r="I135">
        <v>3.8641371777866901E-8</v>
      </c>
      <c r="K135" s="21" t="s">
        <v>899</v>
      </c>
      <c r="L135" s="21" t="s">
        <v>890</v>
      </c>
      <c r="M135" s="21" t="s">
        <v>88</v>
      </c>
      <c r="N135" s="21" t="s">
        <v>115</v>
      </c>
      <c r="P135" t="str">
        <f t="shared" si="8"/>
        <v>XRP</v>
      </c>
      <c r="Q135">
        <f t="shared" si="9"/>
        <v>0.38641371777866901</v>
      </c>
      <c r="R135">
        <v>5.6989999999999998</v>
      </c>
      <c r="S135">
        <f t="shared" si="10"/>
        <v>5.6989999999999993E-7</v>
      </c>
      <c r="T135" t="str">
        <f t="shared" si="11"/>
        <v xml:space="preserve">'XRP', </v>
      </c>
      <c r="AJ135" s="27" t="s">
        <v>198</v>
      </c>
      <c r="AK135" s="45">
        <v>-11782.51460554</v>
      </c>
      <c r="AL135">
        <v>-7440.1813921866506</v>
      </c>
      <c r="AN135" t="s">
        <v>189</v>
      </c>
      <c r="AO135" t="s">
        <v>92</v>
      </c>
      <c r="AP135">
        <v>52.134156330000003</v>
      </c>
      <c r="AR135" s="4" t="s">
        <v>138</v>
      </c>
      <c r="AS135" s="43">
        <v>100.03406049</v>
      </c>
    </row>
    <row r="136" spans="1:45" x14ac:dyDescent="0.25">
      <c r="A136">
        <v>134</v>
      </c>
      <c r="B136" t="s">
        <v>41</v>
      </c>
      <c r="C136" s="1">
        <v>5.7406599999999999E-3</v>
      </c>
      <c r="D136" t="s">
        <v>75</v>
      </c>
      <c r="E136" t="s">
        <v>87</v>
      </c>
      <c r="F136" t="s">
        <v>900</v>
      </c>
      <c r="G136" s="22">
        <v>20221214</v>
      </c>
      <c r="H136" s="61">
        <v>44910.000000891203</v>
      </c>
      <c r="I136">
        <v>1.7688939747817301E-3</v>
      </c>
      <c r="K136" s="21" t="s">
        <v>889</v>
      </c>
      <c r="L136" s="21" t="s">
        <v>890</v>
      </c>
      <c r="M136" s="21" t="s">
        <v>88</v>
      </c>
      <c r="N136" s="21" t="s">
        <v>115</v>
      </c>
      <c r="P136" t="str">
        <f t="shared" si="8"/>
        <v>ADA</v>
      </c>
      <c r="Q136">
        <f t="shared" si="9"/>
        <v>0.30813425194694166</v>
      </c>
      <c r="R136">
        <v>19.614688999999998</v>
      </c>
      <c r="S136">
        <f t="shared" si="10"/>
        <v>0.11260126055473998</v>
      </c>
      <c r="T136" t="str">
        <f t="shared" si="11"/>
        <v xml:space="preserve">'ADA', </v>
      </c>
      <c r="AJ136" s="4" t="s">
        <v>192</v>
      </c>
      <c r="AK136" s="45">
        <v>3.0861679999999999E-2</v>
      </c>
      <c r="AL136">
        <v>0.13570357319882612</v>
      </c>
      <c r="AN136" t="s">
        <v>189</v>
      </c>
      <c r="AO136" t="s">
        <v>157</v>
      </c>
      <c r="AP136">
        <v>2.8970426800000002</v>
      </c>
      <c r="AR136" s="4" t="s">
        <v>370</v>
      </c>
      <c r="AS136" s="43">
        <v>5337.6979873099999</v>
      </c>
    </row>
    <row r="137" spans="1:45" x14ac:dyDescent="0.25">
      <c r="A137">
        <v>135</v>
      </c>
      <c r="B137" t="s">
        <v>41</v>
      </c>
      <c r="C137" s="1">
        <v>0.72885027999999996</v>
      </c>
      <c r="D137" t="s">
        <v>75</v>
      </c>
      <c r="E137" t="s">
        <v>21</v>
      </c>
      <c r="F137" t="s">
        <v>900</v>
      </c>
      <c r="G137" s="22">
        <v>20221214</v>
      </c>
      <c r="H137" s="61">
        <v>44910.000000891203</v>
      </c>
      <c r="I137">
        <v>79.523757825776002</v>
      </c>
      <c r="K137" s="21" t="s">
        <v>891</v>
      </c>
      <c r="L137" s="21" t="s">
        <v>890</v>
      </c>
      <c r="M137" s="21" t="s">
        <v>88</v>
      </c>
      <c r="N137" s="21" t="s">
        <v>115</v>
      </c>
      <c r="P137" t="str">
        <f t="shared" si="8"/>
        <v>BCH</v>
      </c>
      <c r="Q137">
        <f t="shared" si="9"/>
        <v>109.10849595307285</v>
      </c>
      <c r="R137">
        <v>1208.73</v>
      </c>
      <c r="S137">
        <f t="shared" si="10"/>
        <v>880.98319894439999</v>
      </c>
      <c r="T137" t="str">
        <f t="shared" si="11"/>
        <v xml:space="preserve">'BCH', </v>
      </c>
      <c r="AJ137" s="27" t="s">
        <v>88</v>
      </c>
      <c r="AK137" s="45">
        <v>3.0861679999999999E-2</v>
      </c>
      <c r="AL137">
        <v>0.13570357319882612</v>
      </c>
      <c r="AN137" t="s">
        <v>189</v>
      </c>
      <c r="AO137" t="s">
        <v>162</v>
      </c>
      <c r="AP137">
        <v>0.82786806999999996</v>
      </c>
      <c r="AR137" s="4" t="s">
        <v>371</v>
      </c>
      <c r="AS137" s="43">
        <v>3281.8687999200001</v>
      </c>
    </row>
    <row r="138" spans="1:45" x14ac:dyDescent="0.25">
      <c r="A138">
        <v>136</v>
      </c>
      <c r="B138" t="s">
        <v>41</v>
      </c>
      <c r="C138" s="1">
        <v>0.11285791000000001</v>
      </c>
      <c r="D138" t="s">
        <v>75</v>
      </c>
      <c r="E138" t="s">
        <v>116</v>
      </c>
      <c r="F138" t="s">
        <v>900</v>
      </c>
      <c r="G138" s="22">
        <v>20221214</v>
      </c>
      <c r="H138" s="61">
        <v>44910.000000891203</v>
      </c>
      <c r="I138">
        <v>5.11377458774668</v>
      </c>
      <c r="K138" s="21" t="s">
        <v>892</v>
      </c>
      <c r="L138" s="21" t="s">
        <v>890</v>
      </c>
      <c r="M138" s="21" t="s">
        <v>88</v>
      </c>
      <c r="N138" s="21" t="s">
        <v>115</v>
      </c>
      <c r="P138" t="str">
        <f t="shared" si="8"/>
        <v>BSV</v>
      </c>
      <c r="Q138">
        <f t="shared" si="9"/>
        <v>45.311618722574963</v>
      </c>
      <c r="R138">
        <v>1208.73</v>
      </c>
      <c r="S138">
        <f t="shared" si="10"/>
        <v>136.41474155430001</v>
      </c>
      <c r="T138" t="str">
        <f t="shared" si="11"/>
        <v xml:space="preserve">'BSV', </v>
      </c>
      <c r="AJ138" s="4" t="s">
        <v>16</v>
      </c>
      <c r="AK138" s="45">
        <v>1215.6422834100001</v>
      </c>
      <c r="AL138">
        <v>1485295.103757523</v>
      </c>
      <c r="AN138" t="s">
        <v>189</v>
      </c>
      <c r="AO138" t="s">
        <v>95</v>
      </c>
      <c r="AP138">
        <v>13972.219738</v>
      </c>
      <c r="AR138" s="4" t="s">
        <v>372</v>
      </c>
      <c r="AS138" s="43">
        <v>14.785856219999999</v>
      </c>
    </row>
    <row r="139" spans="1:45" x14ac:dyDescent="0.25">
      <c r="A139">
        <v>137</v>
      </c>
      <c r="B139" t="s">
        <v>41</v>
      </c>
      <c r="C139" s="1">
        <v>32.481357639999999</v>
      </c>
      <c r="D139" t="s">
        <v>75</v>
      </c>
      <c r="E139" t="s">
        <v>15</v>
      </c>
      <c r="F139" t="s">
        <v>900</v>
      </c>
      <c r="G139" s="22">
        <v>20221214</v>
      </c>
      <c r="H139" s="61">
        <v>44910.000000891203</v>
      </c>
      <c r="I139">
        <v>578676.49451792997</v>
      </c>
      <c r="K139" s="21" t="s">
        <v>893</v>
      </c>
      <c r="L139" s="21" t="s">
        <v>890</v>
      </c>
      <c r="M139" s="21" t="s">
        <v>88</v>
      </c>
      <c r="N139" s="21" t="s">
        <v>115</v>
      </c>
      <c r="P139" t="str">
        <f t="shared" si="8"/>
        <v>BTC</v>
      </c>
      <c r="Q139">
        <f t="shared" si="9"/>
        <v>17815.649854650903</v>
      </c>
      <c r="R139">
        <v>6.2919999999999998</v>
      </c>
      <c r="S139">
        <f t="shared" si="10"/>
        <v>204.37270227087998</v>
      </c>
      <c r="T139" t="str">
        <f t="shared" si="11"/>
        <v xml:space="preserve">'BTC', </v>
      </c>
      <c r="AJ139" s="27" t="s">
        <v>88</v>
      </c>
      <c r="AK139" s="45">
        <v>1215.6422834100001</v>
      </c>
      <c r="AL139">
        <v>1485295.103757523</v>
      </c>
      <c r="AN139" t="s">
        <v>189</v>
      </c>
      <c r="AO139" t="s">
        <v>95</v>
      </c>
      <c r="AP139">
        <v>21</v>
      </c>
      <c r="AR139" s="4" t="s">
        <v>373</v>
      </c>
      <c r="AS139" s="43">
        <v>0.81765067999999996</v>
      </c>
    </row>
    <row r="140" spans="1:45" x14ac:dyDescent="0.25">
      <c r="A140">
        <v>138</v>
      </c>
      <c r="B140" t="s">
        <v>41</v>
      </c>
      <c r="C140" s="1">
        <v>2.2719860000000001E-2</v>
      </c>
      <c r="D140" t="s">
        <v>93</v>
      </c>
      <c r="E140" t="s">
        <v>15</v>
      </c>
      <c r="F140" t="s">
        <v>900</v>
      </c>
      <c r="G140" s="22">
        <v>20221214</v>
      </c>
      <c r="H140" s="61">
        <v>44910.000000891203</v>
      </c>
      <c r="I140">
        <v>404.76907050668899</v>
      </c>
      <c r="K140" s="21" t="s">
        <v>893</v>
      </c>
      <c r="L140" s="21" t="s">
        <v>890</v>
      </c>
      <c r="M140" s="21" t="s">
        <v>88</v>
      </c>
      <c r="N140" s="21" t="s">
        <v>115</v>
      </c>
      <c r="P140" t="str">
        <f t="shared" si="8"/>
        <v>BTC</v>
      </c>
      <c r="Q140">
        <f t="shared" si="9"/>
        <v>17815.649854650906</v>
      </c>
      <c r="R140">
        <v>62.35</v>
      </c>
      <c r="S140">
        <f t="shared" si="10"/>
        <v>1.4165832710000001</v>
      </c>
      <c r="T140" t="str">
        <f t="shared" si="11"/>
        <v xml:space="preserve">'BTC', </v>
      </c>
      <c r="AJ140" s="4" t="s">
        <v>309</v>
      </c>
      <c r="AK140" s="45">
        <v>5625.02729593</v>
      </c>
      <c r="AL140">
        <v>0</v>
      </c>
      <c r="AN140" t="s">
        <v>189</v>
      </c>
      <c r="AO140" t="s">
        <v>95</v>
      </c>
      <c r="AP140">
        <v>1006533.600838</v>
      </c>
      <c r="AR140" s="4" t="s">
        <v>374</v>
      </c>
      <c r="AS140" s="43">
        <v>9.1121815000000002</v>
      </c>
    </row>
    <row r="141" spans="1:45" x14ac:dyDescent="0.25">
      <c r="A141">
        <v>139</v>
      </c>
      <c r="B141" t="s">
        <v>41</v>
      </c>
      <c r="C141" s="1">
        <v>0.97764076</v>
      </c>
      <c r="D141" t="s">
        <v>75</v>
      </c>
      <c r="E141" t="s">
        <v>23</v>
      </c>
      <c r="F141" t="s">
        <v>900</v>
      </c>
      <c r="G141" s="22">
        <v>20221214</v>
      </c>
      <c r="H141" s="61">
        <v>44910.000000891203</v>
      </c>
      <c r="I141">
        <v>5.0986016244932602</v>
      </c>
      <c r="K141" s="21" t="s">
        <v>901</v>
      </c>
      <c r="L141" s="21" t="s">
        <v>890</v>
      </c>
      <c r="M141" s="21" t="s">
        <v>88</v>
      </c>
      <c r="N141" s="21" t="s">
        <v>115</v>
      </c>
      <c r="P141" t="str">
        <f t="shared" si="8"/>
        <v>DOT</v>
      </c>
      <c r="Q141">
        <f t="shared" si="9"/>
        <v>5.2152097509654363</v>
      </c>
      <c r="R141">
        <v>9.1027119999999996E-6</v>
      </c>
      <c r="S141">
        <f t="shared" si="10"/>
        <v>8.8991822777411194E-6</v>
      </c>
      <c r="T141" t="str">
        <f t="shared" si="11"/>
        <v xml:space="preserve">'DOT', </v>
      </c>
      <c r="AJ141" s="27" t="s">
        <v>88</v>
      </c>
      <c r="AK141" s="45">
        <v>5625.02729593</v>
      </c>
      <c r="AL141">
        <v>0</v>
      </c>
      <c r="AN141" t="s">
        <v>189</v>
      </c>
      <c r="AO141" t="s">
        <v>95</v>
      </c>
      <c r="AP141">
        <v>60000</v>
      </c>
      <c r="AR141" s="4" t="s">
        <v>44</v>
      </c>
      <c r="AS141" s="43">
        <v>5</v>
      </c>
    </row>
    <row r="142" spans="1:45" x14ac:dyDescent="0.25">
      <c r="A142">
        <v>140</v>
      </c>
      <c r="B142" t="s">
        <v>41</v>
      </c>
      <c r="C142" s="1">
        <v>3.7085149999999997E-2</v>
      </c>
      <c r="D142" t="s">
        <v>75</v>
      </c>
      <c r="E142" t="s">
        <v>24</v>
      </c>
      <c r="F142" t="s">
        <v>900</v>
      </c>
      <c r="G142" s="22">
        <v>20221214</v>
      </c>
      <c r="H142" s="61">
        <v>44910.000000891203</v>
      </c>
      <c r="I142">
        <v>3.6270067974386699E-2</v>
      </c>
      <c r="K142" s="21" t="s">
        <v>894</v>
      </c>
      <c r="L142" s="21" t="s">
        <v>890</v>
      </c>
      <c r="M142" s="21" t="s">
        <v>88</v>
      </c>
      <c r="N142" s="21" t="s">
        <v>115</v>
      </c>
      <c r="P142" t="str">
        <f t="shared" si="8"/>
        <v>EOS</v>
      </c>
      <c r="Q142">
        <f t="shared" si="9"/>
        <v>0.97802133669101254</v>
      </c>
      <c r="R142">
        <v>5.0092902000000002E-2</v>
      </c>
      <c r="S142">
        <f t="shared" si="10"/>
        <v>1.8577027846052999E-3</v>
      </c>
      <c r="T142" t="str">
        <f t="shared" si="11"/>
        <v xml:space="preserve">'EOS', </v>
      </c>
      <c r="AJ142" s="4" t="s">
        <v>310</v>
      </c>
      <c r="AK142" s="45">
        <v>5968</v>
      </c>
      <c r="AL142">
        <v>0</v>
      </c>
      <c r="AN142" t="s">
        <v>189</v>
      </c>
      <c r="AO142" t="s">
        <v>337</v>
      </c>
      <c r="AP142">
        <v>35119.677000000003</v>
      </c>
      <c r="AR142" s="4" t="s">
        <v>376</v>
      </c>
      <c r="AS142" s="43">
        <v>0.24234807999999999</v>
      </c>
    </row>
    <row r="143" spans="1:45" x14ac:dyDescent="0.25">
      <c r="A143">
        <v>141</v>
      </c>
      <c r="B143" t="s">
        <v>41</v>
      </c>
      <c r="C143" s="1">
        <v>0.70701212999999996</v>
      </c>
      <c r="D143" t="s">
        <v>75</v>
      </c>
      <c r="E143" t="s">
        <v>30</v>
      </c>
      <c r="F143" t="s">
        <v>900</v>
      </c>
      <c r="G143" s="22">
        <v>20221214</v>
      </c>
      <c r="H143" s="61">
        <v>44910.000000891203</v>
      </c>
      <c r="I143">
        <v>13.283122765137</v>
      </c>
      <c r="K143" s="21" t="s">
        <v>895</v>
      </c>
      <c r="L143" s="21" t="s">
        <v>890</v>
      </c>
      <c r="M143" s="21" t="s">
        <v>88</v>
      </c>
      <c r="N143" s="21" t="s">
        <v>115</v>
      </c>
      <c r="P143" t="str">
        <f t="shared" si="8"/>
        <v>ETC</v>
      </c>
      <c r="Q143">
        <f t="shared" si="9"/>
        <v>18.787687228417141</v>
      </c>
      <c r="R143">
        <v>0.38471588000000001</v>
      </c>
      <c r="S143">
        <f t="shared" si="10"/>
        <v>0.2719987937636244</v>
      </c>
      <c r="T143" t="str">
        <f t="shared" si="11"/>
        <v xml:space="preserve">'ETC', </v>
      </c>
      <c r="AJ143" s="27" t="s">
        <v>88</v>
      </c>
      <c r="AK143" s="45">
        <v>5968</v>
      </c>
      <c r="AL143">
        <v>0</v>
      </c>
      <c r="AN143" t="s">
        <v>189</v>
      </c>
      <c r="AO143" t="s">
        <v>260</v>
      </c>
      <c r="AP143">
        <v>7.9373880867000004</v>
      </c>
      <c r="AR143" s="4" t="s">
        <v>377</v>
      </c>
      <c r="AS143" s="43">
        <v>1E-8</v>
      </c>
    </row>
    <row r="144" spans="1:45" x14ac:dyDescent="0.25">
      <c r="A144">
        <v>142</v>
      </c>
      <c r="B144" t="s">
        <v>41</v>
      </c>
      <c r="C144" s="1">
        <v>535.83104949000005</v>
      </c>
      <c r="D144" t="s">
        <v>75</v>
      </c>
      <c r="E144" t="s">
        <v>16</v>
      </c>
      <c r="F144" t="s">
        <v>900</v>
      </c>
      <c r="G144" s="22">
        <v>20221214</v>
      </c>
      <c r="H144" s="61">
        <v>44910.000000891203</v>
      </c>
      <c r="I144">
        <v>701578.95908834203</v>
      </c>
      <c r="K144" s="21" t="s">
        <v>896</v>
      </c>
      <c r="L144" s="21" t="s">
        <v>890</v>
      </c>
      <c r="M144" s="21" t="s">
        <v>88</v>
      </c>
      <c r="N144" s="21" t="s">
        <v>115</v>
      </c>
      <c r="P144" t="str">
        <f t="shared" si="8"/>
        <v>ETH</v>
      </c>
      <c r="Q144">
        <f t="shared" si="9"/>
        <v>1309.3286769329616</v>
      </c>
      <c r="R144">
        <v>2467.3595374173997</v>
      </c>
      <c r="S144">
        <f t="shared" si="10"/>
        <v>1322087.8504035263</v>
      </c>
      <c r="T144" t="str">
        <f t="shared" si="11"/>
        <v xml:space="preserve">'ETH', </v>
      </c>
      <c r="AJ144" s="4" t="s">
        <v>315</v>
      </c>
      <c r="AK144" s="45">
        <v>931.15332089000003</v>
      </c>
      <c r="AL144">
        <v>1106399.083942621</v>
      </c>
      <c r="AN144" t="s">
        <v>189</v>
      </c>
      <c r="AO144" t="s">
        <v>166</v>
      </c>
      <c r="AP144">
        <v>1.0349904999999999</v>
      </c>
      <c r="AR144" s="4" t="s">
        <v>28</v>
      </c>
      <c r="AS144" s="43">
        <v>21654.830551119598</v>
      </c>
    </row>
    <row r="145" spans="1:45" x14ac:dyDescent="0.25">
      <c r="A145">
        <v>143</v>
      </c>
      <c r="B145" t="s">
        <v>41</v>
      </c>
      <c r="C145" s="1">
        <v>-3.7039113700000001</v>
      </c>
      <c r="D145" t="s">
        <v>93</v>
      </c>
      <c r="E145" t="s">
        <v>16</v>
      </c>
      <c r="F145" t="s">
        <v>900</v>
      </c>
      <c r="G145" s="22">
        <v>20221214</v>
      </c>
      <c r="H145" s="61">
        <v>44910.000000891203</v>
      </c>
      <c r="I145">
        <v>-4849.6373735590496</v>
      </c>
      <c r="K145" s="21" t="s">
        <v>896</v>
      </c>
      <c r="L145" s="21" t="s">
        <v>890</v>
      </c>
      <c r="M145" s="21" t="s">
        <v>88</v>
      </c>
      <c r="N145" s="21" t="s">
        <v>115</v>
      </c>
      <c r="P145" t="str">
        <f t="shared" si="8"/>
        <v>ETH</v>
      </c>
      <c r="Q145">
        <f t="shared" si="9"/>
        <v>1309.3286769329607</v>
      </c>
      <c r="R145">
        <v>0.9994019011090044</v>
      </c>
      <c r="S145">
        <f t="shared" si="10"/>
        <v>-3.701696064717257</v>
      </c>
      <c r="T145" t="str">
        <f t="shared" si="11"/>
        <v xml:space="preserve">'ETH', </v>
      </c>
      <c r="AJ145" s="27" t="s">
        <v>88</v>
      </c>
      <c r="AK145" s="45">
        <v>931.15332089000003</v>
      </c>
      <c r="AL145">
        <v>1106399.083942621</v>
      </c>
      <c r="AN145" t="s">
        <v>189</v>
      </c>
      <c r="AO145" t="s">
        <v>166</v>
      </c>
      <c r="AP145">
        <v>1</v>
      </c>
      <c r="AR145" s="4" t="s">
        <v>379</v>
      </c>
      <c r="AS145" s="43">
        <v>4.3289484800000002</v>
      </c>
    </row>
    <row r="146" spans="1:45" x14ac:dyDescent="0.25">
      <c r="A146">
        <v>144</v>
      </c>
      <c r="B146" t="s">
        <v>41</v>
      </c>
      <c r="C146" s="1">
        <v>6.244243E-2</v>
      </c>
      <c r="D146" t="s">
        <v>75</v>
      </c>
      <c r="E146" t="s">
        <v>28</v>
      </c>
      <c r="F146" t="s">
        <v>900</v>
      </c>
      <c r="G146" s="22">
        <v>20221214</v>
      </c>
      <c r="H146" s="61">
        <v>44910.000000891203</v>
      </c>
      <c r="I146">
        <v>0.420164374968233</v>
      </c>
      <c r="K146" s="21" t="s">
        <v>902</v>
      </c>
      <c r="L146" s="21" t="s">
        <v>890</v>
      </c>
      <c r="M146" s="21" t="s">
        <v>88</v>
      </c>
      <c r="N146" s="21" t="s">
        <v>115</v>
      </c>
      <c r="P146" t="str">
        <f t="shared" si="8"/>
        <v>LINK</v>
      </c>
      <c r="Q146">
        <f t="shared" si="9"/>
        <v>6.7288280575921373</v>
      </c>
      <c r="R146">
        <v>0.99940190110900451</v>
      </c>
      <c r="S146">
        <f t="shared" si="10"/>
        <v>6.2405083251865938E-2</v>
      </c>
      <c r="T146" t="str">
        <f t="shared" si="11"/>
        <v xml:space="preserve">'LINK', </v>
      </c>
      <c r="AJ146" s="4" t="s">
        <v>95</v>
      </c>
      <c r="AK146" s="45">
        <v>1092529.0834579999</v>
      </c>
      <c r="AL146">
        <v>1092678.0388749989</v>
      </c>
      <c r="AN146" t="s">
        <v>189</v>
      </c>
      <c r="AO146" t="s">
        <v>102</v>
      </c>
      <c r="AP146">
        <v>10</v>
      </c>
      <c r="AR146" s="4" t="s">
        <v>25</v>
      </c>
      <c r="AS146" s="43">
        <v>5537.0213730553005</v>
      </c>
    </row>
    <row r="147" spans="1:45" x14ac:dyDescent="0.25">
      <c r="A147">
        <v>145</v>
      </c>
      <c r="B147" t="s">
        <v>41</v>
      </c>
      <c r="C147" s="1">
        <v>7.1564416099999999</v>
      </c>
      <c r="D147" t="s">
        <v>75</v>
      </c>
      <c r="E147" t="s">
        <v>25</v>
      </c>
      <c r="F147" t="s">
        <v>900</v>
      </c>
      <c r="G147" s="22">
        <v>20221214</v>
      </c>
      <c r="H147" s="61">
        <v>44910.000000891203</v>
      </c>
      <c r="I147">
        <v>540.13861114788597</v>
      </c>
      <c r="K147" s="21" t="s">
        <v>897</v>
      </c>
      <c r="L147" s="21" t="s">
        <v>890</v>
      </c>
      <c r="M147" s="21" t="s">
        <v>88</v>
      </c>
      <c r="N147" s="21" t="s">
        <v>115</v>
      </c>
      <c r="P147" t="str">
        <f t="shared" si="8"/>
        <v>LTC</v>
      </c>
      <c r="Q147">
        <f t="shared" si="9"/>
        <v>75.475863646134883</v>
      </c>
      <c r="R147">
        <v>16719.740000000002</v>
      </c>
      <c r="S147">
        <f t="shared" si="10"/>
        <v>119653.84304438141</v>
      </c>
      <c r="T147" t="str">
        <f t="shared" si="11"/>
        <v xml:space="preserve">'LTC', </v>
      </c>
      <c r="AJ147" s="27" t="s">
        <v>88</v>
      </c>
      <c r="AK147" s="45">
        <v>1092529.0834579999</v>
      </c>
      <c r="AL147">
        <v>1092678.0388749989</v>
      </c>
      <c r="AN147" t="s">
        <v>189</v>
      </c>
      <c r="AO147" t="s">
        <v>102</v>
      </c>
      <c r="AP147">
        <v>183.58995200000001</v>
      </c>
      <c r="AR147" s="4" t="s">
        <v>381</v>
      </c>
      <c r="AS147" s="43">
        <v>0.66495972999999997</v>
      </c>
    </row>
    <row r="148" spans="1:45" x14ac:dyDescent="0.25">
      <c r="A148">
        <v>146</v>
      </c>
      <c r="B148" t="s">
        <v>41</v>
      </c>
      <c r="C148" s="1">
        <v>0.95766242000000001</v>
      </c>
      <c r="D148" t="s">
        <v>75</v>
      </c>
      <c r="E148" t="s">
        <v>26</v>
      </c>
      <c r="F148" t="s">
        <v>900</v>
      </c>
      <c r="G148" s="22">
        <v>20221214</v>
      </c>
      <c r="H148" s="61">
        <v>44910.000000891203</v>
      </c>
      <c r="I148">
        <v>5.3309578282867497E-2</v>
      </c>
      <c r="K148" s="21" t="s">
        <v>898</v>
      </c>
      <c r="L148" s="21" t="s">
        <v>890</v>
      </c>
      <c r="M148" s="21" t="s">
        <v>88</v>
      </c>
      <c r="N148" s="21" t="s">
        <v>115</v>
      </c>
      <c r="P148" t="str">
        <f t="shared" si="8"/>
        <v>TRX</v>
      </c>
      <c r="Q148">
        <f t="shared" si="9"/>
        <v>5.5666357131219056E-2</v>
      </c>
      <c r="R148">
        <v>0.99940190110900462</v>
      </c>
      <c r="S148">
        <f t="shared" si="10"/>
        <v>0.95708964316865008</v>
      </c>
      <c r="T148" t="str">
        <f t="shared" si="11"/>
        <v xml:space="preserve">'TRX', </v>
      </c>
      <c r="AJ148" s="4" t="s">
        <v>260</v>
      </c>
      <c r="AK148" s="45">
        <v>47.937388089999999</v>
      </c>
      <c r="AL148">
        <v>58522.658123711968</v>
      </c>
      <c r="AN148" t="s">
        <v>189</v>
      </c>
      <c r="AO148" t="s">
        <v>102</v>
      </c>
      <c r="AP148">
        <v>20</v>
      </c>
      <c r="AR148" s="4" t="s">
        <v>195</v>
      </c>
      <c r="AS148" s="43">
        <v>0.34</v>
      </c>
    </row>
    <row r="149" spans="1:45" x14ac:dyDescent="0.25">
      <c r="A149">
        <v>147</v>
      </c>
      <c r="B149" t="s">
        <v>41</v>
      </c>
      <c r="C149" s="1">
        <v>0.54364484000000002</v>
      </c>
      <c r="D149" t="s">
        <v>75</v>
      </c>
      <c r="E149" t="s">
        <v>102</v>
      </c>
      <c r="F149" t="s">
        <v>900</v>
      </c>
      <c r="G149" s="22">
        <v>20221214</v>
      </c>
      <c r="H149" s="61">
        <v>44910.000000891203</v>
      </c>
      <c r="I149">
        <v>0.210071823775589</v>
      </c>
      <c r="K149" s="21" t="s">
        <v>899</v>
      </c>
      <c r="L149" s="21" t="s">
        <v>890</v>
      </c>
      <c r="M149" s="21" t="s">
        <v>88</v>
      </c>
      <c r="N149" s="21" t="s">
        <v>115</v>
      </c>
      <c r="P149" t="str">
        <f t="shared" si="8"/>
        <v>XRP</v>
      </c>
      <c r="Q149">
        <f t="shared" si="9"/>
        <v>0.38641371777866779</v>
      </c>
      <c r="R149">
        <v>5.896471216543126E-4</v>
      </c>
      <c r="S149">
        <f t="shared" si="10"/>
        <v>3.2055861510821933E-4</v>
      </c>
      <c r="T149" t="str">
        <f t="shared" si="11"/>
        <v xml:space="preserve">'XRP', </v>
      </c>
      <c r="AJ149" s="27" t="s">
        <v>88</v>
      </c>
      <c r="AK149" s="45">
        <v>47.937388089999999</v>
      </c>
      <c r="AL149">
        <v>58522.658123711968</v>
      </c>
      <c r="AN149" t="s">
        <v>189</v>
      </c>
      <c r="AO149" t="s">
        <v>102</v>
      </c>
      <c r="AP149">
        <v>19.999987999999998</v>
      </c>
      <c r="AR149" s="4" t="s">
        <v>383</v>
      </c>
      <c r="AS149" s="43">
        <v>0.89105878000000005</v>
      </c>
    </row>
    <row r="150" spans="1:45" x14ac:dyDescent="0.25">
      <c r="A150">
        <v>148</v>
      </c>
      <c r="B150" t="s">
        <v>728</v>
      </c>
      <c r="C150" s="1">
        <v>9.9829999999999998E-5</v>
      </c>
      <c r="E150" t="s">
        <v>15</v>
      </c>
      <c r="F150">
        <v>0</v>
      </c>
      <c r="G150" s="22">
        <v>20221214</v>
      </c>
      <c r="H150" s="61">
        <v>44910.000002743058</v>
      </c>
      <c r="I150">
        <v>1.7785363249898001</v>
      </c>
      <c r="K150" s="21" t="s">
        <v>903</v>
      </c>
      <c r="L150" s="21" t="s">
        <v>904</v>
      </c>
      <c r="M150" s="21" t="s">
        <v>88</v>
      </c>
      <c r="N150" s="21" t="s">
        <v>302</v>
      </c>
      <c r="P150" t="str">
        <f t="shared" si="8"/>
        <v>BTC</v>
      </c>
      <c r="Q150">
        <f t="shared" si="9"/>
        <v>17815.649854650906</v>
      </c>
      <c r="R150">
        <v>0.32653653999999999</v>
      </c>
      <c r="S150">
        <f t="shared" si="10"/>
        <v>3.2598142788200001E-5</v>
      </c>
      <c r="T150" t="str">
        <f t="shared" si="11"/>
        <v xml:space="preserve">'BTC', </v>
      </c>
      <c r="AJ150" s="3" t="s">
        <v>33</v>
      </c>
      <c r="AK150" s="45">
        <v>174960.64689599999</v>
      </c>
      <c r="AL150">
        <v>174984.50103087971</v>
      </c>
      <c r="AN150" t="s">
        <v>189</v>
      </c>
      <c r="AO150" t="s">
        <v>102</v>
      </c>
      <c r="AP150">
        <v>20.099976000000002</v>
      </c>
      <c r="AR150" s="4" t="s">
        <v>384</v>
      </c>
      <c r="AS150" s="43">
        <v>40.704174029999997</v>
      </c>
    </row>
    <row r="151" spans="1:45" x14ac:dyDescent="0.25">
      <c r="A151">
        <v>149</v>
      </c>
      <c r="B151" t="s">
        <v>728</v>
      </c>
      <c r="C151" s="1">
        <v>10195.084654329999</v>
      </c>
      <c r="E151" t="s">
        <v>39</v>
      </c>
      <c r="F151">
        <v>0</v>
      </c>
      <c r="G151" s="22">
        <v>20221214</v>
      </c>
      <c r="H151" s="61">
        <v>44910.000002743058</v>
      </c>
      <c r="I151">
        <v>10196.159321512099</v>
      </c>
      <c r="K151" s="21" t="s">
        <v>905</v>
      </c>
      <c r="L151" s="21" t="s">
        <v>904</v>
      </c>
      <c r="M151" s="21" t="s">
        <v>88</v>
      </c>
      <c r="N151" s="21" t="s">
        <v>302</v>
      </c>
      <c r="P151" t="str">
        <f t="shared" si="8"/>
        <v>USDT</v>
      </c>
      <c r="Q151">
        <f t="shared" si="9"/>
        <v>1.0001054103245375</v>
      </c>
      <c r="R151">
        <v>0.26910000000000001</v>
      </c>
      <c r="S151">
        <f t="shared" si="10"/>
        <v>2743.4972804802028</v>
      </c>
      <c r="T151" t="str">
        <f t="shared" si="11"/>
        <v xml:space="preserve">'USDT', </v>
      </c>
      <c r="AJ151" s="4" t="s">
        <v>95</v>
      </c>
      <c r="AK151" s="45">
        <v>174960.64689599999</v>
      </c>
      <c r="AL151">
        <v>174984.50103087971</v>
      </c>
      <c r="AN151" t="s">
        <v>189</v>
      </c>
      <c r="AO151" t="s">
        <v>174</v>
      </c>
      <c r="AP151">
        <v>7.66849E-3</v>
      </c>
      <c r="AR151" s="4" t="s">
        <v>385</v>
      </c>
      <c r="AS151" s="43">
        <v>3013993111.0959401</v>
      </c>
    </row>
    <row r="152" spans="1:45" x14ac:dyDescent="0.25">
      <c r="A152">
        <v>150</v>
      </c>
      <c r="B152" t="s">
        <v>296</v>
      </c>
      <c r="C152" s="1">
        <v>1.899957E-2</v>
      </c>
      <c r="E152" t="s">
        <v>15</v>
      </c>
      <c r="F152" t="s">
        <v>906</v>
      </c>
      <c r="G152" s="22">
        <v>20221214</v>
      </c>
      <c r="H152" s="61">
        <v>44910.000004710651</v>
      </c>
      <c r="I152">
        <v>338.48968650892903</v>
      </c>
      <c r="K152" s="21" t="s">
        <v>903</v>
      </c>
      <c r="L152" s="21" t="s">
        <v>904</v>
      </c>
      <c r="M152" s="21" t="s">
        <v>88</v>
      </c>
      <c r="N152" s="21" t="s">
        <v>302</v>
      </c>
      <c r="P152" t="str">
        <f t="shared" si="8"/>
        <v>BTC</v>
      </c>
      <c r="Q152">
        <f t="shared" si="9"/>
        <v>17815.64985465087</v>
      </c>
      <c r="R152">
        <v>2.6713635478310818E-2</v>
      </c>
      <c r="S152">
        <f t="shared" si="10"/>
        <v>5.0754758722464989E-4</v>
      </c>
      <c r="T152" t="str">
        <f t="shared" si="11"/>
        <v xml:space="preserve">'BTC', </v>
      </c>
      <c r="AJ152" s="27" t="s">
        <v>88</v>
      </c>
      <c r="AK152" s="45">
        <v>174960.64689599999</v>
      </c>
      <c r="AL152">
        <v>174984.50103087971</v>
      </c>
      <c r="AN152" t="s">
        <v>218</v>
      </c>
      <c r="AO152" t="s">
        <v>87</v>
      </c>
      <c r="AP152" s="29">
        <v>9.6999999999999992E-9</v>
      </c>
      <c r="AR152" s="4" t="s">
        <v>386</v>
      </c>
      <c r="AS152" s="43">
        <v>4.3068300000000002E-3</v>
      </c>
    </row>
    <row r="153" spans="1:45" x14ac:dyDescent="0.25">
      <c r="A153">
        <v>151</v>
      </c>
      <c r="B153" t="s">
        <v>296</v>
      </c>
      <c r="C153" s="1">
        <v>9.9825000000000001E-4</v>
      </c>
      <c r="E153" t="s">
        <v>297</v>
      </c>
      <c r="F153" t="s">
        <v>906</v>
      </c>
      <c r="G153" s="22">
        <v>20221214</v>
      </c>
      <c r="H153" s="61">
        <v>44910.000004710651</v>
      </c>
      <c r="I153">
        <v>2.29614119617888E-4</v>
      </c>
      <c r="K153" s="21" t="s">
        <v>907</v>
      </c>
      <c r="L153" s="21" t="s">
        <v>904</v>
      </c>
      <c r="M153" s="21" t="s">
        <v>88</v>
      </c>
      <c r="N153" s="21" t="s">
        <v>302</v>
      </c>
      <c r="P153" t="str">
        <f t="shared" si="8"/>
        <v>ETHF</v>
      </c>
      <c r="Q153">
        <f t="shared" si="9"/>
        <v>0.2300166487532061</v>
      </c>
      <c r="R153">
        <v>9.9934670000000008</v>
      </c>
      <c r="S153">
        <f t="shared" si="10"/>
        <v>9.9759784327500007E-3</v>
      </c>
      <c r="T153" t="str">
        <f t="shared" si="11"/>
        <v xml:space="preserve">'ETHF', </v>
      </c>
      <c r="AJ153" s="3" t="s">
        <v>268</v>
      </c>
      <c r="AK153" s="45">
        <v>39244603.490000002</v>
      </c>
      <c r="AL153">
        <v>39244603.490000002</v>
      </c>
      <c r="AN153" t="s">
        <v>218</v>
      </c>
      <c r="AO153" t="s">
        <v>87</v>
      </c>
      <c r="AP153">
        <v>5.7406593000000001E-3</v>
      </c>
      <c r="AR153" s="4" t="s">
        <v>153</v>
      </c>
      <c r="AS153" s="43">
        <v>162254.56419957001</v>
      </c>
    </row>
    <row r="154" spans="1:45" x14ac:dyDescent="0.25">
      <c r="A154">
        <v>152</v>
      </c>
      <c r="B154" t="s">
        <v>296</v>
      </c>
      <c r="C154" s="1">
        <v>9.9825000000000001E-4</v>
      </c>
      <c r="E154" t="s">
        <v>275</v>
      </c>
      <c r="F154" t="s">
        <v>906</v>
      </c>
      <c r="G154" s="22">
        <v>20221214</v>
      </c>
      <c r="H154" s="61">
        <v>44910.000004710651</v>
      </c>
      <c r="I154">
        <v>3.5343162729518799E-3</v>
      </c>
      <c r="K154" s="21" t="s">
        <v>908</v>
      </c>
      <c r="L154" s="21" t="s">
        <v>904</v>
      </c>
      <c r="M154" s="21" t="s">
        <v>88</v>
      </c>
      <c r="N154" s="21" t="s">
        <v>302</v>
      </c>
      <c r="P154" t="str">
        <f t="shared" si="8"/>
        <v>ETHW</v>
      </c>
      <c r="Q154">
        <f t="shared" si="9"/>
        <v>3.5405121692480641</v>
      </c>
      <c r="R154">
        <v>13.03</v>
      </c>
      <c r="S154">
        <f t="shared" si="10"/>
        <v>1.30071975E-2</v>
      </c>
      <c r="T154" t="str">
        <f t="shared" si="11"/>
        <v xml:space="preserve">'ETHW', </v>
      </c>
      <c r="AJ154" s="4" t="s">
        <v>98</v>
      </c>
      <c r="AK154" s="45">
        <v>39244603.490000002</v>
      </c>
      <c r="AL154">
        <v>39244603.490000002</v>
      </c>
      <c r="AN154" t="s">
        <v>218</v>
      </c>
      <c r="AO154" t="s">
        <v>21</v>
      </c>
      <c r="AP154">
        <v>0.72885028029999999</v>
      </c>
      <c r="AR154" s="4" t="s">
        <v>388</v>
      </c>
      <c r="AS154" s="43">
        <v>0.34782034000000001</v>
      </c>
    </row>
    <row r="155" spans="1:45" x14ac:dyDescent="0.25">
      <c r="A155">
        <v>153</v>
      </c>
      <c r="B155" t="s">
        <v>296</v>
      </c>
      <c r="C155" s="1">
        <v>9.5929999999999998E-5</v>
      </c>
      <c r="E155" t="s">
        <v>298</v>
      </c>
      <c r="F155" t="s">
        <v>906</v>
      </c>
      <c r="G155" s="22">
        <v>20221214</v>
      </c>
      <c r="H155" s="61">
        <v>44910.000004710651</v>
      </c>
      <c r="I155">
        <v>4.2092775676247699E-6</v>
      </c>
      <c r="K155" s="21" t="s">
        <v>909</v>
      </c>
      <c r="L155" s="21" t="s">
        <v>904</v>
      </c>
      <c r="M155" s="21" t="s">
        <v>88</v>
      </c>
      <c r="N155" s="21" t="s">
        <v>302</v>
      </c>
      <c r="P155" t="str">
        <f t="shared" si="8"/>
        <v>ROSE</v>
      </c>
      <c r="Q155">
        <f t="shared" si="9"/>
        <v>4.3878636168297402E-2</v>
      </c>
      <c r="R155">
        <v>0.22422048</v>
      </c>
      <c r="S155">
        <f t="shared" si="10"/>
        <v>2.15094706464E-5</v>
      </c>
      <c r="T155" t="str">
        <f t="shared" si="11"/>
        <v xml:space="preserve">'ROSE', </v>
      </c>
      <c r="AJ155" s="27" t="s">
        <v>318</v>
      </c>
      <c r="AK155" s="45">
        <v>39244603.490000002</v>
      </c>
      <c r="AL155">
        <v>39244603.490000002</v>
      </c>
      <c r="AN155" t="s">
        <v>218</v>
      </c>
      <c r="AO155" t="s">
        <v>21</v>
      </c>
      <c r="AP155" s="29">
        <v>5.02E-8</v>
      </c>
      <c r="AR155" s="4" t="s">
        <v>92</v>
      </c>
      <c r="AS155" s="43">
        <v>956716.34132199001</v>
      </c>
    </row>
    <row r="156" spans="1:45" x14ac:dyDescent="0.25">
      <c r="A156">
        <v>154</v>
      </c>
      <c r="B156" t="s">
        <v>296</v>
      </c>
      <c r="C156" s="1">
        <v>27.162898349999999</v>
      </c>
      <c r="E156" t="s">
        <v>39</v>
      </c>
      <c r="F156" t="s">
        <v>906</v>
      </c>
      <c r="G156" s="22">
        <v>20221214</v>
      </c>
      <c r="H156" s="61">
        <v>44910.000004710651</v>
      </c>
      <c r="I156">
        <v>27.165761599930399</v>
      </c>
      <c r="K156" s="21" t="s">
        <v>905</v>
      </c>
      <c r="L156" s="21" t="s">
        <v>904</v>
      </c>
      <c r="M156" s="21" t="s">
        <v>88</v>
      </c>
      <c r="N156" s="21" t="s">
        <v>302</v>
      </c>
      <c r="P156" t="str">
        <f t="shared" si="8"/>
        <v>USDT</v>
      </c>
      <c r="Q156">
        <f t="shared" si="9"/>
        <v>1.0001054103245355</v>
      </c>
      <c r="R156">
        <v>103.98</v>
      </c>
      <c r="S156">
        <f t="shared" si="10"/>
        <v>2824.3981704329999</v>
      </c>
      <c r="T156" t="str">
        <f t="shared" si="11"/>
        <v xml:space="preserve">'USDT', </v>
      </c>
      <c r="AJ156" s="3" t="s">
        <v>189</v>
      </c>
      <c r="AK156" s="45">
        <v>5137700.5682828585</v>
      </c>
      <c r="AL156">
        <v>13414995.344821684</v>
      </c>
      <c r="AN156" t="s">
        <v>218</v>
      </c>
      <c r="AO156" t="s">
        <v>116</v>
      </c>
      <c r="AP156">
        <v>0.11285791119999999</v>
      </c>
      <c r="AR156" s="4" t="s">
        <v>390</v>
      </c>
      <c r="AS156" s="43">
        <v>3.0962099999999998E-3</v>
      </c>
    </row>
    <row r="157" spans="1:45" x14ac:dyDescent="0.25">
      <c r="A157">
        <v>155</v>
      </c>
      <c r="B157" t="s">
        <v>299</v>
      </c>
      <c r="C157" s="1">
        <v>1.995E-4</v>
      </c>
      <c r="E157" t="s">
        <v>15</v>
      </c>
      <c r="F157" t="s">
        <v>910</v>
      </c>
      <c r="G157" s="22">
        <v>20221214</v>
      </c>
      <c r="H157" s="61">
        <v>44910.000003009256</v>
      </c>
      <c r="I157">
        <v>3.55422214600285</v>
      </c>
      <c r="K157" s="21" t="s">
        <v>903</v>
      </c>
      <c r="L157" s="21" t="s">
        <v>904</v>
      </c>
      <c r="M157" s="21" t="s">
        <v>88</v>
      </c>
      <c r="N157" s="21" t="s">
        <v>302</v>
      </c>
      <c r="P157" t="str">
        <f t="shared" si="8"/>
        <v>BTC</v>
      </c>
      <c r="Q157">
        <f t="shared" si="9"/>
        <v>17815.649854650877</v>
      </c>
      <c r="R157">
        <v>8.9764533631645035E-2</v>
      </c>
      <c r="S157">
        <f t="shared" si="10"/>
        <v>1.7908024459513183E-5</v>
      </c>
      <c r="T157" t="str">
        <f t="shared" si="11"/>
        <v xml:space="preserve">'BTC', </v>
      </c>
      <c r="AJ157" s="4" t="s">
        <v>190</v>
      </c>
      <c r="AK157" s="45">
        <v>4.0782600000000002E-3</v>
      </c>
      <c r="AL157">
        <v>5.3229532250203708E-2</v>
      </c>
      <c r="AN157" t="s">
        <v>218</v>
      </c>
      <c r="AO157" t="s">
        <v>116</v>
      </c>
      <c r="AP157">
        <v>0.47315189390000001</v>
      </c>
      <c r="AR157" s="4" t="s">
        <v>391</v>
      </c>
      <c r="AS157" s="43">
        <v>2.6598900000000002E-2</v>
      </c>
    </row>
    <row r="158" spans="1:45" x14ac:dyDescent="0.25">
      <c r="A158">
        <v>156</v>
      </c>
      <c r="B158" t="s">
        <v>299</v>
      </c>
      <c r="C158" s="1">
        <v>9.9825000000000001E-4</v>
      </c>
      <c r="E158" t="s">
        <v>16</v>
      </c>
      <c r="F158" t="s">
        <v>910</v>
      </c>
      <c r="G158" s="22">
        <v>20221214</v>
      </c>
      <c r="H158" s="61">
        <v>44910.000003009256</v>
      </c>
      <c r="I158">
        <v>1.30703735174832</v>
      </c>
      <c r="K158" s="21" t="s">
        <v>911</v>
      </c>
      <c r="L158" s="21" t="s">
        <v>904</v>
      </c>
      <c r="M158" s="21" t="s">
        <v>88</v>
      </c>
      <c r="N158" s="21" t="s">
        <v>302</v>
      </c>
      <c r="P158" t="str">
        <f t="shared" si="8"/>
        <v>ETH</v>
      </c>
      <c r="Q158">
        <f t="shared" si="9"/>
        <v>1309.3286769329527</v>
      </c>
      <c r="R158">
        <v>5.7424658299678653E-2</v>
      </c>
      <c r="S158">
        <f t="shared" si="10"/>
        <v>5.7324165147654214E-5</v>
      </c>
      <c r="T158" t="str">
        <f t="shared" si="11"/>
        <v xml:space="preserve">'ETH', </v>
      </c>
      <c r="AJ158" s="27" t="s">
        <v>88</v>
      </c>
      <c r="AK158" s="45">
        <v>4.0782600000000002E-3</v>
      </c>
      <c r="AL158">
        <v>5.3229532250203708E-2</v>
      </c>
      <c r="AN158" t="s">
        <v>218</v>
      </c>
      <c r="AO158" t="s">
        <v>15</v>
      </c>
      <c r="AP158">
        <v>473.54122320379997</v>
      </c>
      <c r="AR158" s="4" t="s">
        <v>101</v>
      </c>
      <c r="AS158" s="43">
        <v>1214222.2371159999</v>
      </c>
    </row>
    <row r="159" spans="1:45" x14ac:dyDescent="0.25">
      <c r="A159">
        <v>157</v>
      </c>
      <c r="B159" t="s">
        <v>299</v>
      </c>
      <c r="C159" s="1">
        <v>59.393906000000001</v>
      </c>
      <c r="E159" t="s">
        <v>39</v>
      </c>
      <c r="F159" t="s">
        <v>910</v>
      </c>
      <c r="G159" s="22">
        <v>20221214</v>
      </c>
      <c r="H159" s="61">
        <v>44910.000003009256</v>
      </c>
      <c r="I159">
        <v>59.400166730907003</v>
      </c>
      <c r="K159" s="21" t="s">
        <v>905</v>
      </c>
      <c r="L159" s="21" t="s">
        <v>904</v>
      </c>
      <c r="M159" s="21" t="s">
        <v>88</v>
      </c>
      <c r="N159" s="21" t="s">
        <v>302</v>
      </c>
      <c r="P159" t="str">
        <f t="shared" si="8"/>
        <v>USDT</v>
      </c>
      <c r="Q159">
        <f t="shared" si="9"/>
        <v>1.0001054103245373</v>
      </c>
      <c r="R159">
        <v>0.19321272626368072</v>
      </c>
      <c r="S159">
        <f t="shared" si="10"/>
        <v>11.475658501708784</v>
      </c>
      <c r="T159" t="str">
        <f t="shared" si="11"/>
        <v xml:space="preserve">'USDT', </v>
      </c>
      <c r="AJ159" s="4" t="s">
        <v>15</v>
      </c>
      <c r="AK159" s="45">
        <v>7.9466503799999986</v>
      </c>
      <c r="AL159">
        <v>129954.4798906764</v>
      </c>
      <c r="AN159" t="s">
        <v>218</v>
      </c>
      <c r="AO159" t="s">
        <v>15</v>
      </c>
      <c r="AP159" s="29">
        <v>3.8600000000000002E-8</v>
      </c>
      <c r="AR159" s="4" t="s">
        <v>38</v>
      </c>
      <c r="AS159" s="43">
        <v>4741464068.5576315</v>
      </c>
    </row>
    <row r="160" spans="1:45" x14ac:dyDescent="0.25">
      <c r="A160">
        <v>158</v>
      </c>
      <c r="B160" t="s">
        <v>729</v>
      </c>
      <c r="C160" s="1">
        <v>10045.593615</v>
      </c>
      <c r="E160" t="s">
        <v>39</v>
      </c>
      <c r="F160">
        <v>0</v>
      </c>
      <c r="G160" s="22">
        <v>20221214</v>
      </c>
      <c r="H160" s="61">
        <v>44910.000004895832</v>
      </c>
      <c r="I160">
        <v>10046.652524283099</v>
      </c>
      <c r="K160" s="21" t="s">
        <v>905</v>
      </c>
      <c r="L160" s="21" t="s">
        <v>904</v>
      </c>
      <c r="M160" s="21" t="s">
        <v>88</v>
      </c>
      <c r="N160" s="21" t="s">
        <v>302</v>
      </c>
      <c r="P160" t="str">
        <f t="shared" si="8"/>
        <v>USDT</v>
      </c>
      <c r="Q160">
        <f t="shared" si="9"/>
        <v>1.0001054103245346</v>
      </c>
      <c r="R160">
        <v>39.841106000000003</v>
      </c>
      <c r="S160">
        <f t="shared" si="10"/>
        <v>400227.5600481382</v>
      </c>
      <c r="T160" t="str">
        <f t="shared" si="11"/>
        <v xml:space="preserve">'USDT', </v>
      </c>
      <c r="AJ160" s="27" t="s">
        <v>88</v>
      </c>
      <c r="AK160" s="45">
        <v>7.9466503799999986</v>
      </c>
      <c r="AL160">
        <v>129954.4798906764</v>
      </c>
      <c r="AN160" t="s">
        <v>218</v>
      </c>
      <c r="AO160" t="s">
        <v>23</v>
      </c>
      <c r="AP160">
        <v>0.97764076359999996</v>
      </c>
      <c r="AR160" s="4" t="s">
        <v>157</v>
      </c>
      <c r="AS160" s="43">
        <v>0.14106867000000001</v>
      </c>
    </row>
    <row r="161" spans="1:45" x14ac:dyDescent="0.25">
      <c r="A161">
        <v>159</v>
      </c>
      <c r="B161" t="s">
        <v>117</v>
      </c>
      <c r="C161" s="1">
        <v>1E-8</v>
      </c>
      <c r="E161" t="s">
        <v>39</v>
      </c>
      <c r="F161" t="s">
        <v>912</v>
      </c>
      <c r="G161" s="22">
        <v>20221214</v>
      </c>
      <c r="H161" s="61">
        <v>44909.000003009256</v>
      </c>
      <c r="I161">
        <v>1.00010541032453E-8</v>
      </c>
      <c r="K161" s="21" t="s">
        <v>913</v>
      </c>
      <c r="L161" s="21" t="s">
        <v>890</v>
      </c>
      <c r="M161" s="21" t="s">
        <v>88</v>
      </c>
      <c r="N161" s="21" t="s">
        <v>115</v>
      </c>
      <c r="P161" t="str">
        <f t="shared" si="8"/>
        <v>USDT</v>
      </c>
      <c r="Q161">
        <f t="shared" si="9"/>
        <v>1.0001054103245299</v>
      </c>
      <c r="R161">
        <v>16719.740000000002</v>
      </c>
      <c r="S161">
        <f t="shared" si="10"/>
        <v>1.6719740000000001E-4</v>
      </c>
      <c r="T161" t="str">
        <f t="shared" si="11"/>
        <v xml:space="preserve">'USDT', </v>
      </c>
      <c r="AJ161" s="4" t="s">
        <v>32</v>
      </c>
      <c r="AK161" s="45">
        <v>0.06</v>
      </c>
      <c r="AL161">
        <v>2.324678286352595</v>
      </c>
      <c r="AN161" t="s">
        <v>218</v>
      </c>
      <c r="AO161" t="s">
        <v>24</v>
      </c>
      <c r="AP161" s="29">
        <v>3.1699999999999999E-8</v>
      </c>
      <c r="AR161" s="4" t="s">
        <v>395</v>
      </c>
      <c r="AS161" s="43">
        <v>38753.774400000002</v>
      </c>
    </row>
    <row r="162" spans="1:45" x14ac:dyDescent="0.25">
      <c r="A162">
        <v>160</v>
      </c>
      <c r="B162" t="s">
        <v>117</v>
      </c>
      <c r="C162" s="1">
        <v>7.4209999999999996E-5</v>
      </c>
      <c r="E162" t="s">
        <v>102</v>
      </c>
      <c r="F162" t="s">
        <v>912</v>
      </c>
      <c r="G162" s="22">
        <v>20221214</v>
      </c>
      <c r="H162" s="61">
        <v>44909.000003009256</v>
      </c>
      <c r="I162">
        <v>2.8675761996355001E-5</v>
      </c>
      <c r="K162" s="21" t="s">
        <v>899</v>
      </c>
      <c r="L162" s="21" t="s">
        <v>890</v>
      </c>
      <c r="M162" s="21" t="s">
        <v>88</v>
      </c>
      <c r="N162" s="21" t="s">
        <v>115</v>
      </c>
      <c r="P162" t="str">
        <f t="shared" si="8"/>
        <v>XRP</v>
      </c>
      <c r="Q162">
        <f t="shared" si="9"/>
        <v>0.38641371777866867</v>
      </c>
      <c r="R162">
        <v>9.7952366466312248E-3</v>
      </c>
      <c r="S162">
        <f t="shared" si="10"/>
        <v>7.2690451154650315E-7</v>
      </c>
      <c r="T162" t="str">
        <f t="shared" si="11"/>
        <v xml:space="preserve">'XRP', </v>
      </c>
      <c r="AJ162" s="27" t="s">
        <v>88</v>
      </c>
      <c r="AK162" s="45">
        <v>0.06</v>
      </c>
      <c r="AL162">
        <v>2.324678286352595</v>
      </c>
      <c r="AN162" t="s">
        <v>218</v>
      </c>
      <c r="AO162" t="s">
        <v>24</v>
      </c>
      <c r="AP162">
        <v>3.7085151300000001E-2</v>
      </c>
      <c r="AR162" s="4" t="s">
        <v>396</v>
      </c>
      <c r="AS162" s="43">
        <v>29.76350429</v>
      </c>
    </row>
    <row r="163" spans="1:45" x14ac:dyDescent="0.25">
      <c r="A163">
        <v>161</v>
      </c>
      <c r="B163" t="s">
        <v>118</v>
      </c>
      <c r="C163" s="1">
        <v>1E-8</v>
      </c>
      <c r="E163" t="s">
        <v>87</v>
      </c>
      <c r="F163" t="s">
        <v>912</v>
      </c>
      <c r="G163" s="22">
        <v>20221214</v>
      </c>
      <c r="H163" s="61">
        <v>44910.000001273147</v>
      </c>
      <c r="I163">
        <v>3.0813425194694101E-9</v>
      </c>
      <c r="K163" s="21" t="s">
        <v>889</v>
      </c>
      <c r="L163" s="21" t="s">
        <v>890</v>
      </c>
      <c r="M163" s="21" t="s">
        <v>88</v>
      </c>
      <c r="N163" s="21" t="s">
        <v>115</v>
      </c>
      <c r="P163" t="str">
        <f t="shared" si="8"/>
        <v>ADA</v>
      </c>
      <c r="Q163">
        <f t="shared" si="9"/>
        <v>0.308134251946941</v>
      </c>
      <c r="R163">
        <v>6.6802390639210002E-7</v>
      </c>
      <c r="S163">
        <f t="shared" si="10"/>
        <v>6.680239063921E-15</v>
      </c>
      <c r="T163" t="str">
        <f t="shared" si="11"/>
        <v xml:space="preserve">'ADA', </v>
      </c>
      <c r="AJ163" s="4" t="s">
        <v>23</v>
      </c>
      <c r="AK163" s="45">
        <v>2.0019999999999998</v>
      </c>
      <c r="AL163">
        <v>11.51800243241007</v>
      </c>
      <c r="AN163" t="s">
        <v>218</v>
      </c>
      <c r="AO163" t="s">
        <v>30</v>
      </c>
      <c r="AP163" s="29">
        <v>6.1E-9</v>
      </c>
      <c r="AR163" s="4" t="s">
        <v>26</v>
      </c>
      <c r="AS163" s="43">
        <v>19672493.710447378</v>
      </c>
    </row>
    <row r="164" spans="1:45" x14ac:dyDescent="0.25">
      <c r="A164">
        <v>162</v>
      </c>
      <c r="B164" t="s">
        <v>118</v>
      </c>
      <c r="C164" s="1">
        <v>1E-8</v>
      </c>
      <c r="E164" t="s">
        <v>21</v>
      </c>
      <c r="F164" t="s">
        <v>912</v>
      </c>
      <c r="G164" s="22">
        <v>20221214</v>
      </c>
      <c r="H164" s="61">
        <v>44910.000001273147</v>
      </c>
      <c r="I164">
        <v>1.0910849595307199E-6</v>
      </c>
      <c r="K164" s="21" t="s">
        <v>891</v>
      </c>
      <c r="L164" s="21" t="s">
        <v>890</v>
      </c>
      <c r="M164" s="21" t="s">
        <v>88</v>
      </c>
      <c r="N164" s="21" t="s">
        <v>115</v>
      </c>
      <c r="P164" t="str">
        <f t="shared" si="8"/>
        <v>BCH</v>
      </c>
      <c r="Q164">
        <f t="shared" si="9"/>
        <v>109.10849595307199</v>
      </c>
      <c r="R164">
        <v>3.5043787696136227E-3</v>
      </c>
      <c r="S164">
        <f t="shared" si="10"/>
        <v>3.5043787696136228E-11</v>
      </c>
      <c r="T164" t="str">
        <f t="shared" si="11"/>
        <v xml:space="preserve">'BCH', </v>
      </c>
      <c r="AJ164" s="27" t="s">
        <v>88</v>
      </c>
      <c r="AK164" s="45">
        <v>2.0019999999999998</v>
      </c>
      <c r="AL164">
        <v>11.51800243241007</v>
      </c>
      <c r="AN164" t="s">
        <v>218</v>
      </c>
      <c r="AO164" t="s">
        <v>30</v>
      </c>
      <c r="AP164">
        <v>0.70701212930000001</v>
      </c>
      <c r="AR164" s="4" t="s">
        <v>398</v>
      </c>
      <c r="AS164" s="43">
        <v>6.3152970000000003E-2</v>
      </c>
    </row>
    <row r="165" spans="1:45" x14ac:dyDescent="0.25">
      <c r="A165">
        <v>163</v>
      </c>
      <c r="B165" t="s">
        <v>118</v>
      </c>
      <c r="C165" s="1">
        <v>1E-8</v>
      </c>
      <c r="E165" t="s">
        <v>116</v>
      </c>
      <c r="F165" t="s">
        <v>912</v>
      </c>
      <c r="G165" s="22">
        <v>20221214</v>
      </c>
      <c r="H165" s="61">
        <v>44910.000001273147</v>
      </c>
      <c r="I165">
        <v>4.5311618722575001E-7</v>
      </c>
      <c r="K165" s="21" t="s">
        <v>892</v>
      </c>
      <c r="L165" s="21" t="s">
        <v>890</v>
      </c>
      <c r="M165" s="21" t="s">
        <v>88</v>
      </c>
      <c r="N165" s="21" t="s">
        <v>115</v>
      </c>
      <c r="P165" t="str">
        <f t="shared" si="8"/>
        <v>BSV</v>
      </c>
      <c r="Q165">
        <f t="shared" si="9"/>
        <v>45.311618722574998</v>
      </c>
      <c r="R165">
        <v>39.366320000000002</v>
      </c>
      <c r="S165">
        <f t="shared" si="10"/>
        <v>3.9366320000000001E-7</v>
      </c>
      <c r="T165" t="str">
        <f t="shared" si="11"/>
        <v xml:space="preserve">'BSV', </v>
      </c>
      <c r="AJ165" s="4" t="s">
        <v>24</v>
      </c>
      <c r="AK165" s="45">
        <v>3.5000000000000001E-3</v>
      </c>
      <c r="AL165">
        <v>3.1029820830361511E-3</v>
      </c>
      <c r="AN165" t="s">
        <v>218</v>
      </c>
      <c r="AO165" t="s">
        <v>16</v>
      </c>
      <c r="AP165" s="29">
        <v>2.8600000000000001E-8</v>
      </c>
      <c r="AR165" s="4" t="s">
        <v>399</v>
      </c>
      <c r="AS165" s="43">
        <v>20</v>
      </c>
    </row>
    <row r="166" spans="1:45" x14ac:dyDescent="0.25">
      <c r="A166">
        <v>164</v>
      </c>
      <c r="B166" t="s">
        <v>118</v>
      </c>
      <c r="C166" s="1">
        <v>1E-8</v>
      </c>
      <c r="E166" t="s">
        <v>24</v>
      </c>
      <c r="F166" t="s">
        <v>912</v>
      </c>
      <c r="G166" s="22">
        <v>20221214</v>
      </c>
      <c r="H166" s="61">
        <v>44910.000001273147</v>
      </c>
      <c r="I166">
        <v>9.7802133669101293E-9</v>
      </c>
      <c r="K166" s="21" t="s">
        <v>894</v>
      </c>
      <c r="L166" s="21" t="s">
        <v>890</v>
      </c>
      <c r="M166" s="21" t="s">
        <v>88</v>
      </c>
      <c r="N166" s="21" t="s">
        <v>115</v>
      </c>
      <c r="P166" t="str">
        <f t="shared" si="8"/>
        <v>EOS</v>
      </c>
      <c r="Q166">
        <f t="shared" si="9"/>
        <v>0.97802133669101288</v>
      </c>
      <c r="R166">
        <v>7.0300000000000001E-2</v>
      </c>
      <c r="S166">
        <f t="shared" si="10"/>
        <v>7.0300000000000005E-10</v>
      </c>
      <c r="T166" t="str">
        <f t="shared" si="11"/>
        <v xml:space="preserve">'EOS', </v>
      </c>
      <c r="AJ166" s="27" t="s">
        <v>88</v>
      </c>
      <c r="AK166" s="45">
        <v>3.5000000000000001E-3</v>
      </c>
      <c r="AL166">
        <v>3.1029820830361511E-3</v>
      </c>
      <c r="AN166" t="s">
        <v>218</v>
      </c>
      <c r="AO166" t="s">
        <v>16</v>
      </c>
      <c r="AP166">
        <v>4971.4403833700999</v>
      </c>
      <c r="AR166" s="4" t="s">
        <v>162</v>
      </c>
      <c r="AS166" s="43">
        <v>4.7890616599999998</v>
      </c>
    </row>
    <row r="167" spans="1:45" x14ac:dyDescent="0.25">
      <c r="A167">
        <v>165</v>
      </c>
      <c r="B167" t="s">
        <v>118</v>
      </c>
      <c r="C167" s="1">
        <v>1E-8</v>
      </c>
      <c r="E167" t="s">
        <v>30</v>
      </c>
      <c r="F167" t="s">
        <v>912</v>
      </c>
      <c r="G167" s="22">
        <v>20221214</v>
      </c>
      <c r="H167" s="61">
        <v>44910.000001273147</v>
      </c>
      <c r="I167">
        <v>1.87876872284171E-7</v>
      </c>
      <c r="K167" s="21" t="s">
        <v>895</v>
      </c>
      <c r="L167" s="21" t="s">
        <v>890</v>
      </c>
      <c r="M167" s="21" t="s">
        <v>88</v>
      </c>
      <c r="N167" s="21" t="s">
        <v>115</v>
      </c>
      <c r="P167" t="str">
        <f t="shared" si="8"/>
        <v>ETC</v>
      </c>
      <c r="Q167">
        <f t="shared" si="9"/>
        <v>18.787687228417099</v>
      </c>
      <c r="R167">
        <v>33.817394</v>
      </c>
      <c r="S167">
        <f t="shared" si="10"/>
        <v>3.3817394000000002E-7</v>
      </c>
      <c r="T167" t="str">
        <f t="shared" si="11"/>
        <v xml:space="preserve">'ETC', </v>
      </c>
      <c r="AJ167" s="4" t="s">
        <v>30</v>
      </c>
      <c r="AK167" s="45">
        <v>5.8799999999999999E-5</v>
      </c>
      <c r="AL167">
        <v>1.173509820722425E-3</v>
      </c>
      <c r="AN167" t="s">
        <v>218</v>
      </c>
      <c r="AO167" t="s">
        <v>28</v>
      </c>
      <c r="AP167">
        <v>6.2442432399999998E-2</v>
      </c>
      <c r="AR167" s="4" t="s">
        <v>98</v>
      </c>
      <c r="AS167" s="43">
        <v>-79762265.626461402</v>
      </c>
    </row>
    <row r="168" spans="1:45" x14ac:dyDescent="0.25">
      <c r="A168">
        <v>166</v>
      </c>
      <c r="B168" t="s">
        <v>118</v>
      </c>
      <c r="C168" s="1">
        <v>1E-8</v>
      </c>
      <c r="E168" t="s">
        <v>16</v>
      </c>
      <c r="F168" t="s">
        <v>912</v>
      </c>
      <c r="G168" s="22">
        <v>20221214</v>
      </c>
      <c r="H168" s="61">
        <v>44910.000001273147</v>
      </c>
      <c r="I168">
        <v>1.3093286769329599E-5</v>
      </c>
      <c r="K168" s="21" t="s">
        <v>896</v>
      </c>
      <c r="L168" s="21" t="s">
        <v>890</v>
      </c>
      <c r="M168" s="21" t="s">
        <v>88</v>
      </c>
      <c r="N168" s="21" t="s">
        <v>115</v>
      </c>
      <c r="P168" t="str">
        <f t="shared" si="8"/>
        <v>ETH</v>
      </c>
      <c r="Q168">
        <f t="shared" si="9"/>
        <v>1309.32867693296</v>
      </c>
      <c r="R168">
        <v>8.5948563495374386E-3</v>
      </c>
      <c r="S168">
        <f t="shared" si="10"/>
        <v>8.5948563495374392E-11</v>
      </c>
      <c r="T168" t="str">
        <f t="shared" si="11"/>
        <v xml:space="preserve">'ETH', </v>
      </c>
      <c r="AJ168" s="27" t="s">
        <v>88</v>
      </c>
      <c r="AK168" s="45">
        <v>5.8799999999999999E-5</v>
      </c>
      <c r="AL168">
        <v>1.173509820722425E-3</v>
      </c>
      <c r="AN168" t="s">
        <v>218</v>
      </c>
      <c r="AO168" t="s">
        <v>28</v>
      </c>
      <c r="AP168" s="29">
        <v>4.6999999999999999E-9</v>
      </c>
      <c r="AR168" s="4" t="s">
        <v>95</v>
      </c>
      <c r="AS168" s="43">
        <v>4512595.36556256</v>
      </c>
    </row>
    <row r="169" spans="1:45" x14ac:dyDescent="0.25">
      <c r="A169">
        <v>167</v>
      </c>
      <c r="B169" t="s">
        <v>118</v>
      </c>
      <c r="C169" s="1">
        <v>1E-8</v>
      </c>
      <c r="E169" t="s">
        <v>28</v>
      </c>
      <c r="F169" t="s">
        <v>912</v>
      </c>
      <c r="G169" s="22">
        <v>20221214</v>
      </c>
      <c r="H169" s="61">
        <v>44910.000001273147</v>
      </c>
      <c r="I169">
        <v>6.7288280575921401E-8</v>
      </c>
      <c r="K169" s="21" t="s">
        <v>902</v>
      </c>
      <c r="L169" s="21" t="s">
        <v>890</v>
      </c>
      <c r="M169" s="21" t="s">
        <v>88</v>
      </c>
      <c r="N169" s="21" t="s">
        <v>115</v>
      </c>
      <c r="P169" t="str">
        <f t="shared" si="8"/>
        <v>LINK</v>
      </c>
      <c r="Q169">
        <f t="shared" si="9"/>
        <v>6.72882805759214</v>
      </c>
      <c r="R169">
        <v>5.6989999999999998</v>
      </c>
      <c r="S169">
        <f t="shared" si="10"/>
        <v>5.6990000000000003E-8</v>
      </c>
      <c r="T169" t="str">
        <f t="shared" si="11"/>
        <v xml:space="preserve">'LINK', </v>
      </c>
      <c r="AJ169" s="4" t="s">
        <v>16</v>
      </c>
      <c r="AK169" s="45">
        <v>6621.5465003899999</v>
      </c>
      <c r="AL169">
        <v>8090332.7652802533</v>
      </c>
      <c r="AN169" t="s">
        <v>218</v>
      </c>
      <c r="AO169" t="s">
        <v>25</v>
      </c>
      <c r="AP169">
        <v>7.1564416123000001</v>
      </c>
      <c r="AR169" s="4" t="s">
        <v>402</v>
      </c>
      <c r="AS169" s="43">
        <v>0.34680431</v>
      </c>
    </row>
    <row r="170" spans="1:45" x14ac:dyDescent="0.25">
      <c r="A170">
        <v>168</v>
      </c>
      <c r="B170" t="s">
        <v>118</v>
      </c>
      <c r="C170" s="1">
        <v>1E-8</v>
      </c>
      <c r="E170" t="s">
        <v>25</v>
      </c>
      <c r="F170" t="s">
        <v>912</v>
      </c>
      <c r="G170" s="22">
        <v>20221214</v>
      </c>
      <c r="H170" s="61">
        <v>44910.000001273147</v>
      </c>
      <c r="I170">
        <v>7.5475863646134999E-7</v>
      </c>
      <c r="K170" s="21" t="s">
        <v>897</v>
      </c>
      <c r="L170" s="21" t="s">
        <v>890</v>
      </c>
      <c r="M170" s="21" t="s">
        <v>88</v>
      </c>
      <c r="N170" s="21" t="s">
        <v>115</v>
      </c>
      <c r="P170" t="str">
        <f t="shared" si="8"/>
        <v>LTC</v>
      </c>
      <c r="Q170">
        <f t="shared" si="9"/>
        <v>75.475863646134997</v>
      </c>
      <c r="R170">
        <v>0.30611965000000002</v>
      </c>
      <c r="S170">
        <f t="shared" si="10"/>
        <v>3.0611965000000003E-9</v>
      </c>
      <c r="T170" t="str">
        <f t="shared" si="11"/>
        <v xml:space="preserve">'LTC', </v>
      </c>
      <c r="AJ170" s="27" t="s">
        <v>88</v>
      </c>
      <c r="AK170" s="45">
        <v>6621.5465003899999</v>
      </c>
      <c r="AL170">
        <v>8090332.7652802533</v>
      </c>
      <c r="AN170" t="s">
        <v>218</v>
      </c>
      <c r="AO170" t="s">
        <v>25</v>
      </c>
      <c r="AP170" s="29">
        <v>9.3000000000000006E-9</v>
      </c>
      <c r="AR170" s="4" t="s">
        <v>39</v>
      </c>
      <c r="AS170" s="43">
        <v>28650623.960021894</v>
      </c>
    </row>
    <row r="171" spans="1:45" x14ac:dyDescent="0.25">
      <c r="A171">
        <v>169</v>
      </c>
      <c r="B171" t="s">
        <v>118</v>
      </c>
      <c r="C171" s="1">
        <v>3.2621029500000001</v>
      </c>
      <c r="E171" t="s">
        <v>39</v>
      </c>
      <c r="F171" t="s">
        <v>912</v>
      </c>
      <c r="G171" s="22">
        <v>20221214</v>
      </c>
      <c r="H171" s="61">
        <v>44910.000001273147</v>
      </c>
      <c r="I171">
        <v>3.2624468093306298</v>
      </c>
      <c r="K171" s="21" t="s">
        <v>913</v>
      </c>
      <c r="L171" s="21" t="s">
        <v>890</v>
      </c>
      <c r="M171" s="21" t="s">
        <v>88</v>
      </c>
      <c r="N171" s="21" t="s">
        <v>115</v>
      </c>
      <c r="P171" t="str">
        <f t="shared" si="8"/>
        <v>USDT</v>
      </c>
      <c r="Q171">
        <f t="shared" si="9"/>
        <v>1.0001054103245361</v>
      </c>
      <c r="R171">
        <v>0.90154135000000002</v>
      </c>
      <c r="S171">
        <f t="shared" si="10"/>
        <v>2.9409206973819826</v>
      </c>
      <c r="T171" t="str">
        <f t="shared" si="11"/>
        <v xml:space="preserve">'USDT', </v>
      </c>
      <c r="AJ171" s="4" t="s">
        <v>275</v>
      </c>
      <c r="AK171" s="45">
        <v>0.42501022999999999</v>
      </c>
      <c r="AL171">
        <v>1.656125928864528</v>
      </c>
      <c r="AN171" t="s">
        <v>218</v>
      </c>
      <c r="AO171" t="s">
        <v>26</v>
      </c>
      <c r="AP171" s="29">
        <v>7.8999999999999996E-9</v>
      </c>
      <c r="AR171" s="4" t="s">
        <v>199</v>
      </c>
      <c r="AS171" s="43">
        <v>59589.017780000002</v>
      </c>
    </row>
    <row r="172" spans="1:45" x14ac:dyDescent="0.25">
      <c r="A172">
        <v>170</v>
      </c>
      <c r="B172" t="s">
        <v>118</v>
      </c>
      <c r="C172" s="1">
        <v>6.4869999999999994E-5</v>
      </c>
      <c r="E172" t="s">
        <v>102</v>
      </c>
      <c r="F172" t="s">
        <v>912</v>
      </c>
      <c r="G172" s="22">
        <v>20221214</v>
      </c>
      <c r="H172" s="61">
        <v>44910.000001273147</v>
      </c>
      <c r="I172">
        <v>2.5066657872302201E-5</v>
      </c>
      <c r="K172" s="21" t="s">
        <v>899</v>
      </c>
      <c r="L172" s="21" t="s">
        <v>890</v>
      </c>
      <c r="M172" s="21" t="s">
        <v>88</v>
      </c>
      <c r="N172" s="21" t="s">
        <v>115</v>
      </c>
      <c r="P172" t="str">
        <f t="shared" si="8"/>
        <v>XRP</v>
      </c>
      <c r="Q172">
        <f t="shared" si="9"/>
        <v>0.38641371777866818</v>
      </c>
      <c r="R172">
        <v>19.614688999999998</v>
      </c>
      <c r="S172">
        <f t="shared" si="10"/>
        <v>1.2724048754299997E-3</v>
      </c>
      <c r="T172" t="str">
        <f t="shared" si="11"/>
        <v xml:space="preserve">'XRP', </v>
      </c>
      <c r="AJ172" s="27" t="s">
        <v>88</v>
      </c>
      <c r="AK172" s="45">
        <v>0.42501022999999999</v>
      </c>
      <c r="AL172">
        <v>1.656125928864528</v>
      </c>
      <c r="AN172" t="s">
        <v>218</v>
      </c>
      <c r="AO172" t="s">
        <v>26</v>
      </c>
      <c r="AP172">
        <v>0.95766241559999998</v>
      </c>
      <c r="AR172" s="4" t="s">
        <v>405</v>
      </c>
      <c r="AS172" s="43">
        <v>0.20872535</v>
      </c>
    </row>
    <row r="173" spans="1:45" x14ac:dyDescent="0.25">
      <c r="A173">
        <v>171</v>
      </c>
      <c r="B173" t="s">
        <v>42</v>
      </c>
      <c r="C173" s="1">
        <v>0.10014646000000001</v>
      </c>
      <c r="D173" t="s">
        <v>75</v>
      </c>
      <c r="E173" t="s">
        <v>119</v>
      </c>
      <c r="F173" t="s">
        <v>914</v>
      </c>
      <c r="G173" s="22">
        <v>20221214</v>
      </c>
      <c r="H173" s="61">
        <v>44910.000003043984</v>
      </c>
      <c r="I173">
        <v>6.2654520236031903</v>
      </c>
      <c r="K173" s="21" t="s">
        <v>915</v>
      </c>
      <c r="L173" s="21" t="s">
        <v>890</v>
      </c>
      <c r="M173" s="21" t="s">
        <v>88</v>
      </c>
      <c r="N173" s="21" t="s">
        <v>115</v>
      </c>
      <c r="P173" t="str">
        <f t="shared" si="8"/>
        <v>AAVE</v>
      </c>
      <c r="Q173">
        <f t="shared" si="9"/>
        <v>62.56289062642044</v>
      </c>
      <c r="R173">
        <v>1208.73</v>
      </c>
      <c r="S173">
        <f t="shared" si="10"/>
        <v>121.05003059580001</v>
      </c>
      <c r="T173" t="str">
        <f t="shared" si="11"/>
        <v xml:space="preserve">'AAVE', </v>
      </c>
      <c r="AJ173" s="4" t="s">
        <v>261</v>
      </c>
      <c r="AK173" s="45">
        <v>5024</v>
      </c>
      <c r="AL173">
        <v>5185.7436937373186</v>
      </c>
      <c r="AN173" t="s">
        <v>218</v>
      </c>
      <c r="AO173" t="s">
        <v>102</v>
      </c>
      <c r="AP173" s="29">
        <v>9.7899999999999997E-8</v>
      </c>
      <c r="AR173" s="4" t="s">
        <v>406</v>
      </c>
      <c r="AS173" s="43">
        <v>97856389.900000006</v>
      </c>
    </row>
    <row r="174" spans="1:45" x14ac:dyDescent="0.25">
      <c r="A174">
        <v>172</v>
      </c>
      <c r="B174" t="s">
        <v>42</v>
      </c>
      <c r="C174" s="1">
        <v>3.2091999999999998E-4</v>
      </c>
      <c r="D174" t="s">
        <v>75</v>
      </c>
      <c r="E174" t="s">
        <v>87</v>
      </c>
      <c r="F174" t="s">
        <v>914</v>
      </c>
      <c r="G174" s="22">
        <v>20221214</v>
      </c>
      <c r="H174" s="61">
        <v>44910.000003043984</v>
      </c>
      <c r="I174">
        <v>9.8886444134812601E-5</v>
      </c>
      <c r="K174" s="21" t="s">
        <v>889</v>
      </c>
      <c r="L174" s="21" t="s">
        <v>890</v>
      </c>
      <c r="M174" s="21" t="s">
        <v>88</v>
      </c>
      <c r="N174" s="21" t="s">
        <v>115</v>
      </c>
      <c r="P174" t="str">
        <f t="shared" si="8"/>
        <v>ADA</v>
      </c>
      <c r="Q174">
        <f t="shared" si="9"/>
        <v>0.30813425194694194</v>
      </c>
      <c r="R174">
        <v>0.30499985403889135</v>
      </c>
      <c r="S174">
        <f t="shared" si="10"/>
        <v>9.7880553158161005E-5</v>
      </c>
      <c r="T174" t="str">
        <f t="shared" si="11"/>
        <v xml:space="preserve">'ADA', </v>
      </c>
      <c r="AJ174" s="27" t="s">
        <v>88</v>
      </c>
      <c r="AK174" s="45">
        <v>5024</v>
      </c>
      <c r="AL174">
        <v>5185.7436937373186</v>
      </c>
      <c r="AN174" t="s">
        <v>218</v>
      </c>
      <c r="AO174" t="s">
        <v>102</v>
      </c>
      <c r="AP174">
        <v>0.54364484400000002</v>
      </c>
      <c r="AR174" s="4" t="s">
        <v>166</v>
      </c>
      <c r="AS174" s="43">
        <v>0.55556267999999998</v>
      </c>
    </row>
    <row r="175" spans="1:45" x14ac:dyDescent="0.25">
      <c r="A175">
        <v>173</v>
      </c>
      <c r="B175" t="s">
        <v>42</v>
      </c>
      <c r="C175" s="1">
        <v>5.3552000000000005E-4</v>
      </c>
      <c r="D175" t="s">
        <v>75</v>
      </c>
      <c r="E175" t="s">
        <v>21</v>
      </c>
      <c r="F175" t="s">
        <v>914</v>
      </c>
      <c r="G175" s="22">
        <v>20221214</v>
      </c>
      <c r="H175" s="61">
        <v>44910.000003043984</v>
      </c>
      <c r="I175">
        <v>5.8429781752789602E-2</v>
      </c>
      <c r="K175" s="21" t="s">
        <v>891</v>
      </c>
      <c r="L175" s="21" t="s">
        <v>890</v>
      </c>
      <c r="M175" s="21" t="s">
        <v>88</v>
      </c>
      <c r="N175" s="21" t="s">
        <v>115</v>
      </c>
      <c r="P175" t="str">
        <f t="shared" si="8"/>
        <v>BCH</v>
      </c>
      <c r="Q175">
        <f t="shared" si="9"/>
        <v>109.10849595307289</v>
      </c>
      <c r="R175">
        <v>3.7800280517057798</v>
      </c>
      <c r="S175">
        <f t="shared" si="10"/>
        <v>2.0242806222494792E-3</v>
      </c>
      <c r="T175" t="str">
        <f t="shared" si="11"/>
        <v xml:space="preserve">'BCH', </v>
      </c>
      <c r="AJ175" s="4" t="s">
        <v>194</v>
      </c>
      <c r="AK175" s="45">
        <v>8.9826517900000002</v>
      </c>
      <c r="AL175">
        <v>1.623892634099743</v>
      </c>
      <c r="AN175" t="s">
        <v>115</v>
      </c>
      <c r="AO175" t="s">
        <v>119</v>
      </c>
      <c r="AP175">
        <v>0.10014646000000001</v>
      </c>
      <c r="AR175" s="4" t="s">
        <v>102</v>
      </c>
      <c r="AS175" s="43">
        <v>6252.3718175428003</v>
      </c>
    </row>
    <row r="176" spans="1:45" x14ac:dyDescent="0.25">
      <c r="A176">
        <v>174</v>
      </c>
      <c r="B176" t="s">
        <v>42</v>
      </c>
      <c r="C176" s="1">
        <v>2.9999999999999997E-8</v>
      </c>
      <c r="D176" t="s">
        <v>75</v>
      </c>
      <c r="E176" t="s">
        <v>116</v>
      </c>
      <c r="F176" t="s">
        <v>914</v>
      </c>
      <c r="G176" s="22">
        <v>20221214</v>
      </c>
      <c r="H176" s="61">
        <v>44910.000003043984</v>
      </c>
      <c r="I176">
        <v>1.35934856167725E-6</v>
      </c>
      <c r="K176" s="21" t="s">
        <v>892</v>
      </c>
      <c r="L176" s="21" t="s">
        <v>890</v>
      </c>
      <c r="M176" s="21" t="s">
        <v>88</v>
      </c>
      <c r="N176" s="21" t="s">
        <v>115</v>
      </c>
      <c r="P176" t="str">
        <f t="shared" si="8"/>
        <v>BSV</v>
      </c>
      <c r="Q176">
        <f t="shared" si="9"/>
        <v>45.311618722575005</v>
      </c>
      <c r="R176">
        <v>1.033539447639525</v>
      </c>
      <c r="S176">
        <f t="shared" si="10"/>
        <v>3.1006183429185746E-8</v>
      </c>
      <c r="T176" t="str">
        <f t="shared" si="11"/>
        <v xml:space="preserve">'BSV', </v>
      </c>
      <c r="AJ176" s="27" t="s">
        <v>88</v>
      </c>
      <c r="AK176" s="45">
        <v>8.9826517900000002</v>
      </c>
      <c r="AL176">
        <v>1.623892634099743</v>
      </c>
      <c r="AN176" t="s">
        <v>115</v>
      </c>
      <c r="AO176" t="s">
        <v>87</v>
      </c>
      <c r="AP176">
        <v>3.2091770000000001E-4</v>
      </c>
      <c r="AR176" s="4" t="s">
        <v>409</v>
      </c>
      <c r="AS176" s="43">
        <v>3.9304560899999998</v>
      </c>
    </row>
    <row r="177" spans="1:45" x14ac:dyDescent="0.25">
      <c r="A177">
        <v>175</v>
      </c>
      <c r="B177" t="s">
        <v>42</v>
      </c>
      <c r="C177" s="1">
        <v>144.50993141000001</v>
      </c>
      <c r="D177" t="s">
        <v>75</v>
      </c>
      <c r="E177" t="s">
        <v>15</v>
      </c>
      <c r="F177" t="s">
        <v>914</v>
      </c>
      <c r="G177" s="22">
        <v>20221214</v>
      </c>
      <c r="H177" s="61">
        <v>44910.000003043984</v>
      </c>
      <c r="I177">
        <v>2574538.3385201702</v>
      </c>
      <c r="K177" s="21" t="s">
        <v>893</v>
      </c>
      <c r="L177" s="21" t="s">
        <v>890</v>
      </c>
      <c r="M177" s="21" t="s">
        <v>88</v>
      </c>
      <c r="N177" s="21" t="s">
        <v>115</v>
      </c>
      <c r="P177" t="str">
        <f t="shared" si="8"/>
        <v>BTC</v>
      </c>
      <c r="Q177">
        <f t="shared" si="9"/>
        <v>17815.649854650845</v>
      </c>
      <c r="R177">
        <v>4.3366579999999999</v>
      </c>
      <c r="S177">
        <f t="shared" si="10"/>
        <v>626.69015012862781</v>
      </c>
      <c r="T177" t="str">
        <f t="shared" si="11"/>
        <v xml:space="preserve">'BTC', </v>
      </c>
      <c r="AJ177" s="4" t="s">
        <v>112</v>
      </c>
      <c r="AK177" s="45">
        <v>2.53888889</v>
      </c>
      <c r="AL177">
        <v>3.7810762912031168</v>
      </c>
      <c r="AN177" t="s">
        <v>115</v>
      </c>
      <c r="AO177" t="s">
        <v>21</v>
      </c>
      <c r="AP177">
        <v>5.3552099999999996E-4</v>
      </c>
      <c r="AR177" s="4" t="s">
        <v>174</v>
      </c>
      <c r="AS177" s="43">
        <v>0.10222220999999999</v>
      </c>
    </row>
    <row r="178" spans="1:45" x14ac:dyDescent="0.25">
      <c r="A178">
        <v>176</v>
      </c>
      <c r="B178" t="s">
        <v>42</v>
      </c>
      <c r="C178" s="1">
        <v>-1.6966316299999999</v>
      </c>
      <c r="D178" t="s">
        <v>93</v>
      </c>
      <c r="E178" t="s">
        <v>15</v>
      </c>
      <c r="F178" t="s">
        <v>914</v>
      </c>
      <c r="G178" s="22">
        <v>20221214</v>
      </c>
      <c r="H178" s="61">
        <v>44910.000003043984</v>
      </c>
      <c r="I178">
        <v>-30226.595052405599</v>
      </c>
      <c r="K178" s="21" t="s">
        <v>893</v>
      </c>
      <c r="L178" s="21" t="s">
        <v>890</v>
      </c>
      <c r="M178" s="21" t="s">
        <v>88</v>
      </c>
      <c r="N178" s="21" t="s">
        <v>115</v>
      </c>
      <c r="P178" t="str">
        <f t="shared" si="8"/>
        <v>BTC</v>
      </c>
      <c r="Q178">
        <f t="shared" si="9"/>
        <v>17815.649854650888</v>
      </c>
      <c r="R178">
        <v>1.5288371999999999</v>
      </c>
      <c r="S178">
        <f t="shared" si="10"/>
        <v>-2.5938735506406356</v>
      </c>
      <c r="T178" t="str">
        <f t="shared" si="11"/>
        <v xml:space="preserve">'BTC', </v>
      </c>
      <c r="AJ178" s="27" t="s">
        <v>88</v>
      </c>
      <c r="AK178" s="45">
        <v>2.53888889</v>
      </c>
      <c r="AL178">
        <v>3.7810762912031168</v>
      </c>
      <c r="AN178" t="s">
        <v>115</v>
      </c>
      <c r="AO178" t="s">
        <v>116</v>
      </c>
      <c r="AP178" s="29">
        <v>3.3400000000000001E-8</v>
      </c>
      <c r="AR178" s="4" t="s">
        <v>120</v>
      </c>
      <c r="AS178" s="43">
        <v>1.572583E-2</v>
      </c>
    </row>
    <row r="179" spans="1:45" x14ac:dyDescent="0.25">
      <c r="A179">
        <v>177</v>
      </c>
      <c r="B179" t="s">
        <v>42</v>
      </c>
      <c r="C179" s="1">
        <v>3.8972899999999999E-3</v>
      </c>
      <c r="D179" t="s">
        <v>75</v>
      </c>
      <c r="E179" t="s">
        <v>23</v>
      </c>
      <c r="F179" t="s">
        <v>914</v>
      </c>
      <c r="G179" s="22">
        <v>20221214</v>
      </c>
      <c r="H179" s="61">
        <v>44910.000003043984</v>
      </c>
      <c r="I179">
        <v>2.032518481034E-2</v>
      </c>
      <c r="K179" s="21" t="s">
        <v>901</v>
      </c>
      <c r="L179" s="21" t="s">
        <v>890</v>
      </c>
      <c r="M179" s="21" t="s">
        <v>88</v>
      </c>
      <c r="N179" s="21" t="s">
        <v>115</v>
      </c>
      <c r="P179" t="str">
        <f t="shared" si="8"/>
        <v>DOT</v>
      </c>
      <c r="Q179">
        <f t="shared" si="9"/>
        <v>5.2152097509654141</v>
      </c>
      <c r="R179">
        <v>2.060776928509652</v>
      </c>
      <c r="S179">
        <f t="shared" si="10"/>
        <v>8.0314453157113806E-3</v>
      </c>
      <c r="T179" t="str">
        <f t="shared" si="11"/>
        <v xml:space="preserve">'DOT', </v>
      </c>
      <c r="AJ179" s="4" t="s">
        <v>138</v>
      </c>
      <c r="AK179" s="45">
        <v>79.958187959999989</v>
      </c>
      <c r="AL179">
        <v>3.624474833894463</v>
      </c>
      <c r="AN179" t="s">
        <v>115</v>
      </c>
      <c r="AO179" t="s">
        <v>15</v>
      </c>
      <c r="AP179">
        <v>291.78577073859998</v>
      </c>
      <c r="AR179" s="4" t="s">
        <v>412</v>
      </c>
      <c r="AS179" s="43">
        <v>2.173E-4</v>
      </c>
    </row>
    <row r="180" spans="1:45" x14ac:dyDescent="0.25">
      <c r="A180">
        <v>178</v>
      </c>
      <c r="B180" t="s">
        <v>42</v>
      </c>
      <c r="C180" s="1">
        <v>0.1010306</v>
      </c>
      <c r="D180" t="s">
        <v>75</v>
      </c>
      <c r="E180" t="s">
        <v>30</v>
      </c>
      <c r="F180" t="s">
        <v>914</v>
      </c>
      <c r="G180" s="22">
        <v>20221214</v>
      </c>
      <c r="H180" s="61">
        <v>44910.000003043984</v>
      </c>
      <c r="I180">
        <v>1.8981313132993201</v>
      </c>
      <c r="K180" s="21" t="s">
        <v>895</v>
      </c>
      <c r="L180" s="21" t="s">
        <v>890</v>
      </c>
      <c r="M180" s="21" t="s">
        <v>88</v>
      </c>
      <c r="N180" s="21" t="s">
        <v>115</v>
      </c>
      <c r="P180" t="str">
        <f t="shared" si="8"/>
        <v>ETC</v>
      </c>
      <c r="Q180">
        <f t="shared" si="9"/>
        <v>18.787687228417134</v>
      </c>
      <c r="R180">
        <v>4.9363444999999999E-2</v>
      </c>
      <c r="S180">
        <f t="shared" si="10"/>
        <v>4.9872184664169995E-3</v>
      </c>
      <c r="T180" t="str">
        <f t="shared" si="11"/>
        <v xml:space="preserve">'ETC', </v>
      </c>
      <c r="AJ180" s="27" t="s">
        <v>88</v>
      </c>
      <c r="AK180" s="45">
        <v>79.958187959999989</v>
      </c>
      <c r="AL180">
        <v>3.624474833894463</v>
      </c>
      <c r="AN180" t="s">
        <v>115</v>
      </c>
      <c r="AO180" t="s">
        <v>15</v>
      </c>
      <c r="AP180">
        <v>257.68569321349997</v>
      </c>
      <c r="AR180" s="4" t="s">
        <v>413</v>
      </c>
      <c r="AS180" s="43">
        <v>19451203.1070689</v>
      </c>
    </row>
    <row r="181" spans="1:45" x14ac:dyDescent="0.25">
      <c r="A181">
        <v>179</v>
      </c>
      <c r="B181" t="s">
        <v>42</v>
      </c>
      <c r="C181" s="1">
        <v>1440.6756141000001</v>
      </c>
      <c r="D181" t="s">
        <v>75</v>
      </c>
      <c r="E181" t="s">
        <v>16</v>
      </c>
      <c r="F181" t="s">
        <v>914</v>
      </c>
      <c r="G181" s="22">
        <v>20221214</v>
      </c>
      <c r="H181" s="61">
        <v>44910.000003043984</v>
      </c>
      <c r="I181">
        <v>1886317.8956991299</v>
      </c>
      <c r="K181" s="21" t="s">
        <v>896</v>
      </c>
      <c r="L181" s="21" t="s">
        <v>890</v>
      </c>
      <c r="M181" s="21" t="s">
        <v>88</v>
      </c>
      <c r="N181" s="21" t="s">
        <v>115</v>
      </c>
      <c r="P181" t="str">
        <f t="shared" si="8"/>
        <v>ETH</v>
      </c>
      <c r="Q181">
        <f t="shared" si="9"/>
        <v>1309.3286769329579</v>
      </c>
      <c r="R181">
        <v>9.7238807541416214E-4</v>
      </c>
      <c r="S181">
        <f t="shared" si="10"/>
        <v>1.4008957876908152</v>
      </c>
      <c r="T181" t="str">
        <f t="shared" si="11"/>
        <v xml:space="preserve">'ETH', </v>
      </c>
      <c r="AJ181" s="4" t="s">
        <v>44</v>
      </c>
      <c r="AK181" s="45">
        <v>1.9338685099999999</v>
      </c>
      <c r="AL181">
        <v>44.850595509763217</v>
      </c>
      <c r="AN181" t="s">
        <v>115</v>
      </c>
      <c r="AO181" t="s">
        <v>23</v>
      </c>
      <c r="AP181">
        <v>3.8972870000000001E-3</v>
      </c>
      <c r="AR181" s="3" t="s">
        <v>170</v>
      </c>
      <c r="AS181" s="43">
        <v>980242.57500840188</v>
      </c>
    </row>
    <row r="182" spans="1:45" x14ac:dyDescent="0.25">
      <c r="A182">
        <v>180</v>
      </c>
      <c r="B182" t="s">
        <v>42</v>
      </c>
      <c r="C182" s="1">
        <v>0.47374295999999999</v>
      </c>
      <c r="D182" t="s">
        <v>93</v>
      </c>
      <c r="E182" t="s">
        <v>16</v>
      </c>
      <c r="F182" t="s">
        <v>914</v>
      </c>
      <c r="G182" s="22">
        <v>20221214</v>
      </c>
      <c r="H182" s="61">
        <v>44910.000003043984</v>
      </c>
      <c r="I182">
        <v>620.28524302310495</v>
      </c>
      <c r="K182" s="21" t="s">
        <v>896</v>
      </c>
      <c r="L182" s="21" t="s">
        <v>890</v>
      </c>
      <c r="M182" s="21" t="s">
        <v>88</v>
      </c>
      <c r="N182" s="21" t="s">
        <v>115</v>
      </c>
      <c r="P182" t="str">
        <f t="shared" si="8"/>
        <v>ETH</v>
      </c>
      <c r="Q182">
        <f t="shared" si="9"/>
        <v>1309.3286769329616</v>
      </c>
      <c r="R182">
        <v>4.6684026999999997</v>
      </c>
      <c r="S182">
        <f t="shared" si="10"/>
        <v>2.2116229135699919</v>
      </c>
      <c r="T182" t="str">
        <f t="shared" si="11"/>
        <v xml:space="preserve">'ETH', </v>
      </c>
      <c r="AJ182" s="27" t="s">
        <v>88</v>
      </c>
      <c r="AK182" s="45">
        <v>1.9338685099999999</v>
      </c>
      <c r="AL182">
        <v>44.850595509763217</v>
      </c>
      <c r="AN182" t="s">
        <v>115</v>
      </c>
      <c r="AO182" t="s">
        <v>30</v>
      </c>
      <c r="AP182">
        <v>0.1010306031</v>
      </c>
      <c r="AR182" s="4" t="s">
        <v>21</v>
      </c>
      <c r="AS182" s="43">
        <v>1.7695412699999999</v>
      </c>
    </row>
    <row r="183" spans="1:45" x14ac:dyDescent="0.25">
      <c r="A183">
        <v>181</v>
      </c>
      <c r="B183" t="s">
        <v>42</v>
      </c>
      <c r="C183" s="1">
        <v>9.5620999999999998E-4</v>
      </c>
      <c r="D183" t="s">
        <v>75</v>
      </c>
      <c r="E183" t="s">
        <v>28</v>
      </c>
      <c r="F183" t="s">
        <v>914</v>
      </c>
      <c r="G183" s="22">
        <v>20221214</v>
      </c>
      <c r="H183" s="61">
        <v>44910.000003043984</v>
      </c>
      <c r="I183">
        <v>6.4341726769501801E-3</v>
      </c>
      <c r="K183" s="21" t="s">
        <v>902</v>
      </c>
      <c r="L183" s="21" t="s">
        <v>890</v>
      </c>
      <c r="M183" s="21" t="s">
        <v>88</v>
      </c>
      <c r="N183" s="21" t="s">
        <v>115</v>
      </c>
      <c r="P183" t="str">
        <f t="shared" si="8"/>
        <v>LINK</v>
      </c>
      <c r="Q183">
        <f t="shared" si="9"/>
        <v>6.72882805759214</v>
      </c>
      <c r="R183">
        <v>8.1537980000000003E-3</v>
      </c>
      <c r="S183">
        <f t="shared" si="10"/>
        <v>7.7967431855799996E-6</v>
      </c>
      <c r="T183" t="str">
        <f t="shared" si="11"/>
        <v xml:space="preserve">'LINK', </v>
      </c>
      <c r="AJ183" s="4" t="s">
        <v>28</v>
      </c>
      <c r="AK183" s="45">
        <v>53.117741070000001</v>
      </c>
      <c r="AL183">
        <v>322.55463158027828</v>
      </c>
      <c r="AN183" t="s">
        <v>115</v>
      </c>
      <c r="AO183" t="s">
        <v>16</v>
      </c>
      <c r="AP183">
        <v>1547.6982186905</v>
      </c>
      <c r="AR183" s="4" t="s">
        <v>15</v>
      </c>
      <c r="AS183" s="43">
        <v>1.8847761800000001E-2</v>
      </c>
    </row>
    <row r="184" spans="1:45" x14ac:dyDescent="0.25">
      <c r="A184">
        <v>182</v>
      </c>
      <c r="B184" t="s">
        <v>42</v>
      </c>
      <c r="C184" s="1">
        <v>2.4771099999999998E-3</v>
      </c>
      <c r="D184" t="s">
        <v>75</v>
      </c>
      <c r="E184" t="s">
        <v>25</v>
      </c>
      <c r="F184" t="s">
        <v>914</v>
      </c>
      <c r="G184" s="22">
        <v>20221214</v>
      </c>
      <c r="H184" s="61">
        <v>44910.000003043984</v>
      </c>
      <c r="I184">
        <v>0.18696201659647699</v>
      </c>
      <c r="K184" s="21" t="s">
        <v>897</v>
      </c>
      <c r="L184" s="21" t="s">
        <v>890</v>
      </c>
      <c r="M184" s="21" t="s">
        <v>88</v>
      </c>
      <c r="N184" s="21" t="s">
        <v>115</v>
      </c>
      <c r="P184" t="str">
        <f t="shared" si="8"/>
        <v>LTC</v>
      </c>
      <c r="Q184">
        <f t="shared" si="9"/>
        <v>75.475863646134812</v>
      </c>
      <c r="R184">
        <v>1.3434198305326158E-2</v>
      </c>
      <c r="S184">
        <f t="shared" si="10"/>
        <v>3.3277986964106477E-5</v>
      </c>
      <c r="T184" t="str">
        <f t="shared" si="11"/>
        <v xml:space="preserve">'LTC', </v>
      </c>
      <c r="AJ184" s="27" t="s">
        <v>88</v>
      </c>
      <c r="AK184" s="45">
        <v>53.117741070000001</v>
      </c>
      <c r="AL184">
        <v>322.55463158027828</v>
      </c>
      <c r="AN184" t="s">
        <v>115</v>
      </c>
      <c r="AO184" t="s">
        <v>28</v>
      </c>
      <c r="AP184">
        <v>9.5620959999999995E-4</v>
      </c>
      <c r="AR184" s="4" t="s">
        <v>24</v>
      </c>
      <c r="AS184" s="43">
        <v>9.9499194400000004</v>
      </c>
    </row>
    <row r="185" spans="1:45" x14ac:dyDescent="0.25">
      <c r="A185">
        <v>183</v>
      </c>
      <c r="B185" t="s">
        <v>42</v>
      </c>
      <c r="C185" s="1">
        <v>71073.205401560001</v>
      </c>
      <c r="D185" t="s">
        <v>75</v>
      </c>
      <c r="E185" t="s">
        <v>38</v>
      </c>
      <c r="F185" t="s">
        <v>914</v>
      </c>
      <c r="G185" s="22">
        <v>20221214</v>
      </c>
      <c r="H185" s="61">
        <v>44910.000003043984</v>
      </c>
      <c r="I185">
        <v>0.63772254232820103</v>
      </c>
      <c r="K185" s="21" t="s">
        <v>916</v>
      </c>
      <c r="L185" s="21" t="s">
        <v>890</v>
      </c>
      <c r="M185" s="21" t="s">
        <v>88</v>
      </c>
      <c r="N185" s="21" t="s">
        <v>115</v>
      </c>
      <c r="P185" t="str">
        <f t="shared" si="8"/>
        <v>SHIB</v>
      </c>
      <c r="Q185">
        <f t="shared" si="9"/>
        <v>8.9727561705582438E-6</v>
      </c>
      <c r="R185">
        <v>2.0494003E-2</v>
      </c>
      <c r="S185">
        <f t="shared" si="10"/>
        <v>1456.5744847191868</v>
      </c>
      <c r="T185" t="str">
        <f t="shared" si="11"/>
        <v xml:space="preserve">'SHIB', </v>
      </c>
      <c r="AJ185" s="4" t="s">
        <v>25</v>
      </c>
      <c r="AK185" s="45">
        <v>1111.40706884</v>
      </c>
      <c r="AL185">
        <v>63891.651485509487</v>
      </c>
      <c r="AN185" t="s">
        <v>115</v>
      </c>
      <c r="AO185" t="s">
        <v>25</v>
      </c>
      <c r="AP185">
        <v>2.4771052999999999E-3</v>
      </c>
      <c r="AR185" s="4" t="s">
        <v>16</v>
      </c>
      <c r="AS185" s="43">
        <v>3.4037359600000001</v>
      </c>
    </row>
    <row r="186" spans="1:45" x14ac:dyDescent="0.25">
      <c r="A186">
        <v>184</v>
      </c>
      <c r="B186" t="s">
        <v>42</v>
      </c>
      <c r="C186" s="1">
        <v>4.8644999999999998E-4</v>
      </c>
      <c r="D186" t="s">
        <v>75</v>
      </c>
      <c r="E186" t="s">
        <v>26</v>
      </c>
      <c r="F186" t="s">
        <v>914</v>
      </c>
      <c r="G186" s="22">
        <v>20221214</v>
      </c>
      <c r="H186" s="61">
        <v>44910.000003043984</v>
      </c>
      <c r="I186">
        <v>2.7078899426481499E-5</v>
      </c>
      <c r="K186" s="21" t="s">
        <v>898</v>
      </c>
      <c r="L186" s="21" t="s">
        <v>890</v>
      </c>
      <c r="M186" s="21" t="s">
        <v>88</v>
      </c>
      <c r="N186" s="21" t="s">
        <v>115</v>
      </c>
      <c r="P186" t="str">
        <f t="shared" si="8"/>
        <v>TRX</v>
      </c>
      <c r="Q186">
        <f t="shared" si="9"/>
        <v>5.5666357131219035E-2</v>
      </c>
      <c r="R186">
        <v>24.360496999999999</v>
      </c>
      <c r="S186">
        <f t="shared" si="10"/>
        <v>1.1850163765649999E-2</v>
      </c>
      <c r="T186" t="str">
        <f t="shared" si="11"/>
        <v xml:space="preserve">'TRX', </v>
      </c>
      <c r="AJ186" s="27" t="s">
        <v>88</v>
      </c>
      <c r="AK186" s="45">
        <v>1111.40706884</v>
      </c>
      <c r="AL186">
        <v>63891.651485509487</v>
      </c>
      <c r="AN186" t="s">
        <v>115</v>
      </c>
      <c r="AO186" t="s">
        <v>38</v>
      </c>
      <c r="AP186">
        <v>71073.205401560001</v>
      </c>
      <c r="AR186" s="4" t="s">
        <v>25</v>
      </c>
      <c r="AS186" s="43">
        <v>9.1421368100000002</v>
      </c>
    </row>
    <row r="187" spans="1:45" x14ac:dyDescent="0.25">
      <c r="A187">
        <v>185</v>
      </c>
      <c r="B187" t="s">
        <v>42</v>
      </c>
      <c r="C187" s="1">
        <v>1.9184000000000001E-4</v>
      </c>
      <c r="D187" t="s">
        <v>75</v>
      </c>
      <c r="E187" t="s">
        <v>102</v>
      </c>
      <c r="F187" t="s">
        <v>914</v>
      </c>
      <c r="G187" s="22">
        <v>20221214</v>
      </c>
      <c r="H187" s="61">
        <v>44910.000003043984</v>
      </c>
      <c r="I187">
        <v>7.4129607618659903E-5</v>
      </c>
      <c r="K187" s="21" t="s">
        <v>899</v>
      </c>
      <c r="L187" s="21" t="s">
        <v>890</v>
      </c>
      <c r="M187" s="21" t="s">
        <v>88</v>
      </c>
      <c r="N187" s="21" t="s">
        <v>115</v>
      </c>
      <c r="P187" t="str">
        <f t="shared" si="8"/>
        <v>XRP</v>
      </c>
      <c r="Q187">
        <f t="shared" si="9"/>
        <v>0.38641371777866923</v>
      </c>
      <c r="R187">
        <v>1.1527933884314108E-3</v>
      </c>
      <c r="S187">
        <f t="shared" si="10"/>
        <v>2.2115188363668186E-7</v>
      </c>
      <c r="T187" t="str">
        <f t="shared" si="11"/>
        <v xml:space="preserve">'XRP', </v>
      </c>
      <c r="AJ187" s="4" t="s">
        <v>196</v>
      </c>
      <c r="AK187" s="45">
        <v>5.6554146699999999</v>
      </c>
      <c r="AL187">
        <v>5.0223484310191928</v>
      </c>
      <c r="AN187" t="s">
        <v>115</v>
      </c>
      <c r="AO187" t="s">
        <v>26</v>
      </c>
      <c r="AP187">
        <v>4.8644820000000002E-4</v>
      </c>
      <c r="AR187" s="4" t="s">
        <v>92</v>
      </c>
      <c r="AS187" s="43">
        <v>867220.80407488998</v>
      </c>
    </row>
    <row r="188" spans="1:45" x14ac:dyDescent="0.25">
      <c r="A188">
        <v>186</v>
      </c>
      <c r="B188" t="s">
        <v>42</v>
      </c>
      <c r="C188" s="1">
        <v>2.4299999999999999E-3</v>
      </c>
      <c r="D188" t="s">
        <v>75</v>
      </c>
      <c r="E188" t="s">
        <v>120</v>
      </c>
      <c r="F188" t="s">
        <v>914</v>
      </c>
      <c r="G188" s="22">
        <v>20221214</v>
      </c>
      <c r="H188" s="61">
        <v>44910.000003043984</v>
      </c>
      <c r="I188">
        <v>3.2644562323836799</v>
      </c>
      <c r="K188" s="21" t="s">
        <v>917</v>
      </c>
      <c r="L188" s="21" t="s">
        <v>890</v>
      </c>
      <c r="M188" s="21" t="s">
        <v>88</v>
      </c>
      <c r="N188" s="21" t="s">
        <v>115</v>
      </c>
      <c r="P188" t="str">
        <f t="shared" si="8"/>
        <v>YFII</v>
      </c>
      <c r="Q188">
        <f t="shared" si="9"/>
        <v>1343.3976264953417</v>
      </c>
      <c r="R188">
        <v>0</v>
      </c>
      <c r="S188">
        <f t="shared" si="10"/>
        <v>0</v>
      </c>
      <c r="T188" t="str">
        <f t="shared" si="11"/>
        <v xml:space="preserve">'YFII', </v>
      </c>
      <c r="AJ188" s="27" t="s">
        <v>88</v>
      </c>
      <c r="AK188" s="45">
        <v>5.6554146699999999</v>
      </c>
      <c r="AL188">
        <v>5.0223484310191928</v>
      </c>
      <c r="AN188" t="s">
        <v>115</v>
      </c>
      <c r="AO188" t="s">
        <v>102</v>
      </c>
      <c r="AP188">
        <v>1.9184280000000001E-4</v>
      </c>
      <c r="AR188" s="4" t="s">
        <v>101</v>
      </c>
      <c r="AS188" s="43">
        <v>0.10834547999999999</v>
      </c>
    </row>
    <row r="189" spans="1:45" x14ac:dyDescent="0.25">
      <c r="A189">
        <v>187</v>
      </c>
      <c r="B189" t="s">
        <v>43</v>
      </c>
      <c r="C189" s="1">
        <v>644486.57262072002</v>
      </c>
      <c r="D189" t="s">
        <v>75</v>
      </c>
      <c r="E189" t="s">
        <v>39</v>
      </c>
      <c r="F189">
        <v>0</v>
      </c>
      <c r="G189" s="22">
        <v>20221214</v>
      </c>
      <c r="H189" s="61">
        <v>44910.00000216435</v>
      </c>
      <c r="I189">
        <v>644554.50815949996</v>
      </c>
      <c r="K189" s="21" t="s">
        <v>913</v>
      </c>
      <c r="L189" s="21" t="s">
        <v>890</v>
      </c>
      <c r="M189" s="21" t="s">
        <v>88</v>
      </c>
      <c r="N189" s="21" t="s">
        <v>115</v>
      </c>
      <c r="P189" t="str">
        <f t="shared" si="8"/>
        <v>USDT</v>
      </c>
      <c r="Q189">
        <f t="shared" si="9"/>
        <v>1.0001054103245375</v>
      </c>
      <c r="R189">
        <v>6.2919999999999998</v>
      </c>
      <c r="S189">
        <f t="shared" si="10"/>
        <v>4055109.5149295703</v>
      </c>
      <c r="T189" t="str">
        <f t="shared" si="11"/>
        <v xml:space="preserve">'USDT', </v>
      </c>
      <c r="AJ189" s="4" t="s">
        <v>153</v>
      </c>
      <c r="AK189" s="45">
        <v>4.7709999999999999</v>
      </c>
      <c r="AL189">
        <v>5.3869935897813734</v>
      </c>
      <c r="AN189" t="s">
        <v>115</v>
      </c>
      <c r="AO189" t="s">
        <v>120</v>
      </c>
      <c r="AP189">
        <v>2.4299999999999999E-3</v>
      </c>
      <c r="AR189" s="4" t="s">
        <v>98</v>
      </c>
      <c r="AS189" s="43">
        <v>112996.6406</v>
      </c>
    </row>
    <row r="190" spans="1:45" x14ac:dyDescent="0.25">
      <c r="A190">
        <v>188</v>
      </c>
      <c r="B190" t="s">
        <v>43</v>
      </c>
      <c r="C190" s="1">
        <v>44.808952169999998</v>
      </c>
      <c r="D190" t="s">
        <v>93</v>
      </c>
      <c r="E190" t="s">
        <v>39</v>
      </c>
      <c r="F190">
        <v>0</v>
      </c>
      <c r="G190" s="22">
        <v>20221214</v>
      </c>
      <c r="H190" s="61">
        <v>44910.00000216435</v>
      </c>
      <c r="I190">
        <v>44.813675496190399</v>
      </c>
      <c r="K190" s="21" t="s">
        <v>913</v>
      </c>
      <c r="L190" s="21" t="s">
        <v>890</v>
      </c>
      <c r="M190" s="21" t="s">
        <v>88</v>
      </c>
      <c r="N190" s="21" t="s">
        <v>115</v>
      </c>
      <c r="P190" t="str">
        <f t="shared" si="8"/>
        <v>USDT</v>
      </c>
      <c r="Q190">
        <f t="shared" si="9"/>
        <v>1.000105410324537</v>
      </c>
      <c r="R190">
        <v>2.6570859136728994E-7</v>
      </c>
      <c r="S190">
        <f t="shared" si="10"/>
        <v>1.1906123561734968E-5</v>
      </c>
      <c r="T190" t="str">
        <f t="shared" si="11"/>
        <v xml:space="preserve">'USDT', </v>
      </c>
      <c r="AJ190" s="27" t="s">
        <v>88</v>
      </c>
      <c r="AK190" s="45">
        <v>4.7709999999999999</v>
      </c>
      <c r="AL190">
        <v>5.3869935897813734</v>
      </c>
      <c r="AN190" t="s">
        <v>115</v>
      </c>
      <c r="AO190" t="s">
        <v>338</v>
      </c>
      <c r="AP190">
        <v>377.09760540000002</v>
      </c>
      <c r="AR190" s="4" t="s">
        <v>39</v>
      </c>
      <c r="AS190" s="43">
        <v>1.182861E-2</v>
      </c>
    </row>
    <row r="191" spans="1:45" x14ac:dyDescent="0.25">
      <c r="A191">
        <v>189</v>
      </c>
      <c r="B191" t="s">
        <v>123</v>
      </c>
      <c r="C191" s="1">
        <v>377.09760540000002</v>
      </c>
      <c r="E191" t="s">
        <v>124</v>
      </c>
      <c r="F191" t="s">
        <v>918</v>
      </c>
      <c r="G191" s="22">
        <v>20221214</v>
      </c>
      <c r="H191" s="61">
        <v>44910.000001469911</v>
      </c>
      <c r="I191">
        <v>0.11125551983738501</v>
      </c>
      <c r="K191" s="21" t="s">
        <v>919</v>
      </c>
      <c r="L191" s="21" t="s">
        <v>890</v>
      </c>
      <c r="M191" s="21" t="s">
        <v>88</v>
      </c>
      <c r="N191" s="21" t="s">
        <v>115</v>
      </c>
      <c r="P191" t="str">
        <f t="shared" si="8"/>
        <v>AAC</v>
      </c>
      <c r="Q191">
        <f t="shared" si="9"/>
        <v>2.9503109604573746E-4</v>
      </c>
      <c r="R191">
        <v>62.35</v>
      </c>
      <c r="S191">
        <f t="shared" si="10"/>
        <v>23512.035696690004</v>
      </c>
      <c r="T191" t="str">
        <f t="shared" si="11"/>
        <v xml:space="preserve">'AAC', </v>
      </c>
      <c r="AJ191" s="4" t="s">
        <v>92</v>
      </c>
      <c r="AK191" s="45">
        <v>76.700156329999999</v>
      </c>
      <c r="AL191">
        <v>6.2553256805855293</v>
      </c>
      <c r="AN191" t="s">
        <v>115</v>
      </c>
      <c r="AO191" t="s">
        <v>339</v>
      </c>
      <c r="AP191" s="29">
        <v>1.1000000000000001E-7</v>
      </c>
      <c r="AR191" s="4" t="s">
        <v>166</v>
      </c>
      <c r="AS191" s="43">
        <v>8.93329E-3</v>
      </c>
    </row>
    <row r="192" spans="1:45" x14ac:dyDescent="0.25">
      <c r="A192">
        <v>190</v>
      </c>
      <c r="B192" t="s">
        <v>123</v>
      </c>
      <c r="C192" s="1">
        <v>1.1000000000000001E-7</v>
      </c>
      <c r="E192" t="s">
        <v>87</v>
      </c>
      <c r="F192" t="s">
        <v>918</v>
      </c>
      <c r="G192" s="22">
        <v>20221214</v>
      </c>
      <c r="H192" s="61">
        <v>44910.000001469911</v>
      </c>
      <c r="I192">
        <v>3.3894767714163602E-8</v>
      </c>
      <c r="K192" s="21" t="s">
        <v>889</v>
      </c>
      <c r="L192" s="21" t="s">
        <v>890</v>
      </c>
      <c r="M192" s="21" t="s">
        <v>88</v>
      </c>
      <c r="N192" s="21" t="s">
        <v>115</v>
      </c>
      <c r="P192" t="str">
        <f t="shared" si="8"/>
        <v>ADA</v>
      </c>
      <c r="Q192">
        <f t="shared" si="9"/>
        <v>0.30813425194694183</v>
      </c>
      <c r="R192">
        <v>2.258648296506351E-4</v>
      </c>
      <c r="S192">
        <f t="shared" si="10"/>
        <v>2.4845131261569862E-11</v>
      </c>
      <c r="T192" t="str">
        <f t="shared" si="11"/>
        <v xml:space="preserve">'ADA', </v>
      </c>
      <c r="AJ192" s="27" t="s">
        <v>88</v>
      </c>
      <c r="AK192" s="45">
        <v>76.700156329999999</v>
      </c>
      <c r="AL192">
        <v>6.2553256805855293</v>
      </c>
      <c r="AN192" t="s">
        <v>115</v>
      </c>
      <c r="AO192" t="s">
        <v>339</v>
      </c>
      <c r="AP192" s="29">
        <v>1E-8</v>
      </c>
      <c r="AR192" s="4" t="s">
        <v>102</v>
      </c>
      <c r="AS192" s="43">
        <v>0.71704489000000005</v>
      </c>
    </row>
    <row r="193" spans="1:45" x14ac:dyDescent="0.25">
      <c r="A193">
        <v>191</v>
      </c>
      <c r="B193" t="s">
        <v>123</v>
      </c>
      <c r="C193" s="1">
        <v>2.6E-7</v>
      </c>
      <c r="E193" t="s">
        <v>125</v>
      </c>
      <c r="F193" t="s">
        <v>918</v>
      </c>
      <c r="G193" s="22">
        <v>20221214</v>
      </c>
      <c r="H193" s="61">
        <v>44910.000001469911</v>
      </c>
      <c r="I193">
        <v>5.7438109833676303E-8</v>
      </c>
      <c r="K193" s="21" t="s">
        <v>920</v>
      </c>
      <c r="L193" s="21" t="s">
        <v>890</v>
      </c>
      <c r="M193" s="21" t="s">
        <v>88</v>
      </c>
      <c r="N193" s="21" t="s">
        <v>115</v>
      </c>
      <c r="P193" t="str">
        <f t="shared" si="8"/>
        <v>ALGO</v>
      </c>
      <c r="Q193">
        <f t="shared" si="9"/>
        <v>0.22091580705260117</v>
      </c>
      <c r="R193">
        <v>0.41775250000000003</v>
      </c>
      <c r="S193">
        <f t="shared" si="10"/>
        <v>1.0861565000000001E-7</v>
      </c>
      <c r="T193" t="str">
        <f t="shared" si="11"/>
        <v xml:space="preserve">'ALGO', </v>
      </c>
      <c r="AJ193" s="4" t="s">
        <v>157</v>
      </c>
      <c r="AK193" s="45">
        <v>2.8970426800000002</v>
      </c>
      <c r="AL193">
        <v>38.138201150398459</v>
      </c>
      <c r="AN193" t="s">
        <v>115</v>
      </c>
      <c r="AO193" t="s">
        <v>340</v>
      </c>
      <c r="AP193">
        <v>3587.9402382600001</v>
      </c>
      <c r="AR193" s="3" t="s">
        <v>175</v>
      </c>
      <c r="AS193" s="43">
        <v>494465.35712</v>
      </c>
    </row>
    <row r="194" spans="1:45" x14ac:dyDescent="0.25">
      <c r="A194">
        <v>192</v>
      </c>
      <c r="B194" t="s">
        <v>123</v>
      </c>
      <c r="C194" s="1">
        <v>0.53247394999999997</v>
      </c>
      <c r="E194" t="s">
        <v>126</v>
      </c>
      <c r="F194" t="s">
        <v>918</v>
      </c>
      <c r="G194" s="22">
        <v>20221214</v>
      </c>
      <c r="H194" s="61">
        <v>44910.000001469911</v>
      </c>
      <c r="I194">
        <v>1.5597477765298099E-2</v>
      </c>
      <c r="K194" s="21" t="s">
        <v>921</v>
      </c>
      <c r="L194" s="21" t="s">
        <v>890</v>
      </c>
      <c r="M194" s="21" t="s">
        <v>88</v>
      </c>
      <c r="N194" s="21" t="s">
        <v>115</v>
      </c>
      <c r="P194" t="str">
        <f t="shared" ref="P194:P257" si="12">IF($C194="","",$E194)</f>
        <v>ARPA</v>
      </c>
      <c r="Q194">
        <f t="shared" si="9"/>
        <v>2.9292471050082543E-2</v>
      </c>
      <c r="R194">
        <v>6.6048439999999999</v>
      </c>
      <c r="S194">
        <f t="shared" si="10"/>
        <v>3.5169073738137997</v>
      </c>
      <c r="T194" t="str">
        <f t="shared" si="11"/>
        <v xml:space="preserve">'ARPA', </v>
      </c>
      <c r="AJ194" s="27" t="s">
        <v>88</v>
      </c>
      <c r="AK194" s="45">
        <v>2.8970426800000002</v>
      </c>
      <c r="AL194">
        <v>38.138201150398459</v>
      </c>
      <c r="AN194" t="s">
        <v>115</v>
      </c>
      <c r="AO194" t="s">
        <v>341</v>
      </c>
      <c r="AP194">
        <v>0.53247394999999997</v>
      </c>
      <c r="AR194" s="4" t="s">
        <v>21</v>
      </c>
      <c r="AS194" s="43">
        <v>0.1</v>
      </c>
    </row>
    <row r="195" spans="1:45" x14ac:dyDescent="0.25">
      <c r="A195">
        <v>193</v>
      </c>
      <c r="B195" t="s">
        <v>123</v>
      </c>
      <c r="C195" s="1">
        <v>4.3657420000000002E-2</v>
      </c>
      <c r="E195" t="s">
        <v>36</v>
      </c>
      <c r="F195" t="s">
        <v>918</v>
      </c>
      <c r="G195" s="22">
        <v>20221214</v>
      </c>
      <c r="H195" s="61">
        <v>44910.000001469911</v>
      </c>
      <c r="I195">
        <v>0.41951020751225698</v>
      </c>
      <c r="K195" s="21" t="s">
        <v>922</v>
      </c>
      <c r="L195" s="21" t="s">
        <v>890</v>
      </c>
      <c r="M195" s="21" t="s">
        <v>88</v>
      </c>
      <c r="N195" s="21" t="s">
        <v>115</v>
      </c>
      <c r="P195" t="str">
        <f t="shared" si="12"/>
        <v>ATOM</v>
      </c>
      <c r="Q195">
        <f t="shared" ref="Q195:Q258" si="13">IF($C195="","",$I195/$C195)</f>
        <v>9.6091387789809151</v>
      </c>
      <c r="R195">
        <v>1.76108583409011E-4</v>
      </c>
      <c r="S195">
        <f t="shared" ref="S195:S258" si="14">IF($B195="","",$C195*$R195)</f>
        <v>7.6884463914922263E-6</v>
      </c>
      <c r="T195" t="str">
        <f t="shared" ref="T195:T258" si="15">"'"&amp;P195&amp;"', "</f>
        <v xml:space="preserve">'ATOM', </v>
      </c>
      <c r="AJ195" s="4" t="s">
        <v>162</v>
      </c>
      <c r="AK195" s="45">
        <v>0.82786806999999996</v>
      </c>
      <c r="AL195">
        <v>4.809573020528676</v>
      </c>
      <c r="AN195" t="s">
        <v>115</v>
      </c>
      <c r="AO195" t="s">
        <v>342</v>
      </c>
      <c r="AP195">
        <v>5.2478028200000004</v>
      </c>
      <c r="AR195" s="4" t="s">
        <v>15</v>
      </c>
      <c r="AS195" s="43">
        <v>7.4249999999999998</v>
      </c>
    </row>
    <row r="196" spans="1:45" x14ac:dyDescent="0.25">
      <c r="A196">
        <v>194</v>
      </c>
      <c r="B196" t="s">
        <v>123</v>
      </c>
      <c r="C196" s="1">
        <v>1.5389969999999999E-2</v>
      </c>
      <c r="E196" t="s">
        <v>190</v>
      </c>
      <c r="F196" t="s">
        <v>918</v>
      </c>
      <c r="G196" s="22">
        <v>20221214</v>
      </c>
      <c r="H196" s="61">
        <v>44910.000001469911</v>
      </c>
      <c r="I196">
        <v>0.21126673009278599</v>
      </c>
      <c r="K196" s="21" t="s">
        <v>923</v>
      </c>
      <c r="L196" s="21" t="s">
        <v>890</v>
      </c>
      <c r="M196" s="21" t="s">
        <v>88</v>
      </c>
      <c r="N196" s="21" t="s">
        <v>115</v>
      </c>
      <c r="P196" t="str">
        <f t="shared" si="12"/>
        <v>AVAX</v>
      </c>
      <c r="Q196">
        <f t="shared" si="13"/>
        <v>13.727559578919648</v>
      </c>
      <c r="R196">
        <v>4.7741776000000002E-7</v>
      </c>
      <c r="S196">
        <f t="shared" si="14"/>
        <v>7.3474450038672E-9</v>
      </c>
      <c r="T196" t="str">
        <f t="shared" si="15"/>
        <v xml:space="preserve">'AVAX', </v>
      </c>
      <c r="AJ196" s="27" t="s">
        <v>88</v>
      </c>
      <c r="AK196" s="45">
        <v>0.82786806999999996</v>
      </c>
      <c r="AL196">
        <v>4.809573020528676</v>
      </c>
      <c r="AN196" t="s">
        <v>115</v>
      </c>
      <c r="AO196" t="s">
        <v>343</v>
      </c>
      <c r="AP196">
        <v>1.5389969999999999E-2</v>
      </c>
      <c r="AR196" s="4" t="s">
        <v>16</v>
      </c>
      <c r="AS196" s="43">
        <v>5.0000000000000001E-4</v>
      </c>
    </row>
    <row r="197" spans="1:45" x14ac:dyDescent="0.25">
      <c r="A197">
        <v>195</v>
      </c>
      <c r="B197" t="s">
        <v>123</v>
      </c>
      <c r="C197" s="1">
        <v>2.0454320000000002E-2</v>
      </c>
      <c r="E197" t="s">
        <v>127</v>
      </c>
      <c r="F197" t="s">
        <v>918</v>
      </c>
      <c r="G197" s="22">
        <v>20221214</v>
      </c>
      <c r="H197" s="61">
        <v>44910.000001469911</v>
      </c>
      <c r="I197">
        <v>4.5809772465210301E-3</v>
      </c>
      <c r="K197" s="21" t="s">
        <v>924</v>
      </c>
      <c r="L197" s="21" t="s">
        <v>890</v>
      </c>
      <c r="M197" s="21" t="s">
        <v>88</v>
      </c>
      <c r="N197" s="21" t="s">
        <v>115</v>
      </c>
      <c r="P197" t="str">
        <f t="shared" si="12"/>
        <v>BAT</v>
      </c>
      <c r="Q197">
        <f t="shared" si="13"/>
        <v>0.22396135615953158</v>
      </c>
      <c r="R197">
        <v>0.17799487568856576</v>
      </c>
      <c r="S197">
        <f t="shared" si="14"/>
        <v>3.6407641456941446E-3</v>
      </c>
      <c r="T197" t="str">
        <f t="shared" si="15"/>
        <v xml:space="preserve">'BAT', </v>
      </c>
      <c r="AJ197" s="4" t="s">
        <v>95</v>
      </c>
      <c r="AK197" s="45">
        <v>5089258.3810449997</v>
      </c>
      <c r="AL197">
        <v>5089952.2505408712</v>
      </c>
      <c r="AN197" t="s">
        <v>115</v>
      </c>
      <c r="AO197" t="s">
        <v>344</v>
      </c>
      <c r="AP197">
        <v>152.41521331999999</v>
      </c>
      <c r="AR197" s="4" t="s">
        <v>25</v>
      </c>
      <c r="AS197" s="43">
        <v>914.82898999999998</v>
      </c>
    </row>
    <row r="198" spans="1:45" x14ac:dyDescent="0.25">
      <c r="A198">
        <v>196</v>
      </c>
      <c r="B198" t="s">
        <v>123</v>
      </c>
      <c r="C198" s="1">
        <v>838.04330769000001</v>
      </c>
      <c r="E198" t="s">
        <v>21</v>
      </c>
      <c r="F198" t="s">
        <v>918</v>
      </c>
      <c r="G198" s="22">
        <v>20221214</v>
      </c>
      <c r="H198" s="61">
        <v>44910.000001469911</v>
      </c>
      <c r="I198">
        <v>91437.644845594201</v>
      </c>
      <c r="K198" s="21" t="s">
        <v>891</v>
      </c>
      <c r="L198" s="21" t="s">
        <v>890</v>
      </c>
      <c r="M198" s="21" t="s">
        <v>88</v>
      </c>
      <c r="N198" s="21" t="s">
        <v>115</v>
      </c>
      <c r="P198" t="str">
        <f t="shared" si="12"/>
        <v>BCH</v>
      </c>
      <c r="Q198">
        <f t="shared" si="13"/>
        <v>109.1084959530729</v>
      </c>
      <c r="R198">
        <v>1.1276999999999999</v>
      </c>
      <c r="S198">
        <f t="shared" si="14"/>
        <v>945.06143808201296</v>
      </c>
      <c r="T198" t="str">
        <f t="shared" si="15"/>
        <v xml:space="preserve">'BCH', </v>
      </c>
      <c r="AJ198" s="27" t="s">
        <v>88</v>
      </c>
      <c r="AK198" s="45">
        <v>5089258.3810449997</v>
      </c>
      <c r="AL198">
        <v>5089952.2505408712</v>
      </c>
      <c r="AN198" t="s">
        <v>115</v>
      </c>
      <c r="AO198" t="s">
        <v>345</v>
      </c>
      <c r="AP198">
        <v>0.39312850999999999</v>
      </c>
      <c r="AR198" s="4" t="s">
        <v>98</v>
      </c>
      <c r="AS198" s="43">
        <v>2.63E-3</v>
      </c>
    </row>
    <row r="199" spans="1:45" x14ac:dyDescent="0.25">
      <c r="A199">
        <v>197</v>
      </c>
      <c r="B199" t="s">
        <v>123</v>
      </c>
      <c r="C199" s="1">
        <v>2.5033500000000001E-3</v>
      </c>
      <c r="E199" t="s">
        <v>128</v>
      </c>
      <c r="F199" t="s">
        <v>918</v>
      </c>
      <c r="G199" s="22">
        <v>20221214</v>
      </c>
      <c r="H199" s="61">
        <v>44910.000001469911</v>
      </c>
      <c r="I199">
        <v>1.9953523672060501E-4</v>
      </c>
      <c r="K199" s="21" t="s">
        <v>925</v>
      </c>
      <c r="L199" s="21" t="s">
        <v>890</v>
      </c>
      <c r="M199" s="21" t="s">
        <v>88</v>
      </c>
      <c r="N199" s="21" t="s">
        <v>115</v>
      </c>
      <c r="P199" t="str">
        <f t="shared" si="12"/>
        <v>BHD</v>
      </c>
      <c r="Q199">
        <f t="shared" si="13"/>
        <v>7.9707286923764151E-2</v>
      </c>
      <c r="R199">
        <v>0.23309070963322473</v>
      </c>
      <c r="S199">
        <f t="shared" si="14"/>
        <v>5.8350762796033318E-4</v>
      </c>
      <c r="T199" t="str">
        <f t="shared" si="15"/>
        <v xml:space="preserve">'BHD', </v>
      </c>
      <c r="AJ199" s="4" t="s">
        <v>39</v>
      </c>
      <c r="AK199" s="45">
        <v>35119.677000000003</v>
      </c>
      <c r="AL199">
        <v>35075.93889653535</v>
      </c>
      <c r="AN199" t="s">
        <v>115</v>
      </c>
      <c r="AO199" t="s">
        <v>345</v>
      </c>
      <c r="AP199">
        <v>-29.37</v>
      </c>
      <c r="AR199" s="4" t="s">
        <v>102</v>
      </c>
      <c r="AS199" s="43">
        <v>493543</v>
      </c>
    </row>
    <row r="200" spans="1:45" x14ac:dyDescent="0.25">
      <c r="A200">
        <v>198</v>
      </c>
      <c r="B200" t="s">
        <v>123</v>
      </c>
      <c r="C200" s="1">
        <v>115.29838952</v>
      </c>
      <c r="E200" t="s">
        <v>129</v>
      </c>
      <c r="F200" t="s">
        <v>918</v>
      </c>
      <c r="G200" s="22">
        <v>20221214</v>
      </c>
      <c r="H200" s="61">
        <v>44910.000001469911</v>
      </c>
      <c r="I200">
        <v>7.2493053638472196</v>
      </c>
      <c r="K200" s="21" t="s">
        <v>926</v>
      </c>
      <c r="L200" s="21" t="s">
        <v>890</v>
      </c>
      <c r="M200" s="21" t="s">
        <v>88</v>
      </c>
      <c r="N200" s="21" t="s">
        <v>115</v>
      </c>
      <c r="P200" t="str">
        <f t="shared" si="12"/>
        <v>BLZ</v>
      </c>
      <c r="Q200">
        <f t="shared" si="13"/>
        <v>6.2874298539874515E-2</v>
      </c>
      <c r="R200">
        <v>8.09E-2</v>
      </c>
      <c r="S200">
        <f t="shared" si="14"/>
        <v>9.3276397121680006</v>
      </c>
      <c r="T200" t="str">
        <f t="shared" si="15"/>
        <v xml:space="preserve">'BLZ', </v>
      </c>
      <c r="AJ200" s="27" t="s">
        <v>88</v>
      </c>
      <c r="AK200" s="45">
        <v>35119.677000000003</v>
      </c>
      <c r="AL200">
        <v>35075.93889653535</v>
      </c>
      <c r="AN200" t="s">
        <v>115</v>
      </c>
      <c r="AO200" t="s">
        <v>345</v>
      </c>
      <c r="AP200" s="29">
        <v>1E-8</v>
      </c>
      <c r="AR200" s="3" t="s">
        <v>176</v>
      </c>
      <c r="AS200" s="43">
        <v>10138.885630000001</v>
      </c>
    </row>
    <row r="201" spans="1:45" x14ac:dyDescent="0.25">
      <c r="A201">
        <v>199</v>
      </c>
      <c r="B201" t="s">
        <v>123</v>
      </c>
      <c r="C201" s="1">
        <v>14.7502</v>
      </c>
      <c r="E201" t="s">
        <v>130</v>
      </c>
      <c r="F201" t="s">
        <v>918</v>
      </c>
      <c r="G201" s="22">
        <v>20221214</v>
      </c>
      <c r="H201" s="61">
        <v>44910.000001469911</v>
      </c>
      <c r="I201">
        <v>3.0301948775707701</v>
      </c>
      <c r="K201" s="21" t="s">
        <v>927</v>
      </c>
      <c r="L201" s="21" t="s">
        <v>890</v>
      </c>
      <c r="M201" s="21" t="s">
        <v>88</v>
      </c>
      <c r="N201" s="21" t="s">
        <v>115</v>
      </c>
      <c r="P201" t="str">
        <f t="shared" si="12"/>
        <v>BOBA</v>
      </c>
      <c r="Q201">
        <f t="shared" si="13"/>
        <v>0.20543415530438708</v>
      </c>
      <c r="R201">
        <v>2.0373893000000001</v>
      </c>
      <c r="S201">
        <f t="shared" si="14"/>
        <v>30.051899652860001</v>
      </c>
      <c r="T201" t="str">
        <f t="shared" si="15"/>
        <v xml:space="preserve">'BOBA', </v>
      </c>
      <c r="AJ201" s="4" t="s">
        <v>166</v>
      </c>
      <c r="AK201" s="45">
        <v>4.0349905000000001</v>
      </c>
      <c r="AL201">
        <v>0.35635009905164272</v>
      </c>
      <c r="AN201" t="s">
        <v>115</v>
      </c>
      <c r="AO201" t="s">
        <v>345</v>
      </c>
      <c r="AP201">
        <v>31.011724019999999</v>
      </c>
      <c r="AR201" s="4" t="s">
        <v>98</v>
      </c>
      <c r="AS201" s="43">
        <v>10138.885630000001</v>
      </c>
    </row>
    <row r="202" spans="1:45" x14ac:dyDescent="0.25">
      <c r="A202">
        <v>200</v>
      </c>
      <c r="B202" t="s">
        <v>123</v>
      </c>
      <c r="C202" s="1">
        <v>7.7951899999999996E-3</v>
      </c>
      <c r="E202" t="s">
        <v>116</v>
      </c>
      <c r="F202" t="s">
        <v>918</v>
      </c>
      <c r="G202" s="22">
        <v>20221214</v>
      </c>
      <c r="H202" s="61">
        <v>44910.000001469911</v>
      </c>
      <c r="I202">
        <v>0.35321267715002902</v>
      </c>
      <c r="K202" s="21" t="s">
        <v>892</v>
      </c>
      <c r="L202" s="21" t="s">
        <v>890</v>
      </c>
      <c r="M202" s="21" t="s">
        <v>88</v>
      </c>
      <c r="N202" s="21" t="s">
        <v>115</v>
      </c>
      <c r="P202" t="str">
        <f t="shared" si="12"/>
        <v>BSV</v>
      </c>
      <c r="Q202">
        <f t="shared" si="13"/>
        <v>45.311618722574948</v>
      </c>
      <c r="R202">
        <v>2.3022142275532113E-2</v>
      </c>
      <c r="S202">
        <f t="shared" si="14"/>
        <v>1.7946197324480518E-4</v>
      </c>
      <c r="T202" t="str">
        <f t="shared" si="15"/>
        <v xml:space="preserve">'BSV', </v>
      </c>
      <c r="AJ202" s="27" t="s">
        <v>88</v>
      </c>
      <c r="AK202" s="45">
        <v>4.0349905000000001</v>
      </c>
      <c r="AL202">
        <v>0.35635009905164272</v>
      </c>
      <c r="AN202" t="s">
        <v>115</v>
      </c>
      <c r="AO202" t="s">
        <v>346</v>
      </c>
      <c r="AP202">
        <v>2.5033500000000001E-3</v>
      </c>
      <c r="AR202" s="3" t="s">
        <v>46</v>
      </c>
      <c r="AS202" s="43">
        <v>-9971397314.0193577</v>
      </c>
    </row>
    <row r="203" spans="1:45" x14ac:dyDescent="0.25">
      <c r="A203">
        <v>201</v>
      </c>
      <c r="B203" t="s">
        <v>123</v>
      </c>
      <c r="C203" s="1">
        <v>287.47491647999999</v>
      </c>
      <c r="E203" t="s">
        <v>15</v>
      </c>
      <c r="F203" t="s">
        <v>918</v>
      </c>
      <c r="G203" s="22">
        <v>20221214</v>
      </c>
      <c r="H203" s="61">
        <v>44910.000001469911</v>
      </c>
      <c r="I203">
        <v>5121552.4540026896</v>
      </c>
      <c r="K203" s="21" t="s">
        <v>893</v>
      </c>
      <c r="L203" s="21" t="s">
        <v>890</v>
      </c>
      <c r="M203" s="21" t="s">
        <v>88</v>
      </c>
      <c r="N203" s="21" t="s">
        <v>115</v>
      </c>
      <c r="P203" t="str">
        <f t="shared" si="12"/>
        <v>BTC</v>
      </c>
      <c r="Q203">
        <f t="shared" si="13"/>
        <v>17815.649854650892</v>
      </c>
      <c r="R203">
        <v>1.2567074957005915E-2</v>
      </c>
      <c r="S203">
        <f t="shared" si="14"/>
        <v>3.6127188236631746</v>
      </c>
      <c r="T203" t="str">
        <f t="shared" si="15"/>
        <v xml:space="preserve">'BTC', </v>
      </c>
      <c r="AJ203" s="4" t="s">
        <v>102</v>
      </c>
      <c r="AK203" s="45">
        <v>313.68989199999999</v>
      </c>
      <c r="AL203">
        <v>106.74755061957509</v>
      </c>
      <c r="AN203" t="s">
        <v>115</v>
      </c>
      <c r="AO203" t="s">
        <v>347</v>
      </c>
      <c r="AP203">
        <v>115.29838952</v>
      </c>
      <c r="AR203" s="4" t="s">
        <v>21</v>
      </c>
      <c r="AS203" s="43">
        <v>0.49829999999999902</v>
      </c>
    </row>
    <row r="204" spans="1:45" x14ac:dyDescent="0.25">
      <c r="A204">
        <v>202</v>
      </c>
      <c r="B204" t="s">
        <v>123</v>
      </c>
      <c r="C204" s="1">
        <v>0.33565571999999999</v>
      </c>
      <c r="E204" t="s">
        <v>131</v>
      </c>
      <c r="F204" t="s">
        <v>918</v>
      </c>
      <c r="G204" s="22">
        <v>20221214</v>
      </c>
      <c r="H204" s="61">
        <v>44910.000001469911</v>
      </c>
      <c r="I204">
        <v>4.5998341691350798E-3</v>
      </c>
      <c r="K204" s="21" t="s">
        <v>928</v>
      </c>
      <c r="L204" s="21" t="s">
        <v>890</v>
      </c>
      <c r="M204" s="21" t="s">
        <v>88</v>
      </c>
      <c r="N204" s="21" t="s">
        <v>115</v>
      </c>
      <c r="P204" t="str">
        <f t="shared" si="12"/>
        <v>BTM</v>
      </c>
      <c r="Q204">
        <f t="shared" si="13"/>
        <v>1.3704024376927287E-2</v>
      </c>
      <c r="R204">
        <v>9.1027119999999996E-6</v>
      </c>
      <c r="S204">
        <f t="shared" si="14"/>
        <v>3.0553773503126397E-6</v>
      </c>
      <c r="T204" t="str">
        <f t="shared" si="15"/>
        <v xml:space="preserve">'BTM', </v>
      </c>
      <c r="AJ204" s="27" t="s">
        <v>88</v>
      </c>
      <c r="AK204" s="45">
        <v>313.68989199999999</v>
      </c>
      <c r="AL204">
        <v>106.74755061957509</v>
      </c>
      <c r="AN204" t="s">
        <v>115</v>
      </c>
      <c r="AO204" t="s">
        <v>348</v>
      </c>
      <c r="AP204">
        <v>14.7502</v>
      </c>
      <c r="AR204" s="4" t="s">
        <v>15</v>
      </c>
      <c r="AS204" s="43">
        <v>343.95710467827621</v>
      </c>
    </row>
    <row r="205" spans="1:45" x14ac:dyDescent="0.25">
      <c r="A205">
        <v>203</v>
      </c>
      <c r="B205" t="s">
        <v>123</v>
      </c>
      <c r="C205" s="1">
        <v>1367501156.8785999</v>
      </c>
      <c r="E205" t="s">
        <v>132</v>
      </c>
      <c r="F205" t="s">
        <v>918</v>
      </c>
      <c r="G205" s="22">
        <v>20221214</v>
      </c>
      <c r="H205" s="61">
        <v>44910.000001469911</v>
      </c>
      <c r="I205">
        <v>926.78176959022505</v>
      </c>
      <c r="K205" s="21" t="s">
        <v>929</v>
      </c>
      <c r="L205" s="21" t="s">
        <v>890</v>
      </c>
      <c r="M205" s="21" t="s">
        <v>88</v>
      </c>
      <c r="N205" s="21" t="s">
        <v>115</v>
      </c>
      <c r="P205" t="str">
        <f t="shared" si="12"/>
        <v>BTT</v>
      </c>
      <c r="Q205">
        <f t="shared" si="13"/>
        <v>6.7771918504672987E-7</v>
      </c>
      <c r="R205">
        <v>13.78</v>
      </c>
      <c r="S205">
        <f t="shared" si="14"/>
        <v>18844165941.787106</v>
      </c>
      <c r="T205" t="str">
        <f t="shared" si="15"/>
        <v xml:space="preserve">'BTT', </v>
      </c>
      <c r="AJ205" s="4" t="s">
        <v>174</v>
      </c>
      <c r="AK205" s="45">
        <v>7.66849E-3</v>
      </c>
      <c r="AL205">
        <v>43.807707989979207</v>
      </c>
      <c r="AN205" t="s">
        <v>115</v>
      </c>
      <c r="AO205" t="s">
        <v>349</v>
      </c>
      <c r="AP205">
        <v>2605.5844934199999</v>
      </c>
      <c r="AR205" s="4" t="s">
        <v>23</v>
      </c>
      <c r="AS205" s="43">
        <v>33</v>
      </c>
    </row>
    <row r="206" spans="1:45" x14ac:dyDescent="0.25">
      <c r="A206">
        <v>204</v>
      </c>
      <c r="B206" t="s">
        <v>123</v>
      </c>
      <c r="C206" s="1">
        <v>1.7855998900000001</v>
      </c>
      <c r="E206" t="s">
        <v>133</v>
      </c>
      <c r="F206" t="s">
        <v>918</v>
      </c>
      <c r="G206" s="22">
        <v>20221214</v>
      </c>
      <c r="H206" s="61">
        <v>44910.000001469911</v>
      </c>
      <c r="I206">
        <v>6.6804407083560597E-3</v>
      </c>
      <c r="K206" s="21" t="s">
        <v>930</v>
      </c>
      <c r="L206" s="21" t="s">
        <v>890</v>
      </c>
      <c r="M206" s="21" t="s">
        <v>88</v>
      </c>
      <c r="N206" s="21" t="s">
        <v>115</v>
      </c>
      <c r="P206" t="str">
        <f t="shared" si="12"/>
        <v>CMT</v>
      </c>
      <c r="Q206">
        <f t="shared" si="13"/>
        <v>3.7412864694766862E-3</v>
      </c>
      <c r="R206">
        <v>0.21565690774719862</v>
      </c>
      <c r="S206">
        <f t="shared" si="14"/>
        <v>0.38507695075113801</v>
      </c>
      <c r="T206" t="str">
        <f t="shared" si="15"/>
        <v xml:space="preserve">'CMT', </v>
      </c>
      <c r="AJ206" s="27" t="s">
        <v>88</v>
      </c>
      <c r="AK206" s="45">
        <v>7.66849E-3</v>
      </c>
      <c r="AL206">
        <v>43.807707989979207</v>
      </c>
      <c r="AN206" t="s">
        <v>115</v>
      </c>
      <c r="AO206" t="s">
        <v>349</v>
      </c>
      <c r="AP206" s="29">
        <v>1E-8</v>
      </c>
      <c r="AR206" s="4" t="s">
        <v>24</v>
      </c>
      <c r="AS206" s="43">
        <v>147384.59369374899</v>
      </c>
    </row>
    <row r="207" spans="1:45" x14ac:dyDescent="0.25">
      <c r="A207">
        <v>205</v>
      </c>
      <c r="B207" t="s">
        <v>123</v>
      </c>
      <c r="C207" s="1">
        <v>0.30791584</v>
      </c>
      <c r="E207" t="s">
        <v>134</v>
      </c>
      <c r="F207" t="s">
        <v>918</v>
      </c>
      <c r="G207" s="22">
        <v>20221214</v>
      </c>
      <c r="H207" s="61">
        <v>44910.000001469911</v>
      </c>
      <c r="I207">
        <v>1.9071477542135899E-2</v>
      </c>
      <c r="K207" s="21" t="s">
        <v>931</v>
      </c>
      <c r="L207" s="21" t="s">
        <v>890</v>
      </c>
      <c r="M207" s="21" t="s">
        <v>88</v>
      </c>
      <c r="N207" s="21" t="s">
        <v>115</v>
      </c>
      <c r="P207" t="str">
        <f t="shared" si="12"/>
        <v>CRO</v>
      </c>
      <c r="Q207">
        <f t="shared" si="13"/>
        <v>6.1937305798025519E-2</v>
      </c>
      <c r="R207">
        <v>0.30287269999999999</v>
      </c>
      <c r="S207">
        <f t="shared" si="14"/>
        <v>9.3259301833567995E-2</v>
      </c>
      <c r="T207" t="str">
        <f t="shared" si="15"/>
        <v xml:space="preserve">'CRO', </v>
      </c>
      <c r="AJ207" s="3" t="s">
        <v>111</v>
      </c>
      <c r="AK207" s="45">
        <v>45363982.454128131</v>
      </c>
      <c r="AL207">
        <v>31430984.23244011</v>
      </c>
      <c r="AN207" t="s">
        <v>115</v>
      </c>
      <c r="AO207" t="s">
        <v>349</v>
      </c>
      <c r="AP207">
        <v>1625.6897381399999</v>
      </c>
      <c r="AR207" s="4" t="s">
        <v>30</v>
      </c>
      <c r="AS207" s="43">
        <v>-0.40708584438984002</v>
      </c>
    </row>
    <row r="208" spans="1:45" x14ac:dyDescent="0.25">
      <c r="A208">
        <v>206</v>
      </c>
      <c r="B208" t="s">
        <v>123</v>
      </c>
      <c r="C208" s="1">
        <v>5.6119999999999998E-5</v>
      </c>
      <c r="E208" t="s">
        <v>135</v>
      </c>
      <c r="F208" t="s">
        <v>918</v>
      </c>
      <c r="G208" s="22">
        <v>20221214</v>
      </c>
      <c r="H208" s="61">
        <v>44910.000001469911</v>
      </c>
      <c r="I208">
        <v>2.7411021117993198E-3</v>
      </c>
      <c r="K208" s="21" t="s">
        <v>932</v>
      </c>
      <c r="L208" s="21" t="s">
        <v>890</v>
      </c>
      <c r="M208" s="21" t="s">
        <v>88</v>
      </c>
      <c r="N208" s="21" t="s">
        <v>115</v>
      </c>
      <c r="P208" t="str">
        <f t="shared" si="12"/>
        <v>DASH</v>
      </c>
      <c r="Q208">
        <f t="shared" si="13"/>
        <v>48.843587166773339</v>
      </c>
      <c r="R208">
        <v>5.0092902000000002E-2</v>
      </c>
      <c r="S208">
        <f t="shared" si="14"/>
        <v>2.8112136602399999E-6</v>
      </c>
      <c r="T208" t="str">
        <f t="shared" si="15"/>
        <v xml:space="preserve">'DASH', </v>
      </c>
      <c r="AJ208" s="4" t="s">
        <v>21</v>
      </c>
      <c r="AK208" s="45">
        <v>-3086.8876707200002</v>
      </c>
      <c r="AL208">
        <v>-307597.57568526833</v>
      </c>
      <c r="AN208" t="s">
        <v>115</v>
      </c>
      <c r="AO208" t="s">
        <v>349</v>
      </c>
      <c r="AP208">
        <v>-546.37</v>
      </c>
      <c r="AR208" s="4" t="s">
        <v>16</v>
      </c>
      <c r="AS208" s="43">
        <v>5256.4753521819885</v>
      </c>
    </row>
    <row r="209" spans="1:45" x14ac:dyDescent="0.25">
      <c r="A209">
        <v>207</v>
      </c>
      <c r="B209" t="s">
        <v>123</v>
      </c>
      <c r="C209" s="1">
        <v>5.9800000000000001E-4</v>
      </c>
      <c r="E209" t="s">
        <v>136</v>
      </c>
      <c r="F209" t="s">
        <v>918</v>
      </c>
      <c r="G209" s="22">
        <v>20221214</v>
      </c>
      <c r="H209" s="61">
        <v>44910.000001469911</v>
      </c>
      <c r="I209">
        <v>2.9903151768703602E-6</v>
      </c>
      <c r="K209" s="21" t="s">
        <v>933</v>
      </c>
      <c r="L209" s="21" t="s">
        <v>890</v>
      </c>
      <c r="M209" s="21" t="s">
        <v>88</v>
      </c>
      <c r="N209" s="21" t="s">
        <v>115</v>
      </c>
      <c r="P209" t="str">
        <f t="shared" si="12"/>
        <v>DON</v>
      </c>
      <c r="Q209">
        <f t="shared" si="13"/>
        <v>5.000527051622676E-3</v>
      </c>
      <c r="R209">
        <v>3.200562746442823E-3</v>
      </c>
      <c r="S209">
        <f t="shared" si="14"/>
        <v>1.9139365223728081E-6</v>
      </c>
      <c r="T209" t="str">
        <f t="shared" si="15"/>
        <v xml:space="preserve">'DON', </v>
      </c>
      <c r="AJ209" s="27" t="s">
        <v>198</v>
      </c>
      <c r="AK209" s="45">
        <v>-3086.8876707200002</v>
      </c>
      <c r="AL209">
        <v>-307597.57568526833</v>
      </c>
      <c r="AN209" t="s">
        <v>115</v>
      </c>
      <c r="AO209" t="s">
        <v>350</v>
      </c>
      <c r="AP209">
        <v>0.74809400000000004</v>
      </c>
      <c r="AR209" s="4" t="s">
        <v>31</v>
      </c>
      <c r="AS209" s="43">
        <v>-3.6901195303759099E-2</v>
      </c>
    </row>
    <row r="210" spans="1:45" x14ac:dyDescent="0.25">
      <c r="A210">
        <v>208</v>
      </c>
      <c r="B210" t="s">
        <v>123</v>
      </c>
      <c r="C210" s="1">
        <v>40134.758036849998</v>
      </c>
      <c r="E210" t="s">
        <v>23</v>
      </c>
      <c r="F210" t="s">
        <v>918</v>
      </c>
      <c r="G210" s="22">
        <v>20221214</v>
      </c>
      <c r="H210" s="61">
        <v>44910.000001469911</v>
      </c>
      <c r="I210">
        <v>209311.181466418</v>
      </c>
      <c r="K210" s="21" t="s">
        <v>901</v>
      </c>
      <c r="L210" s="21" t="s">
        <v>890</v>
      </c>
      <c r="M210" s="21" t="s">
        <v>88</v>
      </c>
      <c r="N210" s="21" t="s">
        <v>115</v>
      </c>
      <c r="P210" t="str">
        <f t="shared" si="12"/>
        <v>DOT</v>
      </c>
      <c r="Q210">
        <f t="shared" si="13"/>
        <v>5.2152097509654229</v>
      </c>
      <c r="R210">
        <v>0.99974478737345207</v>
      </c>
      <c r="S210">
        <f t="shared" si="14"/>
        <v>40124.515139835552</v>
      </c>
      <c r="T210" t="str">
        <f t="shared" si="15"/>
        <v xml:space="preserve">'DOT', </v>
      </c>
      <c r="AJ210" s="4" t="s">
        <v>15</v>
      </c>
      <c r="AK210" s="45">
        <v>5.6822449999999997E-2</v>
      </c>
      <c r="AL210">
        <v>929.23830579595301</v>
      </c>
      <c r="AN210" t="s">
        <v>115</v>
      </c>
      <c r="AO210" t="s">
        <v>350</v>
      </c>
      <c r="AP210">
        <v>201.83665540999999</v>
      </c>
      <c r="AR210" s="4" t="s">
        <v>25</v>
      </c>
      <c r="AS210" s="43">
        <v>-29.569263762295201</v>
      </c>
    </row>
    <row r="211" spans="1:45" x14ac:dyDescent="0.25">
      <c r="A211">
        <v>209</v>
      </c>
      <c r="B211" t="s">
        <v>123</v>
      </c>
      <c r="C211" s="1">
        <v>1E-8</v>
      </c>
      <c r="E211" t="s">
        <v>29</v>
      </c>
      <c r="F211" t="s">
        <v>918</v>
      </c>
      <c r="G211" s="22">
        <v>20221214</v>
      </c>
      <c r="H211" s="61">
        <v>44910.000001469911</v>
      </c>
      <c r="I211">
        <v>3.00264020544341E-9</v>
      </c>
      <c r="K211" s="21" t="s">
        <v>934</v>
      </c>
      <c r="L211" s="21" t="s">
        <v>890</v>
      </c>
      <c r="M211" s="21" t="s">
        <v>88</v>
      </c>
      <c r="N211" s="21" t="s">
        <v>115</v>
      </c>
      <c r="P211" t="str">
        <f t="shared" si="12"/>
        <v>ENJ</v>
      </c>
      <c r="Q211">
        <f t="shared" si="13"/>
        <v>0.30026402054434098</v>
      </c>
      <c r="R211">
        <v>5.7869999999999999</v>
      </c>
      <c r="S211">
        <f t="shared" si="14"/>
        <v>5.7870000000000001E-8</v>
      </c>
      <c r="T211" t="str">
        <f t="shared" si="15"/>
        <v xml:space="preserve">'ENJ', </v>
      </c>
      <c r="AJ211" s="27" t="s">
        <v>88</v>
      </c>
      <c r="AK211" s="45">
        <v>5.6822449999999997E-2</v>
      </c>
      <c r="AL211">
        <v>929.23830579595301</v>
      </c>
      <c r="AN211" t="s">
        <v>115</v>
      </c>
      <c r="AO211" t="s">
        <v>350</v>
      </c>
      <c r="AP211">
        <v>344.26372151999999</v>
      </c>
      <c r="AR211" s="4" t="s">
        <v>92</v>
      </c>
      <c r="AS211" s="43">
        <v>383818.60575309797</v>
      </c>
    </row>
    <row r="212" spans="1:45" x14ac:dyDescent="0.25">
      <c r="A212">
        <v>210</v>
      </c>
      <c r="B212" t="s">
        <v>123</v>
      </c>
      <c r="C212" s="1">
        <v>28537.08774997</v>
      </c>
      <c r="E212" t="s">
        <v>24</v>
      </c>
      <c r="F212" t="s">
        <v>918</v>
      </c>
      <c r="G212" s="22">
        <v>20221214</v>
      </c>
      <c r="H212" s="61">
        <v>44910.000001469911</v>
      </c>
      <c r="I212">
        <v>27909.880706494401</v>
      </c>
      <c r="K212" s="21" t="s">
        <v>894</v>
      </c>
      <c r="L212" s="21" t="s">
        <v>890</v>
      </c>
      <c r="M212" s="21" t="s">
        <v>88</v>
      </c>
      <c r="N212" s="21" t="s">
        <v>115</v>
      </c>
      <c r="P212" t="str">
        <f t="shared" si="12"/>
        <v>EOS</v>
      </c>
      <c r="Q212">
        <f t="shared" si="13"/>
        <v>0.97802133669101332</v>
      </c>
      <c r="R212">
        <v>1.0001621022067761</v>
      </c>
      <c r="S212">
        <f t="shared" si="14"/>
        <v>28541.713674869236</v>
      </c>
      <c r="T212" t="str">
        <f t="shared" si="15"/>
        <v xml:space="preserve">'EOS', </v>
      </c>
      <c r="AJ212" s="4" t="s">
        <v>16</v>
      </c>
      <c r="AK212" s="45">
        <v>-11923.311404599999</v>
      </c>
      <c r="AL212">
        <v>-14568131.013139229</v>
      </c>
      <c r="AN212" t="s">
        <v>115</v>
      </c>
      <c r="AO212" t="s">
        <v>350</v>
      </c>
      <c r="AP212">
        <v>488.2668764</v>
      </c>
      <c r="AR212" s="4" t="s">
        <v>38</v>
      </c>
      <c r="AS212" s="43">
        <v>-10030682958.4883</v>
      </c>
    </row>
    <row r="213" spans="1:45" x14ac:dyDescent="0.25">
      <c r="A213">
        <v>211</v>
      </c>
      <c r="B213" t="s">
        <v>123</v>
      </c>
      <c r="C213" s="1">
        <v>9625.8346537899997</v>
      </c>
      <c r="E213" t="s">
        <v>30</v>
      </c>
      <c r="F213" t="s">
        <v>918</v>
      </c>
      <c r="G213" s="22">
        <v>20221214</v>
      </c>
      <c r="H213" s="61">
        <v>44910.000001469911</v>
      </c>
      <c r="I213">
        <v>180847.170787865</v>
      </c>
      <c r="K213" s="21" t="s">
        <v>895</v>
      </c>
      <c r="L213" s="21" t="s">
        <v>890</v>
      </c>
      <c r="M213" s="21" t="s">
        <v>88</v>
      </c>
      <c r="N213" s="21" t="s">
        <v>115</v>
      </c>
      <c r="P213" t="str">
        <f t="shared" si="12"/>
        <v>ETC</v>
      </c>
      <c r="Q213">
        <f t="shared" si="13"/>
        <v>18.787687228417088</v>
      </c>
      <c r="R213">
        <v>0.99489122315701173</v>
      </c>
      <c r="S213">
        <f t="shared" si="14"/>
        <v>9576.6584126162834</v>
      </c>
      <c r="T213" t="str">
        <f t="shared" si="15"/>
        <v xml:space="preserve">'ETC', </v>
      </c>
      <c r="AJ213" s="27" t="s">
        <v>198</v>
      </c>
      <c r="AK213" s="45">
        <v>-11923.311404599999</v>
      </c>
      <c r="AL213">
        <v>-14568131.013139229</v>
      </c>
      <c r="AN213" t="s">
        <v>115</v>
      </c>
      <c r="AO213" t="s">
        <v>351</v>
      </c>
      <c r="AP213">
        <v>0.33565571999999999</v>
      </c>
      <c r="AR213" s="4" t="s">
        <v>98</v>
      </c>
      <c r="AS213" s="43">
        <v>-24678.549614920001</v>
      </c>
    </row>
    <row r="214" spans="1:45" x14ac:dyDescent="0.25">
      <c r="A214">
        <v>212</v>
      </c>
      <c r="B214" t="s">
        <v>123</v>
      </c>
      <c r="C214" s="1">
        <v>4359.2729806400002</v>
      </c>
      <c r="E214" t="s">
        <v>16</v>
      </c>
      <c r="F214" t="s">
        <v>918</v>
      </c>
      <c r="G214" s="22">
        <v>20221214</v>
      </c>
      <c r="H214" s="61">
        <v>44910.000001469911</v>
      </c>
      <c r="I214">
        <v>5707721.1241309801</v>
      </c>
      <c r="K214" s="21" t="s">
        <v>896</v>
      </c>
      <c r="L214" s="21" t="s">
        <v>890</v>
      </c>
      <c r="M214" s="21" t="s">
        <v>88</v>
      </c>
      <c r="N214" s="21" t="s">
        <v>115</v>
      </c>
      <c r="P214" t="str">
        <f t="shared" si="12"/>
        <v>ETH</v>
      </c>
      <c r="Q214">
        <f t="shared" si="13"/>
        <v>1309.3286769329618</v>
      </c>
      <c r="R214">
        <v>0.9994019011090044</v>
      </c>
      <c r="S214">
        <f t="shared" si="14"/>
        <v>4356.6657043047326</v>
      </c>
      <c r="T214" t="str">
        <f t="shared" si="15"/>
        <v xml:space="preserve">'ETH', </v>
      </c>
      <c r="AJ214" s="4" t="s">
        <v>110</v>
      </c>
      <c r="AK214" s="45">
        <v>33826924.97249233</v>
      </c>
      <c r="AL214">
        <v>34961818.305319443</v>
      </c>
      <c r="AN214" t="s">
        <v>115</v>
      </c>
      <c r="AO214" t="s">
        <v>352</v>
      </c>
      <c r="AP214">
        <v>1367501156.8785999</v>
      </c>
      <c r="AR214" s="4" t="s">
        <v>95</v>
      </c>
      <c r="AS214" s="43">
        <v>-66835.391536763593</v>
      </c>
    </row>
    <row r="215" spans="1:45" x14ac:dyDescent="0.25">
      <c r="A215">
        <v>213</v>
      </c>
      <c r="B215" t="s">
        <v>123</v>
      </c>
      <c r="C215" s="1">
        <v>9823.8364263999993</v>
      </c>
      <c r="E215" t="s">
        <v>297</v>
      </c>
      <c r="F215" t="s">
        <v>918</v>
      </c>
      <c r="G215" s="22">
        <v>20221214</v>
      </c>
      <c r="H215" s="61">
        <v>44910.000001469911</v>
      </c>
      <c r="I215">
        <v>2259.6459327001999</v>
      </c>
      <c r="K215" s="21" t="s">
        <v>935</v>
      </c>
      <c r="L215" s="21" t="s">
        <v>890</v>
      </c>
      <c r="M215" s="21" t="s">
        <v>88</v>
      </c>
      <c r="N215" s="21" t="s">
        <v>115</v>
      </c>
      <c r="P215" t="str">
        <f t="shared" si="12"/>
        <v>ETHF</v>
      </c>
      <c r="Q215">
        <f t="shared" si="13"/>
        <v>0.23001664875320607</v>
      </c>
      <c r="R215">
        <v>1.9404659000000001E-2</v>
      </c>
      <c r="S215">
        <f t="shared" si="14"/>
        <v>190.62819592607059</v>
      </c>
      <c r="T215" t="str">
        <f t="shared" si="15"/>
        <v xml:space="preserve">'ETHF', </v>
      </c>
      <c r="AJ215" s="27" t="s">
        <v>88</v>
      </c>
      <c r="AK215" s="45">
        <v>33826924.97249233</v>
      </c>
      <c r="AL215">
        <v>34961818.305319443</v>
      </c>
      <c r="AN215" t="s">
        <v>115</v>
      </c>
      <c r="AO215" t="s">
        <v>353</v>
      </c>
      <c r="AP215">
        <v>1.7855998900000001</v>
      </c>
      <c r="AR215" s="4" t="s">
        <v>39</v>
      </c>
      <c r="AS215" s="43">
        <v>52005130.943595007</v>
      </c>
    </row>
    <row r="216" spans="1:45" x14ac:dyDescent="0.25">
      <c r="A216">
        <v>214</v>
      </c>
      <c r="B216" t="s">
        <v>123</v>
      </c>
      <c r="C216" s="1">
        <v>3460.93190667</v>
      </c>
      <c r="E216" t="s">
        <v>275</v>
      </c>
      <c r="F216" t="s">
        <v>918</v>
      </c>
      <c r="G216" s="22">
        <v>20221214</v>
      </c>
      <c r="H216" s="61">
        <v>44910.000001469911</v>
      </c>
      <c r="I216">
        <v>12253.471532504</v>
      </c>
      <c r="K216" s="21" t="s">
        <v>936</v>
      </c>
      <c r="L216" s="21" t="s">
        <v>890</v>
      </c>
      <c r="M216" s="21" t="s">
        <v>88</v>
      </c>
      <c r="N216" s="21" t="s">
        <v>115</v>
      </c>
      <c r="P216" t="str">
        <f t="shared" si="12"/>
        <v>ETHW</v>
      </c>
      <c r="Q216">
        <f t="shared" si="13"/>
        <v>3.5405121692480526</v>
      </c>
      <c r="R216">
        <v>9.6580979887330798E-4</v>
      </c>
      <c r="S216">
        <f t="shared" si="14"/>
        <v>3.342601948695167</v>
      </c>
      <c r="T216" t="str">
        <f t="shared" si="15"/>
        <v xml:space="preserve">'ETHW', </v>
      </c>
      <c r="AJ216" s="4" t="s">
        <v>112</v>
      </c>
      <c r="AK216" s="45">
        <v>1010.5439135300001</v>
      </c>
      <c r="AL216">
        <v>1504.966856847326</v>
      </c>
      <c r="AN216" t="s">
        <v>115</v>
      </c>
      <c r="AO216" t="s">
        <v>354</v>
      </c>
      <c r="AP216">
        <v>43.072197150000001</v>
      </c>
      <c r="AR216" s="4" t="s">
        <v>102</v>
      </c>
      <c r="AS216" s="43">
        <v>5295091.7184229065</v>
      </c>
    </row>
    <row r="217" spans="1:45" x14ac:dyDescent="0.25">
      <c r="A217">
        <v>215</v>
      </c>
      <c r="B217" t="s">
        <v>123</v>
      </c>
      <c r="C217" s="1">
        <v>340001.49837544002</v>
      </c>
      <c r="E217" t="s">
        <v>261</v>
      </c>
      <c r="F217" t="s">
        <v>918</v>
      </c>
      <c r="G217" s="22">
        <v>20221214</v>
      </c>
      <c r="H217" s="61">
        <v>44910.000001469911</v>
      </c>
      <c r="I217">
        <v>363234.29147343902</v>
      </c>
      <c r="K217" s="21" t="s">
        <v>937</v>
      </c>
      <c r="L217" s="21" t="s">
        <v>890</v>
      </c>
      <c r="M217" s="21" t="s">
        <v>88</v>
      </c>
      <c r="N217" s="21" t="s">
        <v>115</v>
      </c>
      <c r="P217" t="str">
        <f t="shared" si="12"/>
        <v>EUROC</v>
      </c>
      <c r="Q217">
        <f t="shared" si="13"/>
        <v>1.0683314432701254</v>
      </c>
      <c r="R217">
        <v>2.8637358E-5</v>
      </c>
      <c r="S217">
        <f t="shared" si="14"/>
        <v>9.7367446295138933</v>
      </c>
      <c r="T217" t="str">
        <f t="shared" si="15"/>
        <v xml:space="preserve">'EUROC', </v>
      </c>
      <c r="AJ217" s="27" t="s">
        <v>88</v>
      </c>
      <c r="AK217" s="45">
        <v>1010.5439135300001</v>
      </c>
      <c r="AL217">
        <v>1504.966856847326</v>
      </c>
      <c r="AN217" t="s">
        <v>115</v>
      </c>
      <c r="AO217" t="s">
        <v>355</v>
      </c>
      <c r="AP217">
        <v>0.30791584</v>
      </c>
      <c r="AR217" s="4" t="s">
        <v>413</v>
      </c>
      <c r="AS217" s="43">
        <v>1540128.6311230001</v>
      </c>
    </row>
    <row r="218" spans="1:45" x14ac:dyDescent="0.25">
      <c r="A218">
        <v>216</v>
      </c>
      <c r="B218" t="s">
        <v>123</v>
      </c>
      <c r="C218" s="1">
        <v>1.0244641699999999</v>
      </c>
      <c r="E218" t="s">
        <v>31</v>
      </c>
      <c r="F218" t="s">
        <v>918</v>
      </c>
      <c r="G218" s="22">
        <v>20221214</v>
      </c>
      <c r="H218" s="61">
        <v>44910.000001469911</v>
      </c>
      <c r="I218">
        <v>4.3335753432124999</v>
      </c>
      <c r="K218" s="21" t="s">
        <v>938</v>
      </c>
      <c r="L218" s="21" t="s">
        <v>890</v>
      </c>
      <c r="M218" s="21" t="s">
        <v>88</v>
      </c>
      <c r="N218" s="21" t="s">
        <v>115</v>
      </c>
      <c r="P218" t="str">
        <f t="shared" si="12"/>
        <v>FIL</v>
      </c>
      <c r="Q218">
        <f t="shared" si="13"/>
        <v>4.2300897094453784</v>
      </c>
      <c r="R218">
        <v>9.0786800000000001E-2</v>
      </c>
      <c r="S218">
        <f t="shared" si="14"/>
        <v>9.3007823708955994E-2</v>
      </c>
      <c r="T218" t="str">
        <f t="shared" si="15"/>
        <v xml:space="preserve">'FIL', </v>
      </c>
      <c r="AJ218" s="4" t="s">
        <v>28</v>
      </c>
      <c r="AK218" s="45">
        <v>-30046.69684552</v>
      </c>
      <c r="AL218">
        <v>-182456.9538534974</v>
      </c>
      <c r="AN218" t="s">
        <v>115</v>
      </c>
      <c r="AO218" t="s">
        <v>356</v>
      </c>
      <c r="AP218">
        <v>5.6119999999999998E-5</v>
      </c>
      <c r="AR218" s="3" t="s">
        <v>187</v>
      </c>
      <c r="AS218" s="43">
        <v>11647112.88739408</v>
      </c>
    </row>
    <row r="219" spans="1:45" x14ac:dyDescent="0.25">
      <c r="A219">
        <v>217</v>
      </c>
      <c r="B219" t="s">
        <v>123</v>
      </c>
      <c r="C219" s="1">
        <v>0.68557060000000003</v>
      </c>
      <c r="E219" t="s">
        <v>112</v>
      </c>
      <c r="F219" t="s">
        <v>918</v>
      </c>
      <c r="G219" s="22">
        <v>20221214</v>
      </c>
      <c r="H219" s="61">
        <v>44910.000001469911</v>
      </c>
      <c r="I219">
        <v>0.94009218100883196</v>
      </c>
      <c r="K219" s="21" t="s">
        <v>939</v>
      </c>
      <c r="L219" s="21" t="s">
        <v>890</v>
      </c>
      <c r="M219" s="21" t="s">
        <v>88</v>
      </c>
      <c r="N219" s="21" t="s">
        <v>115</v>
      </c>
      <c r="P219" t="str">
        <f t="shared" si="12"/>
        <v>FTT</v>
      </c>
      <c r="Q219">
        <f t="shared" si="13"/>
        <v>1.3712550990500934</v>
      </c>
      <c r="R219">
        <v>0.38471588000000001</v>
      </c>
      <c r="S219">
        <f t="shared" si="14"/>
        <v>0.26374989668112803</v>
      </c>
      <c r="T219" t="str">
        <f t="shared" si="15"/>
        <v xml:space="preserve">'FTT', </v>
      </c>
      <c r="AJ219" s="27" t="s">
        <v>198</v>
      </c>
      <c r="AK219" s="45">
        <v>-30046.69684552</v>
      </c>
      <c r="AL219">
        <v>-182456.9538534974</v>
      </c>
      <c r="AN219" t="s">
        <v>115</v>
      </c>
      <c r="AO219" t="s">
        <v>357</v>
      </c>
      <c r="AP219">
        <v>5.9800000000000001E-4</v>
      </c>
      <c r="AR219" s="4" t="s">
        <v>87</v>
      </c>
      <c r="AS219" s="43">
        <v>59</v>
      </c>
    </row>
    <row r="220" spans="1:45" x14ac:dyDescent="0.25">
      <c r="A220">
        <v>218</v>
      </c>
      <c r="B220" t="s">
        <v>123</v>
      </c>
      <c r="C220" s="1">
        <v>54.776400000000002</v>
      </c>
      <c r="E220" t="s">
        <v>137</v>
      </c>
      <c r="F220" t="s">
        <v>918</v>
      </c>
      <c r="G220" s="22">
        <v>20221214</v>
      </c>
      <c r="H220" s="61">
        <v>44910.000001469911</v>
      </c>
      <c r="I220">
        <v>126.89314937976</v>
      </c>
      <c r="K220" s="21" t="s">
        <v>940</v>
      </c>
      <c r="L220" s="21" t="s">
        <v>890</v>
      </c>
      <c r="M220" s="21" t="s">
        <v>88</v>
      </c>
      <c r="N220" s="21" t="s">
        <v>115</v>
      </c>
      <c r="P220" t="str">
        <f t="shared" si="12"/>
        <v>GAS</v>
      </c>
      <c r="Q220">
        <f t="shared" si="13"/>
        <v>2.316566064578176</v>
      </c>
      <c r="R220">
        <v>0.98099999999999998</v>
      </c>
      <c r="S220">
        <f t="shared" si="14"/>
        <v>53.735648400000002</v>
      </c>
      <c r="T220" t="str">
        <f t="shared" si="15"/>
        <v xml:space="preserve">'GAS', </v>
      </c>
      <c r="AJ220" s="4" t="s">
        <v>25</v>
      </c>
      <c r="AK220" s="45">
        <v>8.9908658799999994</v>
      </c>
      <c r="AL220">
        <v>516.85947072252793</v>
      </c>
      <c r="AN220" t="s">
        <v>115</v>
      </c>
      <c r="AO220" t="s">
        <v>358</v>
      </c>
      <c r="AP220">
        <v>19056.338227560002</v>
      </c>
      <c r="AR220" s="4" t="s">
        <v>15</v>
      </c>
      <c r="AS220" s="43">
        <v>-221.57694376000001</v>
      </c>
    </row>
    <row r="221" spans="1:45" x14ac:dyDescent="0.25">
      <c r="A221">
        <v>219</v>
      </c>
      <c r="B221" t="s">
        <v>123</v>
      </c>
      <c r="C221" s="1">
        <v>3.4060489999999999E-2</v>
      </c>
      <c r="E221" t="s">
        <v>138</v>
      </c>
      <c r="F221" t="s">
        <v>918</v>
      </c>
      <c r="G221" s="22">
        <v>20221214</v>
      </c>
      <c r="H221" s="61">
        <v>44910.000001469911</v>
      </c>
      <c r="I221">
        <v>1.5899051850250801E-3</v>
      </c>
      <c r="K221" s="21" t="s">
        <v>941</v>
      </c>
      <c r="L221" s="21" t="s">
        <v>890</v>
      </c>
      <c r="M221" s="21" t="s">
        <v>88</v>
      </c>
      <c r="N221" s="21" t="s">
        <v>115</v>
      </c>
      <c r="P221" t="str">
        <f t="shared" si="12"/>
        <v>HBAR</v>
      </c>
      <c r="Q221">
        <f t="shared" si="13"/>
        <v>4.6678870005248903E-2</v>
      </c>
      <c r="R221">
        <v>6065.0834999999997</v>
      </c>
      <c r="S221">
        <f t="shared" si="14"/>
        <v>206.57971590091498</v>
      </c>
      <c r="T221" t="str">
        <f t="shared" si="15"/>
        <v xml:space="preserve">'HBAR', </v>
      </c>
      <c r="AJ221" s="27" t="s">
        <v>88</v>
      </c>
      <c r="AK221" s="45">
        <v>8.9908658799999994</v>
      </c>
      <c r="AL221">
        <v>516.85947072252793</v>
      </c>
      <c r="AN221" t="s">
        <v>115</v>
      </c>
      <c r="AO221" t="s">
        <v>358</v>
      </c>
      <c r="AP221">
        <v>18100.925351860002</v>
      </c>
      <c r="AR221" s="4" t="s">
        <v>16</v>
      </c>
      <c r="AS221" s="43">
        <v>-2975.5798351799999</v>
      </c>
    </row>
    <row r="222" spans="1:45" x14ac:dyDescent="0.25">
      <c r="A222">
        <v>220</v>
      </c>
      <c r="B222" t="s">
        <v>123</v>
      </c>
      <c r="C222" s="1">
        <v>5337.6979873099999</v>
      </c>
      <c r="E222" t="s">
        <v>139</v>
      </c>
      <c r="F222" t="s">
        <v>918</v>
      </c>
      <c r="G222" s="22">
        <v>20221214</v>
      </c>
      <c r="H222" s="61">
        <v>44910.000001469911</v>
      </c>
      <c r="I222">
        <v>4.2889520671411701</v>
      </c>
      <c r="K222" s="21" t="s">
        <v>942</v>
      </c>
      <c r="L222" s="21" t="s">
        <v>890</v>
      </c>
      <c r="M222" s="21" t="s">
        <v>88</v>
      </c>
      <c r="N222" s="21" t="s">
        <v>115</v>
      </c>
      <c r="P222" t="str">
        <f t="shared" si="12"/>
        <v>HPT</v>
      </c>
      <c r="Q222">
        <f t="shared" si="13"/>
        <v>8.035209330572563E-4</v>
      </c>
      <c r="R222">
        <v>2467.3595374173997</v>
      </c>
      <c r="S222">
        <f t="shared" si="14"/>
        <v>13170020.036842987</v>
      </c>
      <c r="T222" t="str">
        <f t="shared" si="15"/>
        <v xml:space="preserve">'HPT', </v>
      </c>
      <c r="AJ222" s="4" t="s">
        <v>153</v>
      </c>
      <c r="AK222" s="45">
        <v>-160712.46089824001</v>
      </c>
      <c r="AL222">
        <v>-181462.3761594652</v>
      </c>
      <c r="AN222" t="s">
        <v>115</v>
      </c>
      <c r="AO222" t="s">
        <v>359</v>
      </c>
      <c r="AP222">
        <v>241319.15317850999</v>
      </c>
      <c r="AR222" s="4" t="s">
        <v>275</v>
      </c>
      <c r="AS222" s="43">
        <v>1267.7570125100001</v>
      </c>
    </row>
    <row r="223" spans="1:45" x14ac:dyDescent="0.25">
      <c r="A223">
        <v>221</v>
      </c>
      <c r="B223" t="s">
        <v>123</v>
      </c>
      <c r="C223" s="1">
        <v>2231.62166088</v>
      </c>
      <c r="E223" t="s">
        <v>140</v>
      </c>
      <c r="F223" t="s">
        <v>918</v>
      </c>
      <c r="G223" s="22">
        <v>20221214</v>
      </c>
      <c r="H223" s="61">
        <v>44910.000001469911</v>
      </c>
      <c r="I223">
        <v>14057.7194527379</v>
      </c>
      <c r="K223" s="21" t="s">
        <v>943</v>
      </c>
      <c r="L223" s="21" t="s">
        <v>890</v>
      </c>
      <c r="M223" s="21" t="s">
        <v>88</v>
      </c>
      <c r="N223" s="21" t="s">
        <v>115</v>
      </c>
      <c r="P223" t="str">
        <f t="shared" si="12"/>
        <v>HT</v>
      </c>
      <c r="Q223">
        <f t="shared" si="13"/>
        <v>6.2993291825257201</v>
      </c>
      <c r="R223">
        <v>39.82</v>
      </c>
      <c r="S223">
        <f t="shared" si="14"/>
        <v>88863.174536241597</v>
      </c>
      <c r="T223" t="str">
        <f t="shared" si="15"/>
        <v xml:space="preserve">'HT', </v>
      </c>
      <c r="AJ223" s="27" t="s">
        <v>198</v>
      </c>
      <c r="AK223" s="45">
        <v>-160712.46089824001</v>
      </c>
      <c r="AL223">
        <v>-181462.3761594652</v>
      </c>
      <c r="AN223" t="s">
        <v>115</v>
      </c>
      <c r="AO223" t="s">
        <v>360</v>
      </c>
      <c r="AP223" s="29">
        <v>1E-8</v>
      </c>
      <c r="AR223" s="4" t="s">
        <v>39</v>
      </c>
      <c r="AS223" s="43">
        <v>10004697.2340612</v>
      </c>
    </row>
    <row r="224" spans="1:45" x14ac:dyDescent="0.25">
      <c r="A224">
        <v>222</v>
      </c>
      <c r="B224" t="s">
        <v>123</v>
      </c>
      <c r="C224" s="1">
        <v>14.785856219999999</v>
      </c>
      <c r="E224" t="s">
        <v>142</v>
      </c>
      <c r="F224" t="s">
        <v>918</v>
      </c>
      <c r="G224" s="22">
        <v>20221214</v>
      </c>
      <c r="H224" s="61">
        <v>44910.000001469911</v>
      </c>
      <c r="I224">
        <v>0.12275501988460601</v>
      </c>
      <c r="K224" s="21" t="s">
        <v>944</v>
      </c>
      <c r="L224" s="21" t="s">
        <v>890</v>
      </c>
      <c r="M224" s="21" t="s">
        <v>88</v>
      </c>
      <c r="N224" s="21" t="s">
        <v>115</v>
      </c>
      <c r="P224" t="str">
        <f t="shared" si="12"/>
        <v>IOST</v>
      </c>
      <c r="Q224">
        <f t="shared" si="13"/>
        <v>8.3021921800214837E-3</v>
      </c>
      <c r="R224">
        <v>2.1343125000000001E-2</v>
      </c>
      <c r="S224">
        <f t="shared" si="14"/>
        <v>0.31557637753548751</v>
      </c>
      <c r="T224" t="str">
        <f t="shared" si="15"/>
        <v xml:space="preserve">'IOST', </v>
      </c>
      <c r="AJ224" s="4" t="s">
        <v>113</v>
      </c>
      <c r="AK224" s="45">
        <v>14232.599999999999</v>
      </c>
      <c r="AL224">
        <v>2633.2512670319743</v>
      </c>
      <c r="AN224" t="s">
        <v>115</v>
      </c>
      <c r="AO224" t="s">
        <v>360</v>
      </c>
      <c r="AP224">
        <v>-457203</v>
      </c>
      <c r="AR224" s="4" t="s">
        <v>188</v>
      </c>
      <c r="AS224" s="43">
        <v>1644286.05309931</v>
      </c>
    </row>
    <row r="225" spans="1:45" x14ac:dyDescent="0.25">
      <c r="A225">
        <v>223</v>
      </c>
      <c r="B225" t="s">
        <v>123</v>
      </c>
      <c r="C225" s="1">
        <v>0.81765067999999996</v>
      </c>
      <c r="E225" t="s">
        <v>143</v>
      </c>
      <c r="F225" t="s">
        <v>918</v>
      </c>
      <c r="G225" s="22">
        <v>20221214</v>
      </c>
      <c r="H225" s="61">
        <v>44910.000001469911</v>
      </c>
      <c r="I225">
        <v>1.1601565558051599E-2</v>
      </c>
      <c r="K225" s="21" t="s">
        <v>945</v>
      </c>
      <c r="L225" s="21" t="s">
        <v>890</v>
      </c>
      <c r="M225" s="21" t="s">
        <v>88</v>
      </c>
      <c r="N225" s="21" t="s">
        <v>115</v>
      </c>
      <c r="P225" t="str">
        <f t="shared" si="12"/>
        <v>IRIS</v>
      </c>
      <c r="Q225">
        <f t="shared" si="13"/>
        <v>1.4188902231514807E-2</v>
      </c>
      <c r="R225">
        <v>103.98</v>
      </c>
      <c r="S225">
        <f t="shared" si="14"/>
        <v>85.019317706400003</v>
      </c>
      <c r="T225" t="str">
        <f t="shared" si="15"/>
        <v xml:space="preserve">'IRIS', </v>
      </c>
      <c r="AJ225" s="27" t="s">
        <v>88</v>
      </c>
      <c r="AK225" s="45">
        <v>14232.599999999999</v>
      </c>
      <c r="AL225">
        <v>2633.2512670319743</v>
      </c>
      <c r="AN225" t="s">
        <v>115</v>
      </c>
      <c r="AO225" t="s">
        <v>360</v>
      </c>
      <c r="AP225">
        <v>26712.616036769999</v>
      </c>
      <c r="AR225" s="3" t="s">
        <v>284</v>
      </c>
    </row>
    <row r="226" spans="1:45" x14ac:dyDescent="0.25">
      <c r="A226">
        <v>224</v>
      </c>
      <c r="B226" t="s">
        <v>123</v>
      </c>
      <c r="C226" s="1">
        <v>9.1121815000000002</v>
      </c>
      <c r="E226" t="s">
        <v>144</v>
      </c>
      <c r="F226" t="s">
        <v>918</v>
      </c>
      <c r="G226" s="22">
        <v>20221214</v>
      </c>
      <c r="H226" s="61">
        <v>44910.000001469911</v>
      </c>
      <c r="I226">
        <v>0.20402093989553599</v>
      </c>
      <c r="K226" s="21" t="s">
        <v>946</v>
      </c>
      <c r="L226" s="21" t="s">
        <v>890</v>
      </c>
      <c r="M226" s="21" t="s">
        <v>88</v>
      </c>
      <c r="N226" s="21" t="s">
        <v>115</v>
      </c>
      <c r="P226" t="str">
        <f t="shared" si="12"/>
        <v>JST</v>
      </c>
      <c r="Q226">
        <f t="shared" si="13"/>
        <v>2.2389911778593962E-2</v>
      </c>
      <c r="R226">
        <v>39.841106000000003</v>
      </c>
      <c r="S226">
        <f t="shared" si="14"/>
        <v>363.03938903273905</v>
      </c>
      <c r="T226" t="str">
        <f t="shared" si="15"/>
        <v xml:space="preserve">'JST', </v>
      </c>
      <c r="AJ226" s="4" t="s">
        <v>98</v>
      </c>
      <c r="AK226" s="45">
        <v>10670883.885147721</v>
      </c>
      <c r="AL226">
        <v>10670883.885147721</v>
      </c>
      <c r="AN226" t="s">
        <v>115</v>
      </c>
      <c r="AO226" t="s">
        <v>360</v>
      </c>
      <c r="AP226">
        <v>7533</v>
      </c>
      <c r="AR226" s="4" t="s">
        <v>284</v>
      </c>
    </row>
    <row r="227" spans="1:45" x14ac:dyDescent="0.25">
      <c r="A227">
        <v>225</v>
      </c>
      <c r="B227" t="s">
        <v>123</v>
      </c>
      <c r="C227" s="1">
        <v>1.4966E-4</v>
      </c>
      <c r="E227" t="s">
        <v>44</v>
      </c>
      <c r="F227" t="s">
        <v>918</v>
      </c>
      <c r="G227" s="22">
        <v>20221214</v>
      </c>
      <c r="H227" s="61">
        <v>44910.000001469911</v>
      </c>
      <c r="I227">
        <v>4.1227324713276198E-3</v>
      </c>
      <c r="K227" s="21" t="s">
        <v>947</v>
      </c>
      <c r="L227" s="21" t="s">
        <v>890</v>
      </c>
      <c r="M227" s="21" t="s">
        <v>88</v>
      </c>
      <c r="N227" s="21" t="s">
        <v>115</v>
      </c>
      <c r="P227" t="str">
        <f t="shared" si="12"/>
        <v>KSM</v>
      </c>
      <c r="Q227">
        <f t="shared" si="13"/>
        <v>27.547323742667512</v>
      </c>
      <c r="R227">
        <v>16719.740000000002</v>
      </c>
      <c r="S227">
        <f t="shared" si="14"/>
        <v>2.5022762884</v>
      </c>
      <c r="T227" t="str">
        <f t="shared" si="15"/>
        <v xml:space="preserve">'KSM', </v>
      </c>
      <c r="AJ227" s="27" t="s">
        <v>88</v>
      </c>
      <c r="AK227" s="45">
        <v>10670883.885147721</v>
      </c>
      <c r="AL227">
        <v>10670883.885147721</v>
      </c>
      <c r="AN227" t="s">
        <v>115</v>
      </c>
      <c r="AO227" t="s">
        <v>360</v>
      </c>
      <c r="AP227">
        <v>593225.51604993001</v>
      </c>
      <c r="AR227" s="3" t="s">
        <v>59</v>
      </c>
      <c r="AS227" s="43">
        <v>-6696283787.5118961</v>
      </c>
    </row>
    <row r="228" spans="1:45" x14ac:dyDescent="0.25">
      <c r="A228">
        <v>226</v>
      </c>
      <c r="B228" t="s">
        <v>123</v>
      </c>
      <c r="C228" s="1">
        <v>0.24234807999999999</v>
      </c>
      <c r="E228" t="s">
        <v>145</v>
      </c>
      <c r="F228" t="s">
        <v>918</v>
      </c>
      <c r="G228" s="22">
        <v>20221214</v>
      </c>
      <c r="H228" s="61">
        <v>44910.000001469911</v>
      </c>
      <c r="I228">
        <v>3.0911104955718202E-4</v>
      </c>
      <c r="K228" s="21" t="s">
        <v>948</v>
      </c>
      <c r="L228" s="21" t="s">
        <v>890</v>
      </c>
      <c r="M228" s="21" t="s">
        <v>88</v>
      </c>
      <c r="N228" s="21" t="s">
        <v>115</v>
      </c>
      <c r="P228" t="str">
        <f t="shared" si="12"/>
        <v>LAMB</v>
      </c>
      <c r="Q228">
        <f t="shared" si="13"/>
        <v>1.2754837981682463E-3</v>
      </c>
      <c r="R228">
        <v>5.6989999999999998</v>
      </c>
      <c r="S228">
        <f t="shared" si="14"/>
        <v>1.3811417079199999</v>
      </c>
      <c r="T228" t="str">
        <f t="shared" si="15"/>
        <v xml:space="preserve">'LAMB', </v>
      </c>
      <c r="AJ228" s="4" t="s">
        <v>39</v>
      </c>
      <c r="AK228" s="45">
        <v>1056694.79363042</v>
      </c>
      <c r="AL228">
        <v>1055378.7841974639</v>
      </c>
      <c r="AN228" t="s">
        <v>115</v>
      </c>
      <c r="AO228" t="s">
        <v>361</v>
      </c>
      <c r="AP228" s="29">
        <v>1E-8</v>
      </c>
    </row>
    <row r="229" spans="1:45" x14ac:dyDescent="0.25">
      <c r="A229">
        <v>227</v>
      </c>
      <c r="B229" t="s">
        <v>123</v>
      </c>
      <c r="C229" s="1">
        <v>1E-8</v>
      </c>
      <c r="E229" t="s">
        <v>146</v>
      </c>
      <c r="F229" t="s">
        <v>918</v>
      </c>
      <c r="G229" s="22">
        <v>20221214</v>
      </c>
      <c r="H229" s="61">
        <v>44910.000001469911</v>
      </c>
      <c r="I229">
        <v>0</v>
      </c>
      <c r="K229" s="21" t="s">
        <v>949</v>
      </c>
      <c r="L229" s="21" t="s">
        <v>890</v>
      </c>
      <c r="M229" s="21" t="s">
        <v>88</v>
      </c>
      <c r="N229" s="21" t="s">
        <v>115</v>
      </c>
      <c r="P229" t="str">
        <f t="shared" si="12"/>
        <v>LEND</v>
      </c>
      <c r="Q229">
        <f t="shared" si="13"/>
        <v>0</v>
      </c>
      <c r="R229">
        <v>0.90154135000000002</v>
      </c>
      <c r="S229">
        <f t="shared" si="14"/>
        <v>9.0154135000000011E-9</v>
      </c>
      <c r="T229" t="str">
        <f t="shared" si="15"/>
        <v xml:space="preserve">'LEND', </v>
      </c>
      <c r="AJ229" s="27" t="s">
        <v>88</v>
      </c>
      <c r="AK229" s="45">
        <v>1056694.79363042</v>
      </c>
      <c r="AL229">
        <v>1055378.7841974639</v>
      </c>
      <c r="AN229" t="s">
        <v>115</v>
      </c>
      <c r="AO229" t="s">
        <v>361</v>
      </c>
      <c r="AP229">
        <v>9624.8193363800001</v>
      </c>
    </row>
    <row r="230" spans="1:45" x14ac:dyDescent="0.25">
      <c r="A230">
        <v>228</v>
      </c>
      <c r="B230" t="s">
        <v>123</v>
      </c>
      <c r="C230" s="1">
        <v>24008.678678230001</v>
      </c>
      <c r="E230" t="s">
        <v>28</v>
      </c>
      <c r="F230" t="s">
        <v>918</v>
      </c>
      <c r="G230" s="22">
        <v>20221214</v>
      </c>
      <c r="H230" s="61">
        <v>44910.000001469911</v>
      </c>
      <c r="I230">
        <v>161550.27071578801</v>
      </c>
      <c r="K230" s="21" t="s">
        <v>902</v>
      </c>
      <c r="L230" s="21" t="s">
        <v>890</v>
      </c>
      <c r="M230" s="21" t="s">
        <v>88</v>
      </c>
      <c r="N230" s="21" t="s">
        <v>115</v>
      </c>
      <c r="P230" t="str">
        <f t="shared" si="12"/>
        <v>LINK</v>
      </c>
      <c r="Q230">
        <f t="shared" si="13"/>
        <v>6.728828057592132</v>
      </c>
      <c r="R230">
        <v>19.614688999999998</v>
      </c>
      <c r="S230">
        <f t="shared" si="14"/>
        <v>470922.76557441248</v>
      </c>
      <c r="T230" t="str">
        <f t="shared" si="15"/>
        <v xml:space="preserve">'LINK', </v>
      </c>
      <c r="AJ230" s="4" t="s">
        <v>174</v>
      </c>
      <c r="AK230" s="45">
        <v>-4.0319251200000004</v>
      </c>
      <c r="AL230">
        <v>-23033.13928745058</v>
      </c>
      <c r="AN230" t="s">
        <v>115</v>
      </c>
      <c r="AO230" t="s">
        <v>361</v>
      </c>
      <c r="AP230">
        <v>0.97793739999999996</v>
      </c>
    </row>
    <row r="231" spans="1:45" x14ac:dyDescent="0.25">
      <c r="A231">
        <v>229</v>
      </c>
      <c r="B231" t="s">
        <v>123</v>
      </c>
      <c r="C231" s="1">
        <v>4.3289484800000002</v>
      </c>
      <c r="E231" t="s">
        <v>147</v>
      </c>
      <c r="F231" t="s">
        <v>918</v>
      </c>
      <c r="G231" s="22">
        <v>20221214</v>
      </c>
      <c r="H231" s="61">
        <v>44910.000001469911</v>
      </c>
      <c r="I231">
        <v>1.23866429375467E-6</v>
      </c>
      <c r="K231" s="21" t="s">
        <v>950</v>
      </c>
      <c r="L231" s="21" t="s">
        <v>890</v>
      </c>
      <c r="M231" s="21" t="s">
        <v>88</v>
      </c>
      <c r="N231" s="21" t="s">
        <v>115</v>
      </c>
      <c r="P231" t="str">
        <f t="shared" si="12"/>
        <v>LOL</v>
      </c>
      <c r="Q231">
        <f t="shared" si="13"/>
        <v>2.8613514332114895E-7</v>
      </c>
      <c r="R231">
        <v>1208.73</v>
      </c>
      <c r="S231">
        <f t="shared" si="14"/>
        <v>5232.5298962304005</v>
      </c>
      <c r="T231" t="str">
        <f t="shared" si="15"/>
        <v xml:space="preserve">'LOL', </v>
      </c>
      <c r="AJ231" s="27" t="s">
        <v>198</v>
      </c>
      <c r="AK231" s="45">
        <v>-4.0319251200000004</v>
      </c>
      <c r="AL231">
        <v>-23033.13928745058</v>
      </c>
      <c r="AN231" t="s">
        <v>115</v>
      </c>
      <c r="AO231" t="s">
        <v>362</v>
      </c>
      <c r="AP231" s="29">
        <v>1E-8</v>
      </c>
    </row>
    <row r="232" spans="1:45" x14ac:dyDescent="0.25">
      <c r="A232">
        <v>230</v>
      </c>
      <c r="B232" t="s">
        <v>123</v>
      </c>
      <c r="C232" s="1">
        <v>8986.5232711400004</v>
      </c>
      <c r="E232" t="s">
        <v>25</v>
      </c>
      <c r="F232" t="s">
        <v>918</v>
      </c>
      <c r="G232" s="22">
        <v>20221214</v>
      </c>
      <c r="H232" s="61">
        <v>44910.000001469911</v>
      </c>
      <c r="I232">
        <v>678265.60506538104</v>
      </c>
      <c r="K232" s="21" t="s">
        <v>897</v>
      </c>
      <c r="L232" s="21" t="s">
        <v>890</v>
      </c>
      <c r="M232" s="21" t="s">
        <v>88</v>
      </c>
      <c r="N232" s="21" t="s">
        <v>115</v>
      </c>
      <c r="P232" t="str">
        <f t="shared" si="12"/>
        <v>LTC</v>
      </c>
      <c r="Q232">
        <f t="shared" si="13"/>
        <v>75.475863646134925</v>
      </c>
      <c r="R232">
        <v>62.35</v>
      </c>
      <c r="S232">
        <f t="shared" si="14"/>
        <v>560309.72595557908</v>
      </c>
      <c r="T232" t="str">
        <f t="shared" si="15"/>
        <v xml:space="preserve">'LTC', </v>
      </c>
      <c r="AJ232" s="3" t="s">
        <v>173</v>
      </c>
      <c r="AK232" s="45">
        <v>186756865105.98315</v>
      </c>
      <c r="AL232">
        <v>-339272178.53992516</v>
      </c>
      <c r="AN232" t="s">
        <v>115</v>
      </c>
      <c r="AO232" t="s">
        <v>362</v>
      </c>
      <c r="AP232">
        <v>6</v>
      </c>
    </row>
    <row r="233" spans="1:45" x14ac:dyDescent="0.25">
      <c r="A233">
        <v>231</v>
      </c>
      <c r="B233" t="s">
        <v>123</v>
      </c>
      <c r="C233" s="1">
        <v>0.66495972999999997</v>
      </c>
      <c r="E233" t="s">
        <v>148</v>
      </c>
      <c r="F233" t="s">
        <v>918</v>
      </c>
      <c r="G233" s="22">
        <v>20221214</v>
      </c>
      <c r="H233" s="61">
        <v>44910.000001469911</v>
      </c>
      <c r="I233">
        <v>1.4231638225488101E-4</v>
      </c>
      <c r="K233" s="21" t="s">
        <v>951</v>
      </c>
      <c r="L233" s="21" t="s">
        <v>890</v>
      </c>
      <c r="M233" s="21" t="s">
        <v>88</v>
      </c>
      <c r="N233" s="21" t="s">
        <v>115</v>
      </c>
      <c r="P233" t="str">
        <f t="shared" si="12"/>
        <v>LXT</v>
      </c>
      <c r="Q233">
        <f t="shared" si="13"/>
        <v>2.1402255780944964E-4</v>
      </c>
      <c r="R233">
        <v>5.0092902000000002E-2</v>
      </c>
      <c r="S233">
        <f t="shared" si="14"/>
        <v>3.3309762588836458E-2</v>
      </c>
      <c r="T233" t="str">
        <f t="shared" si="15"/>
        <v xml:space="preserve">'LXT', </v>
      </c>
      <c r="AJ233" s="4" t="s">
        <v>21</v>
      </c>
      <c r="AK233" s="45">
        <v>5377</v>
      </c>
      <c r="AL233">
        <v>535799.27126856288</v>
      </c>
      <c r="AN233" t="s">
        <v>115</v>
      </c>
      <c r="AO233" t="s">
        <v>362</v>
      </c>
      <c r="AP233">
        <v>99.530674790000006</v>
      </c>
    </row>
    <row r="234" spans="1:45" x14ac:dyDescent="0.25">
      <c r="A234">
        <v>232</v>
      </c>
      <c r="B234" t="s">
        <v>123</v>
      </c>
      <c r="C234" s="1">
        <v>0.34</v>
      </c>
      <c r="E234" t="s">
        <v>195</v>
      </c>
      <c r="F234" t="s">
        <v>918</v>
      </c>
      <c r="G234" s="22">
        <v>20221214</v>
      </c>
      <c r="H234" s="61">
        <v>44910.000001469911</v>
      </c>
      <c r="I234">
        <v>0.129832534504292</v>
      </c>
      <c r="K234" s="21" t="s">
        <v>952</v>
      </c>
      <c r="L234" s="21" t="s">
        <v>890</v>
      </c>
      <c r="M234" s="21" t="s">
        <v>88</v>
      </c>
      <c r="N234" s="21" t="s">
        <v>115</v>
      </c>
      <c r="P234" t="str">
        <f t="shared" si="12"/>
        <v>MANA</v>
      </c>
      <c r="Q234">
        <f t="shared" si="13"/>
        <v>0.38186039560085877</v>
      </c>
      <c r="R234">
        <v>0.99940190110900462</v>
      </c>
      <c r="S234">
        <f t="shared" si="14"/>
        <v>0.33979664637706158</v>
      </c>
      <c r="T234" t="str">
        <f t="shared" si="15"/>
        <v xml:space="preserve">'MANA', </v>
      </c>
      <c r="AJ234" s="27" t="s">
        <v>172</v>
      </c>
      <c r="AK234" s="45">
        <v>5377</v>
      </c>
      <c r="AL234">
        <v>535799.27126856288</v>
      </c>
      <c r="AN234" t="s">
        <v>115</v>
      </c>
      <c r="AO234" t="s">
        <v>362</v>
      </c>
      <c r="AP234">
        <v>-1466.27</v>
      </c>
    </row>
    <row r="235" spans="1:45" x14ac:dyDescent="0.25">
      <c r="A235">
        <v>233</v>
      </c>
      <c r="B235" t="s">
        <v>123</v>
      </c>
      <c r="C235" s="1">
        <v>0.89105878000000005</v>
      </c>
      <c r="E235" t="s">
        <v>149</v>
      </c>
      <c r="F235" t="s">
        <v>918</v>
      </c>
      <c r="G235" s="22">
        <v>20221214</v>
      </c>
      <c r="H235" s="61">
        <v>44910.000001469911</v>
      </c>
      <c r="I235">
        <v>6.3936605193977698</v>
      </c>
      <c r="K235" s="21" t="s">
        <v>953</v>
      </c>
      <c r="L235" s="21" t="s">
        <v>890</v>
      </c>
      <c r="M235" s="21" t="s">
        <v>88</v>
      </c>
      <c r="N235" s="21" t="s">
        <v>115</v>
      </c>
      <c r="P235" t="str">
        <f t="shared" si="12"/>
        <v>NEO</v>
      </c>
      <c r="Q235">
        <f t="shared" si="13"/>
        <v>7.1753521349037932</v>
      </c>
      <c r="R235">
        <v>0.38471588000000001</v>
      </c>
      <c r="S235">
        <f t="shared" si="14"/>
        <v>0.34280446267942644</v>
      </c>
      <c r="T235" t="str">
        <f t="shared" si="15"/>
        <v xml:space="preserve">'NEO', </v>
      </c>
      <c r="AJ235" s="4" t="s">
        <v>15</v>
      </c>
      <c r="AK235" s="45">
        <v>-4340.0168467900003</v>
      </c>
      <c r="AL235">
        <v>-70973882.714262307</v>
      </c>
      <c r="AN235" t="s">
        <v>115</v>
      </c>
      <c r="AO235" t="s">
        <v>362</v>
      </c>
      <c r="AP235">
        <v>689.88583590999997</v>
      </c>
    </row>
    <row r="236" spans="1:45" x14ac:dyDescent="0.25">
      <c r="A236">
        <v>234</v>
      </c>
      <c r="B236" t="s">
        <v>123</v>
      </c>
      <c r="C236" s="1">
        <v>40.704174029999997</v>
      </c>
      <c r="E236" t="s">
        <v>150</v>
      </c>
      <c r="F236" t="s">
        <v>918</v>
      </c>
      <c r="G236" s="22">
        <v>20221214</v>
      </c>
      <c r="H236" s="61">
        <v>44910.000001469911</v>
      </c>
      <c r="I236">
        <v>6.95299664114117E-3</v>
      </c>
      <c r="K236" s="21" t="s">
        <v>954</v>
      </c>
      <c r="L236" s="21" t="s">
        <v>890</v>
      </c>
      <c r="M236" s="21" t="s">
        <v>88</v>
      </c>
      <c r="N236" s="21" t="s">
        <v>115</v>
      </c>
      <c r="P236" t="str">
        <f t="shared" si="12"/>
        <v>NEW</v>
      </c>
      <c r="Q236">
        <f t="shared" si="13"/>
        <v>1.7081777991654216E-4</v>
      </c>
      <c r="R236">
        <v>9.9934670000000008</v>
      </c>
      <c r="S236">
        <f t="shared" si="14"/>
        <v>406.77581993106202</v>
      </c>
      <c r="T236" t="str">
        <f t="shared" si="15"/>
        <v xml:space="preserve">'NEW', </v>
      </c>
      <c r="AJ236" s="27" t="s">
        <v>172</v>
      </c>
      <c r="AK236" s="45">
        <v>-4340.0168467900003</v>
      </c>
      <c r="AL236">
        <v>-70973882.714262307</v>
      </c>
      <c r="AN236" t="s">
        <v>115</v>
      </c>
      <c r="AO236" t="s">
        <v>363</v>
      </c>
      <c r="AP236">
        <v>9823.8364263999993</v>
      </c>
    </row>
    <row r="237" spans="1:45" x14ac:dyDescent="0.25">
      <c r="A237">
        <v>235</v>
      </c>
      <c r="B237" t="s">
        <v>123</v>
      </c>
      <c r="C237" s="1">
        <v>3045130004.3544402</v>
      </c>
      <c r="E237" t="s">
        <v>151</v>
      </c>
      <c r="F237" t="s">
        <v>918</v>
      </c>
      <c r="G237" s="22">
        <v>20221214</v>
      </c>
      <c r="H237" s="61">
        <v>44910.000001469911</v>
      </c>
      <c r="I237">
        <v>1441.74270216525</v>
      </c>
      <c r="K237" s="21" t="s">
        <v>955</v>
      </c>
      <c r="L237" s="21" t="s">
        <v>890</v>
      </c>
      <c r="M237" s="21" t="s">
        <v>88</v>
      </c>
      <c r="N237" s="21" t="s">
        <v>115</v>
      </c>
      <c r="P237" t="str">
        <f t="shared" si="12"/>
        <v>NFT</v>
      </c>
      <c r="Q237">
        <f t="shared" si="13"/>
        <v>4.73458505910619E-7</v>
      </c>
      <c r="R237">
        <v>103.98</v>
      </c>
      <c r="S237">
        <f t="shared" si="14"/>
        <v>316632617852.77472</v>
      </c>
      <c r="T237" t="str">
        <f t="shared" si="15"/>
        <v xml:space="preserve">'NFT', </v>
      </c>
      <c r="AJ237" s="4" t="s">
        <v>32</v>
      </c>
      <c r="AK237" s="45">
        <v>5000</v>
      </c>
      <c r="AL237">
        <v>193723.1905293829</v>
      </c>
      <c r="AN237" t="s">
        <v>115</v>
      </c>
      <c r="AO237" t="s">
        <v>364</v>
      </c>
      <c r="AP237">
        <v>3460.93190667</v>
      </c>
    </row>
    <row r="238" spans="1:45" x14ac:dyDescent="0.25">
      <c r="A238">
        <v>236</v>
      </c>
      <c r="B238" t="s">
        <v>123</v>
      </c>
      <c r="C238" s="1">
        <v>4.3068300000000002E-3</v>
      </c>
      <c r="E238" t="s">
        <v>152</v>
      </c>
      <c r="F238" t="s">
        <v>918</v>
      </c>
      <c r="G238" s="22">
        <v>20221214</v>
      </c>
      <c r="H238" s="61">
        <v>44910.000001469911</v>
      </c>
      <c r="I238">
        <v>9.1859295588851404E-4</v>
      </c>
      <c r="K238" s="21" t="s">
        <v>956</v>
      </c>
      <c r="L238" s="21" t="s">
        <v>890</v>
      </c>
      <c r="M238" s="21" t="s">
        <v>88</v>
      </c>
      <c r="N238" s="21" t="s">
        <v>115</v>
      </c>
      <c r="P238" t="str">
        <f t="shared" si="12"/>
        <v>NULS</v>
      </c>
      <c r="Q238">
        <f t="shared" si="13"/>
        <v>0.213287488916097</v>
      </c>
      <c r="R238">
        <v>16719.740000000002</v>
      </c>
      <c r="S238">
        <f t="shared" si="14"/>
        <v>72.009077824200006</v>
      </c>
      <c r="T238" t="str">
        <f t="shared" si="15"/>
        <v xml:space="preserve">'NULS', </v>
      </c>
      <c r="AJ238" s="27" t="s">
        <v>172</v>
      </c>
      <c r="AK238" s="45">
        <v>5000</v>
      </c>
      <c r="AL238">
        <v>193723.1905293829</v>
      </c>
      <c r="AN238" t="s">
        <v>115</v>
      </c>
      <c r="AO238" t="s">
        <v>365</v>
      </c>
      <c r="AP238">
        <v>340417.99782405002</v>
      </c>
    </row>
    <row r="239" spans="1:45" x14ac:dyDescent="0.25">
      <c r="A239">
        <v>237</v>
      </c>
      <c r="B239" t="s">
        <v>123</v>
      </c>
      <c r="C239" s="1">
        <v>0.34782034000000001</v>
      </c>
      <c r="E239" t="s">
        <v>154</v>
      </c>
      <c r="F239" t="s">
        <v>918</v>
      </c>
      <c r="G239" s="22">
        <v>20221214</v>
      </c>
      <c r="H239" s="61">
        <v>44910.000001469911</v>
      </c>
      <c r="I239">
        <v>9.2591922833754503E-2</v>
      </c>
      <c r="K239" s="21" t="s">
        <v>957</v>
      </c>
      <c r="L239" s="21" t="s">
        <v>890</v>
      </c>
      <c r="M239" s="21" t="s">
        <v>88</v>
      </c>
      <c r="N239" s="21" t="s">
        <v>115</v>
      </c>
      <c r="P239" t="str">
        <f t="shared" si="12"/>
        <v>ONG</v>
      </c>
      <c r="Q239">
        <f t="shared" si="13"/>
        <v>0.26620617653859607</v>
      </c>
      <c r="R239">
        <v>0.90154135000000002</v>
      </c>
      <c r="S239">
        <f t="shared" si="14"/>
        <v>0.31357441888105902</v>
      </c>
      <c r="T239" t="str">
        <f t="shared" si="15"/>
        <v xml:space="preserve">'ONG', </v>
      </c>
      <c r="AJ239" s="4" t="s">
        <v>30</v>
      </c>
      <c r="AK239" s="45">
        <v>98000</v>
      </c>
      <c r="AL239">
        <v>1955849.701204041</v>
      </c>
      <c r="AN239" t="s">
        <v>115</v>
      </c>
      <c r="AO239" t="s">
        <v>365</v>
      </c>
      <c r="AP239">
        <v>7201.7560000000003</v>
      </c>
    </row>
    <row r="240" spans="1:45" x14ac:dyDescent="0.25">
      <c r="A240">
        <v>238</v>
      </c>
      <c r="B240" t="s">
        <v>123</v>
      </c>
      <c r="C240" s="1">
        <v>787825.66037626006</v>
      </c>
      <c r="E240" t="s">
        <v>92</v>
      </c>
      <c r="F240" t="s">
        <v>918</v>
      </c>
      <c r="G240" s="22">
        <v>20221214</v>
      </c>
      <c r="H240" s="61">
        <v>44910.000001469911</v>
      </c>
      <c r="I240">
        <v>63954.010122330197</v>
      </c>
      <c r="K240" s="21" t="s">
        <v>958</v>
      </c>
      <c r="L240" s="21" t="s">
        <v>890</v>
      </c>
      <c r="M240" s="21" t="s">
        <v>88</v>
      </c>
      <c r="N240" s="21" t="s">
        <v>115</v>
      </c>
      <c r="P240" t="str">
        <f t="shared" si="12"/>
        <v>OXT</v>
      </c>
      <c r="Q240">
        <f t="shared" si="13"/>
        <v>8.1177871372945895E-2</v>
      </c>
      <c r="R240">
        <v>3.7800280517057798</v>
      </c>
      <c r="S240">
        <f t="shared" si="14"/>
        <v>2978003.0960758938</v>
      </c>
      <c r="T240" t="str">
        <f t="shared" si="15"/>
        <v xml:space="preserve">'OXT', </v>
      </c>
      <c r="AJ240" s="27" t="s">
        <v>172</v>
      </c>
      <c r="AK240" s="45">
        <v>98000</v>
      </c>
      <c r="AL240">
        <v>1955849.701204041</v>
      </c>
      <c r="AN240" t="s">
        <v>115</v>
      </c>
      <c r="AO240" t="s">
        <v>366</v>
      </c>
      <c r="AP240">
        <v>2339.8611111199998</v>
      </c>
    </row>
    <row r="241" spans="1:42" x14ac:dyDescent="0.25">
      <c r="A241">
        <v>239</v>
      </c>
      <c r="B241" t="s">
        <v>123</v>
      </c>
      <c r="C241" s="1">
        <v>3.0962099999999998E-3</v>
      </c>
      <c r="E241" t="s">
        <v>155</v>
      </c>
      <c r="F241" t="s">
        <v>918</v>
      </c>
      <c r="G241" s="22">
        <v>20221214</v>
      </c>
      <c r="H241" s="61">
        <v>44910.000001469911</v>
      </c>
      <c r="I241">
        <v>7.3057120862182502E-3</v>
      </c>
      <c r="K241" s="21" t="s">
        <v>959</v>
      </c>
      <c r="L241" s="21" t="s">
        <v>890</v>
      </c>
      <c r="M241" s="21" t="s">
        <v>88</v>
      </c>
      <c r="N241" s="21" t="s">
        <v>115</v>
      </c>
      <c r="P241" t="str">
        <f t="shared" si="12"/>
        <v>QTUM</v>
      </c>
      <c r="Q241">
        <f t="shared" si="13"/>
        <v>2.3595660779528038</v>
      </c>
      <c r="R241">
        <v>24.360496999999999</v>
      </c>
      <c r="S241">
        <f t="shared" si="14"/>
        <v>7.5425214416369998E-2</v>
      </c>
      <c r="T241" t="str">
        <f t="shared" si="15"/>
        <v xml:space="preserve">'QTUM', </v>
      </c>
      <c r="AJ241" s="4" t="s">
        <v>16</v>
      </c>
      <c r="AK241" s="45">
        <v>-38935</v>
      </c>
      <c r="AL241">
        <v>-47571531.242381789</v>
      </c>
      <c r="AN241" t="s">
        <v>115</v>
      </c>
      <c r="AO241" t="s">
        <v>367</v>
      </c>
      <c r="AP241">
        <v>0.68557060000000003</v>
      </c>
    </row>
    <row r="242" spans="1:42" x14ac:dyDescent="0.25">
      <c r="A242">
        <v>240</v>
      </c>
      <c r="B242" t="s">
        <v>123</v>
      </c>
      <c r="C242" s="1">
        <v>2.6598900000000002E-2</v>
      </c>
      <c r="E242" t="s">
        <v>156</v>
      </c>
      <c r="F242" t="s">
        <v>918</v>
      </c>
      <c r="G242" s="22">
        <v>20221214</v>
      </c>
      <c r="H242" s="61">
        <v>44910.000001469911</v>
      </c>
      <c r="I242">
        <v>6.6126062963526102E-4</v>
      </c>
      <c r="K242" s="21" t="s">
        <v>960</v>
      </c>
      <c r="L242" s="21" t="s">
        <v>890</v>
      </c>
      <c r="M242" s="21" t="s">
        <v>88</v>
      </c>
      <c r="N242" s="21" t="s">
        <v>115</v>
      </c>
      <c r="P242" t="str">
        <f t="shared" si="12"/>
        <v>REI</v>
      </c>
      <c r="Q242">
        <f t="shared" si="13"/>
        <v>2.4860450230470468E-2</v>
      </c>
      <c r="R242">
        <v>62.35</v>
      </c>
      <c r="S242">
        <f t="shared" si="14"/>
        <v>1.6584414150000002</v>
      </c>
      <c r="T242" t="str">
        <f t="shared" si="15"/>
        <v xml:space="preserve">'REI', </v>
      </c>
      <c r="AJ242" s="27" t="s">
        <v>172</v>
      </c>
      <c r="AK242" s="45">
        <v>-38935</v>
      </c>
      <c r="AL242">
        <v>-47571531.242381789</v>
      </c>
      <c r="AN242" t="s">
        <v>115</v>
      </c>
      <c r="AO242" t="s">
        <v>368</v>
      </c>
      <c r="AP242">
        <v>54.776400000000002</v>
      </c>
    </row>
    <row r="243" spans="1:42" x14ac:dyDescent="0.25">
      <c r="A243">
        <v>241</v>
      </c>
      <c r="B243" t="s">
        <v>123</v>
      </c>
      <c r="C243" s="1">
        <v>1214222.2371159999</v>
      </c>
      <c r="E243" t="s">
        <v>101</v>
      </c>
      <c r="F243" t="s">
        <v>918</v>
      </c>
      <c r="G243" s="22">
        <v>20221214</v>
      </c>
      <c r="H243" s="61">
        <v>44910.000001469911</v>
      </c>
      <c r="I243">
        <v>14448.8413958525</v>
      </c>
      <c r="K243" s="21" t="s">
        <v>961</v>
      </c>
      <c r="L243" s="21" t="s">
        <v>890</v>
      </c>
      <c r="M243" s="21" t="s">
        <v>88</v>
      </c>
      <c r="N243" s="21" t="s">
        <v>115</v>
      </c>
      <c r="P243" t="str">
        <f t="shared" si="12"/>
        <v>SGB</v>
      </c>
      <c r="Q243">
        <f t="shared" si="13"/>
        <v>1.1899667914311258E-2</v>
      </c>
      <c r="R243">
        <v>8.09E-2</v>
      </c>
      <c r="S243">
        <f t="shared" si="14"/>
        <v>98230.578982684397</v>
      </c>
      <c r="T243" t="str">
        <f t="shared" si="15"/>
        <v xml:space="preserve">'SGB', </v>
      </c>
      <c r="AJ243" s="4" t="s">
        <v>110</v>
      </c>
      <c r="AK243" s="45">
        <v>-30000000</v>
      </c>
      <c r="AL243">
        <v>-31006500</v>
      </c>
      <c r="AN243" t="s">
        <v>115</v>
      </c>
      <c r="AO243" t="s">
        <v>369</v>
      </c>
      <c r="AP243">
        <v>100.03406049</v>
      </c>
    </row>
    <row r="244" spans="1:42" x14ac:dyDescent="0.25">
      <c r="A244">
        <v>242</v>
      </c>
      <c r="B244" t="s">
        <v>123</v>
      </c>
      <c r="C244" s="1">
        <v>1387387.30453923</v>
      </c>
      <c r="E244" t="s">
        <v>38</v>
      </c>
      <c r="F244" t="s">
        <v>918</v>
      </c>
      <c r="G244" s="22">
        <v>20221214</v>
      </c>
      <c r="H244" s="61">
        <v>44910.000001469911</v>
      </c>
      <c r="I244">
        <v>12.448687997758499</v>
      </c>
      <c r="K244" s="21" t="s">
        <v>916</v>
      </c>
      <c r="L244" s="21" t="s">
        <v>890</v>
      </c>
      <c r="M244" s="21" t="s">
        <v>88</v>
      </c>
      <c r="N244" s="21" t="s">
        <v>115</v>
      </c>
      <c r="P244" t="str">
        <f t="shared" si="12"/>
        <v>SHIB</v>
      </c>
      <c r="Q244">
        <f t="shared" si="13"/>
        <v>8.9727561705582116E-6</v>
      </c>
      <c r="R244">
        <v>1.2567074957005913E-2</v>
      </c>
      <c r="S244">
        <f t="shared" si="14"/>
        <v>17435.400250542894</v>
      </c>
      <c r="T244" t="str">
        <f t="shared" si="15"/>
        <v xml:space="preserve">'SHIB', </v>
      </c>
      <c r="AJ244" s="27" t="s">
        <v>172</v>
      </c>
      <c r="AK244" s="45">
        <v>-30000000</v>
      </c>
      <c r="AL244">
        <v>-31006500</v>
      </c>
      <c r="AN244" t="s">
        <v>115</v>
      </c>
      <c r="AO244" t="s">
        <v>370</v>
      </c>
      <c r="AP244">
        <v>5337.6979873099999</v>
      </c>
    </row>
    <row r="245" spans="1:42" x14ac:dyDescent="0.25">
      <c r="A245">
        <v>243</v>
      </c>
      <c r="B245" t="s">
        <v>123</v>
      </c>
      <c r="C245" s="1">
        <v>0.14106867000000001</v>
      </c>
      <c r="E245" t="s">
        <v>157</v>
      </c>
      <c r="F245" t="s">
        <v>918</v>
      </c>
      <c r="G245" s="22">
        <v>20221214</v>
      </c>
      <c r="H245" s="61">
        <v>44910.000001469911</v>
      </c>
      <c r="I245">
        <v>1.99478522395709</v>
      </c>
      <c r="K245" s="21" t="s">
        <v>962</v>
      </c>
      <c r="L245" s="21" t="s">
        <v>890</v>
      </c>
      <c r="M245" s="21" t="s">
        <v>88</v>
      </c>
      <c r="N245" s="21" t="s">
        <v>115</v>
      </c>
      <c r="P245" t="str">
        <f t="shared" si="12"/>
        <v>SOL</v>
      </c>
      <c r="Q245">
        <f t="shared" si="13"/>
        <v>14.140526198744837</v>
      </c>
      <c r="R245">
        <v>1</v>
      </c>
      <c r="S245">
        <f t="shared" si="14"/>
        <v>0.14106867000000001</v>
      </c>
      <c r="T245" t="str">
        <f t="shared" si="15"/>
        <v xml:space="preserve">'SOL', </v>
      </c>
      <c r="AJ245" s="4" t="s">
        <v>261</v>
      </c>
      <c r="AK245" s="45">
        <v>-15000000</v>
      </c>
      <c r="AL245">
        <v>-15482913.098339921</v>
      </c>
      <c r="AN245" t="s">
        <v>115</v>
      </c>
      <c r="AO245" t="s">
        <v>371</v>
      </c>
      <c r="AP245">
        <v>3281.8687999200001</v>
      </c>
    </row>
    <row r="246" spans="1:42" x14ac:dyDescent="0.25">
      <c r="A246">
        <v>244</v>
      </c>
      <c r="B246" t="s">
        <v>123</v>
      </c>
      <c r="C246" s="1">
        <v>38753.774400000002</v>
      </c>
      <c r="E246" t="s">
        <v>158</v>
      </c>
      <c r="F246" t="s">
        <v>918</v>
      </c>
      <c r="G246" s="22">
        <v>20221214</v>
      </c>
      <c r="H246" s="61">
        <v>44910.000001469911</v>
      </c>
      <c r="I246">
        <v>5874.2456954794798</v>
      </c>
      <c r="K246" s="21" t="s">
        <v>963</v>
      </c>
      <c r="L246" s="21" t="s">
        <v>890</v>
      </c>
      <c r="M246" s="21" t="s">
        <v>88</v>
      </c>
      <c r="N246" s="21" t="s">
        <v>115</v>
      </c>
      <c r="P246" t="str">
        <f t="shared" si="12"/>
        <v>SOLO</v>
      </c>
      <c r="Q246">
        <f t="shared" si="13"/>
        <v>0.15157867295319444</v>
      </c>
      <c r="R246">
        <v>0.9994019011090044</v>
      </c>
      <c r="S246">
        <f t="shared" si="14"/>
        <v>38730.595810509469</v>
      </c>
      <c r="T246" t="str">
        <f t="shared" si="15"/>
        <v xml:space="preserve">'SOLO', </v>
      </c>
      <c r="AJ246" s="27" t="s">
        <v>172</v>
      </c>
      <c r="AK246" s="45">
        <v>-15000000</v>
      </c>
      <c r="AL246">
        <v>-15482913.098339921</v>
      </c>
      <c r="AN246" t="s">
        <v>115</v>
      </c>
      <c r="AO246" t="s">
        <v>372</v>
      </c>
      <c r="AP246">
        <v>14.785856219999999</v>
      </c>
    </row>
    <row r="247" spans="1:42" x14ac:dyDescent="0.25">
      <c r="A247">
        <v>245</v>
      </c>
      <c r="B247" t="s">
        <v>123</v>
      </c>
      <c r="C247" s="1">
        <v>29.76350429</v>
      </c>
      <c r="E247" t="s">
        <v>159</v>
      </c>
      <c r="F247" t="s">
        <v>918</v>
      </c>
      <c r="G247" s="22">
        <v>20221214</v>
      </c>
      <c r="H247" s="61">
        <v>44910.000001469911</v>
      </c>
      <c r="I247">
        <v>9.9667326333820299</v>
      </c>
      <c r="K247" s="21" t="s">
        <v>964</v>
      </c>
      <c r="L247" s="21" t="s">
        <v>890</v>
      </c>
      <c r="M247" s="21" t="s">
        <v>88</v>
      </c>
      <c r="N247" s="21" t="s">
        <v>115</v>
      </c>
      <c r="P247" t="str">
        <f t="shared" si="12"/>
        <v>STORJ</v>
      </c>
      <c r="Q247">
        <f t="shared" si="13"/>
        <v>0.33486421949080342</v>
      </c>
      <c r="R247">
        <v>9.0786800000000001E-2</v>
      </c>
      <c r="S247">
        <f t="shared" si="14"/>
        <v>2.702133311275372</v>
      </c>
      <c r="T247" t="str">
        <f t="shared" si="15"/>
        <v xml:space="preserve">'STORJ', </v>
      </c>
      <c r="AJ247" s="4" t="s">
        <v>38</v>
      </c>
      <c r="AK247" s="45">
        <v>187000000000</v>
      </c>
      <c r="AL247">
        <v>1688293.498807098</v>
      </c>
      <c r="AN247" t="s">
        <v>115</v>
      </c>
      <c r="AO247" t="s">
        <v>373</v>
      </c>
      <c r="AP247">
        <v>0.81765067999999996</v>
      </c>
    </row>
    <row r="248" spans="1:42" x14ac:dyDescent="0.25">
      <c r="A248">
        <v>246</v>
      </c>
      <c r="B248" t="s">
        <v>123</v>
      </c>
      <c r="C248" s="1">
        <v>44.266270740000003</v>
      </c>
      <c r="E248" t="s">
        <v>26</v>
      </c>
      <c r="F248" t="s">
        <v>918</v>
      </c>
      <c r="G248" s="22">
        <v>20221214</v>
      </c>
      <c r="H248" s="61">
        <v>44910.000001469911</v>
      </c>
      <c r="I248">
        <v>2.4641420358800699</v>
      </c>
      <c r="K248" s="21" t="s">
        <v>898</v>
      </c>
      <c r="L248" s="21" t="s">
        <v>890</v>
      </c>
      <c r="M248" s="21" t="s">
        <v>88</v>
      </c>
      <c r="N248" s="21" t="s">
        <v>115</v>
      </c>
      <c r="P248" t="str">
        <f t="shared" si="12"/>
        <v>TRX</v>
      </c>
      <c r="Q248">
        <f t="shared" si="13"/>
        <v>5.5666357131218994E-2</v>
      </c>
      <c r="R248">
        <v>0.38471588000000001</v>
      </c>
      <c r="S248">
        <f t="shared" si="14"/>
        <v>17.029937302057352</v>
      </c>
      <c r="T248" t="str">
        <f t="shared" si="15"/>
        <v xml:space="preserve">'TRX', </v>
      </c>
      <c r="AJ248" s="27" t="s">
        <v>172</v>
      </c>
      <c r="AK248" s="45">
        <v>187000000000</v>
      </c>
      <c r="AL248">
        <v>1688293.498807098</v>
      </c>
      <c r="AN248" t="s">
        <v>115</v>
      </c>
      <c r="AO248" t="s">
        <v>374</v>
      </c>
      <c r="AP248">
        <v>9.1121815000000002</v>
      </c>
    </row>
    <row r="249" spans="1:42" x14ac:dyDescent="0.25">
      <c r="A249">
        <v>247</v>
      </c>
      <c r="B249" t="s">
        <v>123</v>
      </c>
      <c r="C249" s="1">
        <v>6.3152970000000003E-2</v>
      </c>
      <c r="E249" t="s">
        <v>160</v>
      </c>
      <c r="F249" t="s">
        <v>918</v>
      </c>
      <c r="G249" s="22">
        <v>20221214</v>
      </c>
      <c r="H249" s="61">
        <v>44910.000001469911</v>
      </c>
      <c r="I249">
        <v>2.4075889084370101E-4</v>
      </c>
      <c r="K249" s="21" t="s">
        <v>965</v>
      </c>
      <c r="L249" s="21" t="s">
        <v>890</v>
      </c>
      <c r="M249" s="21" t="s">
        <v>88</v>
      </c>
      <c r="N249" s="21" t="s">
        <v>115</v>
      </c>
      <c r="P249" t="str">
        <f t="shared" si="12"/>
        <v>TT</v>
      </c>
      <c r="Q249">
        <f t="shared" si="13"/>
        <v>3.8123130368009771E-3</v>
      </c>
      <c r="R249">
        <v>103.98</v>
      </c>
      <c r="S249">
        <f t="shared" si="14"/>
        <v>6.5666458206000007</v>
      </c>
      <c r="T249" t="str">
        <f t="shared" si="15"/>
        <v xml:space="preserve">'TT', </v>
      </c>
      <c r="AJ249" s="4" t="s">
        <v>98</v>
      </c>
      <c r="AK249" s="45">
        <v>-51200000</v>
      </c>
      <c r="AL249">
        <v>-51200000</v>
      </c>
      <c r="AN249" t="s">
        <v>115</v>
      </c>
      <c r="AO249" t="s">
        <v>375</v>
      </c>
      <c r="AP249">
        <v>5</v>
      </c>
    </row>
    <row r="250" spans="1:42" x14ac:dyDescent="0.25">
      <c r="A250">
        <v>248</v>
      </c>
      <c r="B250" t="s">
        <v>123</v>
      </c>
      <c r="C250" s="1">
        <v>20</v>
      </c>
      <c r="E250" t="s">
        <v>161</v>
      </c>
      <c r="F250" t="s">
        <v>918</v>
      </c>
      <c r="G250" s="22">
        <v>20221214</v>
      </c>
      <c r="H250" s="61">
        <v>44910.000001469911</v>
      </c>
      <c r="I250">
        <v>19.9996805291984</v>
      </c>
      <c r="K250" s="21" t="s">
        <v>966</v>
      </c>
      <c r="L250" s="21" t="s">
        <v>890</v>
      </c>
      <c r="M250" s="21" t="s">
        <v>88</v>
      </c>
      <c r="N250" s="21" t="s">
        <v>115</v>
      </c>
      <c r="P250" t="str">
        <f t="shared" si="12"/>
        <v>TUSD</v>
      </c>
      <c r="Q250">
        <f t="shared" si="13"/>
        <v>0.99998402645992002</v>
      </c>
      <c r="R250">
        <v>39.366320000000002</v>
      </c>
      <c r="S250">
        <f t="shared" si="14"/>
        <v>787.32640000000004</v>
      </c>
      <c r="T250" t="str">
        <f t="shared" si="15"/>
        <v xml:space="preserve">'TUSD', </v>
      </c>
      <c r="AJ250" s="27" t="s">
        <v>172</v>
      </c>
      <c r="AK250" s="45">
        <v>-51200000</v>
      </c>
      <c r="AL250">
        <v>-51200000</v>
      </c>
      <c r="AN250" t="s">
        <v>115</v>
      </c>
      <c r="AO250" t="s">
        <v>376</v>
      </c>
      <c r="AP250">
        <v>0.24234807999999999</v>
      </c>
    </row>
    <row r="251" spans="1:42" x14ac:dyDescent="0.25">
      <c r="A251">
        <v>249</v>
      </c>
      <c r="B251" t="s">
        <v>123</v>
      </c>
      <c r="C251" s="1">
        <v>1E-8</v>
      </c>
      <c r="E251" t="s">
        <v>162</v>
      </c>
      <c r="F251" t="s">
        <v>918</v>
      </c>
      <c r="G251" s="22">
        <v>20221214</v>
      </c>
      <c r="H251" s="61">
        <v>44910.000001469911</v>
      </c>
      <c r="I251">
        <v>5.9196374391119299E-8</v>
      </c>
      <c r="K251" s="21" t="s">
        <v>967</v>
      </c>
      <c r="L251" s="21" t="s">
        <v>890</v>
      </c>
      <c r="M251" s="21" t="s">
        <v>88</v>
      </c>
      <c r="N251" s="21" t="s">
        <v>115</v>
      </c>
      <c r="P251" t="str">
        <f t="shared" si="12"/>
        <v>UNI</v>
      </c>
      <c r="Q251">
        <f t="shared" si="13"/>
        <v>5.9196374391119297</v>
      </c>
      <c r="R251">
        <v>19.614688999999998</v>
      </c>
      <c r="S251">
        <f t="shared" si="14"/>
        <v>1.9614688999999999E-7</v>
      </c>
      <c r="T251" t="str">
        <f t="shared" si="15"/>
        <v xml:space="preserve">'UNI', </v>
      </c>
      <c r="AJ251" s="4" t="s">
        <v>95</v>
      </c>
      <c r="AK251" s="45">
        <v>-127000000</v>
      </c>
      <c r="AL251">
        <v>-127017315.1802046</v>
      </c>
      <c r="AN251" t="s">
        <v>115</v>
      </c>
      <c r="AO251" t="s">
        <v>377</v>
      </c>
      <c r="AP251" s="29">
        <v>1E-8</v>
      </c>
    </row>
    <row r="252" spans="1:42" x14ac:dyDescent="0.25">
      <c r="A252">
        <v>250</v>
      </c>
      <c r="B252" t="s">
        <v>123</v>
      </c>
      <c r="C252" s="1">
        <v>5.6000000000000004E-7</v>
      </c>
      <c r="E252" t="s">
        <v>95</v>
      </c>
      <c r="F252" t="s">
        <v>918</v>
      </c>
      <c r="G252" s="22">
        <v>20221214</v>
      </c>
      <c r="H252" s="61">
        <v>44910.000001469911</v>
      </c>
      <c r="I252">
        <v>5.5998853417048301E-7</v>
      </c>
      <c r="K252" s="21" t="s">
        <v>968</v>
      </c>
      <c r="L252" s="21" t="s">
        <v>890</v>
      </c>
      <c r="M252" s="21" t="s">
        <v>88</v>
      </c>
      <c r="N252" s="21" t="s">
        <v>115</v>
      </c>
      <c r="P252" t="str">
        <f t="shared" si="12"/>
        <v>USDC</v>
      </c>
      <c r="Q252">
        <f t="shared" si="13"/>
        <v>0.9999795253044339</v>
      </c>
      <c r="R252">
        <v>9.1027119999999996E-6</v>
      </c>
      <c r="S252">
        <f t="shared" si="14"/>
        <v>5.0975187200000005E-12</v>
      </c>
      <c r="T252" t="str">
        <f t="shared" si="15"/>
        <v xml:space="preserve">'USDC', </v>
      </c>
      <c r="AJ252" s="27" t="s">
        <v>172</v>
      </c>
      <c r="AK252" s="45">
        <v>-127000000</v>
      </c>
      <c r="AL252">
        <v>-127017315.1802046</v>
      </c>
      <c r="AN252" t="s">
        <v>115</v>
      </c>
      <c r="AO252" t="s">
        <v>378</v>
      </c>
      <c r="AP252">
        <v>362</v>
      </c>
    </row>
    <row r="253" spans="1:42" x14ac:dyDescent="0.25">
      <c r="A253">
        <v>251</v>
      </c>
      <c r="B253" t="s">
        <v>123</v>
      </c>
      <c r="C253" s="1">
        <v>0.34680431</v>
      </c>
      <c r="E253" t="s">
        <v>163</v>
      </c>
      <c r="F253" t="s">
        <v>918</v>
      </c>
      <c r="G253" s="22">
        <v>20221214</v>
      </c>
      <c r="H253" s="61">
        <v>44910.000001469911</v>
      </c>
      <c r="I253">
        <v>0.34804517992871897</v>
      </c>
      <c r="K253" s="21" t="s">
        <v>969</v>
      </c>
      <c r="L253" s="21" t="s">
        <v>890</v>
      </c>
      <c r="M253" s="21" t="s">
        <v>88</v>
      </c>
      <c r="N253" s="21" t="s">
        <v>115</v>
      </c>
      <c r="P253" t="str">
        <f t="shared" si="12"/>
        <v>USDP</v>
      </c>
      <c r="Q253">
        <f t="shared" si="13"/>
        <v>1.0035780118439674</v>
      </c>
      <c r="R253">
        <v>6065.0834999999997</v>
      </c>
      <c r="S253">
        <f t="shared" si="14"/>
        <v>2103.3970983098848</v>
      </c>
      <c r="T253" t="str">
        <f t="shared" si="15"/>
        <v xml:space="preserve">'USDP', </v>
      </c>
      <c r="AJ253" s="4" t="s">
        <v>174</v>
      </c>
      <c r="AK253" s="45">
        <v>4</v>
      </c>
      <c r="AL253">
        <v>22850.760965968111</v>
      </c>
      <c r="AN253" t="s">
        <v>115</v>
      </c>
      <c r="AO253" t="s">
        <v>378</v>
      </c>
      <c r="AP253">
        <v>-2073</v>
      </c>
    </row>
    <row r="254" spans="1:42" x14ac:dyDescent="0.25">
      <c r="A254">
        <v>252</v>
      </c>
      <c r="B254" t="s">
        <v>123</v>
      </c>
      <c r="C254" s="1">
        <v>55130.491809560001</v>
      </c>
      <c r="E254" t="s">
        <v>39</v>
      </c>
      <c r="F254" t="s">
        <v>918</v>
      </c>
      <c r="G254" s="22">
        <v>20221214</v>
      </c>
      <c r="H254" s="61">
        <v>44910.000001469911</v>
      </c>
      <c r="I254">
        <v>55136.303132593501</v>
      </c>
      <c r="K254" s="21" t="s">
        <v>913</v>
      </c>
      <c r="L254" s="21" t="s">
        <v>890</v>
      </c>
      <c r="M254" s="21" t="s">
        <v>88</v>
      </c>
      <c r="N254" s="21" t="s">
        <v>115</v>
      </c>
      <c r="P254" t="str">
        <f t="shared" si="12"/>
        <v>USDT</v>
      </c>
      <c r="Q254">
        <f t="shared" si="13"/>
        <v>1.0001054103245364</v>
      </c>
      <c r="R254">
        <v>1208.73</v>
      </c>
      <c r="S254">
        <f t="shared" si="14"/>
        <v>66637879.364969462</v>
      </c>
      <c r="T254" t="str">
        <f t="shared" si="15"/>
        <v xml:space="preserve">'USDT', </v>
      </c>
      <c r="AJ254" s="27" t="s">
        <v>172</v>
      </c>
      <c r="AK254" s="45">
        <v>4</v>
      </c>
      <c r="AL254">
        <v>22850.760965968111</v>
      </c>
      <c r="AN254" t="s">
        <v>115</v>
      </c>
      <c r="AO254" t="s">
        <v>378</v>
      </c>
      <c r="AP254">
        <v>23365.829594899998</v>
      </c>
    </row>
    <row r="255" spans="1:42" x14ac:dyDescent="0.25">
      <c r="A255">
        <v>253</v>
      </c>
      <c r="B255" t="s">
        <v>123</v>
      </c>
      <c r="C255" s="1">
        <v>25.959481520000001</v>
      </c>
      <c r="E255" t="s">
        <v>199</v>
      </c>
      <c r="F255" t="s">
        <v>918</v>
      </c>
      <c r="G255" s="22">
        <v>20221214</v>
      </c>
      <c r="H255" s="61">
        <v>44910.000001469911</v>
      </c>
      <c r="I255">
        <v>0.48659952986674698</v>
      </c>
      <c r="K255" s="21" t="s">
        <v>970</v>
      </c>
      <c r="L255" s="21" t="s">
        <v>890</v>
      </c>
      <c r="M255" s="21" t="s">
        <v>88</v>
      </c>
      <c r="N255" s="21" t="s">
        <v>115</v>
      </c>
      <c r="P255" t="str">
        <f t="shared" si="12"/>
        <v>VET</v>
      </c>
      <c r="Q255">
        <f t="shared" si="13"/>
        <v>1.8744578141587899E-2</v>
      </c>
      <c r="R255">
        <v>1</v>
      </c>
      <c r="S255">
        <f t="shared" si="14"/>
        <v>25.959481520000001</v>
      </c>
      <c r="T255" t="str">
        <f t="shared" si="15"/>
        <v xml:space="preserve">'VET', </v>
      </c>
      <c r="AJ255" s="4" t="s">
        <v>27</v>
      </c>
      <c r="AK255" s="45">
        <v>-20000000</v>
      </c>
      <c r="AL255">
        <v>-416552.72751159238</v>
      </c>
      <c r="AN255" t="s">
        <v>115</v>
      </c>
      <c r="AO255" t="s">
        <v>378</v>
      </c>
      <c r="AP255" s="29">
        <v>1E-8</v>
      </c>
    </row>
    <row r="256" spans="1:42" x14ac:dyDescent="0.25">
      <c r="A256">
        <v>254</v>
      </c>
      <c r="B256" t="s">
        <v>123</v>
      </c>
      <c r="C256" s="1">
        <v>0.20872535</v>
      </c>
      <c r="E256" t="s">
        <v>164</v>
      </c>
      <c r="F256" t="s">
        <v>918</v>
      </c>
      <c r="G256" s="22">
        <v>20221214</v>
      </c>
      <c r="H256" s="61">
        <v>44910.000001469911</v>
      </c>
      <c r="I256">
        <v>2.1650087385953701E-4</v>
      </c>
      <c r="K256" s="21" t="s">
        <v>971</v>
      </c>
      <c r="L256" s="21" t="s">
        <v>890</v>
      </c>
      <c r="M256" s="21" t="s">
        <v>88</v>
      </c>
      <c r="N256" s="21" t="s">
        <v>115</v>
      </c>
      <c r="P256" t="str">
        <f t="shared" si="12"/>
        <v>VSYS</v>
      </c>
      <c r="Q256">
        <f t="shared" si="13"/>
        <v>1.03725241739701E-3</v>
      </c>
      <c r="R256">
        <v>1</v>
      </c>
      <c r="S256">
        <f t="shared" si="14"/>
        <v>0.20872535</v>
      </c>
      <c r="T256" t="str">
        <f t="shared" si="15"/>
        <v xml:space="preserve">'VSYS', </v>
      </c>
      <c r="AJ256" s="27" t="s">
        <v>172</v>
      </c>
      <c r="AK256" s="45">
        <v>-20000000</v>
      </c>
      <c r="AL256">
        <v>-416552.72751159238</v>
      </c>
      <c r="AN256" t="s">
        <v>115</v>
      </c>
      <c r="AO256" t="s">
        <v>379</v>
      </c>
      <c r="AP256">
        <v>4.3289484800000002</v>
      </c>
    </row>
    <row r="257" spans="1:42" x14ac:dyDescent="0.25">
      <c r="A257">
        <v>255</v>
      </c>
      <c r="B257" t="s">
        <v>123</v>
      </c>
      <c r="C257" s="1">
        <v>97856389.900000006</v>
      </c>
      <c r="E257" t="s">
        <v>165</v>
      </c>
      <c r="F257" t="s">
        <v>918</v>
      </c>
      <c r="G257" s="22">
        <v>20221214</v>
      </c>
      <c r="H257" s="61">
        <v>44910.000001469911</v>
      </c>
      <c r="I257">
        <v>2824.1968203913998</v>
      </c>
      <c r="K257" s="21" t="s">
        <v>972</v>
      </c>
      <c r="L257" s="21" t="s">
        <v>890</v>
      </c>
      <c r="M257" s="21" t="s">
        <v>88</v>
      </c>
      <c r="N257" s="21" t="s">
        <v>115</v>
      </c>
      <c r="P257" t="str">
        <f t="shared" si="12"/>
        <v>XEC</v>
      </c>
      <c r="Q257">
        <f t="shared" si="13"/>
        <v>2.8860627530582953E-5</v>
      </c>
      <c r="R257">
        <v>16719.740000000002</v>
      </c>
      <c r="S257">
        <f t="shared" si="14"/>
        <v>1636133396466.6262</v>
      </c>
      <c r="T257" t="str">
        <f t="shared" si="15"/>
        <v xml:space="preserve">'XEC', </v>
      </c>
      <c r="AJ257" s="3" t="s">
        <v>302</v>
      </c>
      <c r="AK257" s="45">
        <v>86.579094099999992</v>
      </c>
      <c r="AL257">
        <v>401.64232005519716</v>
      </c>
      <c r="AN257" t="s">
        <v>115</v>
      </c>
      <c r="AO257" t="s">
        <v>380</v>
      </c>
      <c r="AP257">
        <v>20</v>
      </c>
    </row>
    <row r="258" spans="1:42" x14ac:dyDescent="0.25">
      <c r="A258">
        <v>256</v>
      </c>
      <c r="B258" t="s">
        <v>123</v>
      </c>
      <c r="C258" s="1">
        <v>0.55556267999999998</v>
      </c>
      <c r="E258" t="s">
        <v>166</v>
      </c>
      <c r="F258" t="s">
        <v>918</v>
      </c>
      <c r="G258" s="22">
        <v>20221214</v>
      </c>
      <c r="H258" s="61">
        <v>44910.000001469911</v>
      </c>
      <c r="I258">
        <v>4.6119363227788597E-2</v>
      </c>
      <c r="K258" s="21" t="s">
        <v>973</v>
      </c>
      <c r="L258" s="21" t="s">
        <v>890</v>
      </c>
      <c r="M258" s="21" t="s">
        <v>88</v>
      </c>
      <c r="N258" s="21" t="s">
        <v>115</v>
      </c>
      <c r="P258" t="str">
        <f t="shared" ref="P258:P321" si="16">IF($C258="","",$E258)</f>
        <v>XLM</v>
      </c>
      <c r="Q258">
        <f t="shared" si="13"/>
        <v>8.3013789241186256E-2</v>
      </c>
      <c r="R258">
        <v>16719.740000000002</v>
      </c>
      <c r="S258">
        <f t="shared" si="14"/>
        <v>9288.8635633032009</v>
      </c>
      <c r="T258" t="str">
        <f t="shared" si="15"/>
        <v xml:space="preserve">'XLM', </v>
      </c>
      <c r="AJ258" s="4" t="s">
        <v>15</v>
      </c>
      <c r="AK258" s="45">
        <v>1.9199069999999999E-2</v>
      </c>
      <c r="AL258">
        <v>313.96941313966414</v>
      </c>
      <c r="AN258" t="s">
        <v>115</v>
      </c>
      <c r="AO258" t="s">
        <v>380</v>
      </c>
      <c r="AP258">
        <v>6149.0642865700001</v>
      </c>
    </row>
    <row r="259" spans="1:42" x14ac:dyDescent="0.25">
      <c r="A259">
        <v>257</v>
      </c>
      <c r="B259" t="s">
        <v>123</v>
      </c>
      <c r="C259" s="1">
        <v>108.13630258000001</v>
      </c>
      <c r="E259" t="s">
        <v>102</v>
      </c>
      <c r="F259" t="s">
        <v>918</v>
      </c>
      <c r="G259" s="22">
        <v>20221214</v>
      </c>
      <c r="H259" s="61">
        <v>44910.000001469911</v>
      </c>
      <c r="I259">
        <v>41.785350706776903</v>
      </c>
      <c r="K259" s="21" t="s">
        <v>899</v>
      </c>
      <c r="L259" s="21" t="s">
        <v>890</v>
      </c>
      <c r="M259" s="21" t="s">
        <v>88</v>
      </c>
      <c r="N259" s="21" t="s">
        <v>115</v>
      </c>
      <c r="P259" t="str">
        <f t="shared" si="16"/>
        <v>XRP</v>
      </c>
      <c r="Q259">
        <f t="shared" ref="Q259:Q322" si="17">IF($C259="","",$I259/$C259)</f>
        <v>0.38641371777866923</v>
      </c>
      <c r="R259">
        <v>1208.73</v>
      </c>
      <c r="S259">
        <f t="shared" ref="S259:S322" si="18">IF($B259="","",$C259*$R259)</f>
        <v>130707.59301752341</v>
      </c>
      <c r="T259" t="str">
        <f t="shared" ref="T259:T322" si="19">"'"&amp;P259&amp;"', "</f>
        <v xml:space="preserve">'XRP', </v>
      </c>
      <c r="AJ259" s="27" t="s">
        <v>88</v>
      </c>
      <c r="AK259" s="45">
        <v>1.9199069999999999E-2</v>
      </c>
      <c r="AL259">
        <v>313.96941313966414</v>
      </c>
      <c r="AN259" t="s">
        <v>115</v>
      </c>
      <c r="AO259" t="s">
        <v>380</v>
      </c>
      <c r="AP259">
        <v>4867.9546093700001</v>
      </c>
    </row>
    <row r="260" spans="1:42" x14ac:dyDescent="0.25">
      <c r="A260">
        <v>258</v>
      </c>
      <c r="B260" t="s">
        <v>123</v>
      </c>
      <c r="C260" s="1">
        <v>3.9304560899999998</v>
      </c>
      <c r="E260" t="s">
        <v>167</v>
      </c>
      <c r="F260" t="s">
        <v>918</v>
      </c>
      <c r="G260" s="22">
        <v>20221214</v>
      </c>
      <c r="H260" s="61">
        <v>44910.000001469911</v>
      </c>
      <c r="I260">
        <v>3.7396377270751899</v>
      </c>
      <c r="K260" s="21" t="s">
        <v>974</v>
      </c>
      <c r="L260" s="21" t="s">
        <v>890</v>
      </c>
      <c r="M260" s="21" t="s">
        <v>88</v>
      </c>
      <c r="N260" s="21" t="s">
        <v>115</v>
      </c>
      <c r="P260" t="str">
        <f t="shared" si="16"/>
        <v>XTZ</v>
      </c>
      <c r="Q260">
        <f t="shared" si="17"/>
        <v>0.95145134341780424</v>
      </c>
      <c r="R260">
        <v>1208.73</v>
      </c>
      <c r="S260">
        <f t="shared" si="18"/>
        <v>4750.8601896657001</v>
      </c>
      <c r="T260" t="str">
        <f t="shared" si="19"/>
        <v xml:space="preserve">'XTZ', </v>
      </c>
      <c r="AJ260" s="4" t="s">
        <v>16</v>
      </c>
      <c r="AK260" s="45">
        <v>9.9825000000000001E-4</v>
      </c>
      <c r="AL260">
        <v>1.219681034100619</v>
      </c>
      <c r="AN260" t="s">
        <v>115</v>
      </c>
      <c r="AO260" t="s">
        <v>380</v>
      </c>
      <c r="AP260" s="29">
        <v>1E-8</v>
      </c>
    </row>
    <row r="261" spans="1:42" x14ac:dyDescent="0.25">
      <c r="A261">
        <v>259</v>
      </c>
      <c r="B261" t="s">
        <v>123</v>
      </c>
      <c r="C261" s="1">
        <v>1.329583E-2</v>
      </c>
      <c r="E261" t="s">
        <v>120</v>
      </c>
      <c r="F261" t="s">
        <v>918</v>
      </c>
      <c r="G261" s="22">
        <v>20221214</v>
      </c>
      <c r="H261" s="61">
        <v>44910.000001469911</v>
      </c>
      <c r="I261">
        <v>17.861586464285502</v>
      </c>
      <c r="K261" s="21" t="s">
        <v>917</v>
      </c>
      <c r="L261" s="21" t="s">
        <v>890</v>
      </c>
      <c r="M261" s="21" t="s">
        <v>88</v>
      </c>
      <c r="N261" s="21" t="s">
        <v>115</v>
      </c>
      <c r="P261" t="str">
        <f t="shared" si="16"/>
        <v>YFII</v>
      </c>
      <c r="Q261">
        <f t="shared" si="17"/>
        <v>1343.3976264953374</v>
      </c>
      <c r="R261">
        <v>0.38471588000000001</v>
      </c>
      <c r="S261">
        <f t="shared" si="18"/>
        <v>5.1151169387804001E-3</v>
      </c>
      <c r="T261" t="str">
        <f t="shared" si="19"/>
        <v xml:space="preserve">'YFII', </v>
      </c>
      <c r="AJ261" s="27" t="s">
        <v>88</v>
      </c>
      <c r="AK261" s="45">
        <v>9.9825000000000001E-4</v>
      </c>
      <c r="AL261">
        <v>1.219681034100619</v>
      </c>
      <c r="AN261" t="s">
        <v>115</v>
      </c>
      <c r="AO261" t="s">
        <v>380</v>
      </c>
      <c r="AP261">
        <v>-5500</v>
      </c>
    </row>
    <row r="262" spans="1:42" x14ac:dyDescent="0.25">
      <c r="A262">
        <v>260</v>
      </c>
      <c r="B262" t="s">
        <v>123</v>
      </c>
      <c r="C262" s="1">
        <v>2.173E-4</v>
      </c>
      <c r="E262" t="s">
        <v>168</v>
      </c>
      <c r="F262" t="s">
        <v>918</v>
      </c>
      <c r="G262" s="22">
        <v>20221214</v>
      </c>
      <c r="H262" s="61">
        <v>44910.000001469911</v>
      </c>
      <c r="I262">
        <v>1.0078858162692401E-2</v>
      </c>
      <c r="K262" s="21" t="s">
        <v>975</v>
      </c>
      <c r="L262" s="21" t="s">
        <v>890</v>
      </c>
      <c r="M262" s="21" t="s">
        <v>88</v>
      </c>
      <c r="N262" s="21" t="s">
        <v>115</v>
      </c>
      <c r="P262" t="str">
        <f t="shared" si="16"/>
        <v>ZEC</v>
      </c>
      <c r="Q262">
        <f t="shared" si="17"/>
        <v>46.382228084180397</v>
      </c>
      <c r="R262">
        <v>16719.740000000002</v>
      </c>
      <c r="S262">
        <f t="shared" si="18"/>
        <v>3.6331995020000001</v>
      </c>
      <c r="T262" t="str">
        <f t="shared" si="19"/>
        <v xml:space="preserve">'ZEC', </v>
      </c>
      <c r="AJ262" s="4" t="s">
        <v>297</v>
      </c>
      <c r="AK262" s="45">
        <v>9.9825000000000001E-4</v>
      </c>
      <c r="AL262">
        <v>3.2524081496326362E-4</v>
      </c>
      <c r="AN262" t="s">
        <v>115</v>
      </c>
      <c r="AO262" t="s">
        <v>381</v>
      </c>
      <c r="AP262">
        <v>0.66495972999999997</v>
      </c>
    </row>
    <row r="263" spans="1:42" x14ac:dyDescent="0.25">
      <c r="A263">
        <v>261</v>
      </c>
      <c r="B263" t="s">
        <v>123</v>
      </c>
      <c r="C263" s="1">
        <v>19012302.002175301</v>
      </c>
      <c r="E263" t="s">
        <v>27</v>
      </c>
      <c r="F263" t="s">
        <v>918</v>
      </c>
      <c r="G263" s="22">
        <v>20221214</v>
      </c>
      <c r="H263" s="61">
        <v>44910.000001469911</v>
      </c>
      <c r="I263">
        <v>414285.150596319</v>
      </c>
      <c r="K263" s="21" t="s">
        <v>976</v>
      </c>
      <c r="L263" s="21" t="s">
        <v>890</v>
      </c>
      <c r="M263" s="21" t="s">
        <v>88</v>
      </c>
      <c r="N263" s="21" t="s">
        <v>115</v>
      </c>
      <c r="P263" t="str">
        <f t="shared" si="16"/>
        <v>ZIL</v>
      </c>
      <c r="Q263">
        <f t="shared" si="17"/>
        <v>2.1790372914806337E-2</v>
      </c>
      <c r="R263">
        <v>16719.740000000002</v>
      </c>
      <c r="S263">
        <f t="shared" si="18"/>
        <v>317880746277.85052</v>
      </c>
      <c r="T263" t="str">
        <f t="shared" si="19"/>
        <v xml:space="preserve">'ZIL', </v>
      </c>
      <c r="AJ263" s="27" t="s">
        <v>88</v>
      </c>
      <c r="AK263" s="45">
        <v>9.9825000000000001E-4</v>
      </c>
      <c r="AL263">
        <v>3.2524081496326362E-4</v>
      </c>
      <c r="AN263" t="s">
        <v>115</v>
      </c>
      <c r="AO263" t="s">
        <v>382</v>
      </c>
      <c r="AP263">
        <v>0.34</v>
      </c>
    </row>
    <row r="264" spans="1:42" x14ac:dyDescent="0.25">
      <c r="A264">
        <v>262</v>
      </c>
      <c r="B264" t="s">
        <v>169</v>
      </c>
      <c r="C264" s="1">
        <v>0.10004001</v>
      </c>
      <c r="E264" t="s">
        <v>21</v>
      </c>
      <c r="F264" t="s">
        <v>918</v>
      </c>
      <c r="G264" s="22">
        <v>20221214</v>
      </c>
      <c r="H264" s="61">
        <v>44910.000001469911</v>
      </c>
      <c r="I264">
        <v>10.9152150262303</v>
      </c>
      <c r="K264" s="21" t="s">
        <v>891</v>
      </c>
      <c r="L264" s="21" t="s">
        <v>890</v>
      </c>
      <c r="M264" s="21" t="s">
        <v>88</v>
      </c>
      <c r="N264" s="21" t="s">
        <v>115</v>
      </c>
      <c r="P264" t="str">
        <f t="shared" si="16"/>
        <v>BCH</v>
      </c>
      <c r="Q264">
        <f t="shared" si="17"/>
        <v>109.10849595307218</v>
      </c>
      <c r="R264">
        <v>1208.73</v>
      </c>
      <c r="S264">
        <f t="shared" si="18"/>
        <v>120.9213612873</v>
      </c>
      <c r="T264" t="str">
        <f t="shared" si="19"/>
        <v xml:space="preserve">'BCH', </v>
      </c>
      <c r="AJ264" s="4" t="s">
        <v>275</v>
      </c>
      <c r="AK264" s="45">
        <v>9.9825000000000001E-4</v>
      </c>
      <c r="AL264">
        <v>3.8898539183139548E-3</v>
      </c>
      <c r="AN264" t="s">
        <v>115</v>
      </c>
      <c r="AO264" t="s">
        <v>383</v>
      </c>
      <c r="AP264">
        <v>0.89105878000000005</v>
      </c>
    </row>
    <row r="265" spans="1:42" x14ac:dyDescent="0.25">
      <c r="A265">
        <v>263</v>
      </c>
      <c r="B265" t="s">
        <v>169</v>
      </c>
      <c r="C265" s="1">
        <v>720921.74999677006</v>
      </c>
      <c r="E265" t="s">
        <v>24</v>
      </c>
      <c r="F265" t="s">
        <v>918</v>
      </c>
      <c r="G265" s="22">
        <v>20221214</v>
      </c>
      <c r="H265" s="61">
        <v>44910.000001469911</v>
      </c>
      <c r="I265">
        <v>705076.85358146497</v>
      </c>
      <c r="K265" s="21" t="s">
        <v>894</v>
      </c>
      <c r="L265" s="21" t="s">
        <v>890</v>
      </c>
      <c r="M265" s="21" t="s">
        <v>88</v>
      </c>
      <c r="N265" s="21" t="s">
        <v>115</v>
      </c>
      <c r="P265" t="str">
        <f t="shared" si="16"/>
        <v>EOS</v>
      </c>
      <c r="Q265">
        <f t="shared" si="17"/>
        <v>0.97802133669101243</v>
      </c>
      <c r="R265">
        <v>0.99940190110900451</v>
      </c>
      <c r="S265">
        <f t="shared" si="18"/>
        <v>720490.56749760243</v>
      </c>
      <c r="T265" t="str">
        <f t="shared" si="19"/>
        <v xml:space="preserve">'EOS', </v>
      </c>
      <c r="AJ265" s="27" t="s">
        <v>88</v>
      </c>
      <c r="AK265" s="45">
        <v>9.9825000000000001E-4</v>
      </c>
      <c r="AL265">
        <v>3.8898539183139548E-3</v>
      </c>
      <c r="AN265" t="s">
        <v>115</v>
      </c>
      <c r="AO265" t="s">
        <v>384</v>
      </c>
      <c r="AP265">
        <v>40.704174029999997</v>
      </c>
    </row>
    <row r="266" spans="1:42" x14ac:dyDescent="0.25">
      <c r="A266">
        <v>264</v>
      </c>
      <c r="B266" t="s">
        <v>169</v>
      </c>
      <c r="C266" s="1">
        <v>1E-8</v>
      </c>
      <c r="E266" t="s">
        <v>30</v>
      </c>
      <c r="F266" t="s">
        <v>918</v>
      </c>
      <c r="G266" s="22">
        <v>20221214</v>
      </c>
      <c r="H266" s="61">
        <v>44910.000001469911</v>
      </c>
      <c r="I266">
        <v>1.87876872284171E-7</v>
      </c>
      <c r="K266" s="21" t="s">
        <v>895</v>
      </c>
      <c r="L266" s="21" t="s">
        <v>890</v>
      </c>
      <c r="M266" s="21" t="s">
        <v>88</v>
      </c>
      <c r="N266" s="21" t="s">
        <v>115</v>
      </c>
      <c r="P266" t="str">
        <f t="shared" si="16"/>
        <v>ETC</v>
      </c>
      <c r="Q266">
        <f t="shared" si="17"/>
        <v>18.787687228417099</v>
      </c>
      <c r="R266">
        <v>0.99940190110900462</v>
      </c>
      <c r="S266">
        <f t="shared" si="18"/>
        <v>9.9940190110900463E-9</v>
      </c>
      <c r="T266" t="str">
        <f t="shared" si="19"/>
        <v xml:space="preserve">'ETC', </v>
      </c>
      <c r="AJ266" s="4" t="s">
        <v>298</v>
      </c>
      <c r="AK266" s="45">
        <v>9.5929999999999998E-5</v>
      </c>
      <c r="AL266">
        <v>4.4231165462276686E-6</v>
      </c>
      <c r="AN266" t="s">
        <v>115</v>
      </c>
      <c r="AO266" t="s">
        <v>385</v>
      </c>
      <c r="AP266">
        <v>3013993111.0959401</v>
      </c>
    </row>
    <row r="267" spans="1:42" x14ac:dyDescent="0.25">
      <c r="A267">
        <v>265</v>
      </c>
      <c r="B267" t="s">
        <v>169</v>
      </c>
      <c r="C267" s="1">
        <v>5942.5685764899999</v>
      </c>
      <c r="E267" t="s">
        <v>25</v>
      </c>
      <c r="F267" t="s">
        <v>918</v>
      </c>
      <c r="G267" s="22">
        <v>20221214</v>
      </c>
      <c r="H267" s="61">
        <v>44910.000001469911</v>
      </c>
      <c r="I267">
        <v>448520.495586965</v>
      </c>
      <c r="K267" s="21" t="s">
        <v>897</v>
      </c>
      <c r="L267" s="21" t="s">
        <v>890</v>
      </c>
      <c r="M267" s="21" t="s">
        <v>88</v>
      </c>
      <c r="N267" s="21" t="s">
        <v>115</v>
      </c>
      <c r="P267" t="str">
        <f t="shared" si="16"/>
        <v>LTC</v>
      </c>
      <c r="Q267">
        <f t="shared" si="17"/>
        <v>75.475863646134869</v>
      </c>
      <c r="R267">
        <v>16719.740000000002</v>
      </c>
      <c r="S267">
        <f t="shared" si="18"/>
        <v>99358201.531082928</v>
      </c>
      <c r="T267" t="str">
        <f t="shared" si="19"/>
        <v xml:space="preserve">'LTC', </v>
      </c>
      <c r="AJ267" s="27" t="s">
        <v>88</v>
      </c>
      <c r="AK267" s="45">
        <v>9.5929999999999998E-5</v>
      </c>
      <c r="AL267">
        <v>4.4231165462276686E-6</v>
      </c>
      <c r="AN267" t="s">
        <v>115</v>
      </c>
      <c r="AO267" t="s">
        <v>386</v>
      </c>
      <c r="AP267">
        <v>4.3068300000000002E-3</v>
      </c>
    </row>
    <row r="268" spans="1:42" x14ac:dyDescent="0.25">
      <c r="A268">
        <v>266</v>
      </c>
      <c r="B268" t="s">
        <v>169</v>
      </c>
      <c r="C268" s="1">
        <v>1E-8</v>
      </c>
      <c r="E268" t="s">
        <v>26</v>
      </c>
      <c r="F268" t="s">
        <v>918</v>
      </c>
      <c r="G268" s="22">
        <v>20221214</v>
      </c>
      <c r="H268" s="61">
        <v>44910.000001469911</v>
      </c>
      <c r="I268">
        <v>5.5666357131219E-10</v>
      </c>
      <c r="K268" s="21" t="s">
        <v>898</v>
      </c>
      <c r="L268" s="21" t="s">
        <v>890</v>
      </c>
      <c r="M268" s="21" t="s">
        <v>88</v>
      </c>
      <c r="N268" s="21" t="s">
        <v>115</v>
      </c>
      <c r="P268" t="str">
        <f t="shared" si="16"/>
        <v>TRX</v>
      </c>
      <c r="Q268">
        <f t="shared" si="17"/>
        <v>5.5666357131219001E-2</v>
      </c>
      <c r="R268">
        <v>0.9994019011090044</v>
      </c>
      <c r="S268">
        <f t="shared" si="18"/>
        <v>9.9940190110900447E-9</v>
      </c>
      <c r="T268" t="str">
        <f t="shared" si="19"/>
        <v xml:space="preserve">'TRX', </v>
      </c>
      <c r="AJ268" s="4" t="s">
        <v>39</v>
      </c>
      <c r="AK268" s="45">
        <v>86.556804349999993</v>
      </c>
      <c r="AL268">
        <v>86.449006363582583</v>
      </c>
      <c r="AN268" t="s">
        <v>115</v>
      </c>
      <c r="AO268" t="s">
        <v>387</v>
      </c>
      <c r="AP268">
        <v>162254.56419957001</v>
      </c>
    </row>
    <row r="269" spans="1:42" x14ac:dyDescent="0.25">
      <c r="A269">
        <v>267</v>
      </c>
      <c r="B269" t="s">
        <v>169</v>
      </c>
      <c r="C269" s="1">
        <v>638678.88282727997</v>
      </c>
      <c r="E269" t="s">
        <v>39</v>
      </c>
      <c r="F269" t="s">
        <v>918</v>
      </c>
      <c r="G269" s="22">
        <v>20221214</v>
      </c>
      <c r="H269" s="61">
        <v>44910.000001469911</v>
      </c>
      <c r="I269">
        <v>638746.20617559401</v>
      </c>
      <c r="K269" s="21" t="s">
        <v>913</v>
      </c>
      <c r="L269" s="21" t="s">
        <v>890</v>
      </c>
      <c r="M269" s="21" t="s">
        <v>88</v>
      </c>
      <c r="N269" s="21" t="s">
        <v>115</v>
      </c>
      <c r="P269" t="str">
        <f t="shared" si="16"/>
        <v>USDT</v>
      </c>
      <c r="Q269">
        <f t="shared" si="17"/>
        <v>1.0001054103245375</v>
      </c>
      <c r="R269">
        <v>103.98</v>
      </c>
      <c r="S269">
        <f t="shared" si="18"/>
        <v>66409830.236380577</v>
      </c>
      <c r="T269" t="str">
        <f t="shared" si="19"/>
        <v xml:space="preserve">'USDT', </v>
      </c>
      <c r="AJ269" s="27" t="s">
        <v>88</v>
      </c>
      <c r="AK269" s="45">
        <v>86.556804349999993</v>
      </c>
      <c r="AL269">
        <v>86.449006363582583</v>
      </c>
      <c r="AN269" t="s">
        <v>115</v>
      </c>
      <c r="AO269" t="s">
        <v>388</v>
      </c>
      <c r="AP269">
        <v>0.34782034000000001</v>
      </c>
    </row>
    <row r="270" spans="1:42" x14ac:dyDescent="0.25">
      <c r="A270">
        <v>268</v>
      </c>
      <c r="B270" t="s">
        <v>169</v>
      </c>
      <c r="C270" s="1">
        <v>7.6039999999999997E-5</v>
      </c>
      <c r="E270" t="s">
        <v>102</v>
      </c>
      <c r="F270" t="s">
        <v>918</v>
      </c>
      <c r="G270" s="22">
        <v>20221214</v>
      </c>
      <c r="H270" s="61">
        <v>44910.000001469911</v>
      </c>
      <c r="I270">
        <v>2.9382899099889999E-5</v>
      </c>
      <c r="K270" s="21" t="s">
        <v>899</v>
      </c>
      <c r="L270" s="21" t="s">
        <v>890</v>
      </c>
      <c r="M270" s="21" t="s">
        <v>88</v>
      </c>
      <c r="N270" s="21" t="s">
        <v>115</v>
      </c>
      <c r="P270" t="str">
        <f t="shared" si="16"/>
        <v>XRP</v>
      </c>
      <c r="Q270">
        <f t="shared" si="17"/>
        <v>0.38641371777866912</v>
      </c>
      <c r="R270">
        <v>16719.740000000002</v>
      </c>
      <c r="S270">
        <f t="shared" si="18"/>
        <v>1.2713690296</v>
      </c>
      <c r="T270" t="str">
        <f t="shared" si="19"/>
        <v xml:space="preserve">'XRP', </v>
      </c>
      <c r="AJ270" s="3" t="s">
        <v>115</v>
      </c>
      <c r="AK270" s="45">
        <v>9295606592.9325638</v>
      </c>
      <c r="AL270">
        <v>49016557.351335824</v>
      </c>
      <c r="AN270" t="s">
        <v>115</v>
      </c>
      <c r="AO270" t="s">
        <v>389</v>
      </c>
      <c r="AP270">
        <v>1000</v>
      </c>
    </row>
    <row r="271" spans="1:42" x14ac:dyDescent="0.25">
      <c r="A271">
        <v>269</v>
      </c>
      <c r="B271" t="s">
        <v>170</v>
      </c>
      <c r="C271" s="1">
        <v>0.331542</v>
      </c>
      <c r="E271" t="s">
        <v>36</v>
      </c>
      <c r="F271" t="s">
        <v>833</v>
      </c>
      <c r="G271" s="22">
        <v>20221214</v>
      </c>
      <c r="H271" s="61">
        <v>44909.91698321759</v>
      </c>
      <c r="I271">
        <v>3.1858330890608899</v>
      </c>
      <c r="K271" s="21" t="s">
        <v>977</v>
      </c>
      <c r="L271" s="21" t="s">
        <v>978</v>
      </c>
      <c r="M271" s="21" t="s">
        <v>88</v>
      </c>
      <c r="N271" s="21" t="s">
        <v>170</v>
      </c>
      <c r="P271" t="str">
        <f t="shared" si="16"/>
        <v>ATOM</v>
      </c>
      <c r="Q271">
        <f t="shared" si="17"/>
        <v>9.6091387789809133</v>
      </c>
      <c r="R271">
        <v>16719.740000000002</v>
      </c>
      <c r="S271">
        <f t="shared" si="18"/>
        <v>5543.2960390800008</v>
      </c>
      <c r="T271" t="str">
        <f t="shared" si="19"/>
        <v xml:space="preserve">'ATOM', </v>
      </c>
      <c r="AJ271" s="4" t="s">
        <v>124</v>
      </c>
      <c r="AK271" s="45">
        <v>377.09760540000002</v>
      </c>
      <c r="AL271">
        <v>0.2259767804534227</v>
      </c>
      <c r="AN271" t="s">
        <v>115</v>
      </c>
      <c r="AO271" t="s">
        <v>389</v>
      </c>
      <c r="AP271">
        <v>955716.34132199001</v>
      </c>
    </row>
    <row r="272" spans="1:42" x14ac:dyDescent="0.25">
      <c r="A272">
        <v>270</v>
      </c>
      <c r="B272" t="s">
        <v>170</v>
      </c>
      <c r="C272" s="1">
        <v>1.7695412699999999</v>
      </c>
      <c r="E272" t="s">
        <v>21</v>
      </c>
      <c r="F272" t="s">
        <v>833</v>
      </c>
      <c r="G272" s="22">
        <v>20221214</v>
      </c>
      <c r="H272" s="61">
        <v>44909.916983020834</v>
      </c>
      <c r="I272">
        <v>193.07198649659</v>
      </c>
      <c r="K272" s="21" t="s">
        <v>979</v>
      </c>
      <c r="L272" s="21" t="s">
        <v>978</v>
      </c>
      <c r="M272" s="21" t="s">
        <v>88</v>
      </c>
      <c r="N272" s="21" t="s">
        <v>170</v>
      </c>
      <c r="P272" t="str">
        <f t="shared" si="16"/>
        <v>BCH</v>
      </c>
      <c r="Q272">
        <f t="shared" si="17"/>
        <v>109.10849595307263</v>
      </c>
      <c r="R272">
        <v>0.90154135000000002</v>
      </c>
      <c r="S272">
        <f t="shared" si="18"/>
        <v>1.5953146254365145</v>
      </c>
      <c r="T272" t="str">
        <f t="shared" si="19"/>
        <v xml:space="preserve">'BCH', </v>
      </c>
      <c r="AJ272" s="27" t="s">
        <v>88</v>
      </c>
      <c r="AK272" s="45">
        <v>377.09760540000002</v>
      </c>
      <c r="AL272">
        <v>0.2259767804534227</v>
      </c>
      <c r="AN272" t="s">
        <v>115</v>
      </c>
      <c r="AO272" t="s">
        <v>390</v>
      </c>
      <c r="AP272">
        <v>3.0962099999999998E-3</v>
      </c>
    </row>
    <row r="273" spans="1:42" x14ac:dyDescent="0.25">
      <c r="A273">
        <v>271</v>
      </c>
      <c r="B273" t="s">
        <v>170</v>
      </c>
      <c r="C273" s="1">
        <v>1.8847760000000002E-2</v>
      </c>
      <c r="E273" t="s">
        <v>15</v>
      </c>
      <c r="F273" t="s">
        <v>833</v>
      </c>
      <c r="G273" s="22">
        <v>20221214</v>
      </c>
      <c r="H273" s="61">
        <v>44909.916983020834</v>
      </c>
      <c r="I273">
        <v>335.78509270449501</v>
      </c>
      <c r="K273" s="21" t="s">
        <v>980</v>
      </c>
      <c r="L273" s="21" t="s">
        <v>978</v>
      </c>
      <c r="M273" s="21" t="s">
        <v>88</v>
      </c>
      <c r="N273" s="21" t="s">
        <v>170</v>
      </c>
      <c r="P273" t="str">
        <f t="shared" si="16"/>
        <v>BTC</v>
      </c>
      <c r="Q273">
        <f t="shared" si="17"/>
        <v>17815.649854650896</v>
      </c>
      <c r="R273">
        <v>1208.73</v>
      </c>
      <c r="S273">
        <f t="shared" si="18"/>
        <v>22.781852944800001</v>
      </c>
      <c r="T273" t="str">
        <f t="shared" si="19"/>
        <v xml:space="preserve">'BTC', </v>
      </c>
      <c r="AJ273" s="4" t="s">
        <v>119</v>
      </c>
      <c r="AK273" s="45">
        <v>0.10014646000000001</v>
      </c>
      <c r="AL273">
        <v>5.6780306475704014</v>
      </c>
      <c r="AN273" t="s">
        <v>115</v>
      </c>
      <c r="AO273" t="s">
        <v>391</v>
      </c>
      <c r="AP273">
        <v>2.6598900000000002E-2</v>
      </c>
    </row>
    <row r="274" spans="1:42" x14ac:dyDescent="0.25">
      <c r="A274">
        <v>272</v>
      </c>
      <c r="B274" t="s">
        <v>170</v>
      </c>
      <c r="C274" s="1">
        <v>9.9499194400000004</v>
      </c>
      <c r="E274" t="s">
        <v>24</v>
      </c>
      <c r="F274" t="s">
        <v>833</v>
      </c>
      <c r="G274" s="22">
        <v>20221214</v>
      </c>
      <c r="H274" s="61">
        <v>44909.916983020834</v>
      </c>
      <c r="I274">
        <v>9.7312335106767005</v>
      </c>
      <c r="K274" s="21" t="s">
        <v>981</v>
      </c>
      <c r="L274" s="21" t="s">
        <v>978</v>
      </c>
      <c r="M274" s="21" t="s">
        <v>88</v>
      </c>
      <c r="N274" s="21" t="s">
        <v>170</v>
      </c>
      <c r="P274" t="str">
        <f t="shared" si="16"/>
        <v>EOS</v>
      </c>
      <c r="Q274">
        <f t="shared" si="17"/>
        <v>0.97802133669101343</v>
      </c>
      <c r="R274">
        <v>1208.73</v>
      </c>
      <c r="S274">
        <f t="shared" si="18"/>
        <v>12026.766124711201</v>
      </c>
      <c r="T274" t="str">
        <f t="shared" si="19"/>
        <v xml:space="preserve">'EOS', </v>
      </c>
      <c r="AJ274" s="27" t="s">
        <v>88</v>
      </c>
      <c r="AK274" s="45">
        <v>0.10014646000000001</v>
      </c>
      <c r="AL274">
        <v>5.6780306475704014</v>
      </c>
      <c r="AN274" t="s">
        <v>115</v>
      </c>
      <c r="AO274" t="s">
        <v>392</v>
      </c>
      <c r="AP274">
        <v>1214222.2371159999</v>
      </c>
    </row>
    <row r="275" spans="1:42" x14ac:dyDescent="0.25">
      <c r="A275">
        <v>273</v>
      </c>
      <c r="B275" t="s">
        <v>170</v>
      </c>
      <c r="C275" s="1">
        <v>3.4037359</v>
      </c>
      <c r="E275" t="s">
        <v>275</v>
      </c>
      <c r="F275" t="s">
        <v>833</v>
      </c>
      <c r="G275" s="22">
        <v>20221214</v>
      </c>
      <c r="H275" s="61">
        <v>44909.916983020834</v>
      </c>
      <c r="I275">
        <v>12.050968374856501</v>
      </c>
      <c r="K275" s="21" t="s">
        <v>982</v>
      </c>
      <c r="L275" s="21" t="s">
        <v>978</v>
      </c>
      <c r="M275" s="21" t="s">
        <v>88</v>
      </c>
      <c r="N275" s="21" t="s">
        <v>170</v>
      </c>
      <c r="P275" t="str">
        <f t="shared" si="16"/>
        <v>ETHW</v>
      </c>
      <c r="Q275">
        <f t="shared" si="17"/>
        <v>3.540512169248061</v>
      </c>
      <c r="R275">
        <v>8.09E-2</v>
      </c>
      <c r="S275">
        <f t="shared" si="18"/>
        <v>0.27536223431000001</v>
      </c>
      <c r="T275" t="str">
        <f t="shared" si="19"/>
        <v xml:space="preserve">'ETHW', </v>
      </c>
      <c r="AJ275" s="4" t="s">
        <v>87</v>
      </c>
      <c r="AK275" s="45">
        <v>6.0617099999999997E-3</v>
      </c>
      <c r="AL275">
        <v>2.0011340522687014E-3</v>
      </c>
      <c r="AN275" t="s">
        <v>115</v>
      </c>
      <c r="AO275" t="s">
        <v>393</v>
      </c>
      <c r="AP275">
        <v>4741392995.3522301</v>
      </c>
    </row>
    <row r="276" spans="1:42" x14ac:dyDescent="0.25">
      <c r="A276">
        <v>274</v>
      </c>
      <c r="B276" t="s">
        <v>170</v>
      </c>
      <c r="C276" s="1">
        <v>9.1421368100000002</v>
      </c>
      <c r="E276" t="s">
        <v>25</v>
      </c>
      <c r="F276" t="s">
        <v>833</v>
      </c>
      <c r="G276" s="22">
        <v>20221214</v>
      </c>
      <c r="H276" s="61">
        <v>44909.916983020834</v>
      </c>
      <c r="I276">
        <v>690.01067130587103</v>
      </c>
      <c r="K276" s="21" t="s">
        <v>983</v>
      </c>
      <c r="L276" s="21" t="s">
        <v>978</v>
      </c>
      <c r="M276" s="21" t="s">
        <v>88</v>
      </c>
      <c r="N276" s="21" t="s">
        <v>170</v>
      </c>
      <c r="P276" t="str">
        <f t="shared" si="16"/>
        <v>LTC</v>
      </c>
      <c r="Q276">
        <f t="shared" si="17"/>
        <v>75.47586364613494</v>
      </c>
      <c r="R276">
        <v>0.99940190110900451</v>
      </c>
      <c r="S276">
        <f t="shared" si="18"/>
        <v>9.1366689081126093</v>
      </c>
      <c r="T276" t="str">
        <f t="shared" si="19"/>
        <v xml:space="preserve">'LTC', </v>
      </c>
      <c r="AJ276" s="27" t="s">
        <v>88</v>
      </c>
      <c r="AK276" s="45">
        <v>6.0617099999999997E-3</v>
      </c>
      <c r="AL276">
        <v>2.0011340522687014E-3</v>
      </c>
      <c r="AN276" t="s">
        <v>115</v>
      </c>
      <c r="AO276" t="s">
        <v>394</v>
      </c>
      <c r="AP276">
        <v>0.14106867000000001</v>
      </c>
    </row>
    <row r="277" spans="1:42" x14ac:dyDescent="0.25">
      <c r="A277">
        <v>275</v>
      </c>
      <c r="B277" t="s">
        <v>170</v>
      </c>
      <c r="C277" s="1">
        <v>608071.39262864005</v>
      </c>
      <c r="E277" t="s">
        <v>92</v>
      </c>
      <c r="F277" t="s">
        <v>833</v>
      </c>
      <c r="G277" s="22">
        <v>20221214</v>
      </c>
      <c r="H277" s="61">
        <v>44909.916983020834</v>
      </c>
      <c r="I277">
        <v>49361.9412963758</v>
      </c>
      <c r="K277" s="21" t="s">
        <v>984</v>
      </c>
      <c r="L277" s="21" t="s">
        <v>978</v>
      </c>
      <c r="M277" s="21" t="s">
        <v>88</v>
      </c>
      <c r="N277" s="21" t="s">
        <v>170</v>
      </c>
      <c r="P277" t="str">
        <f t="shared" si="16"/>
        <v>OXT</v>
      </c>
      <c r="Q277">
        <f t="shared" si="17"/>
        <v>8.1177871372945853E-2</v>
      </c>
      <c r="R277">
        <v>0.99940190110900462</v>
      </c>
      <c r="S277">
        <f t="shared" si="18"/>
        <v>607707.70580306288</v>
      </c>
      <c r="T277" t="str">
        <f t="shared" si="19"/>
        <v xml:space="preserve">'OXT', </v>
      </c>
      <c r="AJ277" s="4" t="s">
        <v>125</v>
      </c>
      <c r="AK277" s="45">
        <v>3587.9402382600001</v>
      </c>
      <c r="AL277">
        <v>940.67373421006187</v>
      </c>
      <c r="AN277" t="s">
        <v>115</v>
      </c>
      <c r="AO277" t="s">
        <v>395</v>
      </c>
      <c r="AP277">
        <v>38753.774400000002</v>
      </c>
    </row>
    <row r="278" spans="1:42" x14ac:dyDescent="0.25">
      <c r="A278">
        <v>276</v>
      </c>
      <c r="B278" t="s">
        <v>170</v>
      </c>
      <c r="C278" s="1">
        <v>0.10834547999999999</v>
      </c>
      <c r="E278" t="s">
        <v>101</v>
      </c>
      <c r="F278" t="s">
        <v>833</v>
      </c>
      <c r="G278" s="22">
        <v>20221214</v>
      </c>
      <c r="H278" s="61">
        <v>44909.916982870367</v>
      </c>
      <c r="I278">
        <v>1.2892752320166499E-3</v>
      </c>
      <c r="K278" s="21" t="s">
        <v>985</v>
      </c>
      <c r="L278" s="21" t="s">
        <v>978</v>
      </c>
      <c r="M278" s="21" t="s">
        <v>88</v>
      </c>
      <c r="N278" s="21" t="s">
        <v>170</v>
      </c>
      <c r="P278" t="str">
        <f t="shared" si="16"/>
        <v>SGB</v>
      </c>
      <c r="Q278">
        <f t="shared" si="17"/>
        <v>1.1899667914311239E-2</v>
      </c>
      <c r="R278">
        <v>0.38471588000000001</v>
      </c>
      <c r="S278">
        <f t="shared" si="18"/>
        <v>4.1682226682222399E-2</v>
      </c>
      <c r="T278" t="str">
        <f t="shared" si="19"/>
        <v xml:space="preserve">'SGB', </v>
      </c>
      <c r="AJ278" s="27" t="s">
        <v>88</v>
      </c>
      <c r="AK278" s="45">
        <v>3587.9402382600001</v>
      </c>
      <c r="AL278">
        <v>940.67373421006187</v>
      </c>
      <c r="AN278" t="s">
        <v>115</v>
      </c>
      <c r="AO278" t="s">
        <v>396</v>
      </c>
      <c r="AP278">
        <v>29.76350429</v>
      </c>
    </row>
    <row r="279" spans="1:42" x14ac:dyDescent="0.25">
      <c r="A279">
        <v>277</v>
      </c>
      <c r="B279" t="s">
        <v>170</v>
      </c>
      <c r="C279" s="1">
        <v>134422.20680000001</v>
      </c>
      <c r="E279" t="s">
        <v>98</v>
      </c>
      <c r="F279" t="s">
        <v>833</v>
      </c>
      <c r="G279" s="22">
        <v>20221214</v>
      </c>
      <c r="H279" s="61">
        <v>44909.916983020834</v>
      </c>
      <c r="I279">
        <v>134422.20680000001</v>
      </c>
      <c r="K279" s="21" t="s">
        <v>986</v>
      </c>
      <c r="L279" s="21" t="s">
        <v>978</v>
      </c>
      <c r="M279" s="21" t="s">
        <v>88</v>
      </c>
      <c r="N279" s="21" t="s">
        <v>170</v>
      </c>
      <c r="P279" t="str">
        <f t="shared" si="16"/>
        <v>USD</v>
      </c>
      <c r="Q279">
        <f t="shared" si="17"/>
        <v>1</v>
      </c>
      <c r="R279">
        <v>2.1343125000000001E-2</v>
      </c>
      <c r="S279">
        <f t="shared" si="18"/>
        <v>2868.9899625082503</v>
      </c>
      <c r="T279" t="str">
        <f t="shared" si="19"/>
        <v xml:space="preserve">'USD', </v>
      </c>
      <c r="AJ279" s="4" t="s">
        <v>126</v>
      </c>
      <c r="AK279" s="45">
        <v>0.53247394999999997</v>
      </c>
      <c r="AL279">
        <v>1.392465312391543E-2</v>
      </c>
      <c r="AN279" t="s">
        <v>115</v>
      </c>
      <c r="AO279" t="s">
        <v>397</v>
      </c>
      <c r="AP279">
        <v>5976030.9888418298</v>
      </c>
    </row>
    <row r="280" spans="1:42" x14ac:dyDescent="0.25">
      <c r="A280">
        <v>278</v>
      </c>
      <c r="B280" t="s">
        <v>170</v>
      </c>
      <c r="C280" s="1">
        <v>1.182861E-2</v>
      </c>
      <c r="E280" t="s">
        <v>39</v>
      </c>
      <c r="F280" t="s">
        <v>833</v>
      </c>
      <c r="G280" s="22">
        <v>20221214</v>
      </c>
      <c r="H280" s="61">
        <v>44909.91698321759</v>
      </c>
      <c r="I280">
        <v>1.1829856857618899E-2</v>
      </c>
      <c r="K280" s="21" t="s">
        <v>987</v>
      </c>
      <c r="L280" s="21" t="s">
        <v>978</v>
      </c>
      <c r="M280" s="21" t="s">
        <v>88</v>
      </c>
      <c r="N280" s="21" t="s">
        <v>170</v>
      </c>
      <c r="P280" t="str">
        <f t="shared" si="16"/>
        <v>USDT</v>
      </c>
      <c r="Q280">
        <f t="shared" si="17"/>
        <v>1.000105410324535</v>
      </c>
      <c r="R280">
        <v>103.98</v>
      </c>
      <c r="S280">
        <f t="shared" si="18"/>
        <v>1.2299388678000001</v>
      </c>
      <c r="T280" t="str">
        <f t="shared" si="19"/>
        <v xml:space="preserve">'USDT', </v>
      </c>
      <c r="AJ280" s="27" t="s">
        <v>88</v>
      </c>
      <c r="AK280" s="45">
        <v>0.53247394999999997</v>
      </c>
      <c r="AL280">
        <v>1.392465312391543E-2</v>
      </c>
      <c r="AN280" t="s">
        <v>115</v>
      </c>
      <c r="AO280" t="s">
        <v>397</v>
      </c>
      <c r="AP280">
        <v>13696462.7211191</v>
      </c>
    </row>
    <row r="281" spans="1:42" x14ac:dyDescent="0.25">
      <c r="A281">
        <v>279</v>
      </c>
      <c r="B281" t="s">
        <v>170</v>
      </c>
      <c r="C281" s="1">
        <v>8.93329E-3</v>
      </c>
      <c r="E281" t="s">
        <v>166</v>
      </c>
      <c r="F281" t="s">
        <v>833</v>
      </c>
      <c r="G281" s="22">
        <v>20221214</v>
      </c>
      <c r="H281" s="61">
        <v>44909.91698321759</v>
      </c>
      <c r="I281">
        <v>7.4158625329039595E-4</v>
      </c>
      <c r="K281" s="21" t="s">
        <v>988</v>
      </c>
      <c r="L281" s="21" t="s">
        <v>978</v>
      </c>
      <c r="M281" s="21" t="s">
        <v>88</v>
      </c>
      <c r="N281" s="21" t="s">
        <v>170</v>
      </c>
      <c r="P281" t="str">
        <f t="shared" si="16"/>
        <v>XLM</v>
      </c>
      <c r="Q281">
        <f t="shared" si="17"/>
        <v>8.3013789241186159E-2</v>
      </c>
      <c r="R281">
        <v>39.841106000000003</v>
      </c>
      <c r="S281">
        <f t="shared" si="18"/>
        <v>0.35591215381874003</v>
      </c>
      <c r="T281" t="str">
        <f t="shared" si="19"/>
        <v xml:space="preserve">'XLM', </v>
      </c>
      <c r="AJ281" s="4" t="s">
        <v>36</v>
      </c>
      <c r="AK281" s="45">
        <v>5.2478028200000004</v>
      </c>
      <c r="AL281">
        <v>53.404257610413431</v>
      </c>
      <c r="AN281" t="s">
        <v>115</v>
      </c>
      <c r="AO281" t="s">
        <v>398</v>
      </c>
      <c r="AP281">
        <v>6.3152970000000003E-2</v>
      </c>
    </row>
    <row r="282" spans="1:42" x14ac:dyDescent="0.25">
      <c r="A282">
        <v>280</v>
      </c>
      <c r="B282" t="s">
        <v>170</v>
      </c>
      <c r="C282" s="1">
        <v>0.71704489000000005</v>
      </c>
      <c r="E282" t="s">
        <v>102</v>
      </c>
      <c r="F282" t="s">
        <v>833</v>
      </c>
      <c r="G282" s="22">
        <v>20221214</v>
      </c>
      <c r="H282" s="61">
        <v>44909.91698321759</v>
      </c>
      <c r="I282">
        <v>0.27707598175909598</v>
      </c>
      <c r="K282" s="21" t="s">
        <v>989</v>
      </c>
      <c r="L282" s="21" t="s">
        <v>978</v>
      </c>
      <c r="M282" s="21" t="s">
        <v>88</v>
      </c>
      <c r="N282" s="21" t="s">
        <v>170</v>
      </c>
      <c r="P282" t="str">
        <f t="shared" si="16"/>
        <v>XRP</v>
      </c>
      <c r="Q282">
        <f t="shared" si="17"/>
        <v>0.3864137177786679</v>
      </c>
      <c r="R282">
        <v>5.6989999999999998</v>
      </c>
      <c r="S282">
        <f t="shared" si="18"/>
        <v>4.0864388281100004</v>
      </c>
      <c r="T282" t="str">
        <f t="shared" si="19"/>
        <v xml:space="preserve">'XRP', </v>
      </c>
      <c r="AJ282" s="27" t="s">
        <v>88</v>
      </c>
      <c r="AK282" s="45">
        <v>5.2478028200000004</v>
      </c>
      <c r="AL282">
        <v>53.404257610413431</v>
      </c>
      <c r="AN282" t="s">
        <v>115</v>
      </c>
      <c r="AO282" t="s">
        <v>399</v>
      </c>
      <c r="AP282">
        <v>20</v>
      </c>
    </row>
    <row r="283" spans="1:42" x14ac:dyDescent="0.25">
      <c r="A283">
        <v>281</v>
      </c>
      <c r="B283" t="s">
        <v>171</v>
      </c>
      <c r="C283" s="1">
        <v>5377</v>
      </c>
      <c r="E283" t="s">
        <v>21</v>
      </c>
      <c r="F283" t="s">
        <v>990</v>
      </c>
      <c r="G283" s="22">
        <v>20221214</v>
      </c>
      <c r="H283" s="61">
        <v>44909</v>
      </c>
      <c r="I283">
        <v>586676.38273967302</v>
      </c>
      <c r="K283" s="21" t="s">
        <v>991</v>
      </c>
      <c r="L283" s="21" t="s">
        <v>992</v>
      </c>
      <c r="M283" s="21" t="s">
        <v>172</v>
      </c>
      <c r="N283" s="21" t="s">
        <v>173</v>
      </c>
      <c r="P283" t="str">
        <f t="shared" si="16"/>
        <v>BCH</v>
      </c>
      <c r="Q283">
        <f t="shared" si="17"/>
        <v>109.1084959530729</v>
      </c>
      <c r="R283">
        <v>3.7800280517057803</v>
      </c>
      <c r="S283">
        <f t="shared" si="18"/>
        <v>20325.210834021982</v>
      </c>
      <c r="T283" t="str">
        <f t="shared" si="19"/>
        <v xml:space="preserve">'BCH', </v>
      </c>
      <c r="AJ283" s="4" t="s">
        <v>190</v>
      </c>
      <c r="AK283" s="45">
        <v>1.5389969999999999E-2</v>
      </c>
      <c r="AL283">
        <v>0.2008702006357288</v>
      </c>
      <c r="AN283" t="s">
        <v>115</v>
      </c>
      <c r="AO283" t="s">
        <v>400</v>
      </c>
      <c r="AP283">
        <v>4.7890616599999998</v>
      </c>
    </row>
    <row r="284" spans="1:42" x14ac:dyDescent="0.25">
      <c r="A284">
        <v>282</v>
      </c>
      <c r="B284" t="s">
        <v>171</v>
      </c>
      <c r="C284" s="1">
        <v>5000</v>
      </c>
      <c r="E284" t="s">
        <v>32</v>
      </c>
      <c r="F284" t="s">
        <v>990</v>
      </c>
      <c r="G284" s="22">
        <v>20221214</v>
      </c>
      <c r="H284" s="61">
        <v>44909</v>
      </c>
      <c r="I284">
        <v>196766.195646665</v>
      </c>
      <c r="K284" s="21" t="s">
        <v>993</v>
      </c>
      <c r="L284" s="21" t="s">
        <v>992</v>
      </c>
      <c r="M284" s="21" t="s">
        <v>172</v>
      </c>
      <c r="N284" s="21" t="s">
        <v>173</v>
      </c>
      <c r="P284" t="str">
        <f t="shared" si="16"/>
        <v>COMP</v>
      </c>
      <c r="Q284">
        <f t="shared" si="17"/>
        <v>39.353239129332998</v>
      </c>
      <c r="R284">
        <v>6.2919999999999998</v>
      </c>
      <c r="S284">
        <f t="shared" si="18"/>
        <v>31460</v>
      </c>
      <c r="T284" t="str">
        <f t="shared" si="19"/>
        <v xml:space="preserve">'COMP', </v>
      </c>
      <c r="AJ284" s="27" t="s">
        <v>88</v>
      </c>
      <c r="AK284" s="45">
        <v>1.5389969999999999E-2</v>
      </c>
      <c r="AL284">
        <v>0.2008702006357288</v>
      </c>
      <c r="AN284" t="s">
        <v>115</v>
      </c>
      <c r="AO284" t="s">
        <v>334</v>
      </c>
      <c r="AP284">
        <v>-79762265.626461402</v>
      </c>
    </row>
    <row r="285" spans="1:42" x14ac:dyDescent="0.25">
      <c r="A285">
        <v>283</v>
      </c>
      <c r="B285" t="s">
        <v>171</v>
      </c>
      <c r="C285" s="1">
        <v>98000</v>
      </c>
      <c r="E285" t="s">
        <v>30</v>
      </c>
      <c r="F285" t="s">
        <v>990</v>
      </c>
      <c r="G285" s="22">
        <v>20221214</v>
      </c>
      <c r="H285" s="61">
        <v>44909</v>
      </c>
      <c r="I285">
        <v>1841193.34838488</v>
      </c>
      <c r="K285" s="21" t="s">
        <v>994</v>
      </c>
      <c r="L285" s="21" t="s">
        <v>992</v>
      </c>
      <c r="M285" s="21" t="s">
        <v>172</v>
      </c>
      <c r="N285" s="21" t="s">
        <v>173</v>
      </c>
      <c r="P285" t="str">
        <f t="shared" si="16"/>
        <v>ETC</v>
      </c>
      <c r="Q285">
        <f t="shared" si="17"/>
        <v>18.787687228417141</v>
      </c>
      <c r="R285">
        <v>62.35</v>
      </c>
      <c r="S285">
        <f t="shared" si="18"/>
        <v>6110300</v>
      </c>
      <c r="T285" t="str">
        <f t="shared" si="19"/>
        <v xml:space="preserve">'ETC', </v>
      </c>
      <c r="AJ285" s="4" t="s">
        <v>127</v>
      </c>
      <c r="AK285" s="45">
        <v>152.41521331999999</v>
      </c>
      <c r="AL285">
        <v>34.003794089884757</v>
      </c>
      <c r="AN285" t="s">
        <v>115</v>
      </c>
      <c r="AO285" t="s">
        <v>401</v>
      </c>
      <c r="AP285">
        <v>4512595.36556256</v>
      </c>
    </row>
    <row r="286" spans="1:42" x14ac:dyDescent="0.25">
      <c r="A286">
        <v>284</v>
      </c>
      <c r="B286" t="s">
        <v>171</v>
      </c>
      <c r="C286" s="1">
        <v>187000000000</v>
      </c>
      <c r="E286" t="s">
        <v>38</v>
      </c>
      <c r="F286" t="s">
        <v>990</v>
      </c>
      <c r="G286" s="22">
        <v>20221214</v>
      </c>
      <c r="H286" s="61">
        <v>44909</v>
      </c>
      <c r="I286">
        <v>1677905.40389439</v>
      </c>
      <c r="K286" s="21" t="s">
        <v>995</v>
      </c>
      <c r="L286" s="21" t="s">
        <v>992</v>
      </c>
      <c r="M286" s="21" t="s">
        <v>172</v>
      </c>
      <c r="N286" s="21" t="s">
        <v>173</v>
      </c>
      <c r="P286" t="str">
        <f t="shared" si="16"/>
        <v>SHIB</v>
      </c>
      <c r="Q286">
        <f t="shared" si="17"/>
        <v>8.9727561705582353E-6</v>
      </c>
      <c r="R286">
        <v>9.1027119999999996E-6</v>
      </c>
      <c r="S286">
        <f t="shared" si="18"/>
        <v>1702207.1439999999</v>
      </c>
      <c r="T286" t="str">
        <f t="shared" si="19"/>
        <v xml:space="preserve">'SHIB', </v>
      </c>
      <c r="AJ286" s="27" t="s">
        <v>88</v>
      </c>
      <c r="AK286" s="45">
        <v>152.41521331999999</v>
      </c>
      <c r="AL286">
        <v>34.003794089884757</v>
      </c>
      <c r="AN286" t="s">
        <v>115</v>
      </c>
      <c r="AO286" t="s">
        <v>402</v>
      </c>
      <c r="AP286">
        <v>0.34680431</v>
      </c>
    </row>
    <row r="287" spans="1:42" x14ac:dyDescent="0.25">
      <c r="A287">
        <v>285</v>
      </c>
      <c r="B287" t="s">
        <v>171</v>
      </c>
      <c r="C287" s="1">
        <v>4</v>
      </c>
      <c r="E287" t="s">
        <v>174</v>
      </c>
      <c r="F287" t="s">
        <v>990</v>
      </c>
      <c r="G287" s="22">
        <v>20221214</v>
      </c>
      <c r="H287" s="61">
        <v>44909</v>
      </c>
      <c r="I287">
        <v>25811.124612553798</v>
      </c>
      <c r="K287" s="21" t="s">
        <v>996</v>
      </c>
      <c r="L287" s="21" t="s">
        <v>992</v>
      </c>
      <c r="M287" s="21" t="s">
        <v>172</v>
      </c>
      <c r="N287" s="21" t="s">
        <v>173</v>
      </c>
      <c r="P287" t="str">
        <f t="shared" si="16"/>
        <v>YFI</v>
      </c>
      <c r="Q287">
        <f t="shared" si="17"/>
        <v>6452.7811531384496</v>
      </c>
      <c r="R287">
        <v>0.99940190110900451</v>
      </c>
      <c r="S287">
        <f t="shared" si="18"/>
        <v>3.997607604436018</v>
      </c>
      <c r="T287" t="str">
        <f t="shared" si="19"/>
        <v xml:space="preserve">'YFI', </v>
      </c>
      <c r="AJ287" s="4" t="s">
        <v>21</v>
      </c>
      <c r="AK287" s="45">
        <v>-2719.7565568099999</v>
      </c>
      <c r="AL287">
        <v>-271014.24235943722</v>
      </c>
      <c r="AN287" t="s">
        <v>115</v>
      </c>
      <c r="AO287" t="s">
        <v>403</v>
      </c>
      <c r="AP287">
        <v>20621131.491479099</v>
      </c>
    </row>
    <row r="288" spans="1:42" x14ac:dyDescent="0.25">
      <c r="A288">
        <v>286</v>
      </c>
      <c r="B288" t="s">
        <v>175</v>
      </c>
      <c r="C288" s="1">
        <v>5.0000000000000001E-4</v>
      </c>
      <c r="E288" t="s">
        <v>16</v>
      </c>
      <c r="F288" t="s">
        <v>833</v>
      </c>
      <c r="G288" s="22">
        <v>20221214</v>
      </c>
      <c r="H288" s="61">
        <v>44909.000005706017</v>
      </c>
      <c r="I288">
        <v>0.65466433846648098</v>
      </c>
      <c r="K288" s="21" t="s">
        <v>997</v>
      </c>
      <c r="L288" s="21" t="s">
        <v>998</v>
      </c>
      <c r="M288" s="21" t="s">
        <v>88</v>
      </c>
      <c r="N288" s="21" t="s">
        <v>175</v>
      </c>
      <c r="P288" t="str">
        <f t="shared" si="16"/>
        <v>ETH</v>
      </c>
      <c r="Q288">
        <f t="shared" si="17"/>
        <v>1309.328676932962</v>
      </c>
      <c r="R288">
        <v>2.8637358E-5</v>
      </c>
      <c r="S288">
        <f t="shared" si="18"/>
        <v>1.4318679000000001E-8</v>
      </c>
      <c r="T288" t="str">
        <f t="shared" si="19"/>
        <v xml:space="preserve">'ETH', </v>
      </c>
      <c r="AJ288" s="27" t="s">
        <v>88</v>
      </c>
      <c r="AK288" s="45">
        <v>2309.61344319</v>
      </c>
      <c r="AL288">
        <v>230144.91347838542</v>
      </c>
      <c r="AN288" t="s">
        <v>115</v>
      </c>
      <c r="AO288" t="s">
        <v>403</v>
      </c>
      <c r="AP288">
        <v>8853108.5269754808</v>
      </c>
    </row>
    <row r="289" spans="1:42" x14ac:dyDescent="0.25">
      <c r="A289">
        <v>287</v>
      </c>
      <c r="B289" t="s">
        <v>175</v>
      </c>
      <c r="C289" s="1">
        <v>2.63E-3</v>
      </c>
      <c r="E289" t="s">
        <v>98</v>
      </c>
      <c r="F289" t="s">
        <v>833</v>
      </c>
      <c r="G289" s="22">
        <v>20221214</v>
      </c>
      <c r="H289" s="61">
        <v>44909.000005706017</v>
      </c>
      <c r="I289">
        <v>2.63E-3</v>
      </c>
      <c r="K289" s="21" t="s">
        <v>999</v>
      </c>
      <c r="L289" s="21" t="s">
        <v>998</v>
      </c>
      <c r="M289" s="21" t="s">
        <v>88</v>
      </c>
      <c r="N289" s="21" t="s">
        <v>175</v>
      </c>
      <c r="P289" t="str">
        <f t="shared" si="16"/>
        <v>USD</v>
      </c>
      <c r="Q289">
        <f t="shared" si="17"/>
        <v>1</v>
      </c>
      <c r="R289">
        <v>0.38471588000000001</v>
      </c>
      <c r="S289">
        <f t="shared" si="18"/>
        <v>1.0118027643999999E-3</v>
      </c>
      <c r="T289" t="str">
        <f t="shared" si="19"/>
        <v xml:space="preserve">'USD', </v>
      </c>
      <c r="AJ289" s="27" t="s">
        <v>198</v>
      </c>
      <c r="AK289" s="45">
        <v>-5029.37</v>
      </c>
      <c r="AL289">
        <v>-501159.15583782265</v>
      </c>
      <c r="AN289" t="s">
        <v>115</v>
      </c>
      <c r="AO289" t="s">
        <v>403</v>
      </c>
      <c r="AP289">
        <v>33167.9</v>
      </c>
    </row>
    <row r="290" spans="1:42" x14ac:dyDescent="0.25">
      <c r="A290">
        <v>288</v>
      </c>
      <c r="B290" t="s">
        <v>176</v>
      </c>
      <c r="C290" s="1">
        <v>10137.885630000001</v>
      </c>
      <c r="E290" t="s">
        <v>98</v>
      </c>
      <c r="F290" t="s">
        <v>833</v>
      </c>
      <c r="G290" s="22">
        <v>20221214</v>
      </c>
      <c r="H290" s="61">
        <v>44909.000005706017</v>
      </c>
      <c r="I290">
        <v>10137.885630000001</v>
      </c>
      <c r="K290" s="21" t="s">
        <v>1000</v>
      </c>
      <c r="L290" s="21" t="s">
        <v>1001</v>
      </c>
      <c r="M290" s="21" t="s">
        <v>88</v>
      </c>
      <c r="N290" s="21" t="s">
        <v>176</v>
      </c>
      <c r="P290" t="str">
        <f t="shared" si="16"/>
        <v>USD</v>
      </c>
      <c r="Q290">
        <f t="shared" si="17"/>
        <v>1</v>
      </c>
      <c r="R290">
        <v>1208.73</v>
      </c>
      <c r="S290">
        <f t="shared" si="18"/>
        <v>12253966.497549901</v>
      </c>
      <c r="T290" t="str">
        <f t="shared" si="19"/>
        <v xml:space="preserve">'USD', </v>
      </c>
      <c r="AJ290" s="4" t="s">
        <v>128</v>
      </c>
      <c r="AK290" s="45">
        <v>2.5033500000000001E-3</v>
      </c>
      <c r="AL290">
        <v>2.2277765296032829E-4</v>
      </c>
      <c r="AN290" t="s">
        <v>115</v>
      </c>
      <c r="AO290" t="s">
        <v>403</v>
      </c>
      <c r="AP290" s="29">
        <v>1E-8</v>
      </c>
    </row>
    <row r="291" spans="1:42" x14ac:dyDescent="0.25">
      <c r="A291">
        <v>289</v>
      </c>
      <c r="B291" t="s">
        <v>50</v>
      </c>
      <c r="C291" s="1">
        <v>8.9691284600000003</v>
      </c>
      <c r="D291" t="s">
        <v>75</v>
      </c>
      <c r="E291" t="s">
        <v>15</v>
      </c>
      <c r="F291" t="s">
        <v>1002</v>
      </c>
      <c r="G291" s="22">
        <v>20221214</v>
      </c>
      <c r="H291" s="61">
        <v>44910.000001076391</v>
      </c>
      <c r="I291">
        <v>159790.85214474401</v>
      </c>
      <c r="K291" s="21" t="s">
        <v>1003</v>
      </c>
      <c r="L291" s="21" t="s">
        <v>1004</v>
      </c>
      <c r="M291" s="21" t="s">
        <v>88</v>
      </c>
      <c r="N291" s="21" t="s">
        <v>46</v>
      </c>
      <c r="P291" t="str">
        <f t="shared" si="16"/>
        <v>BTC</v>
      </c>
      <c r="Q291">
        <f t="shared" si="17"/>
        <v>17815.649854650874</v>
      </c>
      <c r="R291">
        <v>1.0364599999999999</v>
      </c>
      <c r="S291">
        <f t="shared" si="18"/>
        <v>9.2961428836515996</v>
      </c>
      <c r="T291" t="str">
        <f t="shared" si="19"/>
        <v xml:space="preserve">'BTC', </v>
      </c>
      <c r="AJ291" s="27" t="s">
        <v>88</v>
      </c>
      <c r="AK291" s="45">
        <v>2.5033500000000001E-3</v>
      </c>
      <c r="AL291">
        <v>2.2277765296032829E-4</v>
      </c>
      <c r="AN291" t="s">
        <v>115</v>
      </c>
      <c r="AO291" t="s">
        <v>403</v>
      </c>
      <c r="AP291">
        <v>817354.02785735996</v>
      </c>
    </row>
    <row r="292" spans="1:42" x14ac:dyDescent="0.25">
      <c r="A292">
        <v>290</v>
      </c>
      <c r="B292" t="s">
        <v>50</v>
      </c>
      <c r="C292" s="1">
        <v>0.25889719999999999</v>
      </c>
      <c r="D292" t="s">
        <v>93</v>
      </c>
      <c r="E292" t="s">
        <v>15</v>
      </c>
      <c r="F292" t="s">
        <v>1002</v>
      </c>
      <c r="G292" s="22">
        <v>20221214</v>
      </c>
      <c r="H292" s="61">
        <v>44910.000001076391</v>
      </c>
      <c r="I292">
        <v>4612.4218635495199</v>
      </c>
      <c r="K292" s="21" t="s">
        <v>1003</v>
      </c>
      <c r="L292" s="21" t="s">
        <v>1004</v>
      </c>
      <c r="M292" s="21" t="s">
        <v>88</v>
      </c>
      <c r="N292" s="21" t="s">
        <v>46</v>
      </c>
      <c r="P292" t="str">
        <f t="shared" si="16"/>
        <v>BTC</v>
      </c>
      <c r="Q292">
        <f t="shared" si="17"/>
        <v>17815.649854650881</v>
      </c>
      <c r="R292">
        <v>1.1863900000000001</v>
      </c>
      <c r="S292">
        <f t="shared" si="18"/>
        <v>0.30715304910800001</v>
      </c>
      <c r="T292" t="str">
        <f t="shared" si="19"/>
        <v xml:space="preserve">'BTC', </v>
      </c>
      <c r="AJ292" s="4" t="s">
        <v>129</v>
      </c>
      <c r="AK292" s="45">
        <v>115.29838952</v>
      </c>
      <c r="AL292">
        <v>6.5585114194220004</v>
      </c>
      <c r="AN292" t="s">
        <v>115</v>
      </c>
      <c r="AO292" t="s">
        <v>403</v>
      </c>
      <c r="AP292">
        <v>33123.9</v>
      </c>
    </row>
    <row r="293" spans="1:42" x14ac:dyDescent="0.25">
      <c r="A293">
        <v>291</v>
      </c>
      <c r="B293" t="s">
        <v>50</v>
      </c>
      <c r="C293" s="1">
        <v>20.316267499999999</v>
      </c>
      <c r="D293" t="s">
        <v>75</v>
      </c>
      <c r="E293" t="s">
        <v>16</v>
      </c>
      <c r="F293" t="s">
        <v>1002</v>
      </c>
      <c r="G293" s="22">
        <v>20221214</v>
      </c>
      <c r="H293" s="61">
        <v>44910.000001076391</v>
      </c>
      <c r="I293">
        <v>26600.6716459911</v>
      </c>
      <c r="K293" s="21" t="s">
        <v>1005</v>
      </c>
      <c r="L293" s="21" t="s">
        <v>1004</v>
      </c>
      <c r="M293" s="21" t="s">
        <v>88</v>
      </c>
      <c r="N293" s="21" t="s">
        <v>46</v>
      </c>
      <c r="P293" t="str">
        <f t="shared" si="16"/>
        <v>ETH</v>
      </c>
      <c r="Q293">
        <f t="shared" si="17"/>
        <v>1309.3286769329604</v>
      </c>
      <c r="R293">
        <v>5.3040348599083235E-2</v>
      </c>
      <c r="S293">
        <f t="shared" si="18"/>
        <v>1.0775819104322253</v>
      </c>
      <c r="T293" t="str">
        <f t="shared" si="19"/>
        <v xml:space="preserve">'ETH', </v>
      </c>
      <c r="AJ293" s="27" t="s">
        <v>88</v>
      </c>
      <c r="AK293" s="45">
        <v>115.29838952</v>
      </c>
      <c r="AL293">
        <v>6.5585114194220004</v>
      </c>
      <c r="AN293" t="s">
        <v>115</v>
      </c>
      <c r="AO293" t="s">
        <v>403</v>
      </c>
      <c r="AP293">
        <v>6.2163969999999999E-2</v>
      </c>
    </row>
    <row r="294" spans="1:42" x14ac:dyDescent="0.25">
      <c r="A294">
        <v>292</v>
      </c>
      <c r="B294" t="s">
        <v>50</v>
      </c>
      <c r="C294" s="1">
        <v>-0.27192326</v>
      </c>
      <c r="D294" t="s">
        <v>93</v>
      </c>
      <c r="E294" t="s">
        <v>16</v>
      </c>
      <c r="F294" t="s">
        <v>1002</v>
      </c>
      <c r="G294" s="22">
        <v>20221214</v>
      </c>
      <c r="H294" s="61">
        <v>44910.000001076391</v>
      </c>
      <c r="I294">
        <v>-356.03692224309702</v>
      </c>
      <c r="K294" s="21" t="s">
        <v>1005</v>
      </c>
      <c r="L294" s="21" t="s">
        <v>1004</v>
      </c>
      <c r="M294" s="21" t="s">
        <v>88</v>
      </c>
      <c r="N294" s="21" t="s">
        <v>46</v>
      </c>
      <c r="P294" t="str">
        <f t="shared" si="16"/>
        <v>ETH</v>
      </c>
      <c r="Q294">
        <f t="shared" si="17"/>
        <v>1309.3286769329591</v>
      </c>
      <c r="R294">
        <v>1</v>
      </c>
      <c r="S294">
        <f t="shared" si="18"/>
        <v>-0.27192326</v>
      </c>
      <c r="T294" t="str">
        <f t="shared" si="19"/>
        <v xml:space="preserve">'ETH', </v>
      </c>
      <c r="AJ294" s="4" t="s">
        <v>130</v>
      </c>
      <c r="AK294" s="45">
        <v>14.7502</v>
      </c>
      <c r="AL294">
        <v>2.9590711223279542</v>
      </c>
      <c r="AN294" t="s">
        <v>115</v>
      </c>
      <c r="AO294" t="s">
        <v>403</v>
      </c>
      <c r="AP294">
        <v>8853064.5269754808</v>
      </c>
    </row>
    <row r="295" spans="1:42" x14ac:dyDescent="0.25">
      <c r="A295">
        <v>293</v>
      </c>
      <c r="B295" t="s">
        <v>50</v>
      </c>
      <c r="C295" s="1">
        <v>0.44933625999999999</v>
      </c>
      <c r="D295" t="s">
        <v>75</v>
      </c>
      <c r="E295" t="s">
        <v>102</v>
      </c>
      <c r="F295" t="s">
        <v>1002</v>
      </c>
      <c r="G295" s="22">
        <v>20221214</v>
      </c>
      <c r="H295" s="61">
        <v>44910.000001076391</v>
      </c>
      <c r="I295">
        <v>0.17362969475936199</v>
      </c>
      <c r="K295" s="21" t="s">
        <v>1006</v>
      </c>
      <c r="L295" s="21" t="s">
        <v>1004</v>
      </c>
      <c r="M295" s="21" t="s">
        <v>88</v>
      </c>
      <c r="N295" s="21" t="s">
        <v>46</v>
      </c>
      <c r="P295" t="str">
        <f t="shared" si="16"/>
        <v>XRP</v>
      </c>
      <c r="Q295">
        <f t="shared" si="17"/>
        <v>0.38641371777866756</v>
      </c>
      <c r="R295">
        <v>0.99940190110900451</v>
      </c>
      <c r="S295">
        <f t="shared" si="18"/>
        <v>0.44906751248120991</v>
      </c>
      <c r="T295" t="str">
        <f t="shared" si="19"/>
        <v xml:space="preserve">'XRP', </v>
      </c>
      <c r="AJ295" s="27" t="s">
        <v>88</v>
      </c>
      <c r="AK295" s="45">
        <v>14.7502</v>
      </c>
      <c r="AL295">
        <v>2.9590711223279542</v>
      </c>
      <c r="AN295" t="s">
        <v>115</v>
      </c>
      <c r="AO295" t="s">
        <v>403</v>
      </c>
      <c r="AP295">
        <v>12245.511049999999</v>
      </c>
    </row>
    <row r="296" spans="1:42" x14ac:dyDescent="0.25">
      <c r="A296">
        <v>294</v>
      </c>
      <c r="B296" t="s">
        <v>53</v>
      </c>
      <c r="C296" s="1">
        <v>5.0953451200000002</v>
      </c>
      <c r="D296" t="s">
        <v>75</v>
      </c>
      <c r="E296" t="s">
        <v>15</v>
      </c>
      <c r="F296" t="s">
        <v>1007</v>
      </c>
      <c r="G296" s="22">
        <v>20221214</v>
      </c>
      <c r="H296" s="61">
        <v>44910.000001192129</v>
      </c>
      <c r="I296">
        <v>90776.884546524205</v>
      </c>
      <c r="K296" s="21" t="s">
        <v>1003</v>
      </c>
      <c r="L296" s="21" t="s">
        <v>1004</v>
      </c>
      <c r="M296" s="21" t="s">
        <v>88</v>
      </c>
      <c r="N296" s="21" t="s">
        <v>46</v>
      </c>
      <c r="P296" t="str">
        <f t="shared" si="16"/>
        <v>BTC</v>
      </c>
      <c r="Q296">
        <f t="shared" si="17"/>
        <v>17815.649854650906</v>
      </c>
      <c r="R296">
        <v>9.0786800000000001E-2</v>
      </c>
      <c r="S296">
        <f t="shared" si="18"/>
        <v>0.46259007834041604</v>
      </c>
      <c r="T296" t="str">
        <f t="shared" si="19"/>
        <v xml:space="preserve">'BTC', </v>
      </c>
      <c r="AJ296" s="4" t="s">
        <v>116</v>
      </c>
      <c r="AK296" s="45">
        <v>84.770241400000486</v>
      </c>
      <c r="AL296">
        <v>3282.1908275582246</v>
      </c>
      <c r="AN296" t="s">
        <v>115</v>
      </c>
      <c r="AO296" t="s">
        <v>403</v>
      </c>
      <c r="AP296">
        <v>-1000000</v>
      </c>
    </row>
    <row r="297" spans="1:42" x14ac:dyDescent="0.25">
      <c r="A297">
        <v>295</v>
      </c>
      <c r="B297" t="s">
        <v>53</v>
      </c>
      <c r="C297" s="1">
        <v>7.7485E-4</v>
      </c>
      <c r="D297" t="s">
        <v>93</v>
      </c>
      <c r="E297" t="s">
        <v>15</v>
      </c>
      <c r="F297" t="s">
        <v>1007</v>
      </c>
      <c r="G297" s="22">
        <v>20221214</v>
      </c>
      <c r="H297" s="61">
        <v>44910.000001192129</v>
      </c>
      <c r="I297">
        <v>13.8044562898762</v>
      </c>
      <c r="K297" s="21" t="s">
        <v>1003</v>
      </c>
      <c r="L297" s="21" t="s">
        <v>1004</v>
      </c>
      <c r="M297" s="21" t="s">
        <v>88</v>
      </c>
      <c r="N297" s="21" t="s">
        <v>46</v>
      </c>
      <c r="P297" t="str">
        <f t="shared" si="16"/>
        <v>BTC</v>
      </c>
      <c r="Q297">
        <f t="shared" si="17"/>
        <v>17815.649854650834</v>
      </c>
      <c r="R297">
        <v>1.3863001368121896E-2</v>
      </c>
      <c r="S297">
        <f t="shared" si="18"/>
        <v>1.0741746610089251E-5</v>
      </c>
      <c r="T297" t="str">
        <f t="shared" si="19"/>
        <v xml:space="preserve">'BTC', </v>
      </c>
      <c r="AJ297" s="27" t="s">
        <v>88</v>
      </c>
      <c r="AK297" s="45">
        <v>4231.1402414000004</v>
      </c>
      <c r="AL297">
        <v>163824.1139942744</v>
      </c>
      <c r="AN297" t="s">
        <v>115</v>
      </c>
      <c r="AO297" t="s">
        <v>403</v>
      </c>
      <c r="AP297">
        <v>-50520.467648209997</v>
      </c>
    </row>
    <row r="298" spans="1:42" x14ac:dyDescent="0.25">
      <c r="A298">
        <v>296</v>
      </c>
      <c r="B298" t="s">
        <v>53</v>
      </c>
      <c r="C298" s="1">
        <v>10</v>
      </c>
      <c r="D298" t="s">
        <v>75</v>
      </c>
      <c r="E298" t="s">
        <v>16</v>
      </c>
      <c r="F298" t="s">
        <v>1007</v>
      </c>
      <c r="G298" s="22">
        <v>20221214</v>
      </c>
      <c r="H298" s="61">
        <v>44910.000001192129</v>
      </c>
      <c r="I298">
        <v>13093.286769329599</v>
      </c>
      <c r="K298" s="21" t="s">
        <v>1005</v>
      </c>
      <c r="L298" s="21" t="s">
        <v>1004</v>
      </c>
      <c r="M298" s="21" t="s">
        <v>88</v>
      </c>
      <c r="N298" s="21" t="s">
        <v>46</v>
      </c>
      <c r="P298" t="str">
        <f t="shared" si="16"/>
        <v>ETH</v>
      </c>
      <c r="Q298">
        <f t="shared" si="17"/>
        <v>1309.32867693296</v>
      </c>
      <c r="R298">
        <v>0.32653653999999999</v>
      </c>
      <c r="S298">
        <f t="shared" si="18"/>
        <v>3.2653653999999999</v>
      </c>
      <c r="T298" t="str">
        <f t="shared" si="19"/>
        <v xml:space="preserve">'ETH', </v>
      </c>
      <c r="AJ298" s="27" t="s">
        <v>198</v>
      </c>
      <c r="AK298" s="45">
        <v>-4146.37</v>
      </c>
      <c r="AL298">
        <v>-160541.92316671618</v>
      </c>
      <c r="AN298" t="s">
        <v>115</v>
      </c>
      <c r="AO298" t="s">
        <v>403</v>
      </c>
      <c r="AP298">
        <v>-9528648.0788313001</v>
      </c>
    </row>
    <row r="299" spans="1:42" x14ac:dyDescent="0.25">
      <c r="A299">
        <v>297</v>
      </c>
      <c r="B299" t="s">
        <v>53</v>
      </c>
      <c r="C299" s="1">
        <v>237486.28396321001</v>
      </c>
      <c r="D299" t="s">
        <v>75</v>
      </c>
      <c r="E299" t="s">
        <v>39</v>
      </c>
      <c r="F299" t="s">
        <v>1007</v>
      </c>
      <c r="G299" s="22">
        <v>20221214</v>
      </c>
      <c r="H299" s="61">
        <v>44910.000001192129</v>
      </c>
      <c r="I299">
        <v>237511.31746947501</v>
      </c>
      <c r="K299" s="21" t="s">
        <v>1008</v>
      </c>
      <c r="L299" s="21" t="s">
        <v>1004</v>
      </c>
      <c r="M299" s="21" t="s">
        <v>88</v>
      </c>
      <c r="N299" s="21" t="s">
        <v>46</v>
      </c>
      <c r="P299" t="str">
        <f t="shared" si="16"/>
        <v>USDT</v>
      </c>
      <c r="Q299">
        <f t="shared" si="17"/>
        <v>1.0001054103245341</v>
      </c>
      <c r="R299">
        <v>3.7800280517057789</v>
      </c>
      <c r="S299">
        <f t="shared" si="18"/>
        <v>897704.81527629809</v>
      </c>
      <c r="T299" t="str">
        <f t="shared" si="19"/>
        <v xml:space="preserve">'USDT', </v>
      </c>
      <c r="AJ299" s="4" t="s">
        <v>15</v>
      </c>
      <c r="AK299" s="45">
        <v>1826.77260088</v>
      </c>
      <c r="AL299">
        <v>29873880.424307607</v>
      </c>
      <c r="AN299" t="s">
        <v>115</v>
      </c>
      <c r="AO299" t="s">
        <v>403</v>
      </c>
      <c r="AP299">
        <v>6596.56</v>
      </c>
    </row>
    <row r="300" spans="1:42" x14ac:dyDescent="0.25">
      <c r="A300">
        <v>298</v>
      </c>
      <c r="B300" t="s">
        <v>53</v>
      </c>
      <c r="C300" s="1">
        <v>-8464.4245849700001</v>
      </c>
      <c r="D300" t="s">
        <v>93</v>
      </c>
      <c r="E300" t="s">
        <v>39</v>
      </c>
      <c r="F300" t="s">
        <v>1007</v>
      </c>
      <c r="G300" s="22">
        <v>20221214</v>
      </c>
      <c r="H300" s="61">
        <v>44910.000001192129</v>
      </c>
      <c r="I300">
        <v>-8465.3168227125207</v>
      </c>
      <c r="K300" s="21" t="s">
        <v>1008</v>
      </c>
      <c r="L300" s="21" t="s">
        <v>1004</v>
      </c>
      <c r="M300" s="21" t="s">
        <v>88</v>
      </c>
      <c r="N300" s="21" t="s">
        <v>46</v>
      </c>
      <c r="P300" t="str">
        <f t="shared" si="16"/>
        <v>USDT</v>
      </c>
      <c r="Q300">
        <f t="shared" si="17"/>
        <v>1.000105410324537</v>
      </c>
      <c r="R300">
        <v>0.99940190110900451</v>
      </c>
      <c r="S300">
        <f t="shared" si="18"/>
        <v>-8459.3620220128141</v>
      </c>
      <c r="T300" t="str">
        <f t="shared" si="19"/>
        <v xml:space="preserve">'USDT', </v>
      </c>
      <c r="AJ300" s="27" t="s">
        <v>88</v>
      </c>
      <c r="AK300" s="45">
        <v>2326.77260088</v>
      </c>
      <c r="AL300">
        <v>38050563.282895654</v>
      </c>
      <c r="AN300" t="s">
        <v>115</v>
      </c>
      <c r="AO300" t="s">
        <v>404</v>
      </c>
      <c r="AP300">
        <v>59589.017780000002</v>
      </c>
    </row>
    <row r="301" spans="1:42" x14ac:dyDescent="0.25">
      <c r="A301">
        <v>299</v>
      </c>
      <c r="B301" t="s">
        <v>54</v>
      </c>
      <c r="C301" s="1">
        <v>4.2557053800000002</v>
      </c>
      <c r="D301" t="s">
        <v>75</v>
      </c>
      <c r="E301" t="s">
        <v>15</v>
      </c>
      <c r="F301">
        <v>0</v>
      </c>
      <c r="G301" s="22">
        <v>20221214</v>
      </c>
      <c r="H301" s="61">
        <v>44910.000001273147</v>
      </c>
      <c r="I301">
        <v>75818.156934634098</v>
      </c>
      <c r="K301" s="21" t="s">
        <v>1003</v>
      </c>
      <c r="L301" s="21" t="s">
        <v>1004</v>
      </c>
      <c r="M301" s="21" t="s">
        <v>88</v>
      </c>
      <c r="N301" s="21" t="s">
        <v>46</v>
      </c>
      <c r="P301" t="str">
        <f t="shared" si="16"/>
        <v>BTC</v>
      </c>
      <c r="Q301">
        <f t="shared" si="17"/>
        <v>17815.64985465091</v>
      </c>
      <c r="R301">
        <v>0.12440039999999999</v>
      </c>
      <c r="S301">
        <f t="shared" si="18"/>
        <v>0.52941145155415203</v>
      </c>
      <c r="T301" t="str">
        <f t="shared" si="19"/>
        <v xml:space="preserve">'BTC', </v>
      </c>
      <c r="AJ301" s="27" t="s">
        <v>198</v>
      </c>
      <c r="AK301" s="45">
        <v>-500</v>
      </c>
      <c r="AL301">
        <v>-8176682.8585880492</v>
      </c>
      <c r="AN301" t="s">
        <v>115</v>
      </c>
      <c r="AO301" t="s">
        <v>405</v>
      </c>
      <c r="AP301">
        <v>0.20872535</v>
      </c>
    </row>
    <row r="302" spans="1:42" x14ac:dyDescent="0.25">
      <c r="A302">
        <v>300</v>
      </c>
      <c r="B302" t="s">
        <v>54</v>
      </c>
      <c r="C302" s="1">
        <v>-18052.890061800001</v>
      </c>
      <c r="D302" t="s">
        <v>93</v>
      </c>
      <c r="E302" t="s">
        <v>39</v>
      </c>
      <c r="F302">
        <v>0</v>
      </c>
      <c r="G302" s="22">
        <v>20221214</v>
      </c>
      <c r="H302" s="61">
        <v>44910.000001273147</v>
      </c>
      <c r="I302">
        <v>-18054.793022800201</v>
      </c>
      <c r="K302" s="21" t="s">
        <v>1008</v>
      </c>
      <c r="L302" s="21" t="s">
        <v>1004</v>
      </c>
      <c r="M302" s="21" t="s">
        <v>88</v>
      </c>
      <c r="N302" s="21" t="s">
        <v>46</v>
      </c>
      <c r="P302" t="str">
        <f t="shared" si="16"/>
        <v>USDT</v>
      </c>
      <c r="Q302">
        <f t="shared" si="17"/>
        <v>1.0001054103245346</v>
      </c>
      <c r="R302">
        <v>59.23</v>
      </c>
      <c r="S302">
        <f t="shared" si="18"/>
        <v>-1069272.678360414</v>
      </c>
      <c r="T302" t="str">
        <f t="shared" si="19"/>
        <v xml:space="preserve">'USDT', </v>
      </c>
      <c r="AJ302" s="4" t="s">
        <v>131</v>
      </c>
      <c r="AK302" s="45">
        <v>0.33565571999999999</v>
      </c>
      <c r="AL302">
        <v>3.3171758306922141E-3</v>
      </c>
      <c r="AN302" t="s">
        <v>115</v>
      </c>
      <c r="AO302" t="s">
        <v>406</v>
      </c>
      <c r="AP302">
        <v>97856389.900000006</v>
      </c>
    </row>
    <row r="303" spans="1:42" x14ac:dyDescent="0.25">
      <c r="A303">
        <v>301</v>
      </c>
      <c r="B303" t="s">
        <v>47</v>
      </c>
      <c r="C303" s="1">
        <v>764.01100843999996</v>
      </c>
      <c r="D303" t="s">
        <v>75</v>
      </c>
      <c r="E303" t="s">
        <v>15</v>
      </c>
      <c r="F303" t="s">
        <v>1009</v>
      </c>
      <c r="G303" s="22">
        <v>20221214</v>
      </c>
      <c r="H303" s="61">
        <v>44910.000003275461</v>
      </c>
      <c r="I303">
        <v>13611352.6114657</v>
      </c>
      <c r="K303" s="21" t="s">
        <v>1003</v>
      </c>
      <c r="L303" s="21" t="s">
        <v>1004</v>
      </c>
      <c r="M303" s="21" t="s">
        <v>88</v>
      </c>
      <c r="N303" s="21" t="s">
        <v>46</v>
      </c>
      <c r="P303" t="str">
        <f t="shared" si="16"/>
        <v>BTC</v>
      </c>
      <c r="Q303">
        <f t="shared" si="17"/>
        <v>17815.649854650805</v>
      </c>
      <c r="R303">
        <v>0.32653653999999999</v>
      </c>
      <c r="S303">
        <f t="shared" si="18"/>
        <v>249.47751121790839</v>
      </c>
      <c r="T303" t="str">
        <f t="shared" si="19"/>
        <v xml:space="preserve">'BTC', </v>
      </c>
      <c r="AJ303" s="27" t="s">
        <v>88</v>
      </c>
      <c r="AK303" s="45">
        <v>0.33565571999999999</v>
      </c>
      <c r="AL303">
        <v>3.3171758306922141E-3</v>
      </c>
      <c r="AN303" t="s">
        <v>115</v>
      </c>
      <c r="AO303" t="s">
        <v>407</v>
      </c>
      <c r="AP303">
        <v>0.55556267999999998</v>
      </c>
    </row>
    <row r="304" spans="1:42" x14ac:dyDescent="0.25">
      <c r="A304">
        <v>302</v>
      </c>
      <c r="B304" t="s">
        <v>47</v>
      </c>
      <c r="C304" s="1">
        <v>1.3770048500000001</v>
      </c>
      <c r="D304" t="s">
        <v>93</v>
      </c>
      <c r="E304" t="s">
        <v>15</v>
      </c>
      <c r="F304" t="s">
        <v>1009</v>
      </c>
      <c r="G304" s="22">
        <v>20221214</v>
      </c>
      <c r="H304" s="61">
        <v>44910.000003275461</v>
      </c>
      <c r="I304">
        <v>24532.236255756099</v>
      </c>
      <c r="K304" s="21" t="s">
        <v>1003</v>
      </c>
      <c r="L304" s="21" t="s">
        <v>1004</v>
      </c>
      <c r="M304" s="21" t="s">
        <v>88</v>
      </c>
      <c r="N304" s="21" t="s">
        <v>46</v>
      </c>
      <c r="P304" t="str">
        <f t="shared" si="16"/>
        <v>BTC</v>
      </c>
      <c r="Q304">
        <f t="shared" si="17"/>
        <v>17815.64985465091</v>
      </c>
      <c r="R304">
        <v>13.03</v>
      </c>
      <c r="S304">
        <f t="shared" si="18"/>
        <v>17.9423731955</v>
      </c>
      <c r="T304" t="str">
        <f t="shared" si="19"/>
        <v xml:space="preserve">'BTC', </v>
      </c>
      <c r="AJ304" s="4" t="s">
        <v>132</v>
      </c>
      <c r="AK304" s="45">
        <v>1367501156.8785999</v>
      </c>
      <c r="AL304">
        <v>927.57059291804489</v>
      </c>
      <c r="AN304" t="s">
        <v>115</v>
      </c>
      <c r="AO304" t="s">
        <v>408</v>
      </c>
      <c r="AP304">
        <v>7.6039999999999997E-5</v>
      </c>
    </row>
    <row r="305" spans="1:42" x14ac:dyDescent="0.25">
      <c r="A305">
        <v>303</v>
      </c>
      <c r="B305" t="s">
        <v>47</v>
      </c>
      <c r="C305" s="1">
        <v>38721.420911499998</v>
      </c>
      <c r="D305" t="s">
        <v>75</v>
      </c>
      <c r="E305" t="s">
        <v>24</v>
      </c>
      <c r="F305" t="s">
        <v>1009</v>
      </c>
      <c r="G305" s="22">
        <v>20221214</v>
      </c>
      <c r="H305" s="61">
        <v>44910.000003275461</v>
      </c>
      <c r="I305">
        <v>37870.375838440501</v>
      </c>
      <c r="K305" s="21" t="s">
        <v>1010</v>
      </c>
      <c r="L305" s="21" t="s">
        <v>1004</v>
      </c>
      <c r="M305" s="21" t="s">
        <v>88</v>
      </c>
      <c r="N305" s="21" t="s">
        <v>46</v>
      </c>
      <c r="P305" t="str">
        <f t="shared" si="16"/>
        <v>EOS</v>
      </c>
      <c r="Q305">
        <f t="shared" si="17"/>
        <v>0.97802133669101121</v>
      </c>
      <c r="R305">
        <v>103.98</v>
      </c>
      <c r="S305">
        <f t="shared" si="18"/>
        <v>4026253.34637777</v>
      </c>
      <c r="T305" t="str">
        <f t="shared" si="19"/>
        <v xml:space="preserve">'EOS', </v>
      </c>
      <c r="AJ305" s="27" t="s">
        <v>88</v>
      </c>
      <c r="AK305" s="45">
        <v>1367501156.8785999</v>
      </c>
      <c r="AL305">
        <v>927.57059291804489</v>
      </c>
      <c r="AN305" t="s">
        <v>115</v>
      </c>
      <c r="AO305" t="s">
        <v>408</v>
      </c>
      <c r="AP305">
        <v>6.4869999999999994E-5</v>
      </c>
    </row>
    <row r="306" spans="1:42" x14ac:dyDescent="0.25">
      <c r="A306">
        <v>304</v>
      </c>
      <c r="B306" t="s">
        <v>47</v>
      </c>
      <c r="C306" s="1">
        <v>2557.3184111800001</v>
      </c>
      <c r="D306" t="s">
        <v>75</v>
      </c>
      <c r="E306" t="s">
        <v>16</v>
      </c>
      <c r="F306" t="s">
        <v>1009</v>
      </c>
      <c r="G306" s="22">
        <v>20221214</v>
      </c>
      <c r="H306" s="61">
        <v>44910.000003275461</v>
      </c>
      <c r="I306">
        <v>3348370.3318066099</v>
      </c>
      <c r="K306" s="21" t="s">
        <v>1005</v>
      </c>
      <c r="L306" s="21" t="s">
        <v>1004</v>
      </c>
      <c r="M306" s="21" t="s">
        <v>88</v>
      </c>
      <c r="N306" s="21" t="s">
        <v>46</v>
      </c>
      <c r="P306" t="str">
        <f t="shared" si="16"/>
        <v>ETH</v>
      </c>
      <c r="Q306">
        <f t="shared" si="17"/>
        <v>1309.3286769329604</v>
      </c>
      <c r="R306">
        <v>16719.740000000002</v>
      </c>
      <c r="S306">
        <f t="shared" si="18"/>
        <v>42757698.932142697</v>
      </c>
      <c r="T306" t="str">
        <f t="shared" si="19"/>
        <v xml:space="preserve">'ETH', </v>
      </c>
      <c r="AJ306" s="4" t="s">
        <v>133</v>
      </c>
      <c r="AK306" s="45">
        <v>1.7855998900000001</v>
      </c>
      <c r="AL306">
        <v>6.132119285401077E-3</v>
      </c>
      <c r="AN306" t="s">
        <v>115</v>
      </c>
      <c r="AO306" t="s">
        <v>408</v>
      </c>
      <c r="AP306">
        <v>5952.37141058</v>
      </c>
    </row>
    <row r="307" spans="1:42" x14ac:dyDescent="0.25">
      <c r="A307">
        <v>305</v>
      </c>
      <c r="B307" t="s">
        <v>47</v>
      </c>
      <c r="C307" s="1">
        <v>-15.32692119</v>
      </c>
      <c r="D307" t="s">
        <v>93</v>
      </c>
      <c r="E307" t="s">
        <v>16</v>
      </c>
      <c r="F307" t="s">
        <v>1009</v>
      </c>
      <c r="G307" s="22">
        <v>20221214</v>
      </c>
      <c r="H307" s="61">
        <v>44910.000003275461</v>
      </c>
      <c r="I307">
        <v>-20067.977443158401</v>
      </c>
      <c r="K307" s="21" t="s">
        <v>1005</v>
      </c>
      <c r="L307" s="21" t="s">
        <v>1004</v>
      </c>
      <c r="M307" s="21" t="s">
        <v>88</v>
      </c>
      <c r="N307" s="21" t="s">
        <v>46</v>
      </c>
      <c r="P307" t="str">
        <f t="shared" si="16"/>
        <v>ETH</v>
      </c>
      <c r="Q307">
        <f t="shared" si="17"/>
        <v>1309.3286769329568</v>
      </c>
      <c r="R307">
        <v>39.366320000000002</v>
      </c>
      <c r="S307">
        <f t="shared" si="18"/>
        <v>-603.3644841803208</v>
      </c>
      <c r="T307" t="str">
        <f t="shared" si="19"/>
        <v xml:space="preserve">'ETH', </v>
      </c>
      <c r="AJ307" s="27" t="s">
        <v>88</v>
      </c>
      <c r="AK307" s="45">
        <v>1.7855998900000001</v>
      </c>
      <c r="AL307">
        <v>6.132119285401077E-3</v>
      </c>
      <c r="AN307" t="s">
        <v>115</v>
      </c>
      <c r="AO307" t="s">
        <v>408</v>
      </c>
      <c r="AP307">
        <v>300</v>
      </c>
    </row>
    <row r="308" spans="1:42" x14ac:dyDescent="0.25">
      <c r="A308">
        <v>306</v>
      </c>
      <c r="B308" t="s">
        <v>47</v>
      </c>
      <c r="C308" s="1">
        <v>137.25004552999999</v>
      </c>
      <c r="D308" t="s">
        <v>75</v>
      </c>
      <c r="E308" t="s">
        <v>25</v>
      </c>
      <c r="F308" t="s">
        <v>1009</v>
      </c>
      <c r="G308" s="22">
        <v>20221214</v>
      </c>
      <c r="H308" s="61">
        <v>44910.000003275461</v>
      </c>
      <c r="I308">
        <v>10359.065721848099</v>
      </c>
      <c r="K308" s="21" t="s">
        <v>1011</v>
      </c>
      <c r="L308" s="21" t="s">
        <v>1004</v>
      </c>
      <c r="M308" s="21" t="s">
        <v>88</v>
      </c>
      <c r="N308" s="21" t="s">
        <v>46</v>
      </c>
      <c r="P308" t="str">
        <f t="shared" si="16"/>
        <v>LTC</v>
      </c>
      <c r="Q308">
        <f t="shared" si="17"/>
        <v>75.475863646134997</v>
      </c>
      <c r="R308">
        <v>5.6989999999999998</v>
      </c>
      <c r="S308">
        <f t="shared" si="18"/>
        <v>782.18800947546993</v>
      </c>
      <c r="T308" t="str">
        <f t="shared" si="19"/>
        <v xml:space="preserve">'LTC', </v>
      </c>
      <c r="AJ308" s="4" t="s">
        <v>32</v>
      </c>
      <c r="AK308" s="45">
        <v>43.072197150000001</v>
      </c>
      <c r="AL308">
        <v>1668.816691001718</v>
      </c>
      <c r="AN308" t="s">
        <v>115</v>
      </c>
      <c r="AO308" t="s">
        <v>408</v>
      </c>
      <c r="AP308">
        <v>7.4209999999999996E-5</v>
      </c>
    </row>
    <row r="309" spans="1:42" x14ac:dyDescent="0.25">
      <c r="A309">
        <v>307</v>
      </c>
      <c r="B309" t="s">
        <v>47</v>
      </c>
      <c r="C309" s="1">
        <v>635986.32306369999</v>
      </c>
      <c r="D309" t="s">
        <v>75</v>
      </c>
      <c r="E309" t="s">
        <v>92</v>
      </c>
      <c r="F309" t="s">
        <v>1009</v>
      </c>
      <c r="G309" s="22">
        <v>20221214</v>
      </c>
      <c r="H309" s="61">
        <v>44910.000003275461</v>
      </c>
      <c r="I309">
        <v>51628.015928617897</v>
      </c>
      <c r="K309" s="21" t="s">
        <v>1012</v>
      </c>
      <c r="L309" s="21" t="s">
        <v>1004</v>
      </c>
      <c r="M309" s="21" t="s">
        <v>88</v>
      </c>
      <c r="N309" s="21" t="s">
        <v>46</v>
      </c>
      <c r="P309" t="str">
        <f t="shared" si="16"/>
        <v>OXT</v>
      </c>
      <c r="Q309">
        <f t="shared" si="17"/>
        <v>8.1177871372945964E-2</v>
      </c>
      <c r="R309">
        <v>0.30611965000000002</v>
      </c>
      <c r="S309">
        <f t="shared" si="18"/>
        <v>194687.91062104679</v>
      </c>
      <c r="T309" t="str">
        <f t="shared" si="19"/>
        <v xml:space="preserve">'OXT', </v>
      </c>
      <c r="AJ309" s="27" t="s">
        <v>88</v>
      </c>
      <c r="AK309" s="45">
        <v>43.072197150000001</v>
      </c>
      <c r="AL309">
        <v>1668.816691001718</v>
      </c>
      <c r="AN309" t="s">
        <v>115</v>
      </c>
      <c r="AO309" t="s">
        <v>409</v>
      </c>
      <c r="AP309">
        <v>3.9304560899999998</v>
      </c>
    </row>
    <row r="310" spans="1:42" x14ac:dyDescent="0.25">
      <c r="A310">
        <v>308</v>
      </c>
      <c r="B310" t="s">
        <v>47</v>
      </c>
      <c r="C310" s="1">
        <v>204481.77734043999</v>
      </c>
      <c r="D310" t="s">
        <v>93</v>
      </c>
      <c r="E310" t="s">
        <v>39</v>
      </c>
      <c r="F310" t="s">
        <v>1009</v>
      </c>
      <c r="G310" s="22">
        <v>20221214</v>
      </c>
      <c r="H310" s="61">
        <v>44910.000003275461</v>
      </c>
      <c r="I310">
        <v>204503.33183095101</v>
      </c>
      <c r="K310" s="21" t="s">
        <v>1008</v>
      </c>
      <c r="L310" s="21" t="s">
        <v>1004</v>
      </c>
      <c r="M310" s="21" t="s">
        <v>88</v>
      </c>
      <c r="N310" s="21" t="s">
        <v>46</v>
      </c>
      <c r="P310" t="str">
        <f t="shared" si="16"/>
        <v>USDT</v>
      </c>
      <c r="Q310">
        <f t="shared" si="17"/>
        <v>1.0001054103245353</v>
      </c>
      <c r="R310">
        <v>0.90154135000000002</v>
      </c>
      <c r="S310">
        <f t="shared" si="18"/>
        <v>184348.77759389969</v>
      </c>
      <c r="T310" t="str">
        <f t="shared" si="19"/>
        <v xml:space="preserve">'USDT', </v>
      </c>
      <c r="AJ310" s="4" t="s">
        <v>134</v>
      </c>
      <c r="AK310" s="45">
        <v>0.30791584</v>
      </c>
      <c r="AL310">
        <v>2.0135583072477242E-2</v>
      </c>
      <c r="AN310" t="s">
        <v>115</v>
      </c>
      <c r="AO310" t="s">
        <v>410</v>
      </c>
      <c r="AP310">
        <v>0.10222220999999999</v>
      </c>
    </row>
    <row r="311" spans="1:42" x14ac:dyDescent="0.25">
      <c r="A311">
        <v>309</v>
      </c>
      <c r="B311" t="s">
        <v>47</v>
      </c>
      <c r="C311" s="1">
        <v>14324.333393569999</v>
      </c>
      <c r="D311" t="s">
        <v>75</v>
      </c>
      <c r="E311" t="s">
        <v>102</v>
      </c>
      <c r="F311" t="s">
        <v>1009</v>
      </c>
      <c r="G311" s="22">
        <v>20221214</v>
      </c>
      <c r="H311" s="61">
        <v>44910.000003275461</v>
      </c>
      <c r="I311">
        <v>5535.1189213105199</v>
      </c>
      <c r="K311" s="21" t="s">
        <v>1006</v>
      </c>
      <c r="L311" s="21" t="s">
        <v>1004</v>
      </c>
      <c r="M311" s="21" t="s">
        <v>88</v>
      </c>
      <c r="N311" s="21" t="s">
        <v>46</v>
      </c>
      <c r="P311" t="str">
        <f t="shared" si="16"/>
        <v>XRP</v>
      </c>
      <c r="Q311">
        <f t="shared" si="17"/>
        <v>0.3864137177786689</v>
      </c>
      <c r="R311">
        <v>19.614688999999998</v>
      </c>
      <c r="S311">
        <f t="shared" si="18"/>
        <v>280967.34464719013</v>
      </c>
      <c r="T311" t="str">
        <f t="shared" si="19"/>
        <v xml:space="preserve">'XRP', </v>
      </c>
      <c r="AJ311" s="27" t="s">
        <v>88</v>
      </c>
      <c r="AK311" s="45">
        <v>0.30791584</v>
      </c>
      <c r="AL311">
        <v>2.0135583072477242E-2</v>
      </c>
      <c r="AN311" t="s">
        <v>115</v>
      </c>
      <c r="AO311" t="s">
        <v>411</v>
      </c>
      <c r="AP311">
        <v>1.329583E-2</v>
      </c>
    </row>
    <row r="312" spans="1:42" x14ac:dyDescent="0.25">
      <c r="A312">
        <v>310</v>
      </c>
      <c r="B312" t="s">
        <v>47</v>
      </c>
      <c r="C312" s="1">
        <v>1887327.67139451</v>
      </c>
      <c r="D312" t="s">
        <v>75</v>
      </c>
      <c r="E312" t="s">
        <v>27</v>
      </c>
      <c r="F312" t="s">
        <v>1009</v>
      </c>
      <c r="G312" s="22">
        <v>20221214</v>
      </c>
      <c r="H312" s="61">
        <v>44910.000003275461</v>
      </c>
      <c r="I312">
        <v>41125.573772119402</v>
      </c>
      <c r="K312" s="21" t="s">
        <v>1013</v>
      </c>
      <c r="L312" s="21" t="s">
        <v>1004</v>
      </c>
      <c r="M312" s="21" t="s">
        <v>88</v>
      </c>
      <c r="N312" s="21" t="s">
        <v>46</v>
      </c>
      <c r="P312" t="str">
        <f t="shared" si="16"/>
        <v>ZIL</v>
      </c>
      <c r="Q312">
        <f t="shared" si="17"/>
        <v>2.1790372914806313E-2</v>
      </c>
      <c r="R312">
        <v>1208.73</v>
      </c>
      <c r="S312">
        <f t="shared" si="18"/>
        <v>2281269576.2446861</v>
      </c>
      <c r="T312" t="str">
        <f t="shared" si="19"/>
        <v xml:space="preserve">'ZIL', </v>
      </c>
      <c r="AJ312" s="4" t="s">
        <v>135</v>
      </c>
      <c r="AK312" s="45">
        <v>5.6119999999999998E-5</v>
      </c>
      <c r="AL312">
        <v>1.8802263034161919E-3</v>
      </c>
      <c r="AN312" t="s">
        <v>115</v>
      </c>
      <c r="AO312" t="s">
        <v>412</v>
      </c>
      <c r="AP312">
        <v>2.173E-4</v>
      </c>
    </row>
    <row r="313" spans="1:42" x14ac:dyDescent="0.25">
      <c r="A313">
        <v>311</v>
      </c>
      <c r="B313" t="s">
        <v>177</v>
      </c>
      <c r="C313" s="1">
        <v>7.381E-5</v>
      </c>
      <c r="D313" t="s">
        <v>75</v>
      </c>
      <c r="E313" t="s">
        <v>21</v>
      </c>
      <c r="F313" t="s">
        <v>1014</v>
      </c>
      <c r="G313" s="22">
        <v>20221214</v>
      </c>
      <c r="H313" s="61">
        <v>44910.000003275461</v>
      </c>
      <c r="I313">
        <v>8.0532980862963108E-3</v>
      </c>
      <c r="K313" s="21" t="s">
        <v>1015</v>
      </c>
      <c r="L313" s="21" t="s">
        <v>1004</v>
      </c>
      <c r="M313" s="21" t="s">
        <v>88</v>
      </c>
      <c r="N313" s="21" t="s">
        <v>46</v>
      </c>
      <c r="P313" t="str">
        <f t="shared" si="16"/>
        <v>BCH</v>
      </c>
      <c r="Q313">
        <f t="shared" si="17"/>
        <v>109.1084959530729</v>
      </c>
      <c r="R313">
        <v>3.7800280517057789</v>
      </c>
      <c r="S313">
        <f t="shared" si="18"/>
        <v>2.7900387049640353E-4</v>
      </c>
      <c r="T313" t="str">
        <f t="shared" si="19"/>
        <v xml:space="preserve">'BCH', </v>
      </c>
      <c r="AJ313" s="27" t="s">
        <v>88</v>
      </c>
      <c r="AK313" s="45">
        <v>5.6119999999999998E-5</v>
      </c>
      <c r="AL313">
        <v>1.8802263034161919E-3</v>
      </c>
      <c r="AN313" t="s">
        <v>115</v>
      </c>
      <c r="AO313" t="s">
        <v>413</v>
      </c>
      <c r="AP313">
        <v>19451203.1070689</v>
      </c>
    </row>
    <row r="314" spans="1:42" x14ac:dyDescent="0.25">
      <c r="A314">
        <v>312</v>
      </c>
      <c r="B314" t="s">
        <v>177</v>
      </c>
      <c r="C314" s="1">
        <v>0.86729455</v>
      </c>
      <c r="D314" t="s">
        <v>75</v>
      </c>
      <c r="E314" t="s">
        <v>116</v>
      </c>
      <c r="F314" t="s">
        <v>1014</v>
      </c>
      <c r="G314" s="22">
        <v>20221214</v>
      </c>
      <c r="H314" s="61">
        <v>44910.000003275461</v>
      </c>
      <c r="I314">
        <v>39.298519969767199</v>
      </c>
      <c r="K314" s="21" t="s">
        <v>1016</v>
      </c>
      <c r="L314" s="21" t="s">
        <v>1004</v>
      </c>
      <c r="M314" s="21" t="s">
        <v>88</v>
      </c>
      <c r="N314" s="21" t="s">
        <v>46</v>
      </c>
      <c r="P314" t="str">
        <f t="shared" si="16"/>
        <v>BSV</v>
      </c>
      <c r="Q314">
        <f t="shared" si="17"/>
        <v>45.311618722574927</v>
      </c>
      <c r="R314">
        <v>1.033539447639525</v>
      </c>
      <c r="S314">
        <f t="shared" si="18"/>
        <v>0.89638313014777038</v>
      </c>
      <c r="T314" t="str">
        <f t="shared" si="19"/>
        <v xml:space="preserve">'BSV', </v>
      </c>
      <c r="AJ314" s="4" t="s">
        <v>136</v>
      </c>
      <c r="AK314" s="45">
        <v>5.9800000000000001E-4</v>
      </c>
      <c r="AL314">
        <v>1.107908488410577E-5</v>
      </c>
      <c r="AN314" t="s">
        <v>170</v>
      </c>
      <c r="AO314" t="s">
        <v>21</v>
      </c>
      <c r="AP314">
        <v>1.7695412699999999</v>
      </c>
    </row>
    <row r="315" spans="1:42" x14ac:dyDescent="0.25">
      <c r="A315">
        <v>313</v>
      </c>
      <c r="B315" t="s">
        <v>177</v>
      </c>
      <c r="C315" s="1">
        <v>6.8575999999999999E-4</v>
      </c>
      <c r="D315" t="s">
        <v>75</v>
      </c>
      <c r="E315" t="s">
        <v>23</v>
      </c>
      <c r="F315" t="s">
        <v>1014</v>
      </c>
      <c r="G315" s="22">
        <v>20221214</v>
      </c>
      <c r="H315" s="61">
        <v>44910.000003275461</v>
      </c>
      <c r="I315">
        <v>3.5763822388220502E-3</v>
      </c>
      <c r="K315" s="21" t="s">
        <v>1017</v>
      </c>
      <c r="L315" s="21" t="s">
        <v>1004</v>
      </c>
      <c r="M315" s="21" t="s">
        <v>88</v>
      </c>
      <c r="N315" s="21" t="s">
        <v>46</v>
      </c>
      <c r="P315" t="str">
        <f t="shared" si="16"/>
        <v>DOT</v>
      </c>
      <c r="Q315">
        <f t="shared" si="17"/>
        <v>5.2152097509654256</v>
      </c>
      <c r="R315">
        <v>0.17945811</v>
      </c>
      <c r="S315">
        <f t="shared" si="18"/>
        <v>1.230651935136E-4</v>
      </c>
      <c r="T315" t="str">
        <f t="shared" si="19"/>
        <v xml:space="preserve">'DOT', </v>
      </c>
      <c r="AJ315" s="27" t="s">
        <v>88</v>
      </c>
      <c r="AK315" s="45">
        <v>5.9800000000000001E-4</v>
      </c>
      <c r="AL315">
        <v>1.107908488410577E-5</v>
      </c>
      <c r="AN315" t="s">
        <v>170</v>
      </c>
      <c r="AO315" t="s">
        <v>15</v>
      </c>
      <c r="AP315">
        <v>1.8847761800000001E-2</v>
      </c>
    </row>
    <row r="316" spans="1:42" x14ac:dyDescent="0.25">
      <c r="A316">
        <v>314</v>
      </c>
      <c r="B316" t="s">
        <v>177</v>
      </c>
      <c r="C316" s="1">
        <v>8.7929999999999993E-5</v>
      </c>
      <c r="D316" t="s">
        <v>75</v>
      </c>
      <c r="E316" t="s">
        <v>275</v>
      </c>
      <c r="F316" t="s">
        <v>1014</v>
      </c>
      <c r="G316" s="22">
        <v>20221214</v>
      </c>
      <c r="H316" s="61">
        <v>44910.000003275461</v>
      </c>
      <c r="I316">
        <v>3.11317235041982E-4</v>
      </c>
      <c r="K316" s="21" t="s">
        <v>1018</v>
      </c>
      <c r="L316" s="21" t="s">
        <v>1004</v>
      </c>
      <c r="M316" s="21" t="s">
        <v>88</v>
      </c>
      <c r="N316" s="21" t="s">
        <v>46</v>
      </c>
      <c r="P316" t="str">
        <f t="shared" si="16"/>
        <v>ETHW</v>
      </c>
      <c r="Q316">
        <f t="shared" si="17"/>
        <v>3.540512169248061</v>
      </c>
      <c r="R316">
        <v>1.5288371999999999</v>
      </c>
      <c r="S316">
        <f t="shared" si="18"/>
        <v>1.3443065499599998E-4</v>
      </c>
      <c r="T316" t="str">
        <f t="shared" si="19"/>
        <v xml:space="preserve">'ETHW', </v>
      </c>
      <c r="AJ316" s="4" t="s">
        <v>23</v>
      </c>
      <c r="AK316" s="45">
        <v>-3299.3106825299983</v>
      </c>
      <c r="AL316">
        <v>-18981.752480847674</v>
      </c>
      <c r="AN316" t="s">
        <v>170</v>
      </c>
      <c r="AO316" t="s">
        <v>24</v>
      </c>
      <c r="AP316">
        <v>9.9499194400000004</v>
      </c>
    </row>
    <row r="317" spans="1:42" x14ac:dyDescent="0.25">
      <c r="A317">
        <v>315</v>
      </c>
      <c r="B317" t="s">
        <v>177</v>
      </c>
      <c r="C317" s="1">
        <v>7.5870867500000001</v>
      </c>
      <c r="D317" t="s">
        <v>75</v>
      </c>
      <c r="E317" t="s">
        <v>28</v>
      </c>
      <c r="F317" t="s">
        <v>1014</v>
      </c>
      <c r="G317" s="22">
        <v>20221214</v>
      </c>
      <c r="H317" s="61">
        <v>44910.000003275461</v>
      </c>
      <c r="I317">
        <v>51.052202198785501</v>
      </c>
      <c r="K317" s="21" t="s">
        <v>1019</v>
      </c>
      <c r="L317" s="21" t="s">
        <v>1004</v>
      </c>
      <c r="M317" s="21" t="s">
        <v>88</v>
      </c>
      <c r="N317" s="21" t="s">
        <v>46</v>
      </c>
      <c r="P317" t="str">
        <f t="shared" si="16"/>
        <v>LINK</v>
      </c>
      <c r="Q317">
        <f t="shared" si="17"/>
        <v>6.728828057592132</v>
      </c>
      <c r="R317">
        <v>4.9363444999999999E-2</v>
      </c>
      <c r="S317">
        <f t="shared" si="18"/>
        <v>0.37452473949385373</v>
      </c>
      <c r="T317" t="str">
        <f t="shared" si="19"/>
        <v xml:space="preserve">'LINK', </v>
      </c>
      <c r="AJ317" s="27" t="s">
        <v>88</v>
      </c>
      <c r="AK317" s="45">
        <v>36700.689317470002</v>
      </c>
      <c r="AL317">
        <v>211148.16624862421</v>
      </c>
      <c r="AN317" t="s">
        <v>170</v>
      </c>
      <c r="AO317" t="s">
        <v>16</v>
      </c>
      <c r="AP317">
        <v>3.4037359600000001</v>
      </c>
    </row>
    <row r="318" spans="1:42" x14ac:dyDescent="0.25">
      <c r="A318">
        <v>316</v>
      </c>
      <c r="B318" t="s">
        <v>177</v>
      </c>
      <c r="C318" s="1">
        <v>6.758E-5</v>
      </c>
      <c r="D318" t="s">
        <v>75</v>
      </c>
      <c r="E318" t="s">
        <v>25</v>
      </c>
      <c r="F318" t="s">
        <v>1014</v>
      </c>
      <c r="G318" s="22">
        <v>20221214</v>
      </c>
      <c r="H318" s="61">
        <v>44910.000003275461</v>
      </c>
      <c r="I318">
        <v>5.1006588652058003E-3</v>
      </c>
      <c r="K318" s="21" t="s">
        <v>1011</v>
      </c>
      <c r="L318" s="21" t="s">
        <v>1004</v>
      </c>
      <c r="M318" s="21" t="s">
        <v>88</v>
      </c>
      <c r="N318" s="21" t="s">
        <v>46</v>
      </c>
      <c r="P318" t="str">
        <f t="shared" si="16"/>
        <v>LTC</v>
      </c>
      <c r="Q318">
        <f t="shared" si="17"/>
        <v>75.475863646134954</v>
      </c>
      <c r="R318">
        <v>24.360496999999999</v>
      </c>
      <c r="S318">
        <f t="shared" si="18"/>
        <v>1.6462823872599999E-3</v>
      </c>
      <c r="T318" t="str">
        <f t="shared" si="19"/>
        <v xml:space="preserve">'LTC', </v>
      </c>
      <c r="AJ318" s="27" t="s">
        <v>198</v>
      </c>
      <c r="AK318" s="45">
        <v>-40000</v>
      </c>
      <c r="AL318">
        <v>-230129.91872947189</v>
      </c>
      <c r="AN318" t="s">
        <v>170</v>
      </c>
      <c r="AO318" t="s">
        <v>25</v>
      </c>
      <c r="AP318">
        <v>9.1421368100000002</v>
      </c>
    </row>
    <row r="319" spans="1:42" x14ac:dyDescent="0.25">
      <c r="A319">
        <v>317</v>
      </c>
      <c r="B319" t="s">
        <v>177</v>
      </c>
      <c r="C319" s="1">
        <v>8.1457000000000003E-4</v>
      </c>
      <c r="D319" t="s">
        <v>75</v>
      </c>
      <c r="E319" t="s">
        <v>38</v>
      </c>
      <c r="F319" t="s">
        <v>1014</v>
      </c>
      <c r="G319" s="22">
        <v>20221214</v>
      </c>
      <c r="H319" s="61">
        <v>44910.000003275461</v>
      </c>
      <c r="I319">
        <v>7.3089379938516298E-9</v>
      </c>
      <c r="K319" s="21" t="s">
        <v>1020</v>
      </c>
      <c r="L319" s="21" t="s">
        <v>1004</v>
      </c>
      <c r="M319" s="21" t="s">
        <v>88</v>
      </c>
      <c r="N319" s="21" t="s">
        <v>46</v>
      </c>
      <c r="P319" t="str">
        <f t="shared" si="16"/>
        <v>SHIB</v>
      </c>
      <c r="Q319">
        <f t="shared" si="17"/>
        <v>8.9727561705582455E-6</v>
      </c>
      <c r="R319">
        <v>6.2919999999999998</v>
      </c>
      <c r="S319">
        <f t="shared" si="18"/>
        <v>5.12527444E-3</v>
      </c>
      <c r="T319" t="str">
        <f t="shared" si="19"/>
        <v xml:space="preserve">'SHIB', </v>
      </c>
      <c r="AJ319" s="4" t="s">
        <v>29</v>
      </c>
      <c r="AK319" s="45">
        <v>241319.15317850999</v>
      </c>
      <c r="AL319">
        <v>75061.75397511058</v>
      </c>
      <c r="AN319" t="s">
        <v>170</v>
      </c>
      <c r="AO319" t="s">
        <v>92</v>
      </c>
      <c r="AP319">
        <v>867220.80407488998</v>
      </c>
    </row>
    <row r="320" spans="1:42" x14ac:dyDescent="0.25">
      <c r="A320">
        <v>318</v>
      </c>
      <c r="B320" t="s">
        <v>177</v>
      </c>
      <c r="C320" s="1">
        <v>5.47</v>
      </c>
      <c r="D320" t="s">
        <v>75</v>
      </c>
      <c r="E320" t="s">
        <v>165</v>
      </c>
      <c r="F320" t="s">
        <v>1014</v>
      </c>
      <c r="G320" s="22">
        <v>20221214</v>
      </c>
      <c r="H320" s="61">
        <v>44910.000003275461</v>
      </c>
      <c r="I320">
        <v>1.57867632592289E-4</v>
      </c>
      <c r="K320" s="21" t="s">
        <v>1021</v>
      </c>
      <c r="L320" s="21" t="s">
        <v>1004</v>
      </c>
      <c r="M320" s="21" t="s">
        <v>88</v>
      </c>
      <c r="N320" s="21" t="s">
        <v>46</v>
      </c>
      <c r="P320" t="str">
        <f t="shared" si="16"/>
        <v>XEC</v>
      </c>
      <c r="Q320">
        <f t="shared" si="17"/>
        <v>2.8860627530583E-5</v>
      </c>
      <c r="R320">
        <v>62.35</v>
      </c>
      <c r="S320">
        <f t="shared" si="18"/>
        <v>341.05450000000002</v>
      </c>
      <c r="T320" t="str">
        <f t="shared" si="19"/>
        <v xml:space="preserve">'XEC', </v>
      </c>
      <c r="AJ320" s="27" t="s">
        <v>88</v>
      </c>
      <c r="AK320" s="45">
        <v>241319.15317850999</v>
      </c>
      <c r="AL320">
        <v>75061.75397511058</v>
      </c>
      <c r="AN320" t="s">
        <v>170</v>
      </c>
      <c r="AO320" t="s">
        <v>101</v>
      </c>
      <c r="AP320">
        <v>0.10834547999999999</v>
      </c>
    </row>
    <row r="321" spans="1:42" x14ac:dyDescent="0.25">
      <c r="A321">
        <v>319</v>
      </c>
      <c r="B321" t="s">
        <v>177</v>
      </c>
      <c r="C321" s="1">
        <v>6.9987000000000001E-4</v>
      </c>
      <c r="D321" t="s">
        <v>75</v>
      </c>
      <c r="E321" t="s">
        <v>102</v>
      </c>
      <c r="F321" t="s">
        <v>1014</v>
      </c>
      <c r="G321" s="22">
        <v>20221214</v>
      </c>
      <c r="H321" s="61">
        <v>44910.000003275461</v>
      </c>
      <c r="I321">
        <v>2.7043936866175702E-4</v>
      </c>
      <c r="K321" s="21" t="s">
        <v>1006</v>
      </c>
      <c r="L321" s="21" t="s">
        <v>1004</v>
      </c>
      <c r="M321" s="21" t="s">
        <v>88</v>
      </c>
      <c r="N321" s="21" t="s">
        <v>46</v>
      </c>
      <c r="P321" t="str">
        <f t="shared" si="16"/>
        <v>XRP</v>
      </c>
      <c r="Q321">
        <f t="shared" si="17"/>
        <v>0.38641371777866895</v>
      </c>
      <c r="R321">
        <v>0.41775250000000003</v>
      </c>
      <c r="S321">
        <f t="shared" si="18"/>
        <v>2.9237244217500001E-4</v>
      </c>
      <c r="T321" t="str">
        <f t="shared" si="19"/>
        <v xml:space="preserve">'XRP', </v>
      </c>
      <c r="AJ321" s="4" t="s">
        <v>24</v>
      </c>
      <c r="AK321" s="45">
        <v>15343.485490710009</v>
      </c>
      <c r="AL321">
        <v>13603.017305427929</v>
      </c>
      <c r="AN321" t="s">
        <v>170</v>
      </c>
      <c r="AO321" t="s">
        <v>98</v>
      </c>
      <c r="AP321">
        <v>112996.6406</v>
      </c>
    </row>
    <row r="322" spans="1:42" x14ac:dyDescent="0.25">
      <c r="A322">
        <v>320</v>
      </c>
      <c r="B322" t="s">
        <v>178</v>
      </c>
      <c r="C322" s="1">
        <v>7.1361999999999999E-4</v>
      </c>
      <c r="E322" t="s">
        <v>16</v>
      </c>
      <c r="F322">
        <v>0</v>
      </c>
      <c r="G322" s="22">
        <v>20221214</v>
      </c>
      <c r="H322" s="61">
        <v>44909.915996724536</v>
      </c>
      <c r="I322">
        <v>0.93436313043289998</v>
      </c>
      <c r="K322" s="21" t="s">
        <v>1022</v>
      </c>
      <c r="L322" s="21" t="s">
        <v>1023</v>
      </c>
      <c r="M322" s="21" t="s">
        <v>88</v>
      </c>
      <c r="N322" s="21" t="s">
        <v>179</v>
      </c>
      <c r="P322" t="str">
        <f t="shared" ref="P322:P385" si="20">IF($C322="","",$E322)</f>
        <v>ETH</v>
      </c>
      <c r="Q322">
        <f t="shared" si="17"/>
        <v>1309.3286769329616</v>
      </c>
      <c r="R322">
        <v>0.88490000000000002</v>
      </c>
      <c r="S322">
        <f t="shared" si="18"/>
        <v>6.31482338E-4</v>
      </c>
      <c r="T322" t="str">
        <f t="shared" si="19"/>
        <v xml:space="preserve">'ETH', </v>
      </c>
      <c r="AJ322" s="27" t="s">
        <v>88</v>
      </c>
      <c r="AK322" s="45">
        <v>632546.48549071001</v>
      </c>
      <c r="AL322">
        <v>560794.40319004562</v>
      </c>
      <c r="AN322" t="s">
        <v>170</v>
      </c>
      <c r="AO322" t="s">
        <v>39</v>
      </c>
      <c r="AP322">
        <v>1.182861E-2</v>
      </c>
    </row>
    <row r="323" spans="1:42" x14ac:dyDescent="0.25">
      <c r="A323">
        <v>321</v>
      </c>
      <c r="B323" t="s">
        <v>178</v>
      </c>
      <c r="C323" s="1">
        <v>0.01</v>
      </c>
      <c r="E323" t="s">
        <v>110</v>
      </c>
      <c r="F323">
        <v>0</v>
      </c>
      <c r="G323" s="22">
        <v>20221214</v>
      </c>
      <c r="H323" s="61">
        <v>44909.915996909724</v>
      </c>
      <c r="I323">
        <v>1.06827E-2</v>
      </c>
      <c r="K323" s="21" t="s">
        <v>1024</v>
      </c>
      <c r="L323" s="21" t="s">
        <v>1023</v>
      </c>
      <c r="M323" s="21" t="s">
        <v>88</v>
      </c>
      <c r="N323" s="21" t="s">
        <v>179</v>
      </c>
      <c r="P323" t="str">
        <f t="shared" si="20"/>
        <v>EUR</v>
      </c>
      <c r="Q323">
        <f t="shared" ref="Q323:Q387" si="21">IF($C323="","",$I323/$C323)</f>
        <v>1.0682700000000001</v>
      </c>
      <c r="R323">
        <v>1.1276999999999999</v>
      </c>
      <c r="S323">
        <f t="shared" ref="S323:S387" si="22">IF($B323="","",$C323*$R323)</f>
        <v>1.1276999999999999E-2</v>
      </c>
      <c r="T323" t="str">
        <f t="shared" ref="T323:T350" si="23">"'"&amp;P323&amp;"', "</f>
        <v xml:space="preserve">'EUR', </v>
      </c>
      <c r="AJ323" s="27" t="s">
        <v>198</v>
      </c>
      <c r="AK323" s="45">
        <v>-617203</v>
      </c>
      <c r="AL323">
        <v>-547191.38588461769</v>
      </c>
      <c r="AN323" t="s">
        <v>170</v>
      </c>
      <c r="AO323" t="s">
        <v>166</v>
      </c>
      <c r="AP323">
        <v>8.93329E-3</v>
      </c>
    </row>
    <row r="324" spans="1:42" x14ac:dyDescent="0.25">
      <c r="A324">
        <v>322</v>
      </c>
      <c r="B324" t="s">
        <v>178</v>
      </c>
      <c r="C324" s="1">
        <v>0.01</v>
      </c>
      <c r="E324" t="s">
        <v>180</v>
      </c>
      <c r="F324">
        <v>0</v>
      </c>
      <c r="G324" s="22">
        <v>20221214</v>
      </c>
      <c r="H324" s="61">
        <v>44909.915996909724</v>
      </c>
      <c r="I324">
        <v>1.24276499999999E-2</v>
      </c>
      <c r="K324" s="21" t="s">
        <v>1025</v>
      </c>
      <c r="L324" s="21" t="s">
        <v>1023</v>
      </c>
      <c r="M324" s="21" t="s">
        <v>88</v>
      </c>
      <c r="N324" s="21" t="s">
        <v>179</v>
      </c>
      <c r="P324" t="str">
        <f t="shared" si="20"/>
        <v>GBP</v>
      </c>
      <c r="Q324">
        <f t="shared" si="21"/>
        <v>1.2427649999999899</v>
      </c>
      <c r="R324">
        <v>8.09E-2</v>
      </c>
      <c r="S324">
        <f t="shared" si="22"/>
        <v>8.0900000000000004E-4</v>
      </c>
      <c r="T324" t="str">
        <f t="shared" si="23"/>
        <v xml:space="preserve">'GBP', </v>
      </c>
      <c r="AJ324" s="4" t="s">
        <v>30</v>
      </c>
      <c r="AK324" s="45">
        <v>-98321.479875470002</v>
      </c>
      <c r="AL324">
        <v>-1962265.6840446652</v>
      </c>
      <c r="AN324" t="s">
        <v>170</v>
      </c>
      <c r="AO324" t="s">
        <v>102</v>
      </c>
      <c r="AP324">
        <v>0.71704489000000005</v>
      </c>
    </row>
    <row r="325" spans="1:42" x14ac:dyDescent="0.25">
      <c r="A325">
        <v>323</v>
      </c>
      <c r="B325" t="s">
        <v>178</v>
      </c>
      <c r="C325" s="1">
        <v>0.10983253</v>
      </c>
      <c r="E325" t="s">
        <v>182</v>
      </c>
      <c r="F325">
        <v>0</v>
      </c>
      <c r="G325" s="22">
        <v>20221214</v>
      </c>
      <c r="H325" s="61">
        <v>44909.915996909724</v>
      </c>
      <c r="I325">
        <v>5.8358694645149999E-3</v>
      </c>
      <c r="K325" s="21" t="s">
        <v>1026</v>
      </c>
      <c r="L325" s="21" t="s">
        <v>1023</v>
      </c>
      <c r="M325" s="21" t="s">
        <v>88</v>
      </c>
      <c r="N325" s="21" t="s">
        <v>179</v>
      </c>
      <c r="P325" t="str">
        <f t="shared" si="20"/>
        <v>TRY</v>
      </c>
      <c r="Q325">
        <f t="shared" si="21"/>
        <v>5.3134253253703613E-2</v>
      </c>
      <c r="R325">
        <v>13.78</v>
      </c>
      <c r="S325">
        <f t="shared" si="22"/>
        <v>1.5134922633999999</v>
      </c>
      <c r="T325" t="str">
        <f t="shared" si="23"/>
        <v xml:space="preserve">'TRY', </v>
      </c>
      <c r="AJ325" s="27" t="s">
        <v>88</v>
      </c>
      <c r="AK325" s="45">
        <v>9678.5201245300013</v>
      </c>
      <c r="AL325">
        <v>193160.51728223779</v>
      </c>
      <c r="AN325" t="s">
        <v>175</v>
      </c>
      <c r="AO325" t="s">
        <v>21</v>
      </c>
      <c r="AP325">
        <v>0.1</v>
      </c>
    </row>
    <row r="326" spans="1:42" x14ac:dyDescent="0.25">
      <c r="A326">
        <v>324</v>
      </c>
      <c r="B326" t="s">
        <v>178</v>
      </c>
      <c r="C326" s="1">
        <v>6.5778299999999998E-3</v>
      </c>
      <c r="E326" t="s">
        <v>98</v>
      </c>
      <c r="F326">
        <v>0</v>
      </c>
      <c r="G326" s="22">
        <v>20221214</v>
      </c>
      <c r="H326" s="61">
        <v>44909.915996724536</v>
      </c>
      <c r="I326">
        <v>6.5778299999999998E-3</v>
      </c>
      <c r="K326" s="21" t="s">
        <v>1027</v>
      </c>
      <c r="L326" s="21" t="s">
        <v>1023</v>
      </c>
      <c r="M326" s="21" t="s">
        <v>88</v>
      </c>
      <c r="N326" s="21" t="s">
        <v>179</v>
      </c>
      <c r="P326" t="str">
        <f t="shared" si="20"/>
        <v>USD</v>
      </c>
      <c r="Q326">
        <f t="shared" si="21"/>
        <v>1</v>
      </c>
      <c r="R326">
        <v>5.7869999999999999</v>
      </c>
      <c r="S326">
        <f t="shared" si="22"/>
        <v>3.8065902209999995E-2</v>
      </c>
      <c r="T326" t="str">
        <f t="shared" si="23"/>
        <v xml:space="preserve">'USD', </v>
      </c>
      <c r="AJ326" s="27" t="s">
        <v>198</v>
      </c>
      <c r="AK326" s="45">
        <v>-108000</v>
      </c>
      <c r="AL326">
        <v>-2155426.201326903</v>
      </c>
      <c r="AN326" t="s">
        <v>175</v>
      </c>
      <c r="AO326" t="s">
        <v>15</v>
      </c>
      <c r="AP326">
        <v>7.4249999999999998</v>
      </c>
    </row>
    <row r="327" spans="1:42" x14ac:dyDescent="0.25">
      <c r="A327">
        <v>325</v>
      </c>
      <c r="B327" t="s">
        <v>178</v>
      </c>
      <c r="C327" s="1">
        <v>9.9996000000000004E-4</v>
      </c>
      <c r="E327" t="s">
        <v>39</v>
      </c>
      <c r="F327">
        <v>0</v>
      </c>
      <c r="G327" s="22">
        <v>20221214</v>
      </c>
      <c r="H327" s="61">
        <v>44909.915996909724</v>
      </c>
      <c r="I327">
        <v>1.0000654061081201E-3</v>
      </c>
      <c r="K327" s="21" t="s">
        <v>1028</v>
      </c>
      <c r="L327" s="21" t="s">
        <v>1023</v>
      </c>
      <c r="M327" s="21" t="s">
        <v>88</v>
      </c>
      <c r="N327" s="21" t="s">
        <v>179</v>
      </c>
      <c r="P327" t="str">
        <f t="shared" si="20"/>
        <v>USDT</v>
      </c>
      <c r="Q327">
        <f t="shared" si="21"/>
        <v>1.000105410324533</v>
      </c>
      <c r="R327">
        <v>1.0001621022067759</v>
      </c>
      <c r="S327">
        <f t="shared" si="22"/>
        <v>1.0001220957226878E-3</v>
      </c>
      <c r="T327" t="str">
        <f t="shared" si="23"/>
        <v xml:space="preserve">'USDT', </v>
      </c>
      <c r="AJ327" s="4" t="s">
        <v>16</v>
      </c>
      <c r="AK327" s="45">
        <v>5079.2188189799999</v>
      </c>
      <c r="AL327">
        <v>6205887.1640940178</v>
      </c>
      <c r="AN327" t="s">
        <v>175</v>
      </c>
      <c r="AO327" t="s">
        <v>16</v>
      </c>
      <c r="AP327">
        <v>5.0000000000000001E-4</v>
      </c>
    </row>
    <row r="328" spans="1:42" x14ac:dyDescent="0.25">
      <c r="A328">
        <v>326</v>
      </c>
      <c r="B328" t="s">
        <v>178</v>
      </c>
      <c r="C328" s="1">
        <v>9.9999999999999995E-8</v>
      </c>
      <c r="E328" t="s">
        <v>166</v>
      </c>
      <c r="F328">
        <v>0</v>
      </c>
      <c r="G328" s="22">
        <v>20221214</v>
      </c>
      <c r="H328" s="61">
        <v>44909.915996909724</v>
      </c>
      <c r="I328">
        <v>8.3013789241186207E-9</v>
      </c>
      <c r="K328" s="21" t="s">
        <v>1029</v>
      </c>
      <c r="L328" s="21" t="s">
        <v>1023</v>
      </c>
      <c r="M328" s="21" t="s">
        <v>88</v>
      </c>
      <c r="N328" s="21" t="s">
        <v>179</v>
      </c>
      <c r="P328" t="str">
        <f t="shared" si="20"/>
        <v>XLM</v>
      </c>
      <c r="Q328">
        <f t="shared" si="21"/>
        <v>8.3013789241186214E-2</v>
      </c>
      <c r="R328">
        <v>0.99940190110900451</v>
      </c>
      <c r="S328">
        <f t="shared" si="22"/>
        <v>9.9940190110900443E-8</v>
      </c>
      <c r="T328" t="str">
        <f t="shared" si="23"/>
        <v xml:space="preserve">'XLM', </v>
      </c>
      <c r="AJ328" s="27" t="s">
        <v>88</v>
      </c>
      <c r="AK328" s="45">
        <v>11145.48881898</v>
      </c>
      <c r="AL328">
        <v>13617772.430042993</v>
      </c>
      <c r="AN328" t="s">
        <v>175</v>
      </c>
      <c r="AO328" t="s">
        <v>25</v>
      </c>
      <c r="AP328">
        <v>914.82898999999998</v>
      </c>
    </row>
    <row r="329" spans="1:42" x14ac:dyDescent="0.25">
      <c r="A329">
        <v>327</v>
      </c>
      <c r="B329" t="s">
        <v>183</v>
      </c>
      <c r="C329" s="1">
        <v>3393052.5294192201</v>
      </c>
      <c r="E329" t="s">
        <v>184</v>
      </c>
      <c r="F329">
        <v>0</v>
      </c>
      <c r="G329" s="22">
        <v>20221214</v>
      </c>
      <c r="H329" s="61">
        <v>44910.000002974535</v>
      </c>
      <c r="I329">
        <v>31408.321681189798</v>
      </c>
      <c r="K329" s="21" t="s">
        <v>1030</v>
      </c>
      <c r="L329" s="21" t="s">
        <v>1031</v>
      </c>
      <c r="M329" s="21" t="s">
        <v>88</v>
      </c>
      <c r="N329" s="21" t="s">
        <v>185</v>
      </c>
      <c r="P329" t="str">
        <f t="shared" si="20"/>
        <v>SHFT</v>
      </c>
      <c r="Q329">
        <f t="shared" si="21"/>
        <v>9.2566564793401182E-3</v>
      </c>
      <c r="R329">
        <v>9.0786800000000001E-2</v>
      </c>
      <c r="S329">
        <f t="shared" si="22"/>
        <v>308044.38137787685</v>
      </c>
      <c r="T329" t="str">
        <f t="shared" si="23"/>
        <v xml:space="preserve">'SHFT', </v>
      </c>
      <c r="AJ329" s="27" t="s">
        <v>198</v>
      </c>
      <c r="AK329" s="45">
        <v>-6066.27</v>
      </c>
      <c r="AL329">
        <v>-7411885.2659489755</v>
      </c>
      <c r="AN329" t="s">
        <v>175</v>
      </c>
      <c r="AO329" t="s">
        <v>98</v>
      </c>
      <c r="AP329">
        <v>2.63E-3</v>
      </c>
    </row>
    <row r="330" spans="1:42" x14ac:dyDescent="0.25">
      <c r="A330">
        <v>328</v>
      </c>
      <c r="B330" t="s">
        <v>186</v>
      </c>
      <c r="C330" s="1">
        <v>59</v>
      </c>
      <c r="E330" t="s">
        <v>87</v>
      </c>
      <c r="F330">
        <v>0</v>
      </c>
      <c r="G330" s="22">
        <v>20221214</v>
      </c>
      <c r="H330" s="61">
        <v>44910.000001469911</v>
      </c>
      <c r="I330">
        <v>18.179920864869501</v>
      </c>
      <c r="K330" s="21" t="s">
        <v>1032</v>
      </c>
      <c r="L330" s="21" t="s">
        <v>1033</v>
      </c>
      <c r="M330" s="21" t="s">
        <v>88</v>
      </c>
      <c r="N330" s="21" t="s">
        <v>187</v>
      </c>
      <c r="P330" t="str">
        <f t="shared" si="20"/>
        <v>ADA</v>
      </c>
      <c r="Q330">
        <f t="shared" si="21"/>
        <v>0.30813425194694072</v>
      </c>
      <c r="R330">
        <v>0.38471588000000001</v>
      </c>
      <c r="S330">
        <f t="shared" si="22"/>
        <v>22.698236919999999</v>
      </c>
      <c r="T330" t="str">
        <f t="shared" si="23"/>
        <v xml:space="preserve">'ADA', </v>
      </c>
      <c r="AJ330" s="4" t="s">
        <v>297</v>
      </c>
      <c r="AK330" s="45">
        <v>9823.8364263999993</v>
      </c>
      <c r="AL330">
        <v>3200.7138145636168</v>
      </c>
      <c r="AN330" t="s">
        <v>175</v>
      </c>
      <c r="AO330" t="s">
        <v>102</v>
      </c>
      <c r="AP330">
        <v>493543</v>
      </c>
    </row>
    <row r="331" spans="1:42" x14ac:dyDescent="0.25">
      <c r="A331">
        <v>329</v>
      </c>
      <c r="B331" t="s">
        <v>186</v>
      </c>
      <c r="C331" s="1">
        <v>349.04641047000001</v>
      </c>
      <c r="E331" t="s">
        <v>15</v>
      </c>
      <c r="F331">
        <v>0</v>
      </c>
      <c r="G331" s="22">
        <v>20221214</v>
      </c>
      <c r="H331" s="61">
        <v>44910.000001469911</v>
      </c>
      <c r="I331">
        <v>6218488.63195627</v>
      </c>
      <c r="K331" s="21" t="s">
        <v>1034</v>
      </c>
      <c r="L331" s="21" t="s">
        <v>1033</v>
      </c>
      <c r="M331" s="21" t="s">
        <v>88</v>
      </c>
      <c r="N331" s="21" t="s">
        <v>187</v>
      </c>
      <c r="P331" t="str">
        <f t="shared" si="20"/>
        <v>BTC</v>
      </c>
      <c r="Q331">
        <f t="shared" si="21"/>
        <v>17815.649854650888</v>
      </c>
      <c r="R331">
        <v>6065.0834999999997</v>
      </c>
      <c r="S331">
        <f t="shared" si="22"/>
        <v>2116995.6248758244</v>
      </c>
      <c r="T331" t="str">
        <f t="shared" si="23"/>
        <v xml:space="preserve">'BTC', </v>
      </c>
      <c r="AJ331" s="27" t="s">
        <v>88</v>
      </c>
      <c r="AK331" s="45">
        <v>9823.8364263999993</v>
      </c>
      <c r="AL331">
        <v>3200.7138145636168</v>
      </c>
      <c r="AN331" t="s">
        <v>176</v>
      </c>
      <c r="AO331" t="s">
        <v>98</v>
      </c>
      <c r="AP331">
        <v>10138.885630000001</v>
      </c>
    </row>
    <row r="332" spans="1:42" x14ac:dyDescent="0.25">
      <c r="A332">
        <v>330</v>
      </c>
      <c r="B332" t="s">
        <v>186</v>
      </c>
      <c r="C332" s="1">
        <v>2104.7725880100002</v>
      </c>
      <c r="E332" t="s">
        <v>16</v>
      </c>
      <c r="F332">
        <v>0</v>
      </c>
      <c r="G332" s="22">
        <v>20221214</v>
      </c>
      <c r="H332" s="61">
        <v>44910.000001469911</v>
      </c>
      <c r="I332">
        <v>2755839.1079039001</v>
      </c>
      <c r="K332" s="21" t="s">
        <v>1171</v>
      </c>
      <c r="L332" s="21" t="s">
        <v>1033</v>
      </c>
      <c r="M332" s="21" t="s">
        <v>88</v>
      </c>
      <c r="N332" s="21" t="s">
        <v>187</v>
      </c>
      <c r="P332" t="str">
        <f t="shared" si="20"/>
        <v>ETH</v>
      </c>
      <c r="Q332">
        <f t="shared" si="21"/>
        <v>1309.328676932962</v>
      </c>
      <c r="R332">
        <v>59.23</v>
      </c>
      <c r="S332">
        <f t="shared" si="22"/>
        <v>124665.6803878323</v>
      </c>
      <c r="T332" t="str">
        <f t="shared" si="23"/>
        <v xml:space="preserve">'ETH', </v>
      </c>
      <c r="AJ332" s="4" t="s">
        <v>275</v>
      </c>
      <c r="AK332" s="45">
        <v>3460.93190667</v>
      </c>
      <c r="AL332">
        <v>13486.120248613161</v>
      </c>
      <c r="AN332" t="s">
        <v>46</v>
      </c>
      <c r="AO332" t="s">
        <v>21</v>
      </c>
      <c r="AP332">
        <v>0.49829999999999902</v>
      </c>
    </row>
    <row r="333" spans="1:42" x14ac:dyDescent="0.25">
      <c r="A333">
        <v>331</v>
      </c>
      <c r="B333" t="s">
        <v>186</v>
      </c>
      <c r="C333" s="1">
        <v>1267.7570125100001</v>
      </c>
      <c r="E333" t="s">
        <v>275</v>
      </c>
      <c r="F333">
        <v>0</v>
      </c>
      <c r="G333" s="22">
        <v>20221214</v>
      </c>
      <c r="H333" s="61">
        <v>44910.000001469911</v>
      </c>
      <c r="I333">
        <v>4488.5091304412199</v>
      </c>
      <c r="K333" s="21" t="s">
        <v>1035</v>
      </c>
      <c r="L333" s="21" t="s">
        <v>1033</v>
      </c>
      <c r="M333" s="21" t="s">
        <v>88</v>
      </c>
      <c r="N333" s="21" t="s">
        <v>187</v>
      </c>
      <c r="P333" t="str">
        <f t="shared" si="20"/>
        <v>ETHW</v>
      </c>
      <c r="Q333">
        <f t="shared" si="21"/>
        <v>3.5405121692480597</v>
      </c>
      <c r="R333">
        <v>0.32653653999999999</v>
      </c>
      <c r="S333">
        <f t="shared" si="22"/>
        <v>413.96898842575212</v>
      </c>
      <c r="T333" t="str">
        <f t="shared" si="23"/>
        <v xml:space="preserve">'ETHW', </v>
      </c>
      <c r="AJ333" s="27" t="s">
        <v>88</v>
      </c>
      <c r="AK333" s="45">
        <v>3460.93190667</v>
      </c>
      <c r="AL333">
        <v>13486.120248613161</v>
      </c>
      <c r="AN333" t="s">
        <v>46</v>
      </c>
      <c r="AO333" t="s">
        <v>15</v>
      </c>
      <c r="AP333">
        <v>83.467310608521004</v>
      </c>
    </row>
    <row r="334" spans="1:42" x14ac:dyDescent="0.25">
      <c r="A334">
        <v>332</v>
      </c>
      <c r="B334" t="s">
        <v>186</v>
      </c>
      <c r="C334" s="1">
        <v>1644286.05309931</v>
      </c>
      <c r="E334" t="s">
        <v>188</v>
      </c>
      <c r="F334">
        <v>0</v>
      </c>
      <c r="G334" s="22">
        <v>20221214</v>
      </c>
      <c r="H334" s="61">
        <v>44910.000001469911</v>
      </c>
      <c r="I334">
        <v>222148.28450126699</v>
      </c>
      <c r="K334" s="21" t="s">
        <v>1036</v>
      </c>
      <c r="L334" s="21" t="s">
        <v>1033</v>
      </c>
      <c r="M334" s="21" t="s">
        <v>88</v>
      </c>
      <c r="N334" s="21" t="s">
        <v>187</v>
      </c>
      <c r="P334" t="str">
        <f t="shared" si="20"/>
        <v>WOO</v>
      </c>
      <c r="Q334">
        <f t="shared" si="21"/>
        <v>0.13510318601957386</v>
      </c>
      <c r="R334">
        <v>13.03</v>
      </c>
      <c r="S334">
        <f t="shared" si="22"/>
        <v>21425047.271884009</v>
      </c>
      <c r="T334" t="str">
        <f t="shared" si="23"/>
        <v xml:space="preserve">'WOO', </v>
      </c>
      <c r="AJ334" s="4" t="s">
        <v>261</v>
      </c>
      <c r="AK334" s="45">
        <v>339630.03834208002</v>
      </c>
      <c r="AL334">
        <v>350564.15794908552</v>
      </c>
      <c r="AN334" t="s">
        <v>46</v>
      </c>
      <c r="AO334" t="s">
        <v>15</v>
      </c>
      <c r="AP334">
        <v>206.253836413801</v>
      </c>
    </row>
    <row r="335" spans="1:42" x14ac:dyDescent="0.25">
      <c r="A335">
        <v>333</v>
      </c>
      <c r="B335" t="s">
        <v>189</v>
      </c>
      <c r="C335" s="1">
        <v>21.553935809999999</v>
      </c>
      <c r="E335" t="s">
        <v>119</v>
      </c>
      <c r="F335">
        <v>0</v>
      </c>
      <c r="G335" s="22">
        <v>20221214</v>
      </c>
      <c r="H335" s="61">
        <v>44910.019369756941</v>
      </c>
      <c r="I335">
        <v>1348.4765286499101</v>
      </c>
      <c r="K335" s="21" t="s">
        <v>1037</v>
      </c>
      <c r="L335" s="21" t="s">
        <v>1038</v>
      </c>
      <c r="M335" s="21" t="s">
        <v>88</v>
      </c>
      <c r="N335" s="21" t="s">
        <v>189</v>
      </c>
      <c r="P335" t="str">
        <f t="shared" si="20"/>
        <v>AAVE</v>
      </c>
      <c r="Q335">
        <f t="shared" si="21"/>
        <v>62.562890626420128</v>
      </c>
      <c r="R335">
        <v>0.22422048</v>
      </c>
      <c r="S335">
        <f t="shared" si="22"/>
        <v>4.8328338332073884</v>
      </c>
      <c r="T335" t="str">
        <f t="shared" si="23"/>
        <v xml:space="preserve">'AAVE', </v>
      </c>
      <c r="AJ335" s="27" t="s">
        <v>88</v>
      </c>
      <c r="AK335" s="45">
        <v>339630.03834208002</v>
      </c>
      <c r="AL335">
        <v>350564.15794908552</v>
      </c>
      <c r="AN335" t="s">
        <v>46</v>
      </c>
      <c r="AO335" t="s">
        <v>15</v>
      </c>
      <c r="AP335">
        <v>54.235957655954202</v>
      </c>
    </row>
    <row r="336" spans="1:42" x14ac:dyDescent="0.25">
      <c r="A336">
        <v>334</v>
      </c>
      <c r="B336" t="s">
        <v>189</v>
      </c>
      <c r="C336" s="1">
        <v>72355.023579999994</v>
      </c>
      <c r="E336" t="s">
        <v>87</v>
      </c>
      <c r="F336">
        <v>0</v>
      </c>
      <c r="G336" s="22">
        <v>20221214</v>
      </c>
      <c r="H336" s="61">
        <v>44910.019369756941</v>
      </c>
      <c r="I336">
        <v>22295.061065426598</v>
      </c>
      <c r="K336" s="21" t="s">
        <v>1039</v>
      </c>
      <c r="L336" s="21" t="s">
        <v>1038</v>
      </c>
      <c r="M336" s="21" t="s">
        <v>88</v>
      </c>
      <c r="N336" s="21" t="s">
        <v>189</v>
      </c>
      <c r="P336" t="str">
        <f t="shared" si="20"/>
        <v>ADA</v>
      </c>
      <c r="Q336">
        <f t="shared" si="21"/>
        <v>0.30813425194694133</v>
      </c>
      <c r="R336">
        <v>103.98</v>
      </c>
      <c r="S336">
        <f t="shared" si="22"/>
        <v>7523475.3518483993</v>
      </c>
      <c r="T336" t="str">
        <f t="shared" si="23"/>
        <v xml:space="preserve">'ADA', </v>
      </c>
      <c r="AJ336" s="4" t="s">
        <v>31</v>
      </c>
      <c r="AK336" s="45">
        <v>2339.8611111199998</v>
      </c>
      <c r="AL336">
        <v>10047.308334751389</v>
      </c>
      <c r="AN336" t="s">
        <v>46</v>
      </c>
      <c r="AO336" t="s">
        <v>23</v>
      </c>
      <c r="AP336">
        <v>33</v>
      </c>
    </row>
    <row r="337" spans="1:42" x14ac:dyDescent="0.25">
      <c r="A337">
        <v>335</v>
      </c>
      <c r="B337" t="s">
        <v>189</v>
      </c>
      <c r="C337" s="1">
        <v>7939.9443799999999</v>
      </c>
      <c r="E337" t="s">
        <v>125</v>
      </c>
      <c r="F337">
        <v>0</v>
      </c>
      <c r="G337" s="22">
        <v>20221214</v>
      </c>
      <c r="H337" s="61">
        <v>44910.019369756941</v>
      </c>
      <c r="I337">
        <v>1754.0592206604599</v>
      </c>
      <c r="K337" s="21" t="s">
        <v>1040</v>
      </c>
      <c r="L337" s="21" t="s">
        <v>1038</v>
      </c>
      <c r="M337" s="21" t="s">
        <v>88</v>
      </c>
      <c r="N337" s="21" t="s">
        <v>189</v>
      </c>
      <c r="P337" t="str">
        <f t="shared" si="20"/>
        <v>ALGO</v>
      </c>
      <c r="Q337">
        <f t="shared" si="21"/>
        <v>0.22091580705260053</v>
      </c>
      <c r="R337">
        <v>16719.740000000002</v>
      </c>
      <c r="S337">
        <f t="shared" si="22"/>
        <v>132753805.64806122</v>
      </c>
      <c r="T337" t="str">
        <f t="shared" si="23"/>
        <v xml:space="preserve">'ALGO', </v>
      </c>
      <c r="AJ337" s="27" t="s">
        <v>88</v>
      </c>
      <c r="AK337" s="45">
        <v>2339.8611111199998</v>
      </c>
      <c r="AL337">
        <v>10047.308334751389</v>
      </c>
      <c r="AN337" t="s">
        <v>46</v>
      </c>
      <c r="AO337" t="s">
        <v>24</v>
      </c>
      <c r="AP337">
        <v>147384.59369374899</v>
      </c>
    </row>
    <row r="338" spans="1:42" x14ac:dyDescent="0.25">
      <c r="A338">
        <v>336</v>
      </c>
      <c r="B338" t="s">
        <v>189</v>
      </c>
      <c r="C338" s="1">
        <v>1336.2276758400001</v>
      </c>
      <c r="E338" t="s">
        <v>190</v>
      </c>
      <c r="F338">
        <v>0</v>
      </c>
      <c r="G338" s="22">
        <v>20221214</v>
      </c>
      <c r="H338" s="61">
        <v>44910.019369756941</v>
      </c>
      <c r="I338">
        <v>18343.1450310949</v>
      </c>
      <c r="K338" s="21" t="s">
        <v>1041</v>
      </c>
      <c r="L338" s="21" t="s">
        <v>1038</v>
      </c>
      <c r="M338" s="21" t="s">
        <v>88</v>
      </c>
      <c r="N338" s="21" t="s">
        <v>189</v>
      </c>
      <c r="P338" t="str">
        <f t="shared" si="20"/>
        <v>AVAX</v>
      </c>
      <c r="Q338">
        <f t="shared" si="21"/>
        <v>13.727559578919625</v>
      </c>
      <c r="R338">
        <v>1.0002433738949958</v>
      </c>
      <c r="S338">
        <f t="shared" si="22"/>
        <v>1336.5528787740705</v>
      </c>
      <c r="T338" t="str">
        <f t="shared" si="23"/>
        <v xml:space="preserve">'AVAX', </v>
      </c>
      <c r="AJ338" s="4" t="s">
        <v>112</v>
      </c>
      <c r="AK338" s="45">
        <v>0.68557060000000003</v>
      </c>
      <c r="AL338">
        <v>1.020995740229458</v>
      </c>
      <c r="AN338" t="s">
        <v>46</v>
      </c>
      <c r="AO338" t="s">
        <v>30</v>
      </c>
      <c r="AP338">
        <v>-0.40708584438984002</v>
      </c>
    </row>
    <row r="339" spans="1:42" x14ac:dyDescent="0.25">
      <c r="A339">
        <v>337</v>
      </c>
      <c r="B339" t="s">
        <v>189</v>
      </c>
      <c r="C339" s="1">
        <v>8346.3712095800001</v>
      </c>
      <c r="E339" t="s">
        <v>127</v>
      </c>
      <c r="F339">
        <v>0</v>
      </c>
      <c r="G339" s="22">
        <v>20221214</v>
      </c>
      <c r="H339" s="61">
        <v>44910.019369756941</v>
      </c>
      <c r="I339">
        <v>1869.2646151084</v>
      </c>
      <c r="K339" s="21" t="s">
        <v>1042</v>
      </c>
      <c r="L339" s="21" t="s">
        <v>1038</v>
      </c>
      <c r="M339" s="21" t="s">
        <v>88</v>
      </c>
      <c r="N339" s="21" t="s">
        <v>189</v>
      </c>
      <c r="P339" t="str">
        <f t="shared" si="20"/>
        <v>BAT</v>
      </c>
      <c r="Q339">
        <f t="shared" si="21"/>
        <v>0.22396135615953075</v>
      </c>
      <c r="R339">
        <v>39.366320000000002</v>
      </c>
      <c r="S339">
        <f t="shared" si="22"/>
        <v>328565.91987511335</v>
      </c>
      <c r="T339" t="str">
        <f t="shared" si="23"/>
        <v xml:space="preserve">'BAT', </v>
      </c>
      <c r="AJ339" s="27" t="s">
        <v>88</v>
      </c>
      <c r="AK339" s="45">
        <v>0.68557060000000003</v>
      </c>
      <c r="AL339">
        <v>1.020995740229458</v>
      </c>
      <c r="AN339" t="s">
        <v>46</v>
      </c>
      <c r="AO339" t="s">
        <v>16</v>
      </c>
      <c r="AP339">
        <v>-25.196230196931499</v>
      </c>
    </row>
    <row r="340" spans="1:42" x14ac:dyDescent="0.25">
      <c r="A340">
        <v>338</v>
      </c>
      <c r="B340" t="s">
        <v>189</v>
      </c>
      <c r="C340" s="1">
        <v>0.826766</v>
      </c>
      <c r="E340" t="s">
        <v>21</v>
      </c>
      <c r="F340">
        <v>0</v>
      </c>
      <c r="G340" s="22">
        <v>20221214</v>
      </c>
      <c r="H340" s="61">
        <v>44910.019369756941</v>
      </c>
      <c r="I340">
        <v>90.207194765138198</v>
      </c>
      <c r="K340" s="21" t="s">
        <v>1043</v>
      </c>
      <c r="L340" s="21" t="s">
        <v>1038</v>
      </c>
      <c r="M340" s="21" t="s">
        <v>88</v>
      </c>
      <c r="N340" s="21" t="s">
        <v>189</v>
      </c>
      <c r="P340" t="str">
        <f t="shared" si="20"/>
        <v>BCH</v>
      </c>
      <c r="Q340">
        <f t="shared" si="21"/>
        <v>109.10849595307282</v>
      </c>
      <c r="R340">
        <v>8.5419999999999996E-2</v>
      </c>
      <c r="S340">
        <f t="shared" si="22"/>
        <v>7.062235171999999E-2</v>
      </c>
      <c r="T340" t="str">
        <f t="shared" si="23"/>
        <v xml:space="preserve">'BCH', </v>
      </c>
      <c r="AJ340" s="4" t="s">
        <v>137</v>
      </c>
      <c r="AK340" s="45">
        <v>54.776400000000002</v>
      </c>
      <c r="AL340">
        <v>113.6883984033032</v>
      </c>
      <c r="AN340" t="s">
        <v>46</v>
      </c>
      <c r="AO340" t="s">
        <v>16</v>
      </c>
      <c r="AP340">
        <v>5131.67158237892</v>
      </c>
    </row>
    <row r="341" spans="1:42" x14ac:dyDescent="0.25">
      <c r="A341">
        <v>339</v>
      </c>
      <c r="B341" t="s">
        <v>189</v>
      </c>
      <c r="C341" s="1">
        <v>598.26817843000003</v>
      </c>
      <c r="E341" t="s">
        <v>15</v>
      </c>
      <c r="F341">
        <v>0</v>
      </c>
      <c r="G341" s="22">
        <v>20221214</v>
      </c>
      <c r="H341" s="61">
        <v>44910.019369756941</v>
      </c>
      <c r="I341">
        <v>10658536.3860886</v>
      </c>
      <c r="K341" s="21" t="s">
        <v>1044</v>
      </c>
      <c r="L341" s="21" t="s">
        <v>1038</v>
      </c>
      <c r="M341" s="21" t="s">
        <v>88</v>
      </c>
      <c r="N341" s="21" t="s">
        <v>189</v>
      </c>
      <c r="P341" t="str">
        <f t="shared" si="20"/>
        <v>BTC</v>
      </c>
      <c r="Q341">
        <f t="shared" si="21"/>
        <v>17815.649854650754</v>
      </c>
      <c r="R341">
        <v>5.6989999999999998</v>
      </c>
      <c r="S341">
        <f t="shared" si="22"/>
        <v>3409.5303488725699</v>
      </c>
      <c r="T341" t="str">
        <f t="shared" si="23"/>
        <v xml:space="preserve">'BTC', </v>
      </c>
      <c r="AJ341" s="27" t="s">
        <v>88</v>
      </c>
      <c r="AK341" s="45">
        <v>54.776400000000002</v>
      </c>
      <c r="AL341">
        <v>113.6883984033032</v>
      </c>
      <c r="AN341" t="s">
        <v>46</v>
      </c>
      <c r="AO341" t="s">
        <v>16</v>
      </c>
      <c r="AP341">
        <v>150</v>
      </c>
    </row>
    <row r="342" spans="1:42" x14ac:dyDescent="0.25">
      <c r="A342">
        <v>340</v>
      </c>
      <c r="B342" t="s">
        <v>189</v>
      </c>
      <c r="C342" s="1">
        <v>107.31036570000001</v>
      </c>
      <c r="E342" t="s">
        <v>32</v>
      </c>
      <c r="F342">
        <v>0</v>
      </c>
      <c r="G342" s="22">
        <v>20221214</v>
      </c>
      <c r="H342" s="61">
        <v>44910.019369756941</v>
      </c>
      <c r="I342">
        <v>4223.0104824482896</v>
      </c>
      <c r="K342" s="21" t="s">
        <v>1045</v>
      </c>
      <c r="L342" s="21" t="s">
        <v>1038</v>
      </c>
      <c r="M342" s="21" t="s">
        <v>88</v>
      </c>
      <c r="N342" s="21" t="s">
        <v>189</v>
      </c>
      <c r="P342" t="str">
        <f t="shared" si="20"/>
        <v>COMP</v>
      </c>
      <c r="Q342">
        <f t="shared" si="21"/>
        <v>39.353239129333147</v>
      </c>
      <c r="R342">
        <v>0.30611965000000002</v>
      </c>
      <c r="S342">
        <f t="shared" si="22"/>
        <v>32.84981158945601</v>
      </c>
      <c r="T342" t="str">
        <f t="shared" si="23"/>
        <v xml:space="preserve">'COMP', </v>
      </c>
      <c r="AJ342" s="4" t="s">
        <v>138</v>
      </c>
      <c r="AK342" s="45">
        <v>100.03406049</v>
      </c>
      <c r="AL342">
        <v>4.5345066468947701</v>
      </c>
      <c r="AN342" t="s">
        <v>46</v>
      </c>
      <c r="AO342" t="s">
        <v>31</v>
      </c>
      <c r="AP342">
        <v>-3.6901195303759099E-2</v>
      </c>
    </row>
    <row r="343" spans="1:42" x14ac:dyDescent="0.25">
      <c r="A343">
        <v>341</v>
      </c>
      <c r="B343" t="s">
        <v>189</v>
      </c>
      <c r="C343" s="1">
        <v>2.5788782800000001</v>
      </c>
      <c r="E343" t="s">
        <v>135</v>
      </c>
      <c r="F343">
        <v>0</v>
      </c>
      <c r="G343" s="22">
        <v>20221214</v>
      </c>
      <c r="H343" s="61">
        <v>44910.019369756941</v>
      </c>
      <c r="I343">
        <v>125.961666061678</v>
      </c>
      <c r="K343" s="21" t="s">
        <v>1046</v>
      </c>
      <c r="L343" s="21" t="s">
        <v>1038</v>
      </c>
      <c r="M343" s="21" t="s">
        <v>88</v>
      </c>
      <c r="N343" s="21" t="s">
        <v>189</v>
      </c>
      <c r="P343" t="str">
        <f t="shared" si="20"/>
        <v>DASH</v>
      </c>
      <c r="Q343">
        <f t="shared" si="21"/>
        <v>48.84358716677314</v>
      </c>
      <c r="R343">
        <v>0.17945811</v>
      </c>
      <c r="S343">
        <f t="shared" si="22"/>
        <v>0.46280062204885081</v>
      </c>
      <c r="T343" t="str">
        <f t="shared" si="23"/>
        <v xml:space="preserve">'DASH', </v>
      </c>
      <c r="AJ343" s="27" t="s">
        <v>88</v>
      </c>
      <c r="AK343" s="45">
        <v>100.03406049</v>
      </c>
      <c r="AL343">
        <v>4.5345066468947701</v>
      </c>
      <c r="AN343" t="s">
        <v>46</v>
      </c>
      <c r="AO343" t="s">
        <v>25</v>
      </c>
      <c r="AP343">
        <v>-29.569263762295201</v>
      </c>
    </row>
    <row r="344" spans="1:42" x14ac:dyDescent="0.25">
      <c r="A344">
        <v>342</v>
      </c>
      <c r="B344" t="s">
        <v>189</v>
      </c>
      <c r="C344" s="1">
        <v>5680.2592693400002</v>
      </c>
      <c r="E344" t="s">
        <v>193</v>
      </c>
      <c r="F344">
        <v>0</v>
      </c>
      <c r="G344" s="22">
        <v>20221214</v>
      </c>
      <c r="H344" s="61">
        <v>44910.019369756941</v>
      </c>
      <c r="I344">
        <v>502.78469967242597</v>
      </c>
      <c r="K344" s="21" t="s">
        <v>1047</v>
      </c>
      <c r="L344" s="21" t="s">
        <v>1038</v>
      </c>
      <c r="M344" s="21" t="s">
        <v>88</v>
      </c>
      <c r="N344" s="21" t="s">
        <v>189</v>
      </c>
      <c r="P344" t="str">
        <f t="shared" si="20"/>
        <v>DOGE</v>
      </c>
      <c r="Q344">
        <f t="shared" si="21"/>
        <v>8.8514392712015319E-2</v>
      </c>
      <c r="R344">
        <v>6.2919999999999998</v>
      </c>
      <c r="S344">
        <f t="shared" si="22"/>
        <v>35740.191322687278</v>
      </c>
      <c r="T344" t="str">
        <f t="shared" si="23"/>
        <v xml:space="preserve">'DOGE', </v>
      </c>
      <c r="AJ344" s="4" t="s">
        <v>139</v>
      </c>
      <c r="AK344" s="45">
        <v>5337.6979873099999</v>
      </c>
      <c r="AL344">
        <v>5.9962334919691651</v>
      </c>
      <c r="AN344" t="s">
        <v>46</v>
      </c>
      <c r="AO344" t="s">
        <v>92</v>
      </c>
      <c r="AP344">
        <v>383818.60575309797</v>
      </c>
    </row>
    <row r="345" spans="1:42" x14ac:dyDescent="0.25">
      <c r="A345">
        <v>343</v>
      </c>
      <c r="B345" t="s">
        <v>189</v>
      </c>
      <c r="C345" s="1">
        <v>2.0019999999999998</v>
      </c>
      <c r="E345" t="s">
        <v>23</v>
      </c>
      <c r="F345">
        <v>0</v>
      </c>
      <c r="G345" s="22">
        <v>20221214</v>
      </c>
      <c r="H345" s="61">
        <v>44910.019369756941</v>
      </c>
      <c r="I345">
        <v>10.4408499214328</v>
      </c>
      <c r="K345" s="21" t="s">
        <v>1048</v>
      </c>
      <c r="L345" s="21" t="s">
        <v>1038</v>
      </c>
      <c r="M345" s="21" t="s">
        <v>88</v>
      </c>
      <c r="N345" s="21" t="s">
        <v>189</v>
      </c>
      <c r="P345" t="str">
        <f t="shared" si="20"/>
        <v>DOT</v>
      </c>
      <c r="Q345">
        <f t="shared" si="21"/>
        <v>5.2152097509654354</v>
      </c>
      <c r="R345">
        <v>62.35</v>
      </c>
      <c r="S345">
        <f t="shared" si="22"/>
        <v>124.82469999999999</v>
      </c>
      <c r="T345" t="str">
        <f t="shared" si="23"/>
        <v xml:space="preserve">'DOT', </v>
      </c>
      <c r="AJ345" s="27" t="s">
        <v>88</v>
      </c>
      <c r="AK345" s="45">
        <v>5337.6979873099999</v>
      </c>
      <c r="AL345">
        <v>5.9962334919691651</v>
      </c>
      <c r="AN345" t="s">
        <v>46</v>
      </c>
      <c r="AO345" t="s">
        <v>38</v>
      </c>
      <c r="AP345">
        <v>-10030682958.4883</v>
      </c>
    </row>
    <row r="346" spans="1:42" x14ac:dyDescent="0.25">
      <c r="A346">
        <v>344</v>
      </c>
      <c r="B346" t="s">
        <v>189</v>
      </c>
      <c r="C346" s="1">
        <v>170.34154862</v>
      </c>
      <c r="E346" t="s">
        <v>29</v>
      </c>
      <c r="F346">
        <v>0</v>
      </c>
      <c r="G346" s="22">
        <v>20221214</v>
      </c>
      <c r="H346" s="61">
        <v>44910.019369756941</v>
      </c>
      <c r="I346">
        <v>51.147438254390501</v>
      </c>
      <c r="K346" s="21" t="s">
        <v>1169</v>
      </c>
      <c r="L346" s="21" t="s">
        <v>1038</v>
      </c>
      <c r="M346" s="21" t="s">
        <v>88</v>
      </c>
      <c r="N346" s="21" t="s">
        <v>189</v>
      </c>
      <c r="P346" t="str">
        <f t="shared" si="20"/>
        <v>ENJ</v>
      </c>
      <c r="Q346">
        <f t="shared" si="21"/>
        <v>0.30026402054434076</v>
      </c>
      <c r="R346">
        <v>0.41775250000000003</v>
      </c>
      <c r="S346">
        <f t="shared" si="22"/>
        <v>71.160607789876551</v>
      </c>
      <c r="T346" t="str">
        <f t="shared" si="23"/>
        <v xml:space="preserve">'ENJ', </v>
      </c>
      <c r="AJ346" s="4" t="s">
        <v>140</v>
      </c>
      <c r="AK346" s="45">
        <v>3354.5254768599998</v>
      </c>
      <c r="AL346">
        <v>16293.74993214988</v>
      </c>
      <c r="AN346" t="s">
        <v>46</v>
      </c>
      <c r="AO346" t="s">
        <v>95</v>
      </c>
      <c r="AP346">
        <v>-66835.391536763593</v>
      </c>
    </row>
    <row r="347" spans="1:42" x14ac:dyDescent="0.25">
      <c r="A347">
        <v>345</v>
      </c>
      <c r="B347" t="s">
        <v>189</v>
      </c>
      <c r="C347" s="1">
        <v>885.21320000000003</v>
      </c>
      <c r="E347" t="s">
        <v>24</v>
      </c>
      <c r="F347">
        <v>0</v>
      </c>
      <c r="G347" s="22">
        <v>20221214</v>
      </c>
      <c r="H347" s="61">
        <v>44910.019369756941</v>
      </c>
      <c r="I347">
        <v>865.75739712052905</v>
      </c>
      <c r="K347" s="21" t="s">
        <v>1049</v>
      </c>
      <c r="L347" s="21" t="s">
        <v>1038</v>
      </c>
      <c r="M347" s="21" t="s">
        <v>88</v>
      </c>
      <c r="N347" s="21" t="s">
        <v>189</v>
      </c>
      <c r="P347" t="str">
        <f t="shared" si="20"/>
        <v>EOS</v>
      </c>
      <c r="Q347">
        <f t="shared" si="21"/>
        <v>0.97802133669101299</v>
      </c>
      <c r="R347">
        <v>1.1276999999999999</v>
      </c>
      <c r="S347">
        <f t="shared" si="22"/>
        <v>998.25492564000001</v>
      </c>
      <c r="T347" t="str">
        <f t="shared" si="23"/>
        <v xml:space="preserve">'EOS', </v>
      </c>
      <c r="AJ347" s="27" t="s">
        <v>88</v>
      </c>
      <c r="AK347" s="45">
        <v>3354.5254768599998</v>
      </c>
      <c r="AL347">
        <v>16293.74993214988</v>
      </c>
      <c r="AN347" t="s">
        <v>46</v>
      </c>
      <c r="AO347" t="s">
        <v>39</v>
      </c>
      <c r="AP347">
        <v>34742049.153713502</v>
      </c>
    </row>
    <row r="348" spans="1:42" x14ac:dyDescent="0.25">
      <c r="A348">
        <v>346</v>
      </c>
      <c r="B348" t="s">
        <v>189</v>
      </c>
      <c r="C348" s="1">
        <v>5.8852999999999998E-4</v>
      </c>
      <c r="E348" t="s">
        <v>30</v>
      </c>
      <c r="F348">
        <v>0</v>
      </c>
      <c r="G348" s="22">
        <v>20221214</v>
      </c>
      <c r="H348" s="61">
        <v>44910.019369756941</v>
      </c>
      <c r="I348">
        <v>1.10571175645403E-2</v>
      </c>
      <c r="K348" s="21" t="s">
        <v>1050</v>
      </c>
      <c r="L348" s="21" t="s">
        <v>1038</v>
      </c>
      <c r="M348" s="21" t="s">
        <v>88</v>
      </c>
      <c r="N348" s="21" t="s">
        <v>189</v>
      </c>
      <c r="P348" t="str">
        <f t="shared" si="20"/>
        <v>ETC</v>
      </c>
      <c r="Q348">
        <f t="shared" si="21"/>
        <v>18.787687228417074</v>
      </c>
      <c r="R348">
        <v>9.1027119999999996E-6</v>
      </c>
      <c r="S348">
        <f t="shared" si="22"/>
        <v>5.3572190933599995E-9</v>
      </c>
      <c r="T348" t="str">
        <f t="shared" si="23"/>
        <v xml:space="preserve">'ETC', </v>
      </c>
      <c r="AJ348" s="4" t="s">
        <v>142</v>
      </c>
      <c r="AK348" s="45">
        <v>14.785856219999999</v>
      </c>
      <c r="AL348">
        <v>0.12488945366293019</v>
      </c>
      <c r="AN348" t="s">
        <v>46</v>
      </c>
      <c r="AO348" t="s">
        <v>39</v>
      </c>
      <c r="AP348">
        <v>17263081.789881501</v>
      </c>
    </row>
    <row r="349" spans="1:42" x14ac:dyDescent="0.25">
      <c r="A349">
        <v>347</v>
      </c>
      <c r="B349" t="s">
        <v>189</v>
      </c>
      <c r="C349" s="1">
        <v>3813.7481754699902</v>
      </c>
      <c r="E349" t="s">
        <v>16</v>
      </c>
      <c r="F349">
        <v>0</v>
      </c>
      <c r="G349" s="22">
        <v>20221214</v>
      </c>
      <c r="H349" s="61">
        <v>44910.019369756941</v>
      </c>
      <c r="I349">
        <v>4993449.8527436303</v>
      </c>
      <c r="K349" s="21" t="s">
        <v>1051</v>
      </c>
      <c r="L349" s="21" t="s">
        <v>1038</v>
      </c>
      <c r="M349" s="21" t="s">
        <v>88</v>
      </c>
      <c r="N349" s="21" t="s">
        <v>189</v>
      </c>
      <c r="P349" t="str">
        <f t="shared" si="20"/>
        <v>ETH</v>
      </c>
      <c r="Q349">
        <f t="shared" si="21"/>
        <v>1309.3286769329648</v>
      </c>
      <c r="R349">
        <v>13.78</v>
      </c>
      <c r="S349">
        <f t="shared" si="22"/>
        <v>52553.449857976462</v>
      </c>
      <c r="T349" t="str">
        <f t="shared" si="23"/>
        <v xml:space="preserve">'ETH', </v>
      </c>
      <c r="AJ349" s="27" t="s">
        <v>88</v>
      </c>
      <c r="AK349" s="45">
        <v>14.785856219999999</v>
      </c>
      <c r="AL349">
        <v>0.12488945366293019</v>
      </c>
      <c r="AN349" t="s">
        <v>46</v>
      </c>
      <c r="AO349" t="s">
        <v>102</v>
      </c>
      <c r="AP349">
        <v>0.44933626032875401</v>
      </c>
    </row>
    <row r="350" spans="1:42" x14ac:dyDescent="0.25">
      <c r="A350">
        <v>348</v>
      </c>
      <c r="B350" t="s">
        <v>189</v>
      </c>
      <c r="C350" s="1">
        <v>0.42501022999999999</v>
      </c>
      <c r="E350" t="s">
        <v>275</v>
      </c>
      <c r="F350">
        <v>0</v>
      </c>
      <c r="G350" s="22">
        <v>20221214</v>
      </c>
      <c r="H350" s="61">
        <v>44910.019369756941</v>
      </c>
      <c r="I350">
        <v>1.5047538913699099</v>
      </c>
      <c r="K350" s="21" t="s">
        <v>1052</v>
      </c>
      <c r="L350" s="21" t="s">
        <v>1038</v>
      </c>
      <c r="M350" s="21" t="s">
        <v>88</v>
      </c>
      <c r="N350" s="21" t="s">
        <v>189</v>
      </c>
      <c r="P350" t="str">
        <f t="shared" si="20"/>
        <v>ETHW</v>
      </c>
      <c r="Q350">
        <f t="shared" si="21"/>
        <v>3.5405121692480437</v>
      </c>
      <c r="R350">
        <v>5.7869999999999999</v>
      </c>
      <c r="S350">
        <f t="shared" si="22"/>
        <v>2.4595342010099999</v>
      </c>
      <c r="T350" t="str">
        <f t="shared" si="23"/>
        <v xml:space="preserve">'ETHW', </v>
      </c>
      <c r="AJ350" s="4" t="s">
        <v>143</v>
      </c>
      <c r="AK350" s="45">
        <v>0.81765067999999996</v>
      </c>
      <c r="AL350">
        <v>1.0843441088562659E-2</v>
      </c>
      <c r="AN350" t="s">
        <v>46</v>
      </c>
      <c r="AO350" t="s">
        <v>102</v>
      </c>
      <c r="AP350">
        <v>5297132.9727466302</v>
      </c>
    </row>
    <row r="351" spans="1:42" x14ac:dyDescent="0.25">
      <c r="A351">
        <v>349</v>
      </c>
      <c r="B351" t="s">
        <v>189</v>
      </c>
      <c r="C351" s="1">
        <v>5024</v>
      </c>
      <c r="E351" t="s">
        <v>261</v>
      </c>
      <c r="F351">
        <v>0</v>
      </c>
      <c r="G351" s="22">
        <v>20221214</v>
      </c>
      <c r="H351" s="61">
        <v>44910.019369756941</v>
      </c>
      <c r="I351">
        <v>5367.2971709891099</v>
      </c>
      <c r="K351" s="21" t="s">
        <v>1053</v>
      </c>
      <c r="L351" s="21" t="s">
        <v>1038</v>
      </c>
      <c r="M351" s="21" t="s">
        <v>88</v>
      </c>
      <c r="N351" s="21" t="s">
        <v>189</v>
      </c>
      <c r="P351" t="str">
        <f t="shared" si="20"/>
        <v>EUROC</v>
      </c>
      <c r="Q351">
        <f t="shared" si="21"/>
        <v>1.0683314432701254</v>
      </c>
      <c r="R351">
        <v>1.9404659000000001E-2</v>
      </c>
      <c r="S351">
        <f t="shared" si="22"/>
        <v>97.489006816</v>
      </c>
      <c r="T351" t="str">
        <f>IF($C351="","","'"&amp;P351&amp;"', ")</f>
        <v xml:space="preserve">'EUROC', </v>
      </c>
      <c r="AJ351" s="27" t="s">
        <v>88</v>
      </c>
      <c r="AK351" s="45">
        <v>0.81765067999999996</v>
      </c>
      <c r="AL351">
        <v>1.0843441088562659E-2</v>
      </c>
      <c r="AN351" t="s">
        <v>46</v>
      </c>
      <c r="AO351" t="s">
        <v>102</v>
      </c>
      <c r="AP351">
        <v>-2041.7036599847299</v>
      </c>
    </row>
    <row r="352" spans="1:42" x14ac:dyDescent="0.25">
      <c r="A352">
        <v>350</v>
      </c>
      <c r="B352" t="s">
        <v>189</v>
      </c>
      <c r="C352" s="1">
        <v>3969.6552405000002</v>
      </c>
      <c r="E352" t="s">
        <v>194</v>
      </c>
      <c r="F352">
        <v>0</v>
      </c>
      <c r="G352" s="22">
        <v>20221214</v>
      </c>
      <c r="H352" s="61">
        <v>44910.019369756941</v>
      </c>
      <c r="I352">
        <v>955.17595012880599</v>
      </c>
      <c r="K352" s="21" t="s">
        <v>1054</v>
      </c>
      <c r="L352" s="21" t="s">
        <v>1038</v>
      </c>
      <c r="M352" s="21" t="s">
        <v>88</v>
      </c>
      <c r="N352" s="21" t="s">
        <v>189</v>
      </c>
      <c r="P352" t="str">
        <f t="shared" si="20"/>
        <v>FTM</v>
      </c>
      <c r="Q352">
        <f t="shared" si="21"/>
        <v>0.24061937177408291</v>
      </c>
      <c r="R352">
        <v>9.0786800000000001E-2</v>
      </c>
      <c r="S352">
        <f t="shared" si="22"/>
        <v>360.39229638822542</v>
      </c>
      <c r="T352" t="str">
        <f t="shared" ref="T352:T407" si="24">IF($C352="","","'"&amp;P352&amp;"', ")</f>
        <v xml:space="preserve">'FTM', </v>
      </c>
      <c r="AJ352" s="4" t="s">
        <v>144</v>
      </c>
      <c r="AK352" s="45">
        <v>9.1121815000000002</v>
      </c>
      <c r="AL352">
        <v>0.19232876287963729</v>
      </c>
      <c r="AN352" t="s">
        <v>46</v>
      </c>
      <c r="AO352" t="s">
        <v>27</v>
      </c>
      <c r="AP352">
        <v>1540128.6311230001</v>
      </c>
    </row>
    <row r="353" spans="1:42" x14ac:dyDescent="0.25">
      <c r="A353">
        <v>351</v>
      </c>
      <c r="B353" t="s">
        <v>189</v>
      </c>
      <c r="C353" s="1">
        <v>2.53888889</v>
      </c>
      <c r="E353" t="s">
        <v>112</v>
      </c>
      <c r="F353">
        <v>0</v>
      </c>
      <c r="G353" s="22">
        <v>20221214</v>
      </c>
      <c r="H353" s="61">
        <v>44910.019369756941</v>
      </c>
      <c r="I353">
        <v>3.4814643363341302</v>
      </c>
      <c r="K353" s="21" t="s">
        <v>1055</v>
      </c>
      <c r="L353" s="21" t="s">
        <v>1038</v>
      </c>
      <c r="M353" s="21" t="s">
        <v>88</v>
      </c>
      <c r="N353" s="21" t="s">
        <v>189</v>
      </c>
      <c r="P353" t="str">
        <f t="shared" si="20"/>
        <v>FTT</v>
      </c>
      <c r="Q353">
        <f t="shared" si="21"/>
        <v>1.3712550990500929</v>
      </c>
      <c r="R353">
        <v>103.98</v>
      </c>
      <c r="S353">
        <f t="shared" si="22"/>
        <v>263.99366678220002</v>
      </c>
      <c r="T353" t="str">
        <f t="shared" si="24"/>
        <v xml:space="preserve">'FTT', </v>
      </c>
      <c r="AJ353" s="27" t="s">
        <v>88</v>
      </c>
      <c r="AK353" s="45">
        <v>9.1121815000000002</v>
      </c>
      <c r="AL353">
        <v>0.19232876287963729</v>
      </c>
      <c r="AN353" t="s">
        <v>46</v>
      </c>
      <c r="AO353" t="s">
        <v>334</v>
      </c>
      <c r="AP353">
        <v>-24678.549614920001</v>
      </c>
    </row>
    <row r="354" spans="1:42" x14ac:dyDescent="0.25">
      <c r="A354">
        <v>352</v>
      </c>
      <c r="B354" t="s">
        <v>189</v>
      </c>
      <c r="C354" s="1">
        <v>401.2307831</v>
      </c>
      <c r="E354" t="s">
        <v>635</v>
      </c>
      <c r="F354">
        <v>0</v>
      </c>
      <c r="G354" s="22">
        <v>20221214</v>
      </c>
      <c r="H354" s="61">
        <v>44910.019369756941</v>
      </c>
      <c r="I354">
        <v>26.365646284376101</v>
      </c>
      <c r="K354" s="21" t="s">
        <v>1056</v>
      </c>
      <c r="L354" s="21" t="s">
        <v>1038</v>
      </c>
      <c r="M354" s="21" t="s">
        <v>88</v>
      </c>
      <c r="N354" s="21" t="s">
        <v>189</v>
      </c>
      <c r="P354" t="str">
        <f t="shared" si="20"/>
        <v>GRT</v>
      </c>
      <c r="Q354">
        <f t="shared" si="21"/>
        <v>6.5711922900504149E-2</v>
      </c>
      <c r="R354">
        <v>39.841106000000003</v>
      </c>
      <c r="S354">
        <f t="shared" si="22"/>
        <v>15985.478159950109</v>
      </c>
      <c r="T354" t="str">
        <f t="shared" si="24"/>
        <v xml:space="preserve">'GRT', </v>
      </c>
      <c r="AJ354" s="4" t="s">
        <v>44</v>
      </c>
      <c r="AK354" s="45">
        <v>5</v>
      </c>
      <c r="AL354">
        <v>115.9608196675254</v>
      </c>
      <c r="AN354" t="s">
        <v>187</v>
      </c>
      <c r="AO354" t="s">
        <v>87</v>
      </c>
      <c r="AP354">
        <v>59</v>
      </c>
    </row>
    <row r="355" spans="1:42" x14ac:dyDescent="0.25">
      <c r="A355">
        <v>353</v>
      </c>
      <c r="B355" t="s">
        <v>189</v>
      </c>
      <c r="C355" s="1">
        <v>6955.5320218500001</v>
      </c>
      <c r="E355" t="s">
        <v>138</v>
      </c>
      <c r="F355">
        <v>0</v>
      </c>
      <c r="G355" s="22">
        <v>20221214</v>
      </c>
      <c r="H355" s="61">
        <v>44910.019369756941</v>
      </c>
      <c r="I355">
        <v>324.67637506528399</v>
      </c>
      <c r="K355" s="21" t="s">
        <v>1057</v>
      </c>
      <c r="L355" s="21" t="s">
        <v>1038</v>
      </c>
      <c r="M355" s="21" t="s">
        <v>88</v>
      </c>
      <c r="N355" s="21" t="s">
        <v>189</v>
      </c>
      <c r="P355" t="str">
        <f t="shared" si="20"/>
        <v>HBAR</v>
      </c>
      <c r="Q355">
        <f t="shared" si="21"/>
        <v>4.667887000524916E-2</v>
      </c>
      <c r="R355">
        <v>0.90154135000000002</v>
      </c>
      <c r="S355">
        <f t="shared" si="22"/>
        <v>6270.6997289468791</v>
      </c>
      <c r="T355" t="str">
        <f t="shared" si="24"/>
        <v xml:space="preserve">'HBAR', </v>
      </c>
      <c r="AJ355" s="27" t="s">
        <v>88</v>
      </c>
      <c r="AK355" s="45">
        <v>5</v>
      </c>
      <c r="AL355">
        <v>115.9608196675254</v>
      </c>
      <c r="AN355" t="s">
        <v>187</v>
      </c>
      <c r="AO355" t="s">
        <v>15</v>
      </c>
      <c r="AP355">
        <v>-221.57694376000001</v>
      </c>
    </row>
    <row r="356" spans="1:42" x14ac:dyDescent="0.25">
      <c r="A356">
        <v>354</v>
      </c>
      <c r="B356" t="s">
        <v>189</v>
      </c>
      <c r="C356" s="1">
        <v>9.2269799999999992E-3</v>
      </c>
      <c r="E356" t="s">
        <v>44</v>
      </c>
      <c r="F356">
        <v>0</v>
      </c>
      <c r="G356" s="22">
        <v>20221214</v>
      </c>
      <c r="H356" s="61">
        <v>44910.019369756941</v>
      </c>
      <c r="I356">
        <v>0.25417860522711799</v>
      </c>
      <c r="K356" s="21" t="s">
        <v>1058</v>
      </c>
      <c r="L356" s="21" t="s">
        <v>1038</v>
      </c>
      <c r="M356" s="21" t="s">
        <v>88</v>
      </c>
      <c r="N356" s="21" t="s">
        <v>189</v>
      </c>
      <c r="P356" t="str">
        <f t="shared" si="20"/>
        <v>KSM</v>
      </c>
      <c r="Q356">
        <f t="shared" si="21"/>
        <v>27.547323742667484</v>
      </c>
      <c r="R356">
        <v>1208.73</v>
      </c>
      <c r="S356">
        <f t="shared" si="22"/>
        <v>11.1529275354</v>
      </c>
      <c r="T356" t="str">
        <f t="shared" si="24"/>
        <v xml:space="preserve">'KSM', </v>
      </c>
      <c r="AJ356" s="4" t="s">
        <v>145</v>
      </c>
      <c r="AK356" s="45">
        <v>0.24234807999999999</v>
      </c>
      <c r="AL356">
        <v>2.7518533091107778E-4</v>
      </c>
      <c r="AN356" t="s">
        <v>187</v>
      </c>
      <c r="AO356" t="s">
        <v>16</v>
      </c>
      <c r="AP356">
        <v>-2975.5798351799999</v>
      </c>
    </row>
    <row r="357" spans="1:42" x14ac:dyDescent="0.25">
      <c r="A357">
        <v>355</v>
      </c>
      <c r="B357" t="s">
        <v>189</v>
      </c>
      <c r="C357" s="1">
        <v>991.68718306000005</v>
      </c>
      <c r="E357" t="s">
        <v>28</v>
      </c>
      <c r="F357">
        <v>0</v>
      </c>
      <c r="G357" s="22">
        <v>20221214</v>
      </c>
      <c r="H357" s="61">
        <v>44910.019369756941</v>
      </c>
      <c r="I357">
        <v>6672.89254172864</v>
      </c>
      <c r="K357" s="21" t="s">
        <v>1059</v>
      </c>
      <c r="L357" s="21" t="s">
        <v>1038</v>
      </c>
      <c r="M357" s="21" t="s">
        <v>88</v>
      </c>
      <c r="N357" s="21" t="s">
        <v>189</v>
      </c>
      <c r="P357" t="str">
        <f t="shared" si="20"/>
        <v>LINK</v>
      </c>
      <c r="Q357">
        <f t="shared" si="21"/>
        <v>6.7288280575921391</v>
      </c>
      <c r="R357">
        <v>6.2919999999999998</v>
      </c>
      <c r="S357">
        <f t="shared" si="22"/>
        <v>6239.69575581352</v>
      </c>
      <c r="T357" t="str">
        <f t="shared" si="24"/>
        <v xml:space="preserve">'LINK', </v>
      </c>
      <c r="AJ357" s="27" t="s">
        <v>88</v>
      </c>
      <c r="AK357" s="45">
        <v>0.24234807999999999</v>
      </c>
      <c r="AL357">
        <v>2.7518533091107778E-4</v>
      </c>
      <c r="AN357" t="s">
        <v>187</v>
      </c>
      <c r="AO357" t="s">
        <v>275</v>
      </c>
      <c r="AP357">
        <v>1267.7570125100001</v>
      </c>
    </row>
    <row r="358" spans="1:42" x14ac:dyDescent="0.25">
      <c r="A358">
        <v>356</v>
      </c>
      <c r="B358" t="s">
        <v>189</v>
      </c>
      <c r="C358" s="1">
        <v>6.3299567400000001</v>
      </c>
      <c r="E358" t="s">
        <v>25</v>
      </c>
      <c r="F358">
        <v>0</v>
      </c>
      <c r="G358" s="22">
        <v>20221214</v>
      </c>
      <c r="H358" s="61">
        <v>44910.019369756941</v>
      </c>
      <c r="I358">
        <v>477.75895179417302</v>
      </c>
      <c r="K358" s="21" t="s">
        <v>1060</v>
      </c>
      <c r="L358" s="21" t="s">
        <v>1038</v>
      </c>
      <c r="M358" s="21" t="s">
        <v>88</v>
      </c>
      <c r="N358" s="21" t="s">
        <v>189</v>
      </c>
      <c r="P358" t="str">
        <f t="shared" si="20"/>
        <v>LTC</v>
      </c>
      <c r="Q358">
        <f t="shared" si="21"/>
        <v>75.475863646134968</v>
      </c>
      <c r="R358">
        <v>62.35</v>
      </c>
      <c r="S358">
        <f t="shared" si="22"/>
        <v>394.67280273900002</v>
      </c>
      <c r="T358" t="str">
        <f t="shared" si="24"/>
        <v xml:space="preserve">'LTC', </v>
      </c>
      <c r="AJ358" s="4" t="s">
        <v>146</v>
      </c>
      <c r="AK358" s="45">
        <v>1E-8</v>
      </c>
      <c r="AL358">
        <v>0</v>
      </c>
      <c r="AN358" t="s">
        <v>187</v>
      </c>
      <c r="AO358" t="s">
        <v>39</v>
      </c>
      <c r="AP358">
        <v>10004697.2340612</v>
      </c>
    </row>
    <row r="359" spans="1:42" x14ac:dyDescent="0.25">
      <c r="A359">
        <v>357</v>
      </c>
      <c r="B359" t="s">
        <v>189</v>
      </c>
      <c r="C359" s="1">
        <v>1894.9818869999999</v>
      </c>
      <c r="E359" t="s">
        <v>195</v>
      </c>
      <c r="F359">
        <v>0</v>
      </c>
      <c r="G359" s="22">
        <v>20221214</v>
      </c>
      <c r="H359" s="61">
        <v>44910.019369756941</v>
      </c>
      <c r="I359">
        <v>723.61853302628197</v>
      </c>
      <c r="K359" s="21" t="s">
        <v>1061</v>
      </c>
      <c r="L359" s="21" t="s">
        <v>1038</v>
      </c>
      <c r="M359" s="21" t="s">
        <v>88</v>
      </c>
      <c r="N359" s="21" t="s">
        <v>189</v>
      </c>
      <c r="P359" t="str">
        <f t="shared" si="20"/>
        <v>MANA</v>
      </c>
      <c r="Q359">
        <f t="shared" si="21"/>
        <v>0.38186039560085883</v>
      </c>
      <c r="R359">
        <v>0.99940190110900451</v>
      </c>
      <c r="S359">
        <f t="shared" si="22"/>
        <v>1893.8485004349286</v>
      </c>
      <c r="T359" t="str">
        <f t="shared" si="24"/>
        <v xml:space="preserve">'MANA', </v>
      </c>
      <c r="AJ359" s="27" t="s">
        <v>88</v>
      </c>
      <c r="AK359" s="45">
        <v>1E-8</v>
      </c>
      <c r="AL359">
        <v>0</v>
      </c>
      <c r="AN359" t="s">
        <v>187</v>
      </c>
      <c r="AO359" t="s">
        <v>188</v>
      </c>
      <c r="AP359">
        <v>1644286.05309931</v>
      </c>
    </row>
    <row r="360" spans="1:42" x14ac:dyDescent="0.25">
      <c r="A360">
        <v>358</v>
      </c>
      <c r="B360" t="s">
        <v>189</v>
      </c>
      <c r="C360" s="1">
        <v>9754.9953736700008</v>
      </c>
      <c r="E360" t="s">
        <v>196</v>
      </c>
      <c r="F360">
        <v>0</v>
      </c>
      <c r="G360" s="22">
        <v>20221214</v>
      </c>
      <c r="H360" s="61">
        <v>44910.019369756941</v>
      </c>
      <c r="I360">
        <v>8812.1492566720899</v>
      </c>
      <c r="K360" s="21" t="s">
        <v>1062</v>
      </c>
      <c r="L360" s="21" t="s">
        <v>1038</v>
      </c>
      <c r="M360" s="21" t="s">
        <v>88</v>
      </c>
      <c r="N360" s="21" t="s">
        <v>189</v>
      </c>
      <c r="P360" t="str">
        <f t="shared" si="20"/>
        <v>MATIC</v>
      </c>
      <c r="Q360">
        <f t="shared" si="21"/>
        <v>0.90334735375244002</v>
      </c>
      <c r="R360">
        <v>16719.740000000002</v>
      </c>
      <c r="S360">
        <f t="shared" si="22"/>
        <v>163100986.34896529</v>
      </c>
      <c r="T360" t="str">
        <f t="shared" si="24"/>
        <v xml:space="preserve">'MATIC', </v>
      </c>
      <c r="AJ360" s="4" t="s">
        <v>28</v>
      </c>
      <c r="AK360" s="45">
        <v>7841.9514679599997</v>
      </c>
      <c r="AL360">
        <v>47619.829376495356</v>
      </c>
    </row>
    <row r="361" spans="1:42" x14ac:dyDescent="0.25">
      <c r="A361">
        <v>359</v>
      </c>
      <c r="B361" t="s">
        <v>189</v>
      </c>
      <c r="C361" s="1">
        <v>0.77666018999999997</v>
      </c>
      <c r="E361" t="s">
        <v>567</v>
      </c>
      <c r="F361">
        <v>0</v>
      </c>
      <c r="G361" s="22">
        <v>20221214</v>
      </c>
      <c r="H361" s="61">
        <v>44910.019369756941</v>
      </c>
      <c r="I361">
        <v>470.77853044224997</v>
      </c>
      <c r="K361" s="21" t="s">
        <v>1063</v>
      </c>
      <c r="L361" s="21" t="s">
        <v>1038</v>
      </c>
      <c r="M361" s="21" t="s">
        <v>88</v>
      </c>
      <c r="N361" s="21" t="s">
        <v>189</v>
      </c>
      <c r="P361" t="str">
        <f t="shared" si="20"/>
        <v>MKR</v>
      </c>
      <c r="Q361">
        <f t="shared" si="21"/>
        <v>606.15766908594867</v>
      </c>
      <c r="R361">
        <v>0.90154135000000002</v>
      </c>
      <c r="S361">
        <f t="shared" si="22"/>
        <v>0.70019127618385646</v>
      </c>
      <c r="T361" t="str">
        <f t="shared" si="24"/>
        <v xml:space="preserve">'MKR', </v>
      </c>
      <c r="AJ361" s="27" t="s">
        <v>88</v>
      </c>
      <c r="AK361" s="45">
        <v>26914.95146796</v>
      </c>
      <c r="AL361">
        <v>163439.59814307874</v>
      </c>
    </row>
    <row r="362" spans="1:42" x14ac:dyDescent="0.25">
      <c r="A362">
        <v>360</v>
      </c>
      <c r="B362" t="s">
        <v>189</v>
      </c>
      <c r="C362" s="1">
        <v>106.971</v>
      </c>
      <c r="E362" t="s">
        <v>153</v>
      </c>
      <c r="F362">
        <v>0</v>
      </c>
      <c r="G362" s="22">
        <v>20221214</v>
      </c>
      <c r="H362" s="61">
        <v>44910.019369756941</v>
      </c>
      <c r="I362">
        <v>125.99285361318501</v>
      </c>
      <c r="K362" s="21" t="s">
        <v>1064</v>
      </c>
      <c r="L362" s="21" t="s">
        <v>1038</v>
      </c>
      <c r="M362" s="21" t="s">
        <v>88</v>
      </c>
      <c r="N362" s="21" t="s">
        <v>189</v>
      </c>
      <c r="P362" t="str">
        <f t="shared" si="20"/>
        <v>OMG</v>
      </c>
      <c r="Q362">
        <f t="shared" si="21"/>
        <v>1.1778225277241963</v>
      </c>
      <c r="R362">
        <v>1208.73</v>
      </c>
      <c r="S362">
        <f t="shared" si="22"/>
        <v>129299.05683</v>
      </c>
      <c r="T362" t="str">
        <f t="shared" si="24"/>
        <v xml:space="preserve">'OMG', </v>
      </c>
      <c r="AJ362" s="27" t="s">
        <v>198</v>
      </c>
      <c r="AK362" s="45">
        <v>-19073</v>
      </c>
      <c r="AL362">
        <v>-115819.76876658338</v>
      </c>
    </row>
    <row r="363" spans="1:42" x14ac:dyDescent="0.25">
      <c r="A363">
        <v>361</v>
      </c>
      <c r="B363" t="s">
        <v>189</v>
      </c>
      <c r="C363" s="1">
        <v>24.565999999999999</v>
      </c>
      <c r="E363" t="s">
        <v>92</v>
      </c>
      <c r="F363">
        <v>0</v>
      </c>
      <c r="G363" s="22">
        <v>20221214</v>
      </c>
      <c r="H363" s="61">
        <v>44910.019369756941</v>
      </c>
      <c r="I363">
        <v>1.9942155881477901</v>
      </c>
      <c r="K363" s="21" t="s">
        <v>1065</v>
      </c>
      <c r="L363" s="21" t="s">
        <v>1038</v>
      </c>
      <c r="M363" s="21" t="s">
        <v>88</v>
      </c>
      <c r="N363" s="21" t="s">
        <v>189</v>
      </c>
      <c r="P363" t="str">
        <f t="shared" si="20"/>
        <v>OXT</v>
      </c>
      <c r="Q363">
        <f t="shared" si="21"/>
        <v>8.1177871372945951E-2</v>
      </c>
      <c r="R363">
        <v>16719.740000000002</v>
      </c>
      <c r="S363">
        <f t="shared" si="22"/>
        <v>410737.13284000003</v>
      </c>
      <c r="T363" t="str">
        <f t="shared" si="24"/>
        <v xml:space="preserve">'OXT', </v>
      </c>
      <c r="AJ363" s="4" t="s">
        <v>147</v>
      </c>
      <c r="AK363" s="45">
        <v>4.3289484800000002</v>
      </c>
      <c r="AL363">
        <v>1.058141254504416E-6</v>
      </c>
    </row>
    <row r="364" spans="1:42" x14ac:dyDescent="0.25">
      <c r="A364">
        <v>362</v>
      </c>
      <c r="B364" t="s">
        <v>189</v>
      </c>
      <c r="C364" s="1">
        <v>664916118.04308903</v>
      </c>
      <c r="E364" t="s">
        <v>38</v>
      </c>
      <c r="F364">
        <v>0</v>
      </c>
      <c r="G364" s="22">
        <v>20221214</v>
      </c>
      <c r="H364" s="61">
        <v>44910.019369756941</v>
      </c>
      <c r="I364">
        <v>5966.1302010747604</v>
      </c>
      <c r="K364" s="21" t="s">
        <v>1066</v>
      </c>
      <c r="L364" s="21" t="s">
        <v>1038</v>
      </c>
      <c r="M364" s="21" t="s">
        <v>88</v>
      </c>
      <c r="N364" s="21" t="s">
        <v>189</v>
      </c>
      <c r="P364" t="str">
        <f t="shared" si="20"/>
        <v>SHIB</v>
      </c>
      <c r="Q364">
        <f t="shared" si="21"/>
        <v>8.9727561705582438E-6</v>
      </c>
      <c r="R364">
        <v>1208.73</v>
      </c>
      <c r="S364">
        <f t="shared" si="22"/>
        <v>803704059362.22302</v>
      </c>
      <c r="T364" t="str">
        <f t="shared" si="24"/>
        <v xml:space="preserve">'SHIB', </v>
      </c>
      <c r="AJ364" s="27" t="s">
        <v>88</v>
      </c>
      <c r="AK364" s="45">
        <v>4.3289484800000002</v>
      </c>
      <c r="AL364">
        <v>1.058141254504416E-6</v>
      </c>
    </row>
    <row r="365" spans="1:42" x14ac:dyDescent="0.25">
      <c r="A365">
        <v>363</v>
      </c>
      <c r="B365" t="s">
        <v>189</v>
      </c>
      <c r="C365" s="1">
        <v>464.53931548000003</v>
      </c>
      <c r="E365" t="s">
        <v>157</v>
      </c>
      <c r="F365">
        <v>0</v>
      </c>
      <c r="G365" s="22">
        <v>20221214</v>
      </c>
      <c r="H365" s="61">
        <v>44910.019369756941</v>
      </c>
      <c r="I365">
        <v>6568.8303608919496</v>
      </c>
      <c r="K365" s="21" t="s">
        <v>1067</v>
      </c>
      <c r="L365" s="21" t="s">
        <v>1038</v>
      </c>
      <c r="M365" s="21" t="s">
        <v>88</v>
      </c>
      <c r="N365" s="21" t="s">
        <v>189</v>
      </c>
      <c r="P365" t="str">
        <f t="shared" si="20"/>
        <v>SOL</v>
      </c>
      <c r="Q365">
        <f t="shared" si="21"/>
        <v>14.140526198744872</v>
      </c>
      <c r="R365">
        <v>1.0364599999999999</v>
      </c>
      <c r="S365">
        <f t="shared" si="22"/>
        <v>481.4764189224008</v>
      </c>
      <c r="T365" t="str">
        <f t="shared" si="24"/>
        <v xml:space="preserve">'SOL', </v>
      </c>
      <c r="AJ365" s="4" t="s">
        <v>25</v>
      </c>
      <c r="AK365" s="45">
        <v>-5868.792733369999</v>
      </c>
      <c r="AL365">
        <v>-337380.30868611252</v>
      </c>
    </row>
    <row r="366" spans="1:42" x14ac:dyDescent="0.25">
      <c r="A366">
        <v>364</v>
      </c>
      <c r="B366" t="s">
        <v>189</v>
      </c>
      <c r="C366" s="1">
        <v>1600.35402912</v>
      </c>
      <c r="E366" t="s">
        <v>615</v>
      </c>
      <c r="F366">
        <v>0</v>
      </c>
      <c r="G366" s="22">
        <v>20221214</v>
      </c>
      <c r="H366" s="61">
        <v>44910.019369756941</v>
      </c>
      <c r="I366">
        <v>1791.8438991088899</v>
      </c>
      <c r="K366" s="21" t="s">
        <v>1068</v>
      </c>
      <c r="L366" s="21" t="s">
        <v>1038</v>
      </c>
      <c r="M366" s="21" t="s">
        <v>88</v>
      </c>
      <c r="N366" s="21" t="s">
        <v>189</v>
      </c>
      <c r="P366" t="str">
        <f t="shared" si="20"/>
        <v>SUSHI</v>
      </c>
      <c r="Q366">
        <f t="shared" si="21"/>
        <v>1.1196546929645224</v>
      </c>
      <c r="R366">
        <v>1.0335394476395248</v>
      </c>
      <c r="S366">
        <f t="shared" si="22"/>
        <v>1654.0290192843727</v>
      </c>
      <c r="T366" t="str">
        <f t="shared" si="24"/>
        <v xml:space="preserve">'SUSHI', </v>
      </c>
      <c r="AJ366" s="27" t="s">
        <v>88</v>
      </c>
      <c r="AK366" s="45">
        <v>11431.207266630001</v>
      </c>
      <c r="AL366">
        <v>657147.80049081286</v>
      </c>
    </row>
    <row r="367" spans="1:42" x14ac:dyDescent="0.25">
      <c r="A367">
        <v>365</v>
      </c>
      <c r="B367" t="s">
        <v>189</v>
      </c>
      <c r="C367" s="1">
        <v>733.96397166999998</v>
      </c>
      <c r="E367" t="s">
        <v>162</v>
      </c>
      <c r="F367">
        <v>0</v>
      </c>
      <c r="G367" s="22">
        <v>20221214</v>
      </c>
      <c r="H367" s="61">
        <v>44910.019369756941</v>
      </c>
      <c r="I367">
        <v>4344.8006056570202</v>
      </c>
      <c r="K367" s="21" t="s">
        <v>1069</v>
      </c>
      <c r="L367" s="21" t="s">
        <v>1038</v>
      </c>
      <c r="M367" s="21" t="s">
        <v>88</v>
      </c>
      <c r="N367" s="21" t="s">
        <v>189</v>
      </c>
      <c r="P367" t="str">
        <f t="shared" si="20"/>
        <v>UNI</v>
      </c>
      <c r="Q367">
        <f t="shared" si="21"/>
        <v>5.9196374391119306</v>
      </c>
      <c r="R367">
        <v>1</v>
      </c>
      <c r="S367">
        <f t="shared" si="22"/>
        <v>733.96397166999998</v>
      </c>
      <c r="T367" t="str">
        <f t="shared" si="24"/>
        <v xml:space="preserve">'UNI', </v>
      </c>
      <c r="AJ367" s="27" t="s">
        <v>198</v>
      </c>
      <c r="AK367" s="45">
        <v>-17300</v>
      </c>
      <c r="AL367">
        <v>-994528.10917692538</v>
      </c>
    </row>
    <row r="368" spans="1:42" x14ac:dyDescent="0.25">
      <c r="A368">
        <v>366</v>
      </c>
      <c r="B368" t="s">
        <v>189</v>
      </c>
      <c r="C368" s="1">
        <v>28895.690009999998</v>
      </c>
      <c r="E368" t="s">
        <v>95</v>
      </c>
      <c r="F368">
        <v>0</v>
      </c>
      <c r="G368" s="22">
        <v>20221214</v>
      </c>
      <c r="H368" s="61">
        <v>44910.019369756941</v>
      </c>
      <c r="I368">
        <v>28895.098379543899</v>
      </c>
      <c r="K368" s="21" t="s">
        <v>1070</v>
      </c>
      <c r="L368" s="21" t="s">
        <v>1038</v>
      </c>
      <c r="M368" s="21" t="s">
        <v>88</v>
      </c>
      <c r="N368" s="21" t="s">
        <v>189</v>
      </c>
      <c r="P368" t="str">
        <f t="shared" si="20"/>
        <v>USDC</v>
      </c>
      <c r="Q368">
        <f t="shared" si="21"/>
        <v>0.9999795253044349</v>
      </c>
      <c r="R368">
        <v>1.0001621022067764</v>
      </c>
      <c r="S368">
        <f t="shared" si="22"/>
        <v>28900.374065116946</v>
      </c>
      <c r="T368" t="str">
        <f t="shared" si="24"/>
        <v xml:space="preserve">'USDC', </v>
      </c>
      <c r="AJ368" s="4" t="s">
        <v>148</v>
      </c>
      <c r="AK368" s="45">
        <v>0.66495972999999997</v>
      </c>
      <c r="AL368">
        <v>1.3747523872825721E-4</v>
      </c>
    </row>
    <row r="369" spans="1:38" x14ac:dyDescent="0.25">
      <c r="A369">
        <v>367</v>
      </c>
      <c r="B369" t="s">
        <v>189</v>
      </c>
      <c r="C369" s="1">
        <v>4892269.848123</v>
      </c>
      <c r="E369" t="s">
        <v>39</v>
      </c>
      <c r="F369">
        <v>0</v>
      </c>
      <c r="G369" s="22">
        <v>20221214</v>
      </c>
      <c r="H369" s="61">
        <v>44910.019369756941</v>
      </c>
      <c r="I369">
        <v>4892785.5438754102</v>
      </c>
      <c r="J369" s="34"/>
      <c r="K369" s="21" t="s">
        <v>1071</v>
      </c>
      <c r="L369" s="21" t="s">
        <v>1038</v>
      </c>
      <c r="M369" s="21" t="s">
        <v>88</v>
      </c>
      <c r="N369" s="21" t="s">
        <v>189</v>
      </c>
      <c r="P369" t="str">
        <f t="shared" si="20"/>
        <v>USDT</v>
      </c>
      <c r="Q369">
        <f t="shared" si="21"/>
        <v>1.0001054103245364</v>
      </c>
      <c r="R369">
        <v>2.1343125000000001E-2</v>
      </c>
      <c r="S369">
        <f t="shared" si="22"/>
        <v>104416.32690222021</v>
      </c>
      <c r="T369" t="str">
        <f t="shared" si="24"/>
        <v xml:space="preserve">'USDT', </v>
      </c>
      <c r="AJ369" s="27" t="s">
        <v>88</v>
      </c>
      <c r="AK369" s="45">
        <v>0.66495972999999997</v>
      </c>
      <c r="AL369">
        <v>1.3747523872825721E-4</v>
      </c>
    </row>
    <row r="370" spans="1:38" x14ac:dyDescent="0.25">
      <c r="A370">
        <v>368</v>
      </c>
      <c r="B370" t="s">
        <v>189</v>
      </c>
      <c r="C370" s="1">
        <v>5546.1452737</v>
      </c>
      <c r="E370" t="s">
        <v>166</v>
      </c>
      <c r="F370">
        <v>0</v>
      </c>
      <c r="G370" s="22">
        <v>20221214</v>
      </c>
      <c r="H370" s="61">
        <v>44910.019369756941</v>
      </c>
      <c r="I370">
        <v>460.40653485193297</v>
      </c>
      <c r="K370" s="21" t="s">
        <v>1072</v>
      </c>
      <c r="L370" s="21" t="s">
        <v>1038</v>
      </c>
      <c r="M370" s="21" t="s">
        <v>88</v>
      </c>
      <c r="N370" s="21" t="s">
        <v>189</v>
      </c>
      <c r="P370" t="str">
        <f t="shared" si="20"/>
        <v>XLM</v>
      </c>
      <c r="Q370">
        <f t="shared" si="21"/>
        <v>8.3013789241186242E-2</v>
      </c>
      <c r="R370">
        <v>103.98</v>
      </c>
      <c r="S370">
        <f t="shared" si="22"/>
        <v>576688.18555932597</v>
      </c>
      <c r="T370" t="str">
        <f t="shared" si="24"/>
        <v xml:space="preserve">'XLM', </v>
      </c>
      <c r="AJ370" s="4" t="s">
        <v>195</v>
      </c>
      <c r="AK370" s="45">
        <v>0.34</v>
      </c>
      <c r="AL370">
        <v>0.1527997152353536</v>
      </c>
    </row>
    <row r="371" spans="1:38" x14ac:dyDescent="0.25">
      <c r="A371">
        <v>369</v>
      </c>
      <c r="B371" t="s">
        <v>189</v>
      </c>
      <c r="C371" s="1">
        <v>313.68986200000001</v>
      </c>
      <c r="E371" t="s">
        <v>102</v>
      </c>
      <c r="F371">
        <v>0</v>
      </c>
      <c r="G371" s="22">
        <v>20221214</v>
      </c>
      <c r="H371" s="61">
        <v>44910.019369756941</v>
      </c>
      <c r="I371">
        <v>121.214065804897</v>
      </c>
      <c r="K371" s="21" t="s">
        <v>1073</v>
      </c>
      <c r="L371" s="21" t="s">
        <v>1038</v>
      </c>
      <c r="M371" s="21" t="s">
        <v>88</v>
      </c>
      <c r="N371" s="21" t="s">
        <v>189</v>
      </c>
      <c r="P371" t="str">
        <f t="shared" si="20"/>
        <v>XRP</v>
      </c>
      <c r="Q371">
        <f t="shared" si="21"/>
        <v>0.38641371777866701</v>
      </c>
      <c r="R371">
        <v>39.841106000000003</v>
      </c>
      <c r="S371">
        <f t="shared" si="22"/>
        <v>12497.751043067374</v>
      </c>
      <c r="T371" t="str">
        <f t="shared" si="24"/>
        <v xml:space="preserve">'XRP', </v>
      </c>
      <c r="AJ371" s="27" t="s">
        <v>88</v>
      </c>
      <c r="AK371" s="45">
        <v>0.34</v>
      </c>
      <c r="AL371">
        <v>0.1527997152353536</v>
      </c>
    </row>
    <row r="372" spans="1:38" x14ac:dyDescent="0.25">
      <c r="A372">
        <v>370</v>
      </c>
      <c r="B372" t="s">
        <v>189</v>
      </c>
      <c r="C372" s="1">
        <v>74.496399999999994</v>
      </c>
      <c r="E372" t="s">
        <v>167</v>
      </c>
      <c r="F372">
        <v>0</v>
      </c>
      <c r="G372" s="22">
        <v>20221214</v>
      </c>
      <c r="H372" s="61">
        <v>44910.019369756941</v>
      </c>
      <c r="I372">
        <v>70.879699859790193</v>
      </c>
      <c r="K372" s="21" t="s">
        <v>1180</v>
      </c>
      <c r="L372" s="21" t="s">
        <v>1038</v>
      </c>
      <c r="M372" s="21" t="s">
        <v>88</v>
      </c>
      <c r="N372" s="21" t="s">
        <v>189</v>
      </c>
      <c r="P372" t="str">
        <f t="shared" si="20"/>
        <v>XTZ</v>
      </c>
      <c r="Q372">
        <f t="shared" si="21"/>
        <v>0.95145134341780546</v>
      </c>
      <c r="R372">
        <v>40.841106000000003</v>
      </c>
      <c r="S372">
        <f t="shared" si="22"/>
        <v>3042.5153690184002</v>
      </c>
      <c r="T372" t="str">
        <f t="shared" si="24"/>
        <v xml:space="preserve">'XTZ', </v>
      </c>
      <c r="AJ372" s="4" t="s">
        <v>149</v>
      </c>
      <c r="AK372" s="45">
        <v>0.89105878000000005</v>
      </c>
      <c r="AL372">
        <v>5.9237362248513286</v>
      </c>
    </row>
    <row r="373" spans="1:38" x14ac:dyDescent="0.25">
      <c r="A373">
        <v>371</v>
      </c>
      <c r="B373" t="s">
        <v>189</v>
      </c>
      <c r="C373" s="1">
        <v>1.9935830000000002E-2</v>
      </c>
      <c r="E373" t="s">
        <v>174</v>
      </c>
      <c r="F373">
        <v>0</v>
      </c>
      <c r="G373" s="22">
        <v>20221214</v>
      </c>
      <c r="H373" s="61">
        <v>44910.019369756941</v>
      </c>
      <c r="I373">
        <v>128.64154809617199</v>
      </c>
      <c r="K373" s="21" t="s">
        <v>1074</v>
      </c>
      <c r="L373" s="21" t="s">
        <v>1038</v>
      </c>
      <c r="M373" s="21" t="s">
        <v>88</v>
      </c>
      <c r="N373" s="21" t="s">
        <v>189</v>
      </c>
      <c r="P373" t="str">
        <f t="shared" si="20"/>
        <v>YFI</v>
      </c>
      <c r="Q373">
        <f t="shared" si="21"/>
        <v>6452.7811531384432</v>
      </c>
      <c r="R373">
        <v>41.841106000000003</v>
      </c>
      <c r="S373">
        <f t="shared" si="22"/>
        <v>0.83413717622798011</v>
      </c>
      <c r="T373" t="str">
        <f t="shared" si="24"/>
        <v xml:space="preserve">'YFI', </v>
      </c>
      <c r="AJ373" s="27" t="s">
        <v>88</v>
      </c>
      <c r="AK373" s="45">
        <v>0.89105878000000005</v>
      </c>
      <c r="AL373">
        <v>5.9237362248513286</v>
      </c>
    </row>
    <row r="374" spans="1:38" x14ac:dyDescent="0.25">
      <c r="A374">
        <v>372</v>
      </c>
      <c r="B374" t="s">
        <v>197</v>
      </c>
      <c r="C374" s="1">
        <v>-600</v>
      </c>
      <c r="E374" t="s">
        <v>119</v>
      </c>
      <c r="F374" t="s">
        <v>822</v>
      </c>
      <c r="G374" s="22">
        <v>20221214</v>
      </c>
      <c r="H374" s="61">
        <v>44910.000002928238</v>
      </c>
      <c r="I374">
        <v>-37537.734375852298</v>
      </c>
      <c r="K374" s="21" t="s">
        <v>1075</v>
      </c>
      <c r="L374" s="21" t="s">
        <v>1076</v>
      </c>
      <c r="M374" s="21" t="s">
        <v>198</v>
      </c>
      <c r="N374" s="21" t="s">
        <v>89</v>
      </c>
      <c r="P374" t="str">
        <f t="shared" si="20"/>
        <v>AAVE</v>
      </c>
      <c r="Q374">
        <f t="shared" si="21"/>
        <v>62.562890626420497</v>
      </c>
      <c r="R374">
        <v>42.841106000000003</v>
      </c>
      <c r="S374">
        <f t="shared" si="22"/>
        <v>-25704.663600000003</v>
      </c>
      <c r="T374" t="str">
        <f t="shared" si="24"/>
        <v xml:space="preserve">'AAVE', </v>
      </c>
      <c r="AJ374" s="4" t="s">
        <v>150</v>
      </c>
      <c r="AK374" s="45">
        <v>40.704174029999997</v>
      </c>
      <c r="AL374">
        <v>7.431168330338943E-3</v>
      </c>
    </row>
    <row r="375" spans="1:38" x14ac:dyDescent="0.25">
      <c r="A375">
        <v>373</v>
      </c>
      <c r="B375" t="s">
        <v>197</v>
      </c>
      <c r="C375" s="1">
        <v>-300000</v>
      </c>
      <c r="E375" t="s">
        <v>87</v>
      </c>
      <c r="F375" t="s">
        <v>822</v>
      </c>
      <c r="G375" s="22">
        <v>20221214</v>
      </c>
      <c r="H375" s="61">
        <v>44910.000002928238</v>
      </c>
      <c r="I375">
        <v>-92440.275584082498</v>
      </c>
      <c r="K375" s="21" t="s">
        <v>1077</v>
      </c>
      <c r="L375" s="21" t="s">
        <v>1076</v>
      </c>
      <c r="M375" s="21" t="s">
        <v>198</v>
      </c>
      <c r="N375" s="21" t="s">
        <v>89</v>
      </c>
      <c r="P375" t="str">
        <f t="shared" si="20"/>
        <v>ADA</v>
      </c>
      <c r="Q375">
        <f t="shared" si="21"/>
        <v>0.30813425194694166</v>
      </c>
      <c r="R375">
        <v>43.841106000000003</v>
      </c>
      <c r="S375">
        <f t="shared" si="22"/>
        <v>-13152331.800000001</v>
      </c>
      <c r="T375" t="str">
        <f t="shared" si="24"/>
        <v xml:space="preserve">'ADA', </v>
      </c>
      <c r="AJ375" s="27" t="s">
        <v>88</v>
      </c>
      <c r="AK375" s="45">
        <v>40.704174029999997</v>
      </c>
      <c r="AL375">
        <v>7.431168330338943E-3</v>
      </c>
    </row>
    <row r="376" spans="1:38" x14ac:dyDescent="0.25">
      <c r="A376">
        <v>374</v>
      </c>
      <c r="B376" t="s">
        <v>197</v>
      </c>
      <c r="C376" s="1">
        <v>-140000</v>
      </c>
      <c r="E376" t="s">
        <v>125</v>
      </c>
      <c r="F376" t="s">
        <v>822</v>
      </c>
      <c r="G376" s="22">
        <v>20221214</v>
      </c>
      <c r="H376" s="61">
        <v>44910.000002928238</v>
      </c>
      <c r="I376">
        <v>-30928.212987364099</v>
      </c>
      <c r="K376" s="21" t="s">
        <v>1078</v>
      </c>
      <c r="L376" s="21" t="s">
        <v>1076</v>
      </c>
      <c r="M376" s="21" t="s">
        <v>198</v>
      </c>
      <c r="N376" s="21" t="s">
        <v>89</v>
      </c>
      <c r="P376" t="str">
        <f t="shared" si="20"/>
        <v>ALGO</v>
      </c>
      <c r="Q376">
        <f t="shared" si="21"/>
        <v>0.22091580705260069</v>
      </c>
      <c r="R376">
        <v>44.841106000000003</v>
      </c>
      <c r="S376">
        <f t="shared" si="22"/>
        <v>-6277754.8400000008</v>
      </c>
      <c r="T376" t="str">
        <f t="shared" si="24"/>
        <v xml:space="preserve">'ALGO', </v>
      </c>
      <c r="AJ376" s="4" t="s">
        <v>151</v>
      </c>
      <c r="AK376" s="45">
        <v>3013993111.0959439</v>
      </c>
      <c r="AL376">
        <v>1548.0118504366519</v>
      </c>
    </row>
    <row r="377" spans="1:38" x14ac:dyDescent="0.25">
      <c r="A377">
        <v>375</v>
      </c>
      <c r="B377" t="s">
        <v>197</v>
      </c>
      <c r="C377" s="1">
        <v>-3000</v>
      </c>
      <c r="E377" t="s">
        <v>190</v>
      </c>
      <c r="F377" t="s">
        <v>822</v>
      </c>
      <c r="G377" s="22">
        <v>20221214</v>
      </c>
      <c r="H377" s="61">
        <v>44910.000002928238</v>
      </c>
      <c r="I377">
        <v>-41182.678736759</v>
      </c>
      <c r="K377" s="21" t="s">
        <v>1079</v>
      </c>
      <c r="L377" s="21" t="s">
        <v>1076</v>
      </c>
      <c r="M377" s="21" t="s">
        <v>198</v>
      </c>
      <c r="N377" s="21" t="s">
        <v>89</v>
      </c>
      <c r="P377" t="str">
        <f t="shared" si="20"/>
        <v>AVAX</v>
      </c>
      <c r="Q377">
        <f t="shared" si="21"/>
        <v>13.727559578919667</v>
      </c>
      <c r="R377">
        <v>45.841106000000003</v>
      </c>
      <c r="S377">
        <f t="shared" si="22"/>
        <v>-137523.318</v>
      </c>
      <c r="T377" t="str">
        <f t="shared" si="24"/>
        <v xml:space="preserve">'AVAX', </v>
      </c>
      <c r="AJ377" s="27" t="s">
        <v>88</v>
      </c>
      <c r="AK377" s="45">
        <v>3013993111.0959439</v>
      </c>
      <c r="AL377">
        <v>1548.0118504366519</v>
      </c>
    </row>
    <row r="378" spans="1:38" x14ac:dyDescent="0.25">
      <c r="A378">
        <v>376</v>
      </c>
      <c r="B378" t="s">
        <v>197</v>
      </c>
      <c r="C378" s="1">
        <v>-100000</v>
      </c>
      <c r="E378" t="s">
        <v>127</v>
      </c>
      <c r="F378" t="s">
        <v>822</v>
      </c>
      <c r="G378" s="22">
        <v>20221214</v>
      </c>
      <c r="H378" s="61">
        <v>44910.000002928238</v>
      </c>
      <c r="I378">
        <v>-22396.135615953099</v>
      </c>
      <c r="K378" s="21" t="s">
        <v>1080</v>
      </c>
      <c r="L378" s="21" t="s">
        <v>1076</v>
      </c>
      <c r="M378" s="21" t="s">
        <v>198</v>
      </c>
      <c r="N378" s="21" t="s">
        <v>89</v>
      </c>
      <c r="P378" t="str">
        <f t="shared" si="20"/>
        <v>BAT</v>
      </c>
      <c r="Q378">
        <f t="shared" si="21"/>
        <v>0.223961356159531</v>
      </c>
      <c r="R378">
        <v>46.841106000000003</v>
      </c>
      <c r="S378">
        <f t="shared" si="22"/>
        <v>-4684110.6000000006</v>
      </c>
      <c r="T378" t="str">
        <f t="shared" si="24"/>
        <v xml:space="preserve">'BAT', </v>
      </c>
      <c r="AJ378" s="4" t="s">
        <v>152</v>
      </c>
      <c r="AK378" s="45">
        <v>4.3068300000000002E-3</v>
      </c>
      <c r="AL378">
        <v>7.408290106056878E-4</v>
      </c>
    </row>
    <row r="379" spans="1:38" x14ac:dyDescent="0.25">
      <c r="A379">
        <v>377</v>
      </c>
      <c r="B379" t="s">
        <v>197</v>
      </c>
      <c r="C379" s="1">
        <v>-90</v>
      </c>
      <c r="E379" t="s">
        <v>21</v>
      </c>
      <c r="F379" t="s">
        <v>822</v>
      </c>
      <c r="G379" s="22">
        <v>20221214</v>
      </c>
      <c r="H379" s="61">
        <v>44910.000002928238</v>
      </c>
      <c r="I379">
        <v>-9819.7646357765607</v>
      </c>
      <c r="K379" s="21" t="s">
        <v>1081</v>
      </c>
      <c r="L379" s="21" t="s">
        <v>1076</v>
      </c>
      <c r="M379" s="21" t="s">
        <v>198</v>
      </c>
      <c r="N379" s="21" t="s">
        <v>89</v>
      </c>
      <c r="P379" t="str">
        <f t="shared" si="20"/>
        <v>BCH</v>
      </c>
      <c r="Q379">
        <f t="shared" si="21"/>
        <v>109.10849595307289</v>
      </c>
      <c r="R379">
        <v>47.841106000000003</v>
      </c>
      <c r="S379">
        <f t="shared" si="22"/>
        <v>-4305.6995400000005</v>
      </c>
      <c r="T379" t="str">
        <f t="shared" si="24"/>
        <v xml:space="preserve">'BCH', </v>
      </c>
      <c r="AJ379" s="27" t="s">
        <v>88</v>
      </c>
      <c r="AK379" s="45">
        <v>4.3068300000000002E-3</v>
      </c>
      <c r="AL379">
        <v>7.408290106056878E-4</v>
      </c>
    </row>
    <row r="380" spans="1:38" x14ac:dyDescent="0.25">
      <c r="A380">
        <v>378</v>
      </c>
      <c r="B380" t="s">
        <v>197</v>
      </c>
      <c r="C380" s="1">
        <v>-3677799.0840893998</v>
      </c>
      <c r="E380" t="s">
        <v>91</v>
      </c>
      <c r="F380" t="s">
        <v>822</v>
      </c>
      <c r="G380" s="22">
        <v>20221214</v>
      </c>
      <c r="H380" s="61">
        <v>44910.000002928238</v>
      </c>
      <c r="I380">
        <v>-3678725.90524658</v>
      </c>
      <c r="K380" s="21" t="s">
        <v>1172</v>
      </c>
      <c r="L380" s="21" t="s">
        <v>1076</v>
      </c>
      <c r="M380" s="21" t="s">
        <v>198</v>
      </c>
      <c r="N380" s="21" t="s">
        <v>89</v>
      </c>
      <c r="P380" t="str">
        <f t="shared" si="20"/>
        <v>BUSD</v>
      </c>
      <c r="Q380">
        <f t="shared" si="21"/>
        <v>1.000252004292782</v>
      </c>
      <c r="R380">
        <v>48.841106000000003</v>
      </c>
      <c r="S380">
        <f t="shared" si="22"/>
        <v>-179627774.91271329</v>
      </c>
      <c r="T380" t="str">
        <f t="shared" si="24"/>
        <v xml:space="preserve">'BUSD', </v>
      </c>
      <c r="AJ380" s="4" t="s">
        <v>153</v>
      </c>
      <c r="AK380" s="45">
        <v>162254.56419957001</v>
      </c>
      <c r="AL380">
        <v>183203.58357909331</v>
      </c>
    </row>
    <row r="381" spans="1:38" x14ac:dyDescent="0.25">
      <c r="A381">
        <v>379</v>
      </c>
      <c r="B381" t="s">
        <v>197</v>
      </c>
      <c r="C381" s="1">
        <v>-4800</v>
      </c>
      <c r="E381" t="s">
        <v>32</v>
      </c>
      <c r="F381" t="s">
        <v>822</v>
      </c>
      <c r="G381" s="22">
        <v>20221214</v>
      </c>
      <c r="H381" s="61">
        <v>44910.000002928238</v>
      </c>
      <c r="I381">
        <v>-188895.54782079899</v>
      </c>
      <c r="K381" s="21" t="s">
        <v>1082</v>
      </c>
      <c r="L381" s="21" t="s">
        <v>1076</v>
      </c>
      <c r="M381" s="21" t="s">
        <v>198</v>
      </c>
      <c r="N381" s="21" t="s">
        <v>89</v>
      </c>
      <c r="P381" t="str">
        <f t="shared" si="20"/>
        <v>COMP</v>
      </c>
      <c r="Q381">
        <f t="shared" si="21"/>
        <v>39.353239129333126</v>
      </c>
      <c r="R381">
        <v>49.841106000000003</v>
      </c>
      <c r="S381">
        <f t="shared" si="22"/>
        <v>-239237.30880000003</v>
      </c>
      <c r="T381" t="str">
        <f t="shared" si="24"/>
        <v xml:space="preserve">'COMP', </v>
      </c>
      <c r="AJ381" s="27" t="s">
        <v>88</v>
      </c>
      <c r="AK381" s="45">
        <v>162254.56419957001</v>
      </c>
      <c r="AL381">
        <v>183203.58357909331</v>
      </c>
    </row>
    <row r="382" spans="1:38" x14ac:dyDescent="0.25">
      <c r="A382">
        <v>380</v>
      </c>
      <c r="B382" t="s">
        <v>197</v>
      </c>
      <c r="C382" s="1">
        <v>-500</v>
      </c>
      <c r="E382" t="s">
        <v>135</v>
      </c>
      <c r="F382" t="s">
        <v>822</v>
      </c>
      <c r="G382" s="22">
        <v>20221214</v>
      </c>
      <c r="H382" s="61">
        <v>44910.000002928238</v>
      </c>
      <c r="I382">
        <v>-24421.793583386701</v>
      </c>
      <c r="K382" s="21" t="s">
        <v>1083</v>
      </c>
      <c r="L382" s="21" t="s">
        <v>1076</v>
      </c>
      <c r="M382" s="21" t="s">
        <v>198</v>
      </c>
      <c r="N382" s="21" t="s">
        <v>89</v>
      </c>
      <c r="P382" t="str">
        <f t="shared" si="20"/>
        <v>DASH</v>
      </c>
      <c r="Q382">
        <f t="shared" si="21"/>
        <v>48.843587166773403</v>
      </c>
      <c r="R382">
        <v>50.841106000000003</v>
      </c>
      <c r="S382">
        <f t="shared" si="22"/>
        <v>-25420.553000000004</v>
      </c>
      <c r="T382" t="str">
        <f t="shared" si="24"/>
        <v xml:space="preserve">'DASH', </v>
      </c>
      <c r="AJ382" s="4" t="s">
        <v>154</v>
      </c>
      <c r="AK382" s="45">
        <v>0.34782034000000001</v>
      </c>
      <c r="AL382">
        <v>8.0812801871423298E-2</v>
      </c>
    </row>
    <row r="383" spans="1:38" x14ac:dyDescent="0.25">
      <c r="A383">
        <v>381</v>
      </c>
      <c r="B383" t="s">
        <v>197</v>
      </c>
      <c r="C383" s="1">
        <v>-500000</v>
      </c>
      <c r="E383" t="s">
        <v>193</v>
      </c>
      <c r="F383" t="s">
        <v>822</v>
      </c>
      <c r="G383" s="22">
        <v>20221214</v>
      </c>
      <c r="H383" s="61">
        <v>44910.000002928238</v>
      </c>
      <c r="I383">
        <v>-44257.196356007596</v>
      </c>
      <c r="K383" s="21" t="s">
        <v>1084</v>
      </c>
      <c r="L383" s="21" t="s">
        <v>1076</v>
      </c>
      <c r="M383" s="21" t="s">
        <v>198</v>
      </c>
      <c r="N383" s="21" t="s">
        <v>89</v>
      </c>
      <c r="P383" t="str">
        <f t="shared" si="20"/>
        <v>DOGE</v>
      </c>
      <c r="Q383">
        <f t="shared" si="21"/>
        <v>8.8514392712015194E-2</v>
      </c>
      <c r="R383">
        <v>51.841106000000003</v>
      </c>
      <c r="S383">
        <f t="shared" si="22"/>
        <v>-25920553</v>
      </c>
      <c r="T383" t="str">
        <f t="shared" si="24"/>
        <v xml:space="preserve">'DOGE', </v>
      </c>
      <c r="AJ383" s="27" t="s">
        <v>88</v>
      </c>
      <c r="AK383" s="45">
        <v>0.34782034000000001</v>
      </c>
      <c r="AL383">
        <v>8.0812801871423298E-2</v>
      </c>
    </row>
    <row r="384" spans="1:38" x14ac:dyDescent="0.25">
      <c r="A384">
        <v>382</v>
      </c>
      <c r="B384" t="s">
        <v>197</v>
      </c>
      <c r="C384" s="1">
        <v>-5000</v>
      </c>
      <c r="E384" t="s">
        <v>23</v>
      </c>
      <c r="F384" t="s">
        <v>822</v>
      </c>
      <c r="G384" s="22">
        <v>20221214</v>
      </c>
      <c r="H384" s="61">
        <v>44910.000002928238</v>
      </c>
      <c r="I384">
        <v>-26076.048754827101</v>
      </c>
      <c r="K384" s="21" t="s">
        <v>1085</v>
      </c>
      <c r="L384" s="21" t="s">
        <v>1076</v>
      </c>
      <c r="M384" s="21" t="s">
        <v>198</v>
      </c>
      <c r="N384" s="21" t="s">
        <v>89</v>
      </c>
      <c r="P384" t="str">
        <f t="shared" si="20"/>
        <v>DOT</v>
      </c>
      <c r="Q384">
        <f t="shared" si="21"/>
        <v>5.2152097509654203</v>
      </c>
      <c r="R384">
        <v>52.841106000000003</v>
      </c>
      <c r="S384">
        <f t="shared" si="22"/>
        <v>-264205.53000000003</v>
      </c>
      <c r="T384" t="str">
        <f t="shared" si="24"/>
        <v xml:space="preserve">'DOT', </v>
      </c>
      <c r="AJ384" s="4" t="s">
        <v>92</v>
      </c>
      <c r="AK384" s="45">
        <v>950734.69046149997</v>
      </c>
      <c r="AL384">
        <v>77537.718424978273</v>
      </c>
    </row>
    <row r="385" spans="1:38" x14ac:dyDescent="0.25">
      <c r="A385">
        <v>383</v>
      </c>
      <c r="B385" t="s">
        <v>197</v>
      </c>
      <c r="C385" s="1">
        <v>-30000</v>
      </c>
      <c r="E385" t="s">
        <v>29</v>
      </c>
      <c r="F385" t="s">
        <v>822</v>
      </c>
      <c r="G385" s="22">
        <v>20221214</v>
      </c>
      <c r="H385" s="61">
        <v>44910.000002928238</v>
      </c>
      <c r="I385">
        <v>-9007.9206163302297</v>
      </c>
      <c r="K385" s="21" t="s">
        <v>1086</v>
      </c>
      <c r="L385" s="21" t="s">
        <v>1076</v>
      </c>
      <c r="M385" s="21" t="s">
        <v>198</v>
      </c>
      <c r="N385" s="21" t="s">
        <v>89</v>
      </c>
      <c r="P385" t="str">
        <f t="shared" si="20"/>
        <v>ENJ</v>
      </c>
      <c r="Q385">
        <f t="shared" si="21"/>
        <v>0.30026402054434098</v>
      </c>
      <c r="R385">
        <v>53.841106000000003</v>
      </c>
      <c r="S385">
        <f t="shared" si="22"/>
        <v>-1615233.1800000002</v>
      </c>
      <c r="T385" t="str">
        <f t="shared" si="24"/>
        <v xml:space="preserve">'ENJ', </v>
      </c>
      <c r="AJ385" s="27" t="s">
        <v>88</v>
      </c>
      <c r="AK385" s="45">
        <v>950734.69046149997</v>
      </c>
      <c r="AL385">
        <v>77537.718424978273</v>
      </c>
    </row>
    <row r="386" spans="1:38" x14ac:dyDescent="0.25">
      <c r="A386">
        <v>384</v>
      </c>
      <c r="B386" t="s">
        <v>197</v>
      </c>
      <c r="C386" s="1">
        <v>-150000</v>
      </c>
      <c r="E386" t="s">
        <v>194</v>
      </c>
      <c r="F386" t="s">
        <v>822</v>
      </c>
      <c r="G386" s="22">
        <v>20221214</v>
      </c>
      <c r="H386" s="61">
        <v>44910.000002928238</v>
      </c>
      <c r="I386">
        <v>-36092.905766112402</v>
      </c>
      <c r="K386" s="21" t="s">
        <v>1087</v>
      </c>
      <c r="L386" s="21" t="s">
        <v>1076</v>
      </c>
      <c r="M386" s="21" t="s">
        <v>198</v>
      </c>
      <c r="N386" s="21" t="s">
        <v>89</v>
      </c>
      <c r="P386" t="str">
        <f t="shared" ref="P386:P407" si="25">IF($C386="","",$E386)</f>
        <v>FTM</v>
      </c>
      <c r="Q386">
        <f t="shared" si="21"/>
        <v>0.24061937177408269</v>
      </c>
      <c r="R386">
        <v>54.841106000000003</v>
      </c>
      <c r="S386">
        <f t="shared" si="22"/>
        <v>-8226165.9000000004</v>
      </c>
      <c r="T386" t="str">
        <f t="shared" si="24"/>
        <v xml:space="preserve">'FTM', </v>
      </c>
      <c r="AJ386" s="4" t="s">
        <v>155</v>
      </c>
      <c r="AK386" s="45">
        <v>3.0962099999999998E-3</v>
      </c>
      <c r="AL386">
        <v>6.2342268195535906E-3</v>
      </c>
    </row>
    <row r="387" spans="1:38" x14ac:dyDescent="0.25">
      <c r="A387">
        <v>385</v>
      </c>
      <c r="B387" t="s">
        <v>197</v>
      </c>
      <c r="C387" s="1">
        <v>-240000</v>
      </c>
      <c r="E387" t="s">
        <v>635</v>
      </c>
      <c r="F387" t="s">
        <v>822</v>
      </c>
      <c r="G387" s="22">
        <v>20221214</v>
      </c>
      <c r="H387" s="61">
        <v>44910.000002928238</v>
      </c>
      <c r="I387">
        <v>-15770.861496121001</v>
      </c>
      <c r="K387" s="21" t="s">
        <v>1088</v>
      </c>
      <c r="L387" s="21" t="s">
        <v>1076</v>
      </c>
      <c r="M387" s="21" t="s">
        <v>198</v>
      </c>
      <c r="N387" s="21" t="s">
        <v>89</v>
      </c>
      <c r="P387" t="str">
        <f t="shared" si="25"/>
        <v>GRT</v>
      </c>
      <c r="Q387">
        <f t="shared" si="21"/>
        <v>6.5711922900504163E-2</v>
      </c>
      <c r="R387">
        <v>55.841106000000003</v>
      </c>
      <c r="S387">
        <f t="shared" si="22"/>
        <v>-13401865.440000001</v>
      </c>
      <c r="T387" t="str">
        <f t="shared" si="24"/>
        <v xml:space="preserve">'GRT', </v>
      </c>
      <c r="AJ387" s="27" t="s">
        <v>88</v>
      </c>
      <c r="AK387" s="45">
        <v>3.0962099999999998E-3</v>
      </c>
      <c r="AL387">
        <v>6.2342268195535906E-3</v>
      </c>
    </row>
    <row r="388" spans="1:38" x14ac:dyDescent="0.25">
      <c r="A388">
        <v>386</v>
      </c>
      <c r="B388" t="s">
        <v>197</v>
      </c>
      <c r="C388" s="1">
        <v>-628800</v>
      </c>
      <c r="E388" t="s">
        <v>138</v>
      </c>
      <c r="F388" t="s">
        <v>822</v>
      </c>
      <c r="G388" s="22">
        <v>20221214</v>
      </c>
      <c r="H388" s="61">
        <v>44910.000002928238</v>
      </c>
      <c r="I388">
        <v>-29351.6734593006</v>
      </c>
      <c r="K388" s="21" t="s">
        <v>1089</v>
      </c>
      <c r="L388" s="21" t="s">
        <v>1076</v>
      </c>
      <c r="M388" s="21" t="s">
        <v>198</v>
      </c>
      <c r="N388" s="21" t="s">
        <v>89</v>
      </c>
      <c r="P388" t="str">
        <f t="shared" si="25"/>
        <v>HBAR</v>
      </c>
      <c r="Q388">
        <f t="shared" ref="Q388:Q407" si="26">IF($C388="","",$I388/$C388)</f>
        <v>4.6678870005249049E-2</v>
      </c>
      <c r="R388">
        <v>56.841106000000003</v>
      </c>
      <c r="S388">
        <f t="shared" ref="S388:S407" si="27">IF($B388="","",$C388*$R388)</f>
        <v>-35741687.452800006</v>
      </c>
      <c r="T388" t="str">
        <f t="shared" si="24"/>
        <v xml:space="preserve">'HBAR', </v>
      </c>
      <c r="AJ388" s="4" t="s">
        <v>156</v>
      </c>
      <c r="AK388" s="45">
        <v>2.6598900000000002E-2</v>
      </c>
      <c r="AL388">
        <v>5.9957183944127747E-4</v>
      </c>
    </row>
    <row r="389" spans="1:38" x14ac:dyDescent="0.25">
      <c r="A389">
        <v>387</v>
      </c>
      <c r="B389" t="s">
        <v>197</v>
      </c>
      <c r="C389" s="1">
        <v>-12506.5</v>
      </c>
      <c r="E389" t="s">
        <v>28</v>
      </c>
      <c r="F389" t="s">
        <v>822</v>
      </c>
      <c r="G389" s="22">
        <v>20221214</v>
      </c>
      <c r="H389" s="61">
        <v>44910.000002928238</v>
      </c>
      <c r="I389">
        <v>-84154.088102276102</v>
      </c>
      <c r="K389" s="21" t="s">
        <v>1090</v>
      </c>
      <c r="L389" s="21" t="s">
        <v>1076</v>
      </c>
      <c r="M389" s="21" t="s">
        <v>198</v>
      </c>
      <c r="N389" s="21" t="s">
        <v>89</v>
      </c>
      <c r="P389" t="str">
        <f t="shared" si="25"/>
        <v>LINK</v>
      </c>
      <c r="Q389">
        <f t="shared" si="26"/>
        <v>6.72882805759214</v>
      </c>
      <c r="R389">
        <v>57.841106000000003</v>
      </c>
      <c r="S389">
        <f t="shared" si="27"/>
        <v>-723389.79218900006</v>
      </c>
      <c r="T389" t="str">
        <f t="shared" si="24"/>
        <v xml:space="preserve">'LINK', </v>
      </c>
      <c r="AJ389" s="27" t="s">
        <v>88</v>
      </c>
      <c r="AK389" s="45">
        <v>2.6598900000000002E-2</v>
      </c>
      <c r="AL389">
        <v>5.9957183944127747E-4</v>
      </c>
    </row>
    <row r="390" spans="1:38" x14ac:dyDescent="0.25">
      <c r="A390">
        <v>388</v>
      </c>
      <c r="B390" t="s">
        <v>197</v>
      </c>
      <c r="C390" s="1">
        <v>-928.62699999999995</v>
      </c>
      <c r="E390" t="s">
        <v>25</v>
      </c>
      <c r="F390" t="s">
        <v>822</v>
      </c>
      <c r="G390" s="22">
        <v>20221214</v>
      </c>
      <c r="H390" s="61">
        <v>44910.000002928238</v>
      </c>
      <c r="I390">
        <v>-70088.924830119402</v>
      </c>
      <c r="K390" s="21" t="s">
        <v>1091</v>
      </c>
      <c r="L390" s="21" t="s">
        <v>1076</v>
      </c>
      <c r="M390" s="21" t="s">
        <v>198</v>
      </c>
      <c r="N390" s="21" t="s">
        <v>89</v>
      </c>
      <c r="P390" t="str">
        <f t="shared" si="25"/>
        <v>LTC</v>
      </c>
      <c r="Q390">
        <f t="shared" si="26"/>
        <v>75.475863646134997</v>
      </c>
      <c r="R390">
        <v>58.841106000000003</v>
      </c>
      <c r="S390">
        <f t="shared" si="27"/>
        <v>-54641.439741462003</v>
      </c>
      <c r="T390" t="str">
        <f t="shared" si="24"/>
        <v xml:space="preserve">'LTC', </v>
      </c>
      <c r="AJ390" s="4" t="s">
        <v>101</v>
      </c>
      <c r="AK390" s="45">
        <v>1214222.2371159999</v>
      </c>
      <c r="AL390">
        <v>14587.05820208952</v>
      </c>
    </row>
    <row r="391" spans="1:38" x14ac:dyDescent="0.25">
      <c r="A391">
        <v>389</v>
      </c>
      <c r="B391" t="s">
        <v>197</v>
      </c>
      <c r="C391" s="1">
        <v>-45000</v>
      </c>
      <c r="E391" t="s">
        <v>195</v>
      </c>
      <c r="F391" t="s">
        <v>822</v>
      </c>
      <c r="G391" s="22">
        <v>20221214</v>
      </c>
      <c r="H391" s="61">
        <v>44910.000002928238</v>
      </c>
      <c r="I391">
        <v>-17183.717802038602</v>
      </c>
      <c r="K391" s="21" t="s">
        <v>1092</v>
      </c>
      <c r="L391" s="21" t="s">
        <v>1076</v>
      </c>
      <c r="M391" s="21" t="s">
        <v>198</v>
      </c>
      <c r="N391" s="21" t="s">
        <v>89</v>
      </c>
      <c r="P391" t="str">
        <f t="shared" si="25"/>
        <v>MANA</v>
      </c>
      <c r="Q391">
        <f t="shared" si="26"/>
        <v>0.38186039560085783</v>
      </c>
      <c r="R391">
        <v>59.841106000000003</v>
      </c>
      <c r="S391">
        <f t="shared" si="27"/>
        <v>-2692849.77</v>
      </c>
      <c r="T391" t="str">
        <f t="shared" si="24"/>
        <v xml:space="preserve">'MANA', </v>
      </c>
      <c r="AJ391" s="27" t="s">
        <v>88</v>
      </c>
      <c r="AK391" s="45">
        <v>1214222.2371159999</v>
      </c>
      <c r="AL391">
        <v>14587.05820208952</v>
      </c>
    </row>
    <row r="392" spans="1:38" x14ac:dyDescent="0.25">
      <c r="A392">
        <v>390</v>
      </c>
      <c r="B392" t="s">
        <v>197</v>
      </c>
      <c r="C392" s="1">
        <v>-50000</v>
      </c>
      <c r="E392" t="s">
        <v>196</v>
      </c>
      <c r="F392" t="s">
        <v>822</v>
      </c>
      <c r="G392" s="22">
        <v>20221214</v>
      </c>
      <c r="H392" s="61">
        <v>44910.000002928238</v>
      </c>
      <c r="I392">
        <v>-45167.367687621998</v>
      </c>
      <c r="K392" s="21" t="s">
        <v>1093</v>
      </c>
      <c r="L392" s="21" t="s">
        <v>1076</v>
      </c>
      <c r="M392" s="21" t="s">
        <v>198</v>
      </c>
      <c r="N392" s="21" t="s">
        <v>89</v>
      </c>
      <c r="P392" t="str">
        <f t="shared" si="25"/>
        <v>MATIC</v>
      </c>
      <c r="Q392">
        <f t="shared" si="26"/>
        <v>0.90334735375243991</v>
      </c>
      <c r="R392">
        <v>60.841106000000003</v>
      </c>
      <c r="S392">
        <f t="shared" si="27"/>
        <v>-3042055.3000000003</v>
      </c>
      <c r="T392" t="str">
        <f t="shared" si="24"/>
        <v xml:space="preserve">'MATIC', </v>
      </c>
      <c r="AJ392" s="4" t="s">
        <v>38</v>
      </c>
      <c r="AK392" s="45">
        <v>4793408512.5576334</v>
      </c>
      <c r="AL392">
        <v>43276.365929827021</v>
      </c>
    </row>
    <row r="393" spans="1:38" x14ac:dyDescent="0.25">
      <c r="A393">
        <v>391</v>
      </c>
      <c r="B393" t="s">
        <v>197</v>
      </c>
      <c r="C393" s="1">
        <v>-14</v>
      </c>
      <c r="E393" t="s">
        <v>567</v>
      </c>
      <c r="F393" t="s">
        <v>822</v>
      </c>
      <c r="G393" s="22">
        <v>20221214</v>
      </c>
      <c r="H393" s="61">
        <v>44910.000002928238</v>
      </c>
      <c r="I393">
        <v>-8486.2073672032893</v>
      </c>
      <c r="K393" s="21" t="s">
        <v>1094</v>
      </c>
      <c r="L393" s="21" t="s">
        <v>1076</v>
      </c>
      <c r="M393" s="21" t="s">
        <v>198</v>
      </c>
      <c r="N393" s="21" t="s">
        <v>89</v>
      </c>
      <c r="P393" t="str">
        <f t="shared" si="25"/>
        <v>MKR</v>
      </c>
      <c r="Q393">
        <f t="shared" si="26"/>
        <v>606.15766908594924</v>
      </c>
      <c r="R393">
        <v>61.841106000000003</v>
      </c>
      <c r="S393">
        <f t="shared" si="27"/>
        <v>-865.77548400000001</v>
      </c>
      <c r="T393" t="str">
        <f t="shared" si="24"/>
        <v xml:space="preserve">'MKR', </v>
      </c>
      <c r="AJ393" s="27" t="s">
        <v>88</v>
      </c>
      <c r="AK393" s="45">
        <v>4793408512.5576334</v>
      </c>
      <c r="AL393">
        <v>43276.365929827021</v>
      </c>
    </row>
    <row r="394" spans="1:38" x14ac:dyDescent="0.25">
      <c r="A394">
        <v>392</v>
      </c>
      <c r="B394" t="s">
        <v>197</v>
      </c>
      <c r="C394" s="1">
        <v>-290.39999999999998</v>
      </c>
      <c r="E394" t="s">
        <v>153</v>
      </c>
      <c r="F394" t="s">
        <v>822</v>
      </c>
      <c r="G394" s="22">
        <v>20221214</v>
      </c>
      <c r="H394" s="61">
        <v>44908.142159340277</v>
      </c>
      <c r="I394">
        <v>-342.039662051108</v>
      </c>
      <c r="K394" s="21" t="s">
        <v>1095</v>
      </c>
      <c r="L394" s="21" t="s">
        <v>1076</v>
      </c>
      <c r="M394" s="21" t="s">
        <v>198</v>
      </c>
      <c r="N394" s="21" t="s">
        <v>89</v>
      </c>
      <c r="P394" t="str">
        <f t="shared" si="25"/>
        <v>OMG</v>
      </c>
      <c r="Q394">
        <f t="shared" si="26"/>
        <v>1.1778225277242012</v>
      </c>
      <c r="R394">
        <v>62.841106000000003</v>
      </c>
      <c r="S394">
        <f t="shared" si="27"/>
        <v>-18249.0571824</v>
      </c>
      <c r="T394" t="str">
        <f t="shared" si="24"/>
        <v xml:space="preserve">'OMG', </v>
      </c>
      <c r="AJ394" s="4" t="s">
        <v>157</v>
      </c>
      <c r="AK394" s="45">
        <v>0.14106867000000001</v>
      </c>
      <c r="AL394">
        <v>1.8571025375708929</v>
      </c>
    </row>
    <row r="395" spans="1:38" x14ac:dyDescent="0.25">
      <c r="A395">
        <v>393</v>
      </c>
      <c r="B395" t="s">
        <v>197</v>
      </c>
      <c r="C395" s="1">
        <v>-6000000000</v>
      </c>
      <c r="E395" t="s">
        <v>38</v>
      </c>
      <c r="F395" t="s">
        <v>822</v>
      </c>
      <c r="G395" s="22">
        <v>20221214</v>
      </c>
      <c r="H395" s="61">
        <v>44910.000002928238</v>
      </c>
      <c r="I395" s="20">
        <v>-53836.537023349498</v>
      </c>
      <c r="K395" s="21" t="s">
        <v>1096</v>
      </c>
      <c r="L395" s="21" t="s">
        <v>1076</v>
      </c>
      <c r="M395" s="21" t="s">
        <v>198</v>
      </c>
      <c r="N395" s="21" t="s">
        <v>89</v>
      </c>
      <c r="P395" t="str">
        <f t="shared" si="25"/>
        <v>SHIB</v>
      </c>
      <c r="Q395">
        <f t="shared" si="26"/>
        <v>8.9727561705582488E-6</v>
      </c>
      <c r="R395">
        <v>63.841106000000003</v>
      </c>
      <c r="S395">
        <f t="shared" si="27"/>
        <v>-383046636000</v>
      </c>
      <c r="T395" t="str">
        <f t="shared" si="24"/>
        <v xml:space="preserve">'SHIB', </v>
      </c>
      <c r="AJ395" s="27" t="s">
        <v>88</v>
      </c>
      <c r="AK395" s="45">
        <v>0.14106867000000001</v>
      </c>
      <c r="AL395">
        <v>1.8571025375708929</v>
      </c>
    </row>
    <row r="396" spans="1:38" x14ac:dyDescent="0.25">
      <c r="A396">
        <v>394</v>
      </c>
      <c r="B396" t="s">
        <v>197</v>
      </c>
      <c r="C396" s="1">
        <v>-5000</v>
      </c>
      <c r="E396" t="s">
        <v>157</v>
      </c>
      <c r="F396" t="s">
        <v>822</v>
      </c>
      <c r="G396" s="22">
        <v>20221214</v>
      </c>
      <c r="H396" s="61">
        <v>44910.000002928238</v>
      </c>
      <c r="I396" s="20">
        <v>-70702.630993724306</v>
      </c>
      <c r="K396" s="21" t="s">
        <v>1097</v>
      </c>
      <c r="L396" s="21" t="s">
        <v>1076</v>
      </c>
      <c r="M396" s="21" t="s">
        <v>198</v>
      </c>
      <c r="N396" s="21" t="s">
        <v>89</v>
      </c>
      <c r="P396" t="str">
        <f t="shared" si="25"/>
        <v>SOL</v>
      </c>
      <c r="Q396">
        <f t="shared" si="26"/>
        <v>14.140526198744862</v>
      </c>
      <c r="R396">
        <v>64.841105999999996</v>
      </c>
      <c r="S396">
        <f t="shared" si="27"/>
        <v>-324205.52999999997</v>
      </c>
      <c r="T396" t="str">
        <f t="shared" si="24"/>
        <v xml:space="preserve">'SOL', </v>
      </c>
      <c r="AJ396" s="4" t="s">
        <v>158</v>
      </c>
      <c r="AK396" s="45">
        <v>38753.774400000002</v>
      </c>
      <c r="AL396">
        <v>7978.226257767119</v>
      </c>
    </row>
    <row r="397" spans="1:38" x14ac:dyDescent="0.25">
      <c r="A397">
        <v>395</v>
      </c>
      <c r="B397" t="s">
        <v>197</v>
      </c>
      <c r="C397" s="1">
        <v>-30000</v>
      </c>
      <c r="E397" t="s">
        <v>615</v>
      </c>
      <c r="F397" t="s">
        <v>822</v>
      </c>
      <c r="G397" s="22">
        <v>20221214</v>
      </c>
      <c r="H397" s="61">
        <v>44910.000002928238</v>
      </c>
      <c r="I397" s="20">
        <v>-33589.6407889357</v>
      </c>
      <c r="K397" s="21" t="s">
        <v>1098</v>
      </c>
      <c r="L397" s="21" t="s">
        <v>1076</v>
      </c>
      <c r="M397" s="21" t="s">
        <v>198</v>
      </c>
      <c r="N397" s="21" t="s">
        <v>89</v>
      </c>
      <c r="P397" t="str">
        <f t="shared" si="25"/>
        <v>SUSHI</v>
      </c>
      <c r="Q397">
        <f t="shared" si="26"/>
        <v>1.1196546929645232</v>
      </c>
      <c r="R397">
        <v>65.841105999999996</v>
      </c>
      <c r="S397">
        <f t="shared" si="27"/>
        <v>-1975233.18</v>
      </c>
      <c r="T397" t="str">
        <f t="shared" si="24"/>
        <v xml:space="preserve">'SUSHI', </v>
      </c>
      <c r="AJ397" s="27" t="s">
        <v>88</v>
      </c>
      <c r="AK397" s="45">
        <v>38753.774400000002</v>
      </c>
      <c r="AL397">
        <v>7978.226257767119</v>
      </c>
    </row>
    <row r="398" spans="1:38" x14ac:dyDescent="0.25">
      <c r="A398">
        <v>396</v>
      </c>
      <c r="B398" t="s">
        <v>197</v>
      </c>
      <c r="C398" s="1">
        <v>-6000</v>
      </c>
      <c r="E398" t="s">
        <v>162</v>
      </c>
      <c r="F398" t="s">
        <v>822</v>
      </c>
      <c r="G398" s="22">
        <v>20221214</v>
      </c>
      <c r="H398" s="61">
        <v>44910.000002928238</v>
      </c>
      <c r="I398">
        <v>-35517.824634671597</v>
      </c>
      <c r="K398" s="21" t="s">
        <v>1099</v>
      </c>
      <c r="L398" s="21" t="s">
        <v>1076</v>
      </c>
      <c r="M398" s="21" t="s">
        <v>198</v>
      </c>
      <c r="N398" s="21" t="s">
        <v>89</v>
      </c>
      <c r="P398" t="str">
        <f t="shared" si="25"/>
        <v>UNI</v>
      </c>
      <c r="Q398">
        <f t="shared" si="26"/>
        <v>5.9196374391119324</v>
      </c>
      <c r="R398">
        <v>66.841105999999996</v>
      </c>
      <c r="S398">
        <f t="shared" si="27"/>
        <v>-401046.636</v>
      </c>
      <c r="T398" t="str">
        <f t="shared" si="24"/>
        <v xml:space="preserve">'UNI', </v>
      </c>
      <c r="AJ398" s="4" t="s">
        <v>159</v>
      </c>
      <c r="AK398" s="45">
        <v>29.76350429</v>
      </c>
      <c r="AL398">
        <v>8.7891975775563402</v>
      </c>
    </row>
    <row r="399" spans="1:38" x14ac:dyDescent="0.25">
      <c r="A399">
        <v>397</v>
      </c>
      <c r="B399" t="s">
        <v>197</v>
      </c>
      <c r="C399" s="1">
        <v>-4696108.9971914096</v>
      </c>
      <c r="E399" t="s">
        <v>39</v>
      </c>
      <c r="F399" t="s">
        <v>822</v>
      </c>
      <c r="G399" s="22">
        <v>20221214</v>
      </c>
      <c r="H399" s="61">
        <v>44910.000002928238</v>
      </c>
      <c r="I399">
        <v>-4696604.0155648598</v>
      </c>
      <c r="K399" s="21" t="s">
        <v>1173</v>
      </c>
      <c r="L399" s="21" t="s">
        <v>1076</v>
      </c>
      <c r="M399" s="21" t="s">
        <v>198</v>
      </c>
      <c r="N399" s="21" t="s">
        <v>89</v>
      </c>
      <c r="P399" t="str">
        <f t="shared" si="25"/>
        <v>USDT</v>
      </c>
      <c r="Q399">
        <f t="shared" si="26"/>
        <v>1.0001054103245359</v>
      </c>
      <c r="R399">
        <v>67.841105999999996</v>
      </c>
      <c r="S399">
        <f t="shared" si="27"/>
        <v>-318589228.26601613</v>
      </c>
      <c r="T399" t="str">
        <f t="shared" si="24"/>
        <v xml:space="preserve">'USDT', </v>
      </c>
      <c r="AJ399" s="27" t="s">
        <v>88</v>
      </c>
      <c r="AK399" s="45">
        <v>29.76350429</v>
      </c>
      <c r="AL399">
        <v>8.7891975775563402</v>
      </c>
    </row>
    <row r="400" spans="1:38" x14ac:dyDescent="0.25">
      <c r="A400">
        <v>398</v>
      </c>
      <c r="B400" t="s">
        <v>197</v>
      </c>
      <c r="C400" s="1">
        <v>-100</v>
      </c>
      <c r="E400" t="s">
        <v>199</v>
      </c>
      <c r="F400" t="s">
        <v>822</v>
      </c>
      <c r="G400" s="22">
        <v>20221214</v>
      </c>
      <c r="H400" s="61">
        <v>44910.000002928238</v>
      </c>
      <c r="I400">
        <v>-1.87445781415879</v>
      </c>
      <c r="K400" s="21" t="s">
        <v>1100</v>
      </c>
      <c r="L400" s="21" t="s">
        <v>1076</v>
      </c>
      <c r="M400" s="21" t="s">
        <v>198</v>
      </c>
      <c r="N400" s="21" t="s">
        <v>89</v>
      </c>
      <c r="P400" t="str">
        <f t="shared" si="25"/>
        <v>VET</v>
      </c>
      <c r="Q400">
        <f t="shared" si="26"/>
        <v>1.8744578141587899E-2</v>
      </c>
      <c r="R400">
        <v>68.841105999999996</v>
      </c>
      <c r="S400">
        <f t="shared" si="27"/>
        <v>-6884.1106</v>
      </c>
      <c r="T400" t="str">
        <f t="shared" si="24"/>
        <v xml:space="preserve">'VET', </v>
      </c>
      <c r="AJ400" s="4" t="s">
        <v>26</v>
      </c>
      <c r="AK400" s="45">
        <v>-14515248.94181318</v>
      </c>
      <c r="AL400">
        <v>-738701.82282670285</v>
      </c>
    </row>
    <row r="401" spans="1:38" x14ac:dyDescent="0.25">
      <c r="A401">
        <v>399</v>
      </c>
      <c r="B401" t="s">
        <v>197</v>
      </c>
      <c r="C401" s="1">
        <v>-500000</v>
      </c>
      <c r="E401" t="s">
        <v>166</v>
      </c>
      <c r="F401" t="s">
        <v>822</v>
      </c>
      <c r="G401" s="22">
        <v>20221214</v>
      </c>
      <c r="H401" s="61">
        <v>44910.000002928238</v>
      </c>
      <c r="I401">
        <v>-41506.894620593099</v>
      </c>
      <c r="K401" s="21" t="s">
        <v>1101</v>
      </c>
      <c r="L401" s="21" t="s">
        <v>1076</v>
      </c>
      <c r="M401" s="21" t="s">
        <v>198</v>
      </c>
      <c r="N401" s="21" t="s">
        <v>89</v>
      </c>
      <c r="P401" t="str">
        <f t="shared" si="25"/>
        <v>XLM</v>
      </c>
      <c r="Q401">
        <f t="shared" si="26"/>
        <v>8.3013789241186201E-2</v>
      </c>
      <c r="R401">
        <v>69.841105999999996</v>
      </c>
      <c r="S401">
        <f t="shared" si="27"/>
        <v>-34920553</v>
      </c>
      <c r="T401" t="str">
        <f t="shared" si="24"/>
        <v xml:space="preserve">'XLM', </v>
      </c>
      <c r="AJ401" s="27" t="s">
        <v>88</v>
      </c>
      <c r="AK401" s="45">
        <v>12984751.05818682</v>
      </c>
      <c r="AL401">
        <v>660812.59192206408</v>
      </c>
    </row>
    <row r="402" spans="1:38" x14ac:dyDescent="0.25">
      <c r="A402">
        <v>400</v>
      </c>
      <c r="B402" t="s">
        <v>197</v>
      </c>
      <c r="C402" s="1">
        <v>-40000</v>
      </c>
      <c r="E402" t="s">
        <v>167</v>
      </c>
      <c r="F402" t="s">
        <v>822</v>
      </c>
      <c r="G402" s="22">
        <v>20221214</v>
      </c>
      <c r="H402" s="61">
        <v>44910.000002928238</v>
      </c>
      <c r="I402">
        <v>-38058.053736712201</v>
      </c>
      <c r="K402" s="21" t="s">
        <v>1102</v>
      </c>
      <c r="L402" s="21" t="s">
        <v>1076</v>
      </c>
      <c r="M402" s="21" t="s">
        <v>198</v>
      </c>
      <c r="N402" s="21" t="s">
        <v>89</v>
      </c>
      <c r="P402" t="str">
        <f t="shared" si="25"/>
        <v>XTZ</v>
      </c>
      <c r="Q402">
        <f t="shared" si="26"/>
        <v>0.95145134341780502</v>
      </c>
      <c r="R402">
        <v>70.841105999999996</v>
      </c>
      <c r="S402">
        <f t="shared" si="27"/>
        <v>-2833644.2399999998</v>
      </c>
      <c r="T402" t="str">
        <f t="shared" si="24"/>
        <v xml:space="preserve">'XTZ', </v>
      </c>
      <c r="AJ402" s="27" t="s">
        <v>198</v>
      </c>
      <c r="AK402" s="45">
        <v>-27500000</v>
      </c>
      <c r="AL402">
        <v>-1399514.4147487669</v>
      </c>
    </row>
    <row r="403" spans="1:38" x14ac:dyDescent="0.25">
      <c r="A403">
        <v>401</v>
      </c>
      <c r="B403" t="s">
        <v>205</v>
      </c>
      <c r="C403" s="1">
        <v>-457203</v>
      </c>
      <c r="D403" t="s">
        <v>203</v>
      </c>
      <c r="E403" t="s">
        <v>24</v>
      </c>
      <c r="F403" t="s">
        <v>918</v>
      </c>
      <c r="G403" s="22">
        <v>20221214</v>
      </c>
      <c r="H403" s="61">
        <v>44910.000001469911</v>
      </c>
      <c r="I403">
        <v>-447154.28919914103</v>
      </c>
      <c r="K403" s="21" t="s">
        <v>1103</v>
      </c>
      <c r="L403" s="21" t="s">
        <v>1104</v>
      </c>
      <c r="M403" s="21" t="s">
        <v>198</v>
      </c>
      <c r="N403" s="21" t="s">
        <v>115</v>
      </c>
      <c r="P403" t="str">
        <f t="shared" si="25"/>
        <v>EOS</v>
      </c>
      <c r="Q403">
        <f t="shared" si="26"/>
        <v>0.97802133669101254</v>
      </c>
      <c r="R403">
        <v>71.841105999999996</v>
      </c>
      <c r="S403">
        <f t="shared" si="27"/>
        <v>-32845969.186517999</v>
      </c>
      <c r="T403" t="str">
        <f t="shared" si="24"/>
        <v xml:space="preserve">'EOS', </v>
      </c>
      <c r="AJ403" s="4" t="s">
        <v>160</v>
      </c>
      <c r="AK403" s="45">
        <v>6.3152970000000003E-2</v>
      </c>
      <c r="AL403">
        <v>2.1142595802624739E-4</v>
      </c>
    </row>
    <row r="404" spans="1:38" x14ac:dyDescent="0.25">
      <c r="A404">
        <v>402</v>
      </c>
      <c r="B404" t="s">
        <v>205</v>
      </c>
      <c r="C404" s="1">
        <v>-2073</v>
      </c>
      <c r="D404" t="s">
        <v>203</v>
      </c>
      <c r="E404" t="s">
        <v>28</v>
      </c>
      <c r="F404" t="s">
        <v>918</v>
      </c>
      <c r="G404" s="22">
        <v>20221214</v>
      </c>
      <c r="H404" s="61">
        <v>44910.000001469911</v>
      </c>
      <c r="I404">
        <v>-13948.8605633885</v>
      </c>
      <c r="K404" s="21" t="s">
        <v>1105</v>
      </c>
      <c r="L404" s="21" t="s">
        <v>1104</v>
      </c>
      <c r="M404" s="21" t="s">
        <v>198</v>
      </c>
      <c r="N404" s="21" t="s">
        <v>115</v>
      </c>
      <c r="P404" t="str">
        <f t="shared" si="25"/>
        <v>LINK</v>
      </c>
      <c r="Q404">
        <f t="shared" si="26"/>
        <v>6.7288280575921373</v>
      </c>
      <c r="R404">
        <v>72.841105999999996</v>
      </c>
      <c r="S404">
        <f t="shared" si="27"/>
        <v>-150999.612738</v>
      </c>
      <c r="T404" t="str">
        <f t="shared" si="24"/>
        <v xml:space="preserve">'LINK', </v>
      </c>
      <c r="AJ404" s="27" t="s">
        <v>88</v>
      </c>
      <c r="AK404" s="45">
        <v>6.3152970000000003E-2</v>
      </c>
      <c r="AL404">
        <v>2.1142595802624739E-4</v>
      </c>
    </row>
    <row r="405" spans="1:38" x14ac:dyDescent="0.25">
      <c r="A405">
        <v>403</v>
      </c>
      <c r="B405" t="s">
        <v>205</v>
      </c>
      <c r="C405" s="1">
        <v>-6100</v>
      </c>
      <c r="D405" t="s">
        <v>203</v>
      </c>
      <c r="E405" t="s">
        <v>25</v>
      </c>
      <c r="F405" t="s">
        <v>918</v>
      </c>
      <c r="G405" s="22">
        <v>20221214</v>
      </c>
      <c r="H405" s="61">
        <v>44910.000001469911</v>
      </c>
      <c r="I405">
        <v>-460402.76824142301</v>
      </c>
      <c r="K405" s="21" t="s">
        <v>1106</v>
      </c>
      <c r="L405" s="21" t="s">
        <v>1104</v>
      </c>
      <c r="M405" s="21" t="s">
        <v>198</v>
      </c>
      <c r="N405" s="21" t="s">
        <v>115</v>
      </c>
      <c r="P405" t="str">
        <f t="shared" si="25"/>
        <v>LTC</v>
      </c>
      <c r="Q405">
        <f t="shared" si="26"/>
        <v>75.475863646134925</v>
      </c>
      <c r="R405">
        <v>73.841105999999996</v>
      </c>
      <c r="S405">
        <f t="shared" si="27"/>
        <v>-450430.74659999995</v>
      </c>
      <c r="T405" t="str">
        <f t="shared" si="24"/>
        <v xml:space="preserve">'LTC', </v>
      </c>
      <c r="AJ405" s="4" t="s">
        <v>161</v>
      </c>
      <c r="AK405" s="45">
        <v>20</v>
      </c>
      <c r="AL405">
        <v>19.96844747437672</v>
      </c>
    </row>
    <row r="406" spans="1:38" x14ac:dyDescent="0.25">
      <c r="A406">
        <v>404</v>
      </c>
      <c r="B406" t="s">
        <v>205</v>
      </c>
      <c r="C406" s="1">
        <v>-200000</v>
      </c>
      <c r="D406" t="s">
        <v>203</v>
      </c>
      <c r="E406" t="s">
        <v>39</v>
      </c>
      <c r="F406" t="s">
        <v>918</v>
      </c>
      <c r="G406" s="22">
        <v>20221214</v>
      </c>
      <c r="H406" s="61">
        <v>44910.000001469911</v>
      </c>
      <c r="I406">
        <v>-200021.08206490701</v>
      </c>
      <c r="K406" s="21" t="s">
        <v>1107</v>
      </c>
      <c r="L406" s="21" t="s">
        <v>1104</v>
      </c>
      <c r="M406" s="21" t="s">
        <v>198</v>
      </c>
      <c r="N406" s="21" t="s">
        <v>115</v>
      </c>
      <c r="P406" t="str">
        <f t="shared" si="25"/>
        <v>USDT</v>
      </c>
      <c r="Q406">
        <f t="shared" si="26"/>
        <v>1.000105410324535</v>
      </c>
      <c r="R406">
        <v>74.841105999999996</v>
      </c>
      <c r="S406">
        <f t="shared" si="27"/>
        <v>-14968221.199999999</v>
      </c>
      <c r="T406" t="str">
        <f t="shared" si="24"/>
        <v xml:space="preserve">'USDT', </v>
      </c>
      <c r="AJ406" s="27" t="s">
        <v>88</v>
      </c>
      <c r="AK406" s="45">
        <v>20</v>
      </c>
      <c r="AL406">
        <v>19.96844747437672</v>
      </c>
    </row>
    <row r="407" spans="1:38" x14ac:dyDescent="0.25">
      <c r="A407">
        <v>405</v>
      </c>
      <c r="B407" t="s">
        <v>206</v>
      </c>
      <c r="C407" s="1">
        <v>-3350</v>
      </c>
      <c r="E407" t="s">
        <v>15</v>
      </c>
      <c r="F407">
        <v>0</v>
      </c>
      <c r="G407" s="22">
        <v>20221214</v>
      </c>
      <c r="H407" s="61">
        <v>44909</v>
      </c>
      <c r="I407">
        <v>-59682427.0130805</v>
      </c>
      <c r="K407" s="21" t="s">
        <v>1108</v>
      </c>
      <c r="L407" s="21" t="s">
        <v>1109</v>
      </c>
      <c r="M407" s="21" t="s">
        <v>198</v>
      </c>
      <c r="N407" s="21" t="s">
        <v>104</v>
      </c>
      <c r="P407" t="str">
        <f t="shared" si="25"/>
        <v>BTC</v>
      </c>
      <c r="Q407">
        <f t="shared" si="26"/>
        <v>17815.649854650896</v>
      </c>
      <c r="R407">
        <v>75.841105999999996</v>
      </c>
      <c r="S407">
        <f t="shared" si="27"/>
        <v>-254067.70509999999</v>
      </c>
      <c r="T407" t="str">
        <f t="shared" si="24"/>
        <v xml:space="preserve">'BTC', </v>
      </c>
      <c r="AJ407" s="4" t="s">
        <v>162</v>
      </c>
      <c r="AK407" s="45">
        <v>4.7890616599999998</v>
      </c>
      <c r="AL407">
        <v>27.822478711595039</v>
      </c>
    </row>
    <row r="408" spans="1:38" x14ac:dyDescent="0.25">
      <c r="A408">
        <v>406</v>
      </c>
      <c r="B408" t="s">
        <v>206</v>
      </c>
      <c r="C408" s="1">
        <v>-4350822.18</v>
      </c>
      <c r="E408" t="s">
        <v>24</v>
      </c>
      <c r="F408">
        <v>0</v>
      </c>
      <c r="G408">
        <v>20221214</v>
      </c>
      <c r="H408" s="61">
        <v>44909</v>
      </c>
      <c r="I408" s="20">
        <v>-4255196.9241885003</v>
      </c>
      <c r="K408" s="21" t="s">
        <v>1110</v>
      </c>
      <c r="L408" s="21" t="s">
        <v>1109</v>
      </c>
      <c r="M408" s="21" t="s">
        <v>198</v>
      </c>
      <c r="N408" s="21" t="s">
        <v>104</v>
      </c>
      <c r="AJ408" s="27" t="s">
        <v>88</v>
      </c>
      <c r="AK408" s="45">
        <v>4.7890616599999998</v>
      </c>
      <c r="AL408">
        <v>27.822478711595039</v>
      </c>
    </row>
    <row r="409" spans="1:38" x14ac:dyDescent="0.25">
      <c r="A409">
        <v>407</v>
      </c>
      <c r="B409" t="s">
        <v>206</v>
      </c>
      <c r="C409" s="1">
        <v>-6499.9949999999999</v>
      </c>
      <c r="E409" t="s">
        <v>16</v>
      </c>
      <c r="F409">
        <v>0</v>
      </c>
      <c r="G409">
        <v>20221214</v>
      </c>
      <c r="H409" s="61">
        <v>44909</v>
      </c>
      <c r="I409" s="20">
        <v>-8510629.8534208704</v>
      </c>
      <c r="K409" s="21" t="s">
        <v>1111</v>
      </c>
      <c r="L409" s="21" t="s">
        <v>1109</v>
      </c>
      <c r="M409" s="21" t="s">
        <v>198</v>
      </c>
      <c r="N409" s="21" t="s">
        <v>104</v>
      </c>
      <c r="AJ409" s="4" t="s">
        <v>95</v>
      </c>
      <c r="AK409" s="45">
        <v>4512595.36556256</v>
      </c>
      <c r="AL409">
        <v>4513210.612821972</v>
      </c>
    </row>
    <row r="410" spans="1:38" x14ac:dyDescent="0.25">
      <c r="A410">
        <v>408</v>
      </c>
      <c r="B410" t="s">
        <v>171</v>
      </c>
      <c r="C410" s="1">
        <v>-1340.01684679</v>
      </c>
      <c r="E410" t="s">
        <v>15</v>
      </c>
      <c r="F410" t="s">
        <v>990</v>
      </c>
      <c r="G410">
        <v>20221214</v>
      </c>
      <c r="H410" s="61">
        <v>44909</v>
      </c>
      <c r="I410" s="20">
        <v>-23873270.941744</v>
      </c>
      <c r="K410" s="21" t="s">
        <v>1112</v>
      </c>
      <c r="L410" s="21" t="s">
        <v>992</v>
      </c>
      <c r="M410" s="21" t="s">
        <v>172</v>
      </c>
      <c r="N410" s="21" t="s">
        <v>173</v>
      </c>
      <c r="AJ410" s="27" t="s">
        <v>88</v>
      </c>
      <c r="AK410" s="45">
        <v>4512595.36556256</v>
      </c>
      <c r="AL410">
        <v>4513210.612821972</v>
      </c>
    </row>
    <row r="411" spans="1:38" x14ac:dyDescent="0.25">
      <c r="A411">
        <v>409</v>
      </c>
      <c r="B411" t="s">
        <v>171</v>
      </c>
      <c r="C411" s="1">
        <v>-25855</v>
      </c>
      <c r="E411" t="s">
        <v>16</v>
      </c>
      <c r="F411" t="s">
        <v>990</v>
      </c>
      <c r="G411">
        <v>20221214</v>
      </c>
      <c r="H411" s="61">
        <v>44909</v>
      </c>
      <c r="I411" s="20">
        <v>-33852692.942101702</v>
      </c>
      <c r="K411" s="21" t="s">
        <v>1113</v>
      </c>
      <c r="L411" s="21" t="s">
        <v>992</v>
      </c>
      <c r="M411" s="21" t="s">
        <v>172</v>
      </c>
      <c r="N411" s="21" t="s">
        <v>173</v>
      </c>
      <c r="AJ411" s="4" t="s">
        <v>163</v>
      </c>
      <c r="AK411" s="45">
        <v>0.34680431</v>
      </c>
      <c r="AL411">
        <v>0.34492841110450329</v>
      </c>
    </row>
    <row r="412" spans="1:38" x14ac:dyDescent="0.25">
      <c r="A412">
        <v>410</v>
      </c>
      <c r="B412" t="s">
        <v>171</v>
      </c>
      <c r="C412" s="1">
        <v>-30000000</v>
      </c>
      <c r="E412" t="s">
        <v>110</v>
      </c>
      <c r="F412" t="s">
        <v>990</v>
      </c>
      <c r="G412">
        <v>20221214</v>
      </c>
      <c r="H412" s="61">
        <v>44909</v>
      </c>
      <c r="I412" s="20">
        <v>-32048100</v>
      </c>
      <c r="K412" s="21" t="s">
        <v>1114</v>
      </c>
      <c r="L412" s="21" t="s">
        <v>992</v>
      </c>
      <c r="M412" s="21" t="s">
        <v>172</v>
      </c>
      <c r="N412" s="21" t="s">
        <v>173</v>
      </c>
      <c r="P412" t="s">
        <v>240</v>
      </c>
      <c r="Q412" s="20">
        <v>39697417.520000003</v>
      </c>
      <c r="R412" t="s">
        <v>75</v>
      </c>
      <c r="S412" t="s">
        <v>98</v>
      </c>
      <c r="U412" s="62" t="s">
        <v>703</v>
      </c>
      <c r="V412" s="61">
        <v>44883</v>
      </c>
      <c r="W412">
        <v>39697417.520000003</v>
      </c>
      <c r="Y412" s="21" t="s">
        <v>268</v>
      </c>
      <c r="Z412" s="21" t="s">
        <v>325</v>
      </c>
      <c r="AA412" s="21" t="s">
        <v>318</v>
      </c>
      <c r="AB412" s="21" t="s">
        <v>268</v>
      </c>
      <c r="AJ412" s="27" t="s">
        <v>88</v>
      </c>
      <c r="AK412" s="45">
        <v>0.34680431</v>
      </c>
      <c r="AL412">
        <v>0.34492841110450329</v>
      </c>
    </row>
    <row r="413" spans="1:38" x14ac:dyDescent="0.25">
      <c r="A413">
        <v>411</v>
      </c>
      <c r="B413" t="s">
        <v>171</v>
      </c>
      <c r="C413" s="1">
        <v>-15000000</v>
      </c>
      <c r="E413" t="s">
        <v>261</v>
      </c>
      <c r="F413" t="s">
        <v>990</v>
      </c>
      <c r="G413">
        <v>20221214</v>
      </c>
      <c r="H413" s="61">
        <v>44909</v>
      </c>
      <c r="I413" s="20">
        <v>-16024971.6490518</v>
      </c>
      <c r="K413" s="21" t="s">
        <v>1115</v>
      </c>
      <c r="L413" s="21" t="s">
        <v>992</v>
      </c>
      <c r="M413" s="21" t="s">
        <v>172</v>
      </c>
      <c r="N413" s="21" t="s">
        <v>173</v>
      </c>
      <c r="P413" t="s">
        <v>262</v>
      </c>
      <c r="Q413" s="20">
        <v>141983.65</v>
      </c>
      <c r="R413" t="s">
        <v>75</v>
      </c>
      <c r="S413" t="s">
        <v>98</v>
      </c>
      <c r="U413" s="62" t="s">
        <v>703</v>
      </c>
      <c r="V413" s="61">
        <v>44883</v>
      </c>
      <c r="W413">
        <v>141983.65</v>
      </c>
      <c r="Y413" s="21" t="s">
        <v>262</v>
      </c>
      <c r="Z413" s="21" t="s">
        <v>264</v>
      </c>
      <c r="AA413" s="21" t="s">
        <v>88</v>
      </c>
      <c r="AB413" s="21" t="s">
        <v>262</v>
      </c>
      <c r="AJ413" s="4" t="s">
        <v>39</v>
      </c>
      <c r="AK413" s="45">
        <v>10490636.347712729</v>
      </c>
      <c r="AL413">
        <v>10477571.291961037</v>
      </c>
    </row>
    <row r="414" spans="1:38" x14ac:dyDescent="0.25">
      <c r="A414">
        <v>412</v>
      </c>
      <c r="B414" t="s">
        <v>171</v>
      </c>
      <c r="C414" s="1">
        <v>-42800000</v>
      </c>
      <c r="E414" t="s">
        <v>98</v>
      </c>
      <c r="F414" t="s">
        <v>990</v>
      </c>
      <c r="G414">
        <v>20221214</v>
      </c>
      <c r="H414" s="61">
        <v>44909</v>
      </c>
      <c r="I414" s="20">
        <v>-42800000</v>
      </c>
      <c r="K414" s="21" t="s">
        <v>1116</v>
      </c>
      <c r="L414" s="21" t="s">
        <v>992</v>
      </c>
      <c r="M414" s="21" t="s">
        <v>172</v>
      </c>
      <c r="N414" s="21" t="s">
        <v>173</v>
      </c>
      <c r="R414" s="62"/>
      <c r="S414" s="61"/>
      <c r="AJ414" s="27" t="s">
        <v>88</v>
      </c>
      <c r="AK414" s="45">
        <v>37405875.610862829</v>
      </c>
      <c r="AL414">
        <v>37359290.271890208</v>
      </c>
    </row>
    <row r="415" spans="1:38" x14ac:dyDescent="0.25">
      <c r="A415">
        <v>413</v>
      </c>
      <c r="B415" t="s">
        <v>171</v>
      </c>
      <c r="C415" s="1">
        <v>-56500000</v>
      </c>
      <c r="E415" t="s">
        <v>95</v>
      </c>
      <c r="F415" t="s">
        <v>990</v>
      </c>
      <c r="G415">
        <v>20221214</v>
      </c>
      <c r="H415" s="61">
        <v>44909</v>
      </c>
      <c r="I415" s="20">
        <v>-56498843.179700501</v>
      </c>
      <c r="K415" s="21" t="s">
        <v>1117</v>
      </c>
      <c r="L415" s="21" t="s">
        <v>992</v>
      </c>
      <c r="M415" s="21" t="s">
        <v>172</v>
      </c>
      <c r="N415" s="21" t="s">
        <v>173</v>
      </c>
      <c r="AJ415" s="27" t="s">
        <v>198</v>
      </c>
      <c r="AK415" s="45">
        <v>-26915239.2631501</v>
      </c>
      <c r="AL415">
        <v>-26881718.979929172</v>
      </c>
    </row>
    <row r="416" spans="1:38" x14ac:dyDescent="0.25">
      <c r="A416">
        <v>414</v>
      </c>
      <c r="B416" t="s">
        <v>171</v>
      </c>
      <c r="C416" s="1">
        <v>-20000000</v>
      </c>
      <c r="E416" t="s">
        <v>27</v>
      </c>
      <c r="F416" t="s">
        <v>990</v>
      </c>
      <c r="G416">
        <v>20221214</v>
      </c>
      <c r="H416" s="61">
        <v>44909</v>
      </c>
      <c r="I416" s="20">
        <v>-435807.45829612599</v>
      </c>
      <c r="K416" s="21" t="s">
        <v>1118</v>
      </c>
      <c r="L416" s="21" t="s">
        <v>992</v>
      </c>
      <c r="M416" s="21" t="s">
        <v>172</v>
      </c>
      <c r="N416" s="21" t="s">
        <v>173</v>
      </c>
      <c r="AJ416" s="4" t="s">
        <v>199</v>
      </c>
      <c r="AK416" s="45">
        <v>59589.017780000002</v>
      </c>
      <c r="AL416">
        <v>1143.3895217359529</v>
      </c>
    </row>
    <row r="417" spans="1:38" x14ac:dyDescent="0.25">
      <c r="A417">
        <v>415</v>
      </c>
      <c r="B417" t="s">
        <v>207</v>
      </c>
      <c r="C417" s="1">
        <v>-5000</v>
      </c>
      <c r="E417" t="s">
        <v>21</v>
      </c>
      <c r="F417" t="s">
        <v>1119</v>
      </c>
      <c r="G417">
        <v>20221214</v>
      </c>
      <c r="H417" s="61">
        <v>44909</v>
      </c>
      <c r="I417" s="20">
        <v>-545542.47976536397</v>
      </c>
      <c r="K417" s="21" t="s">
        <v>1120</v>
      </c>
      <c r="L417" s="21" t="s">
        <v>1104</v>
      </c>
      <c r="M417" s="21" t="s">
        <v>198</v>
      </c>
      <c r="N417" s="21" t="s">
        <v>115</v>
      </c>
      <c r="P417" t="str">
        <f t="shared" ref="P417:P424" si="28">IF($C417="","",$E417)</f>
        <v>BCH</v>
      </c>
      <c r="Q417">
        <f>IF($C417="","",$I417/$C417)</f>
        <v>109.10849595307279</v>
      </c>
      <c r="S417">
        <f t="shared" ref="S417:S424" si="29">IF($B417="","",$C417*$R417)</f>
        <v>0</v>
      </c>
      <c r="AJ417" s="27" t="s">
        <v>88</v>
      </c>
      <c r="AK417" s="45">
        <v>59589.017780000002</v>
      </c>
      <c r="AL417">
        <v>1143.3895217359529</v>
      </c>
    </row>
    <row r="418" spans="1:38" x14ac:dyDescent="0.25">
      <c r="A418">
        <v>416</v>
      </c>
      <c r="B418" t="s">
        <v>207</v>
      </c>
      <c r="C418" s="1">
        <v>-40000</v>
      </c>
      <c r="E418" t="s">
        <v>23</v>
      </c>
      <c r="F418" t="s">
        <v>1119</v>
      </c>
      <c r="G418">
        <v>20221214</v>
      </c>
      <c r="H418" s="61">
        <v>44909</v>
      </c>
      <c r="I418" s="20">
        <v>-208608.39003861701</v>
      </c>
      <c r="K418" s="21" t="s">
        <v>1121</v>
      </c>
      <c r="L418" s="21" t="s">
        <v>1104</v>
      </c>
      <c r="M418" s="21" t="s">
        <v>198</v>
      </c>
      <c r="N418" s="21" t="s">
        <v>115</v>
      </c>
      <c r="P418" t="str">
        <f t="shared" si="28"/>
        <v>DOT</v>
      </c>
      <c r="Q418">
        <f>IF($C418="","",$I418/$C418)</f>
        <v>5.2152097509654256</v>
      </c>
      <c r="S418">
        <f t="shared" si="29"/>
        <v>0</v>
      </c>
      <c r="AJ418" s="4" t="s">
        <v>164</v>
      </c>
      <c r="AK418" s="45">
        <v>0.20872535</v>
      </c>
      <c r="AL418">
        <v>1.9676883399649811E-4</v>
      </c>
    </row>
    <row r="419" spans="1:38" x14ac:dyDescent="0.25">
      <c r="A419">
        <v>417</v>
      </c>
      <c r="B419" t="s">
        <v>207</v>
      </c>
      <c r="C419" s="1">
        <v>-160000</v>
      </c>
      <c r="E419" t="s">
        <v>24</v>
      </c>
      <c r="F419" t="s">
        <v>1119</v>
      </c>
      <c r="G419">
        <v>20221214</v>
      </c>
      <c r="H419" s="61">
        <v>44909</v>
      </c>
      <c r="I419" s="20">
        <v>-156483.41387056201</v>
      </c>
      <c r="K419" s="21" t="s">
        <v>1103</v>
      </c>
      <c r="L419" s="21" t="s">
        <v>1104</v>
      </c>
      <c r="M419" s="21" t="s">
        <v>198</v>
      </c>
      <c r="N419" s="21" t="s">
        <v>115</v>
      </c>
      <c r="P419" t="str">
        <f t="shared" si="28"/>
        <v>EOS</v>
      </c>
      <c r="Q419">
        <f>IF($C419="","",$I419/$C419)</f>
        <v>0.97802133669101254</v>
      </c>
      <c r="S419">
        <f t="shared" si="29"/>
        <v>0</v>
      </c>
      <c r="AJ419" s="27" t="s">
        <v>88</v>
      </c>
      <c r="AK419" s="45">
        <v>0.20872535</v>
      </c>
      <c r="AL419">
        <v>1.9676883399649811E-4</v>
      </c>
    </row>
    <row r="420" spans="1:38" x14ac:dyDescent="0.25">
      <c r="A420">
        <v>418</v>
      </c>
      <c r="B420" t="s">
        <v>207</v>
      </c>
      <c r="C420" s="1">
        <v>-108000</v>
      </c>
      <c r="E420" t="s">
        <v>30</v>
      </c>
      <c r="F420" t="s">
        <v>1119</v>
      </c>
      <c r="G420">
        <v>20221214</v>
      </c>
      <c r="H420" s="61">
        <v>44909</v>
      </c>
      <c r="I420" s="20">
        <v>-2029070.22066905</v>
      </c>
      <c r="K420" s="21" t="s">
        <v>1122</v>
      </c>
      <c r="L420" s="21" t="s">
        <v>1104</v>
      </c>
      <c r="M420" s="21" t="s">
        <v>198</v>
      </c>
      <c r="N420" s="21" t="s">
        <v>115</v>
      </c>
      <c r="P420" t="str">
        <f t="shared" si="28"/>
        <v>ETC</v>
      </c>
      <c r="S420">
        <f t="shared" si="29"/>
        <v>0</v>
      </c>
      <c r="AJ420" s="4" t="s">
        <v>165</v>
      </c>
      <c r="AK420" s="45">
        <v>97856389.900000006</v>
      </c>
      <c r="AL420">
        <v>2783.8908510174469</v>
      </c>
    </row>
    <row r="421" spans="1:38" x14ac:dyDescent="0.25">
      <c r="A421">
        <v>419</v>
      </c>
      <c r="B421" t="s">
        <v>207</v>
      </c>
      <c r="C421" s="1">
        <v>-4600</v>
      </c>
      <c r="E421" t="s">
        <v>16</v>
      </c>
      <c r="F421" t="s">
        <v>1119</v>
      </c>
      <c r="G421">
        <v>20221214</v>
      </c>
      <c r="H421" s="61">
        <v>44909</v>
      </c>
      <c r="I421" s="20">
        <v>-6022911.91389162</v>
      </c>
      <c r="K421" s="21" t="s">
        <v>1123</v>
      </c>
      <c r="L421" s="21" t="s">
        <v>1104</v>
      </c>
      <c r="M421" s="21" t="s">
        <v>198</v>
      </c>
      <c r="N421" s="21" t="s">
        <v>115</v>
      </c>
      <c r="P421" t="str">
        <f t="shared" si="28"/>
        <v>ETH</v>
      </c>
      <c r="S421">
        <f t="shared" si="29"/>
        <v>0</v>
      </c>
      <c r="AJ421" s="4" t="s">
        <v>88</v>
      </c>
      <c r="AK421" s="45">
        <v>97856389.900000006</v>
      </c>
      <c r="AL421">
        <v>2783.8908510174469</v>
      </c>
    </row>
    <row r="422" spans="1:38" x14ac:dyDescent="0.25">
      <c r="A422">
        <v>420</v>
      </c>
      <c r="B422" t="s">
        <v>207</v>
      </c>
      <c r="C422" s="1">
        <v>-17000</v>
      </c>
      <c r="E422" t="s">
        <v>28</v>
      </c>
      <c r="F422" t="s">
        <v>1119</v>
      </c>
      <c r="G422">
        <v>20221214</v>
      </c>
      <c r="H422" s="61">
        <v>44909</v>
      </c>
      <c r="I422" s="20">
        <v>-114390.076979066</v>
      </c>
      <c r="K422" s="21" t="s">
        <v>1105</v>
      </c>
      <c r="L422" s="21" t="s">
        <v>1104</v>
      </c>
      <c r="M422" s="21" t="s">
        <v>198</v>
      </c>
      <c r="N422" s="21" t="s">
        <v>115</v>
      </c>
      <c r="P422" t="str">
        <f t="shared" si="28"/>
        <v>LINK</v>
      </c>
      <c r="S422">
        <f t="shared" si="29"/>
        <v>0</v>
      </c>
      <c r="AJ422" s="4" t="s">
        <v>166</v>
      </c>
      <c r="AK422" s="45">
        <v>0.55556267999999998</v>
      </c>
      <c r="AL422">
        <v>4.9064506111574757E-2</v>
      </c>
    </row>
    <row r="423" spans="1:38" x14ac:dyDescent="0.25">
      <c r="A423">
        <v>421</v>
      </c>
      <c r="B423" t="s">
        <v>207</v>
      </c>
      <c r="C423" s="1">
        <v>-11800</v>
      </c>
      <c r="E423" t="s">
        <v>25</v>
      </c>
      <c r="F423" t="s">
        <v>1119</v>
      </c>
      <c r="G423">
        <v>20221214</v>
      </c>
      <c r="H423" s="61">
        <v>44909</v>
      </c>
      <c r="I423" s="20">
        <v>-890615.19102439296</v>
      </c>
      <c r="K423" s="21" t="s">
        <v>1106</v>
      </c>
      <c r="L423" s="21" t="s">
        <v>1104</v>
      </c>
      <c r="M423" s="21" t="s">
        <v>198</v>
      </c>
      <c r="N423" s="21" t="s">
        <v>115</v>
      </c>
      <c r="P423" t="str">
        <f t="shared" si="28"/>
        <v>LTC</v>
      </c>
      <c r="S423">
        <f t="shared" si="29"/>
        <v>0</v>
      </c>
      <c r="AJ423" s="4" t="s">
        <v>88</v>
      </c>
      <c r="AK423" s="45">
        <v>0.55556267999999998</v>
      </c>
      <c r="AL423">
        <v>4.9064506111574757E-2</v>
      </c>
    </row>
    <row r="424" spans="1:38" x14ac:dyDescent="0.25">
      <c r="A424">
        <v>422</v>
      </c>
      <c r="B424" t="s">
        <v>210</v>
      </c>
      <c r="C424" s="1">
        <v>-2600208</v>
      </c>
      <c r="E424" t="s">
        <v>92</v>
      </c>
      <c r="F424">
        <v>0</v>
      </c>
      <c r="G424">
        <v>20221214</v>
      </c>
      <c r="H424" s="61">
        <v>44909</v>
      </c>
      <c r="I424" s="20">
        <v>-211079.35056690499</v>
      </c>
      <c r="K424" s="21" t="s">
        <v>1124</v>
      </c>
      <c r="L424" s="21" t="s">
        <v>1125</v>
      </c>
      <c r="M424" s="21" t="s">
        <v>211</v>
      </c>
      <c r="N424" s="21" t="s">
        <v>212</v>
      </c>
      <c r="P424" t="str">
        <f t="shared" si="28"/>
        <v>OXT</v>
      </c>
      <c r="S424">
        <f t="shared" si="29"/>
        <v>0</v>
      </c>
      <c r="AJ424" s="4" t="s">
        <v>102</v>
      </c>
      <c r="AK424" s="45">
        <v>1335.7771694800001</v>
      </c>
      <c r="AL424">
        <v>454.56020309235521</v>
      </c>
    </row>
    <row r="425" spans="1:38" x14ac:dyDescent="0.25">
      <c r="A425">
        <v>423</v>
      </c>
      <c r="B425" t="s">
        <v>210</v>
      </c>
      <c r="C425" s="1">
        <v>-1000000</v>
      </c>
      <c r="E425" t="s">
        <v>95</v>
      </c>
      <c r="F425">
        <v>0</v>
      </c>
      <c r="G425">
        <v>20221214</v>
      </c>
      <c r="H425" s="61">
        <v>44909</v>
      </c>
      <c r="I425" s="20">
        <v>-999979.52530443505</v>
      </c>
      <c r="K425" s="21" t="s">
        <v>1126</v>
      </c>
      <c r="L425" s="21" t="s">
        <v>1125</v>
      </c>
      <c r="M425" s="21" t="s">
        <v>211</v>
      </c>
      <c r="N425" s="21" t="s">
        <v>212</v>
      </c>
      <c r="AJ425" s="4" t="s">
        <v>88</v>
      </c>
      <c r="AK425" s="45">
        <v>1335.7771694800001</v>
      </c>
      <c r="AL425">
        <v>454.56020309235521</v>
      </c>
    </row>
    <row r="426" spans="1:38" x14ac:dyDescent="0.25">
      <c r="A426">
        <v>424</v>
      </c>
      <c r="B426" t="s">
        <v>213</v>
      </c>
      <c r="C426" s="1">
        <v>-201.17</v>
      </c>
      <c r="E426" t="s">
        <v>102</v>
      </c>
      <c r="F426" t="s">
        <v>1119</v>
      </c>
      <c r="G426">
        <v>20221214</v>
      </c>
      <c r="H426" s="61">
        <v>44909</v>
      </c>
      <c r="I426" s="20">
        <v>-77.734847605534796</v>
      </c>
      <c r="K426" s="21" t="s">
        <v>1127</v>
      </c>
      <c r="L426" s="21" t="s">
        <v>1128</v>
      </c>
      <c r="M426" s="21" t="s">
        <v>211</v>
      </c>
      <c r="N426" s="21" t="s">
        <v>214</v>
      </c>
      <c r="AJ426" s="4" t="s">
        <v>167</v>
      </c>
      <c r="AK426" s="45">
        <v>3.9304560899999998</v>
      </c>
      <c r="AL426">
        <v>3.972655860982079</v>
      </c>
    </row>
    <row r="427" spans="1:38" x14ac:dyDescent="0.25">
      <c r="A427">
        <v>425</v>
      </c>
      <c r="B427" t="s">
        <v>215</v>
      </c>
      <c r="C427" s="1">
        <v>-22591.087326270001</v>
      </c>
      <c r="D427" t="s">
        <v>75</v>
      </c>
      <c r="E427" t="s">
        <v>39</v>
      </c>
      <c r="F427">
        <v>0</v>
      </c>
      <c r="G427">
        <v>20221214</v>
      </c>
      <c r="H427" s="61">
        <v>44910.000001273147</v>
      </c>
      <c r="I427" s="20">
        <v>-22593.468660116701</v>
      </c>
      <c r="K427" s="21" t="s">
        <v>1129</v>
      </c>
      <c r="L427" s="21" t="s">
        <v>1130</v>
      </c>
      <c r="M427" s="21" t="s">
        <v>198</v>
      </c>
      <c r="N427" s="21" t="s">
        <v>46</v>
      </c>
      <c r="AJ427" s="4" t="s">
        <v>88</v>
      </c>
      <c r="AK427" s="45">
        <v>3.9304560899999998</v>
      </c>
      <c r="AL427">
        <v>3.972655860982079</v>
      </c>
    </row>
    <row r="428" spans="1:38" x14ac:dyDescent="0.25">
      <c r="A428">
        <v>426</v>
      </c>
      <c r="B428" t="s">
        <v>216</v>
      </c>
      <c r="C428" s="1">
        <v>-1.9866326700000001</v>
      </c>
      <c r="D428" t="s">
        <v>75</v>
      </c>
      <c r="E428" t="s">
        <v>21</v>
      </c>
      <c r="F428" t="s">
        <v>1009</v>
      </c>
      <c r="G428">
        <v>20221214</v>
      </c>
      <c r="H428" s="61">
        <v>44910.000003275461</v>
      </c>
      <c r="I428" s="20">
        <v>-216.758502634937</v>
      </c>
      <c r="K428" s="21" t="s">
        <v>1131</v>
      </c>
      <c r="L428" s="21" t="s">
        <v>1130</v>
      </c>
      <c r="M428" s="21" t="s">
        <v>198</v>
      </c>
      <c r="N428" s="21" t="s">
        <v>46</v>
      </c>
      <c r="P428" t="s">
        <v>240</v>
      </c>
      <c r="Q428">
        <v>38289617.950000003</v>
      </c>
      <c r="R428">
        <v>38289617.950000003</v>
      </c>
      <c r="S428" t="s">
        <v>75</v>
      </c>
      <c r="U428" t="s">
        <v>98</v>
      </c>
      <c r="W428" t="s">
        <v>305</v>
      </c>
      <c r="X428">
        <v>44874</v>
      </c>
      <c r="Y428">
        <v>38289617.950000003</v>
      </c>
      <c r="AA428" t="s">
        <v>268</v>
      </c>
      <c r="AB428" t="s">
        <v>270</v>
      </c>
      <c r="AC428" t="s">
        <v>268</v>
      </c>
      <c r="AD428" t="s">
        <v>269</v>
      </c>
      <c r="AJ428" s="4" t="s">
        <v>174</v>
      </c>
      <c r="AK428" s="45">
        <v>0.10222220999999999</v>
      </c>
      <c r="AL428">
        <v>583.96382153074887</v>
      </c>
    </row>
    <row r="429" spans="1:38" x14ac:dyDescent="0.25">
      <c r="A429">
        <v>427</v>
      </c>
      <c r="B429" t="s">
        <v>216</v>
      </c>
      <c r="C429" s="1">
        <v>-33.055893580000003</v>
      </c>
      <c r="D429" t="s">
        <v>75</v>
      </c>
      <c r="E429" t="s">
        <v>23</v>
      </c>
      <c r="F429" t="s">
        <v>1009</v>
      </c>
      <c r="G429">
        <v>20221214</v>
      </c>
      <c r="H429" s="61">
        <v>44910.000003275461</v>
      </c>
      <c r="I429" s="20">
        <v>-172.393418525291</v>
      </c>
      <c r="K429" s="21" t="s">
        <v>1132</v>
      </c>
      <c r="L429" s="21" t="s">
        <v>1130</v>
      </c>
      <c r="M429" s="21" t="s">
        <v>198</v>
      </c>
      <c r="N429" s="21" t="s">
        <v>46</v>
      </c>
      <c r="P429" t="s">
        <v>262</v>
      </c>
      <c r="Q429">
        <v>9770263.2400000002</v>
      </c>
      <c r="R429">
        <v>9770263.2400000002</v>
      </c>
      <c r="S429" t="s">
        <v>75</v>
      </c>
      <c r="U429" t="s">
        <v>98</v>
      </c>
      <c r="W429" t="s">
        <v>305</v>
      </c>
      <c r="X429">
        <v>44874</v>
      </c>
      <c r="Y429">
        <v>9770263.2400000002</v>
      </c>
      <c r="AA429" t="s">
        <v>262</v>
      </c>
      <c r="AB429" t="s">
        <v>263</v>
      </c>
      <c r="AC429" t="s">
        <v>262</v>
      </c>
      <c r="AD429" t="s">
        <v>264</v>
      </c>
      <c r="AJ429" s="4" t="s">
        <v>88</v>
      </c>
      <c r="AK429" s="45">
        <v>0.10222220999999999</v>
      </c>
      <c r="AL429">
        <v>583.96382153074887</v>
      </c>
    </row>
    <row r="430" spans="1:38" x14ac:dyDescent="0.25">
      <c r="A430">
        <v>428</v>
      </c>
      <c r="B430" t="s">
        <v>216</v>
      </c>
      <c r="C430" s="1">
        <v>-0.40742539</v>
      </c>
      <c r="D430" t="s">
        <v>75</v>
      </c>
      <c r="E430" t="s">
        <v>30</v>
      </c>
      <c r="F430" t="s">
        <v>1009</v>
      </c>
      <c r="G430">
        <v>20221214</v>
      </c>
      <c r="H430" s="61">
        <v>44910.000003275461</v>
      </c>
      <c r="I430" s="20">
        <v>-7.6545807962358801</v>
      </c>
      <c r="K430" s="21" t="s">
        <v>1133</v>
      </c>
      <c r="L430" s="21" t="s">
        <v>1130</v>
      </c>
      <c r="M430" s="21" t="s">
        <v>198</v>
      </c>
      <c r="N430" s="21" t="s">
        <v>46</v>
      </c>
      <c r="AJ430" s="4" t="s">
        <v>120</v>
      </c>
      <c r="AK430" s="45">
        <v>1.572583E-2</v>
      </c>
      <c r="AL430">
        <v>32.499444517869279</v>
      </c>
    </row>
    <row r="431" spans="1:38" x14ac:dyDescent="0.25">
      <c r="A431">
        <v>429</v>
      </c>
      <c r="B431" t="s">
        <v>216</v>
      </c>
      <c r="C431" s="1">
        <v>-3.6931970000000001E-2</v>
      </c>
      <c r="D431" t="s">
        <v>75</v>
      </c>
      <c r="E431" t="s">
        <v>31</v>
      </c>
      <c r="F431" t="s">
        <v>1009</v>
      </c>
      <c r="G431">
        <v>20221214</v>
      </c>
      <c r="H431" s="61">
        <v>44910.000003275461</v>
      </c>
      <c r="I431" s="20">
        <v>-0.156225546246545</v>
      </c>
      <c r="K431" s="21" t="s">
        <v>1134</v>
      </c>
      <c r="L431" s="21" t="s">
        <v>1130</v>
      </c>
      <c r="M431" s="21" t="s">
        <v>198</v>
      </c>
      <c r="N431" s="21" t="s">
        <v>46</v>
      </c>
      <c r="AJ431" s="4" t="s">
        <v>88</v>
      </c>
      <c r="AK431" s="45">
        <v>1.572583E-2</v>
      </c>
      <c r="AL431">
        <v>32.499444517869279</v>
      </c>
    </row>
    <row r="432" spans="1:38" x14ac:dyDescent="0.25">
      <c r="A432">
        <v>430</v>
      </c>
      <c r="B432" t="s">
        <v>216</v>
      </c>
      <c r="C432" s="1">
        <v>-10039049522.907801</v>
      </c>
      <c r="D432" t="s">
        <v>75</v>
      </c>
      <c r="E432" t="s">
        <v>38</v>
      </c>
      <c r="F432" t="s">
        <v>1009</v>
      </c>
      <c r="G432">
        <v>20221214</v>
      </c>
      <c r="H432" s="61">
        <v>44910.000003275461</v>
      </c>
      <c r="I432" s="20">
        <v>-90077.943553211197</v>
      </c>
      <c r="K432" s="21" t="s">
        <v>1135</v>
      </c>
      <c r="L432" s="21" t="s">
        <v>1130</v>
      </c>
      <c r="M432" s="21" t="s">
        <v>198</v>
      </c>
      <c r="N432" s="21" t="s">
        <v>46</v>
      </c>
      <c r="AJ432" s="4" t="s">
        <v>168</v>
      </c>
      <c r="AK432" s="45">
        <v>2.173E-4</v>
      </c>
      <c r="AL432">
        <v>8.8366813215128449E-3</v>
      </c>
    </row>
    <row r="433" spans="1:38" x14ac:dyDescent="0.25">
      <c r="A433">
        <v>431</v>
      </c>
      <c r="B433" t="s">
        <v>216</v>
      </c>
      <c r="C433" s="1">
        <v>-66891.138748700003</v>
      </c>
      <c r="D433" t="s">
        <v>75</v>
      </c>
      <c r="E433" t="s">
        <v>95</v>
      </c>
      <c r="F433" t="s">
        <v>1009</v>
      </c>
      <c r="G433">
        <v>20221214</v>
      </c>
      <c r="H433" s="61">
        <v>44910.000003275461</v>
      </c>
      <c r="I433" s="20">
        <v>-66889.769172998102</v>
      </c>
      <c r="K433" s="21" t="s">
        <v>1136</v>
      </c>
      <c r="L433" s="21" t="s">
        <v>1130</v>
      </c>
      <c r="M433" s="21" t="s">
        <v>198</v>
      </c>
      <c r="N433" s="21" t="s">
        <v>46</v>
      </c>
      <c r="AJ433" s="4" t="s">
        <v>88</v>
      </c>
      <c r="AK433" s="45">
        <v>2.173E-4</v>
      </c>
      <c r="AL433">
        <v>8.8366813215128449E-3</v>
      </c>
    </row>
    <row r="434" spans="1:38" x14ac:dyDescent="0.25">
      <c r="A434">
        <v>432</v>
      </c>
      <c r="B434" t="s">
        <v>216</v>
      </c>
      <c r="C434" s="1">
        <v>-2453174.9918184001</v>
      </c>
      <c r="D434" t="s">
        <v>75</v>
      </c>
      <c r="E434" t="s">
        <v>39</v>
      </c>
      <c r="F434" t="s">
        <v>1009</v>
      </c>
      <c r="G434">
        <v>20221214</v>
      </c>
      <c r="H434" s="61">
        <v>44910.000003275461</v>
      </c>
      <c r="I434" s="20">
        <v>-2453433.58179043</v>
      </c>
      <c r="K434" s="21" t="s">
        <v>1129</v>
      </c>
      <c r="L434" s="21" t="s">
        <v>1130</v>
      </c>
      <c r="M434" s="21" t="s">
        <v>198</v>
      </c>
      <c r="N434" s="21" t="s">
        <v>46</v>
      </c>
      <c r="AJ434" s="4" t="s">
        <v>27</v>
      </c>
      <c r="AK434" s="45">
        <v>19402725.175014921</v>
      </c>
      <c r="AL434">
        <v>404112.90464051522</v>
      </c>
    </row>
    <row r="435" spans="1:38" x14ac:dyDescent="0.25">
      <c r="A435">
        <v>433</v>
      </c>
      <c r="B435" t="s">
        <v>217</v>
      </c>
      <c r="C435" s="1">
        <v>-5926778.0706390496</v>
      </c>
      <c r="E435" t="s">
        <v>39</v>
      </c>
      <c r="F435">
        <v>0</v>
      </c>
      <c r="G435">
        <v>20221214</v>
      </c>
      <c r="H435" s="61">
        <v>44910.000001469911</v>
      </c>
      <c r="I435" s="20">
        <v>-5927402.8142389301</v>
      </c>
      <c r="K435" s="21" t="s">
        <v>1138</v>
      </c>
      <c r="L435" s="21" t="s">
        <v>1137</v>
      </c>
      <c r="M435" s="21" t="s">
        <v>198</v>
      </c>
      <c r="N435" s="21" t="s">
        <v>187</v>
      </c>
      <c r="AJ435" s="4" t="s">
        <v>88</v>
      </c>
      <c r="AK435" s="45">
        <v>19402725.175014921</v>
      </c>
      <c r="AL435">
        <v>404112.90464051522</v>
      </c>
    </row>
    <row r="436" spans="1:38" x14ac:dyDescent="0.25">
      <c r="A436">
        <v>434</v>
      </c>
      <c r="B436" t="s">
        <v>713</v>
      </c>
      <c r="C436" s="1">
        <v>8579966.9199999999</v>
      </c>
      <c r="E436" t="s">
        <v>98</v>
      </c>
      <c r="G436">
        <v>20221214</v>
      </c>
      <c r="H436" s="61">
        <v>44910.000000081018</v>
      </c>
      <c r="I436" s="20">
        <v>8579966.9199999999</v>
      </c>
      <c r="K436" s="21" t="s">
        <v>1139</v>
      </c>
      <c r="L436" s="21" t="s">
        <v>1140</v>
      </c>
      <c r="M436" s="21" t="s">
        <v>318</v>
      </c>
      <c r="N436" s="21" t="s">
        <v>713</v>
      </c>
      <c r="AJ436" s="4" t="s">
        <v>170</v>
      </c>
      <c r="AK436" s="45">
        <v>984235.53820117004</v>
      </c>
      <c r="AL436">
        <v>337598.48340671888</v>
      </c>
    </row>
    <row r="437" spans="1:38" x14ac:dyDescent="0.25">
      <c r="A437">
        <v>435</v>
      </c>
      <c r="B437" t="s">
        <v>262</v>
      </c>
      <c r="C437" s="1">
        <v>233100.16999999899</v>
      </c>
      <c r="D437" t="s">
        <v>75</v>
      </c>
      <c r="E437" t="s">
        <v>98</v>
      </c>
      <c r="G437">
        <v>20221214</v>
      </c>
      <c r="H437" s="61">
        <v>44910.000000081018</v>
      </c>
      <c r="I437" s="20">
        <v>233100.16999999899</v>
      </c>
      <c r="K437" s="21" t="s">
        <v>263</v>
      </c>
      <c r="L437" s="21" t="s">
        <v>264</v>
      </c>
      <c r="M437" s="21" t="s">
        <v>88</v>
      </c>
      <c r="N437" s="21" t="s">
        <v>262</v>
      </c>
      <c r="AJ437" s="4" t="s">
        <v>36</v>
      </c>
      <c r="AK437" s="45">
        <v>430.45047</v>
      </c>
      <c r="AL437">
        <v>4380.4785692011837</v>
      </c>
    </row>
    <row r="438" spans="1:38" x14ac:dyDescent="0.25">
      <c r="A438">
        <v>436</v>
      </c>
      <c r="B438" t="s">
        <v>240</v>
      </c>
      <c r="C438" s="1">
        <v>30714150.289999999</v>
      </c>
      <c r="D438" t="s">
        <v>75</v>
      </c>
      <c r="E438" t="s">
        <v>98</v>
      </c>
      <c r="G438">
        <v>20221214</v>
      </c>
      <c r="H438" s="61">
        <v>44910.000000081018</v>
      </c>
      <c r="I438" s="20">
        <v>30714150.289999999</v>
      </c>
      <c r="K438" s="21" t="s">
        <v>1141</v>
      </c>
      <c r="L438" s="21" t="s">
        <v>325</v>
      </c>
      <c r="M438" s="21" t="s">
        <v>318</v>
      </c>
      <c r="N438" s="21" t="s">
        <v>268</v>
      </c>
      <c r="AJ438" s="4" t="s">
        <v>88</v>
      </c>
      <c r="AK438" s="45">
        <v>430.45047</v>
      </c>
      <c r="AL438">
        <v>4380.4785692011837</v>
      </c>
    </row>
    <row r="439" spans="1:38" x14ac:dyDescent="0.25">
      <c r="AJ439" s="4" t="s">
        <v>21</v>
      </c>
      <c r="AK439" s="45">
        <v>1.7695412699999999</v>
      </c>
      <c r="AL439">
        <v>176.32860757776589</v>
      </c>
    </row>
    <row r="440" spans="1:38" x14ac:dyDescent="0.25">
      <c r="AJ440" s="27" t="s">
        <v>88</v>
      </c>
      <c r="AK440" s="45">
        <v>1.7695412699999999</v>
      </c>
      <c r="AL440">
        <v>176.32860757776589</v>
      </c>
    </row>
    <row r="441" spans="1:38" x14ac:dyDescent="0.25">
      <c r="AJ441" s="4" t="s">
        <v>15</v>
      </c>
      <c r="AK441" s="45">
        <v>1.8847760000000002E-2</v>
      </c>
      <c r="AL441">
        <v>308.224312229563</v>
      </c>
    </row>
    <row r="442" spans="1:38" x14ac:dyDescent="0.25">
      <c r="AJ442" s="27" t="s">
        <v>88</v>
      </c>
      <c r="AK442" s="45">
        <v>1.8847760000000002E-2</v>
      </c>
      <c r="AL442">
        <v>308.224312229563</v>
      </c>
    </row>
    <row r="443" spans="1:38" x14ac:dyDescent="0.25">
      <c r="AJ443" s="4" t="s">
        <v>23</v>
      </c>
      <c r="AK443" s="45">
        <v>34.962823350000001</v>
      </c>
      <c r="AL443">
        <v>201.1497924022095</v>
      </c>
    </row>
    <row r="444" spans="1:38" x14ac:dyDescent="0.25">
      <c r="AJ444" s="27" t="s">
        <v>88</v>
      </c>
      <c r="AK444" s="45">
        <v>34.962823350000001</v>
      </c>
      <c r="AL444">
        <v>201.1497924022095</v>
      </c>
    </row>
    <row r="445" spans="1:38" x14ac:dyDescent="0.25">
      <c r="AJ445" s="4" t="s">
        <v>24</v>
      </c>
      <c r="AK445" s="45">
        <v>9.9499194400000004</v>
      </c>
      <c r="AL445">
        <v>8.8212633571351713</v>
      </c>
    </row>
    <row r="446" spans="1:38" x14ac:dyDescent="0.25">
      <c r="AJ446" s="27" t="s">
        <v>88</v>
      </c>
      <c r="AK446" s="45">
        <v>9.9499194400000004</v>
      </c>
      <c r="AL446">
        <v>8.8212633571351713</v>
      </c>
    </row>
    <row r="447" spans="1:38" x14ac:dyDescent="0.25">
      <c r="AJ447" s="4" t="s">
        <v>275</v>
      </c>
      <c r="AK447" s="45">
        <v>3.4037359</v>
      </c>
      <c r="AL447">
        <v>13.26324610821024</v>
      </c>
    </row>
    <row r="448" spans="1:38" x14ac:dyDescent="0.25">
      <c r="AJ448" s="27" t="s">
        <v>88</v>
      </c>
      <c r="AK448" s="45">
        <v>3.4037359</v>
      </c>
      <c r="AL448">
        <v>13.26324610821024</v>
      </c>
    </row>
    <row r="449" spans="36:38" x14ac:dyDescent="0.25">
      <c r="AJ449" s="4" t="s">
        <v>44</v>
      </c>
      <c r="AK449" s="45">
        <v>6392.7486803700003</v>
      </c>
      <c r="AL449">
        <v>148261.67538083941</v>
      </c>
    </row>
    <row r="450" spans="36:38" x14ac:dyDescent="0.25">
      <c r="AJ450" s="27" t="s">
        <v>88</v>
      </c>
      <c r="AK450" s="45">
        <v>6392.7486803700003</v>
      </c>
      <c r="AL450">
        <v>148261.67538083941</v>
      </c>
    </row>
    <row r="451" spans="36:38" x14ac:dyDescent="0.25">
      <c r="AJ451" s="4" t="s">
        <v>25</v>
      </c>
      <c r="AK451" s="45">
        <v>9.1421368100000002</v>
      </c>
      <c r="AL451">
        <v>525.55560898763406</v>
      </c>
    </row>
    <row r="452" spans="36:38" x14ac:dyDescent="0.25">
      <c r="AJ452" s="27" t="s">
        <v>88</v>
      </c>
      <c r="AK452" s="45">
        <v>9.1421368100000002</v>
      </c>
      <c r="AL452">
        <v>525.55560898763406</v>
      </c>
    </row>
    <row r="453" spans="36:38" x14ac:dyDescent="0.25">
      <c r="AJ453" s="4" t="s">
        <v>92</v>
      </c>
      <c r="AK453" s="45">
        <v>864101.84359399998</v>
      </c>
      <c r="AL453">
        <v>70472.326413768707</v>
      </c>
    </row>
    <row r="454" spans="36:38" x14ac:dyDescent="0.25">
      <c r="AJ454" s="27" t="s">
        <v>88</v>
      </c>
      <c r="AK454" s="45">
        <v>864101.84359399998</v>
      </c>
      <c r="AL454">
        <v>70472.326413768707</v>
      </c>
    </row>
    <row r="455" spans="36:38" x14ac:dyDescent="0.25">
      <c r="AJ455" s="4" t="s">
        <v>101</v>
      </c>
      <c r="AK455" s="45">
        <v>0.10834547999999999</v>
      </c>
      <c r="AL455">
        <v>1.3016083665599509E-3</v>
      </c>
    </row>
    <row r="456" spans="36:38" x14ac:dyDescent="0.25">
      <c r="AJ456" s="27" t="s">
        <v>88</v>
      </c>
      <c r="AK456" s="45">
        <v>0.10834547999999999</v>
      </c>
      <c r="AL456">
        <v>1.3016083665599509E-3</v>
      </c>
    </row>
    <row r="457" spans="36:38" x14ac:dyDescent="0.25">
      <c r="AJ457" s="4" t="s">
        <v>98</v>
      </c>
      <c r="AK457" s="45">
        <v>113250.4023</v>
      </c>
      <c r="AL457">
        <v>113250.4023</v>
      </c>
    </row>
    <row r="458" spans="36:38" x14ac:dyDescent="0.25">
      <c r="AJ458" s="27" t="s">
        <v>88</v>
      </c>
      <c r="AK458" s="45">
        <v>113250.4023</v>
      </c>
      <c r="AL458">
        <v>113250.4023</v>
      </c>
    </row>
    <row r="459" spans="36:38" x14ac:dyDescent="0.25">
      <c r="AJ459" s="4" t="s">
        <v>39</v>
      </c>
      <c r="AK459" s="45">
        <v>1.182861E-2</v>
      </c>
      <c r="AL459">
        <v>1.1813878629662419E-2</v>
      </c>
    </row>
    <row r="460" spans="36:38" x14ac:dyDescent="0.25">
      <c r="AJ460" s="27" t="s">
        <v>88</v>
      </c>
      <c r="AK460" s="45">
        <v>1.182861E-2</v>
      </c>
      <c r="AL460">
        <v>1.1813878629662419E-2</v>
      </c>
    </row>
    <row r="461" spans="36:38" x14ac:dyDescent="0.25">
      <c r="AJ461" s="4" t="s">
        <v>166</v>
      </c>
      <c r="AK461" s="45">
        <v>8.93329E-3</v>
      </c>
      <c r="AL461">
        <v>7.8894331383358885E-4</v>
      </c>
    </row>
    <row r="462" spans="36:38" x14ac:dyDescent="0.25">
      <c r="AJ462" s="27" t="s">
        <v>88</v>
      </c>
      <c r="AK462" s="45">
        <v>8.93329E-3</v>
      </c>
      <c r="AL462">
        <v>7.8894331383358885E-4</v>
      </c>
    </row>
    <row r="463" spans="36:38" x14ac:dyDescent="0.25">
      <c r="AJ463" s="4" t="s">
        <v>102</v>
      </c>
      <c r="AK463" s="45">
        <v>0.71704489000000005</v>
      </c>
      <c r="AL463">
        <v>0.24400781677652089</v>
      </c>
    </row>
    <row r="464" spans="36:38" x14ac:dyDescent="0.25">
      <c r="AJ464" s="27" t="s">
        <v>88</v>
      </c>
      <c r="AK464" s="45">
        <v>0.71704489000000005</v>
      </c>
      <c r="AL464">
        <v>0.24400781677652089</v>
      </c>
    </row>
    <row r="465" spans="36:38" x14ac:dyDescent="0.25">
      <c r="AJ465" s="3" t="s">
        <v>175</v>
      </c>
      <c r="AK465" s="45">
        <v>3.13E-3</v>
      </c>
      <c r="AL465">
        <v>0.61353960886582493</v>
      </c>
    </row>
    <row r="466" spans="36:38" x14ac:dyDescent="0.25">
      <c r="AJ466" s="4" t="s">
        <v>16</v>
      </c>
      <c r="AK466" s="45">
        <v>5.0000000000000001E-4</v>
      </c>
      <c r="AL466">
        <v>0.6109096088658249</v>
      </c>
    </row>
    <row r="467" spans="36:38" x14ac:dyDescent="0.25">
      <c r="AJ467" s="27" t="s">
        <v>88</v>
      </c>
      <c r="AK467" s="45">
        <v>5.0000000000000001E-4</v>
      </c>
      <c r="AL467">
        <v>0.6109096088658249</v>
      </c>
    </row>
    <row r="468" spans="36:38" x14ac:dyDescent="0.25">
      <c r="AJ468" s="4" t="s">
        <v>98</v>
      </c>
      <c r="AK468" s="45">
        <v>2.63E-3</v>
      </c>
      <c r="AL468">
        <v>2.63E-3</v>
      </c>
    </row>
    <row r="469" spans="36:38" x14ac:dyDescent="0.25">
      <c r="AJ469" s="27" t="s">
        <v>88</v>
      </c>
      <c r="AK469" s="45">
        <v>2.63E-3</v>
      </c>
      <c r="AL469">
        <v>2.63E-3</v>
      </c>
    </row>
    <row r="470" spans="36:38" x14ac:dyDescent="0.25">
      <c r="AJ470" s="3" t="s">
        <v>176</v>
      </c>
      <c r="AK470" s="45">
        <v>10138.885630000001</v>
      </c>
      <c r="AL470">
        <v>10138.885630000001</v>
      </c>
    </row>
    <row r="471" spans="36:38" x14ac:dyDescent="0.25">
      <c r="AJ471" s="4" t="s">
        <v>98</v>
      </c>
      <c r="AK471" s="45">
        <v>10138.885630000001</v>
      </c>
      <c r="AL471">
        <v>10138.885630000001</v>
      </c>
    </row>
    <row r="472" spans="36:38" x14ac:dyDescent="0.25">
      <c r="AJ472" s="27" t="s">
        <v>88</v>
      </c>
      <c r="AK472" s="45">
        <v>10138.885630000001</v>
      </c>
      <c r="AL472">
        <v>10138.885630000001</v>
      </c>
    </row>
    <row r="473" spans="36:38" x14ac:dyDescent="0.25">
      <c r="AJ473" s="3" t="s">
        <v>46</v>
      </c>
      <c r="AK473" s="45">
        <v>-9963717952.8686657</v>
      </c>
      <c r="AL473">
        <v>79562000.668711618</v>
      </c>
    </row>
    <row r="474" spans="36:38" x14ac:dyDescent="0.25">
      <c r="AJ474" s="4" t="s">
        <v>21</v>
      </c>
      <c r="AK474" s="45">
        <v>-1463.7902284300001</v>
      </c>
      <c r="AL474">
        <v>-145861.584095748</v>
      </c>
    </row>
    <row r="475" spans="36:38" x14ac:dyDescent="0.25">
      <c r="AJ475" s="27" t="s">
        <v>88</v>
      </c>
      <c r="AK475" s="45">
        <v>109.51263598</v>
      </c>
      <c r="AL475">
        <v>10912.55171150891</v>
      </c>
    </row>
    <row r="476" spans="36:38" x14ac:dyDescent="0.25">
      <c r="AJ476" s="27" t="s">
        <v>198</v>
      </c>
      <c r="AK476" s="45">
        <v>-1573.30286441</v>
      </c>
      <c r="AL476">
        <v>-156774.13580725691</v>
      </c>
    </row>
    <row r="477" spans="36:38" x14ac:dyDescent="0.25">
      <c r="AJ477" s="4" t="s">
        <v>116</v>
      </c>
      <c r="AK477" s="45">
        <v>0.86729455</v>
      </c>
      <c r="AL477">
        <v>33.580489683509107</v>
      </c>
    </row>
    <row r="478" spans="36:38" x14ac:dyDescent="0.25">
      <c r="AJ478" s="27" t="s">
        <v>88</v>
      </c>
      <c r="AK478" s="45">
        <v>0.86729455</v>
      </c>
      <c r="AL478">
        <v>33.580489683509107</v>
      </c>
    </row>
    <row r="479" spans="36:38" x14ac:dyDescent="0.25">
      <c r="AJ479" s="4" t="s">
        <v>15</v>
      </c>
      <c r="AK479" s="45">
        <v>512.06016428000009</v>
      </c>
      <c r="AL479">
        <v>8373907.135668112</v>
      </c>
    </row>
    <row r="480" spans="36:38" x14ac:dyDescent="0.25">
      <c r="AJ480" s="27" t="s">
        <v>88</v>
      </c>
      <c r="AK480" s="45">
        <v>512.06016428000009</v>
      </c>
      <c r="AL480">
        <v>8373907.135668112</v>
      </c>
    </row>
    <row r="481" spans="36:38" x14ac:dyDescent="0.25">
      <c r="AJ481" s="4" t="s">
        <v>23</v>
      </c>
      <c r="AK481" s="45">
        <v>6.8575999999999999E-4</v>
      </c>
      <c r="AL481">
        <v>3.9453473266980654E-3</v>
      </c>
    </row>
    <row r="482" spans="36:38" x14ac:dyDescent="0.25">
      <c r="AJ482" s="27" t="s">
        <v>88</v>
      </c>
      <c r="AK482" s="45">
        <v>6.8575999999999999E-4</v>
      </c>
      <c r="AL482">
        <v>3.9453473266980654E-3</v>
      </c>
    </row>
    <row r="483" spans="36:38" x14ac:dyDescent="0.25">
      <c r="AJ483" s="4" t="s">
        <v>24</v>
      </c>
      <c r="AK483" s="45">
        <v>147536.53602641</v>
      </c>
      <c r="AL483">
        <v>130800.92225233369</v>
      </c>
    </row>
    <row r="484" spans="36:38" x14ac:dyDescent="0.25">
      <c r="AJ484" s="27" t="s">
        <v>88</v>
      </c>
      <c r="AK484" s="45">
        <v>147536.53602641</v>
      </c>
      <c r="AL484">
        <v>130800.92225233369</v>
      </c>
    </row>
    <row r="485" spans="36:38" x14ac:dyDescent="0.25">
      <c r="AJ485" s="4" t="s">
        <v>30</v>
      </c>
      <c r="AK485" s="45">
        <v>-0.40707694999999999</v>
      </c>
      <c r="AL485">
        <v>-8.1242992961689033</v>
      </c>
    </row>
    <row r="486" spans="36:38" x14ac:dyDescent="0.25">
      <c r="AJ486" s="27" t="s">
        <v>198</v>
      </c>
      <c r="AK486" s="45">
        <v>-0.40707694999999999</v>
      </c>
      <c r="AL486">
        <v>-8.1242992961689033</v>
      </c>
    </row>
    <row r="487" spans="36:38" x14ac:dyDescent="0.25">
      <c r="AJ487" s="4" t="s">
        <v>16</v>
      </c>
      <c r="AK487" s="45">
        <v>5099.6463487399997</v>
      </c>
      <c r="AL487">
        <v>6230845.91252557</v>
      </c>
    </row>
    <row r="488" spans="36:38" x14ac:dyDescent="0.25">
      <c r="AJ488" s="27" t="s">
        <v>88</v>
      </c>
      <c r="AK488" s="45">
        <v>6364.6002509999998</v>
      </c>
      <c r="AL488">
        <v>7776390.8998514814</v>
      </c>
    </row>
    <row r="489" spans="36:38" x14ac:dyDescent="0.25">
      <c r="AJ489" s="27" t="s">
        <v>198</v>
      </c>
      <c r="AK489" s="45">
        <v>-1264.9539022599999</v>
      </c>
      <c r="AL489">
        <v>-1545544.9873259109</v>
      </c>
    </row>
    <row r="490" spans="36:38" x14ac:dyDescent="0.25">
      <c r="AJ490" s="4" t="s">
        <v>275</v>
      </c>
      <c r="AK490" s="45">
        <v>8.7929999999999993E-5</v>
      </c>
      <c r="AL490">
        <v>3.4263446535171162E-4</v>
      </c>
    </row>
    <row r="491" spans="36:38" x14ac:dyDescent="0.25">
      <c r="AJ491" s="27" t="s">
        <v>88</v>
      </c>
      <c r="AK491" s="45">
        <v>8.7929999999999993E-5</v>
      </c>
      <c r="AL491">
        <v>3.4263446535171162E-4</v>
      </c>
    </row>
    <row r="492" spans="36:38" x14ac:dyDescent="0.25">
      <c r="AJ492" s="4" t="s">
        <v>31</v>
      </c>
      <c r="AK492" s="45">
        <v>-3.6900389999999998E-2</v>
      </c>
      <c r="AL492">
        <v>-0.15844940293277221</v>
      </c>
    </row>
    <row r="493" spans="36:38" x14ac:dyDescent="0.25">
      <c r="AJ493" s="27" t="s">
        <v>198</v>
      </c>
      <c r="AK493" s="45">
        <v>-3.6900389999999998E-2</v>
      </c>
      <c r="AL493">
        <v>-0.15844940293277221</v>
      </c>
    </row>
    <row r="494" spans="36:38" x14ac:dyDescent="0.25">
      <c r="AJ494" s="4" t="s">
        <v>28</v>
      </c>
      <c r="AK494" s="45">
        <v>7.5870867500000001</v>
      </c>
      <c r="AL494">
        <v>46.072177056415278</v>
      </c>
    </row>
    <row r="495" spans="36:38" x14ac:dyDescent="0.25">
      <c r="AJ495" s="27" t="s">
        <v>88</v>
      </c>
      <c r="AK495" s="45">
        <v>7.5870867500000001</v>
      </c>
      <c r="AL495">
        <v>46.072177056415278</v>
      </c>
    </row>
    <row r="496" spans="36:38" x14ac:dyDescent="0.25">
      <c r="AJ496" s="4" t="s">
        <v>25</v>
      </c>
      <c r="AK496" s="45">
        <v>3634.9021786799999</v>
      </c>
      <c r="AL496">
        <v>208960.25380379806</v>
      </c>
    </row>
    <row r="497" spans="36:38" x14ac:dyDescent="0.25">
      <c r="AJ497" s="27" t="s">
        <v>88</v>
      </c>
      <c r="AK497" s="45">
        <v>3634.9021786799999</v>
      </c>
      <c r="AL497">
        <v>208960.25380379806</v>
      </c>
    </row>
    <row r="498" spans="36:38" x14ac:dyDescent="0.25">
      <c r="AJ498" s="4" t="s">
        <v>92</v>
      </c>
      <c r="AK498" s="45">
        <v>387813.07240811997</v>
      </c>
      <c r="AL498">
        <v>31628.319773742609</v>
      </c>
    </row>
    <row r="499" spans="36:38" x14ac:dyDescent="0.25">
      <c r="AJ499" s="27" t="s">
        <v>88</v>
      </c>
      <c r="AK499" s="45">
        <v>387813.07240811997</v>
      </c>
      <c r="AL499">
        <v>31628.319773742609</v>
      </c>
    </row>
    <row r="500" spans="36:38" x14ac:dyDescent="0.25">
      <c r="AJ500" s="4" t="s">
        <v>38</v>
      </c>
      <c r="AK500" s="45">
        <v>-10030463790.585346</v>
      </c>
      <c r="AL500">
        <v>-90558.111270937152</v>
      </c>
    </row>
    <row r="501" spans="36:38" x14ac:dyDescent="0.25">
      <c r="AJ501" s="27" t="s">
        <v>88</v>
      </c>
      <c r="AK501" s="45">
        <v>8.1457000000000003E-4</v>
      </c>
      <c r="AL501">
        <v>7.3541884241887576E-9</v>
      </c>
    </row>
    <row r="502" spans="36:38" x14ac:dyDescent="0.25">
      <c r="AJ502" s="27" t="s">
        <v>198</v>
      </c>
      <c r="AK502" s="45">
        <v>-10030463790.586161</v>
      </c>
      <c r="AL502">
        <v>-90558.111270944501</v>
      </c>
    </row>
    <row r="503" spans="36:38" x14ac:dyDescent="0.25">
      <c r="AJ503" s="4" t="s">
        <v>95</v>
      </c>
      <c r="AK503" s="45">
        <v>-66833.931200249994</v>
      </c>
      <c r="AL503">
        <v>-66843.043338537522</v>
      </c>
    </row>
    <row r="504" spans="36:38" x14ac:dyDescent="0.25">
      <c r="AJ504" s="27" t="s">
        <v>198</v>
      </c>
      <c r="AK504" s="45">
        <v>-66833.931200249994</v>
      </c>
      <c r="AL504">
        <v>-66843.043338537522</v>
      </c>
    </row>
    <row r="505" spans="36:38" x14ac:dyDescent="0.25">
      <c r="AJ505" s="4" t="s">
        <v>39</v>
      </c>
      <c r="AK505" s="45">
        <v>64941345.912050463</v>
      </c>
      <c r="AL505">
        <v>64860467.853102624</v>
      </c>
    </row>
    <row r="506" spans="36:38" x14ac:dyDescent="0.25">
      <c r="AJ506" s="27" t="s">
        <v>88</v>
      </c>
      <c r="AK506" s="45">
        <v>64966266.08846093</v>
      </c>
      <c r="AL506">
        <v>64885356.993884429</v>
      </c>
    </row>
    <row r="507" spans="36:38" x14ac:dyDescent="0.25">
      <c r="AJ507" s="27" t="s">
        <v>198</v>
      </c>
      <c r="AK507" s="45">
        <v>-24920.176410470001</v>
      </c>
      <c r="AL507">
        <v>-24889.140781805239</v>
      </c>
    </row>
    <row r="508" spans="36:38" x14ac:dyDescent="0.25">
      <c r="AJ508" s="4" t="s">
        <v>165</v>
      </c>
      <c r="AK508" s="45">
        <v>5.47</v>
      </c>
      <c r="AL508">
        <v>1.5561459982967789E-4</v>
      </c>
    </row>
    <row r="509" spans="36:38" x14ac:dyDescent="0.25">
      <c r="AJ509" s="27" t="s">
        <v>88</v>
      </c>
      <c r="AK509" s="45">
        <v>5.47</v>
      </c>
      <c r="AL509">
        <v>1.5561459982967789E-4</v>
      </c>
    </row>
    <row r="510" spans="36:38" x14ac:dyDescent="0.25">
      <c r="AJ510" s="4" t="s">
        <v>102</v>
      </c>
      <c r="AK510" s="45">
        <v>2875.9911805200004</v>
      </c>
      <c r="AL510">
        <v>978.68953368765267</v>
      </c>
    </row>
    <row r="511" spans="36:38" x14ac:dyDescent="0.25">
      <c r="AJ511" s="27" t="s">
        <v>88</v>
      </c>
      <c r="AK511" s="45">
        <v>2875.9911805200004</v>
      </c>
      <c r="AL511">
        <v>978.68953368765267</v>
      </c>
    </row>
    <row r="512" spans="36:38" x14ac:dyDescent="0.25">
      <c r="AJ512" s="4" t="s">
        <v>27</v>
      </c>
      <c r="AK512" s="45">
        <v>1325303.8365750101</v>
      </c>
      <c r="AL512">
        <v>27602.946395344909</v>
      </c>
    </row>
    <row r="513" spans="36:38" x14ac:dyDescent="0.25">
      <c r="AJ513" s="27" t="s">
        <v>88</v>
      </c>
      <c r="AK513" s="45">
        <v>1325303.8365750101</v>
      </c>
      <c r="AL513">
        <v>27602.946395344909</v>
      </c>
    </row>
    <row r="514" spans="36:38" x14ac:dyDescent="0.25">
      <c r="AJ514" s="3" t="s">
        <v>212</v>
      </c>
      <c r="AK514" s="45">
        <v>-3600208</v>
      </c>
      <c r="AL514">
        <v>-1212197.8096977568</v>
      </c>
    </row>
    <row r="515" spans="36:38" x14ac:dyDescent="0.25">
      <c r="AJ515" s="4" t="s">
        <v>92</v>
      </c>
      <c r="AK515" s="45">
        <v>-2600208</v>
      </c>
      <c r="AL515">
        <v>-212061.4696961458</v>
      </c>
    </row>
    <row r="516" spans="36:38" x14ac:dyDescent="0.25">
      <c r="AJ516" s="27" t="s">
        <v>211</v>
      </c>
      <c r="AK516" s="45">
        <v>-2600208</v>
      </c>
      <c r="AL516">
        <v>-212061.4696961458</v>
      </c>
    </row>
    <row r="517" spans="36:38" x14ac:dyDescent="0.25">
      <c r="AJ517" s="4" t="s">
        <v>95</v>
      </c>
      <c r="AK517" s="45">
        <v>-1000000</v>
      </c>
      <c r="AL517">
        <v>-1000136.340001611</v>
      </c>
    </row>
    <row r="518" spans="36:38" x14ac:dyDescent="0.25">
      <c r="AJ518" s="27" t="s">
        <v>211</v>
      </c>
      <c r="AK518" s="45">
        <v>-1000000</v>
      </c>
      <c r="AL518">
        <v>-1000136.340001611</v>
      </c>
    </row>
    <row r="519" spans="36:38" x14ac:dyDescent="0.25">
      <c r="AJ519" s="3" t="s">
        <v>179</v>
      </c>
      <c r="AK519" s="45">
        <v>0.13812404</v>
      </c>
      <c r="AL519">
        <v>0.90747768552352293</v>
      </c>
    </row>
    <row r="520" spans="36:38" x14ac:dyDescent="0.25">
      <c r="AJ520" s="4" t="s">
        <v>16</v>
      </c>
      <c r="AK520" s="45">
        <v>7.1361999999999999E-4</v>
      </c>
      <c r="AL520">
        <v>0.87191463015765991</v>
      </c>
    </row>
    <row r="521" spans="36:38" x14ac:dyDescent="0.25">
      <c r="AJ521" s="27" t="s">
        <v>88</v>
      </c>
      <c r="AK521" s="45">
        <v>7.1361999999999999E-4</v>
      </c>
      <c r="AL521">
        <v>0.87191463015765991</v>
      </c>
    </row>
    <row r="522" spans="36:38" x14ac:dyDescent="0.25">
      <c r="AJ522" s="4" t="s">
        <v>110</v>
      </c>
      <c r="AK522" s="45">
        <v>0.01</v>
      </c>
      <c r="AL522">
        <v>1.0335499999999999E-2</v>
      </c>
    </row>
    <row r="523" spans="36:38" x14ac:dyDescent="0.25">
      <c r="AJ523" s="27" t="s">
        <v>88</v>
      </c>
      <c r="AK523" s="45">
        <v>0.01</v>
      </c>
      <c r="AL523">
        <v>1.0335499999999999E-2</v>
      </c>
    </row>
    <row r="524" spans="36:38" x14ac:dyDescent="0.25">
      <c r="AJ524" s="4" t="s">
        <v>180</v>
      </c>
      <c r="AK524" s="45">
        <v>0.01</v>
      </c>
      <c r="AL524">
        <v>1.1838899999999999E-2</v>
      </c>
    </row>
    <row r="525" spans="36:38" x14ac:dyDescent="0.25">
      <c r="AJ525" s="27" t="s">
        <v>88</v>
      </c>
      <c r="AK525" s="45">
        <v>0.01</v>
      </c>
      <c r="AL525">
        <v>1.1838899999999999E-2</v>
      </c>
    </row>
    <row r="526" spans="36:38" x14ac:dyDescent="0.25">
      <c r="AJ526" s="4" t="s">
        <v>182</v>
      </c>
      <c r="AK526" s="45">
        <v>0.10983253</v>
      </c>
      <c r="AL526">
        <v>5.8121018861928813E-3</v>
      </c>
    </row>
    <row r="527" spans="36:38" x14ac:dyDescent="0.25">
      <c r="AJ527" s="27" t="s">
        <v>88</v>
      </c>
      <c r="AK527" s="45">
        <v>0.10983253</v>
      </c>
      <c r="AL527">
        <v>5.8121018861928813E-3</v>
      </c>
    </row>
    <row r="528" spans="36:38" x14ac:dyDescent="0.25">
      <c r="AJ528" s="4" t="s">
        <v>98</v>
      </c>
      <c r="AK528" s="45">
        <v>6.5778299999999998E-3</v>
      </c>
      <c r="AL528">
        <v>6.5778299999999998E-3</v>
      </c>
    </row>
    <row r="529" spans="36:38" x14ac:dyDescent="0.25">
      <c r="AJ529" s="27" t="s">
        <v>88</v>
      </c>
      <c r="AK529" s="45">
        <v>6.5778299999999998E-3</v>
      </c>
      <c r="AL529">
        <v>6.5778299999999998E-3</v>
      </c>
    </row>
    <row r="530" spans="36:38" x14ac:dyDescent="0.25">
      <c r="AJ530" s="4" t="s">
        <v>39</v>
      </c>
      <c r="AK530" s="45">
        <v>9.9996000000000004E-4</v>
      </c>
      <c r="AL530">
        <v>9.9871464817229052E-4</v>
      </c>
    </row>
    <row r="531" spans="36:38" x14ac:dyDescent="0.25">
      <c r="AJ531" s="27" t="s">
        <v>88</v>
      </c>
      <c r="AK531" s="45">
        <v>9.9996000000000004E-4</v>
      </c>
      <c r="AL531">
        <v>9.9871464817229052E-4</v>
      </c>
    </row>
    <row r="532" spans="36:38" x14ac:dyDescent="0.25">
      <c r="AJ532" s="4" t="s">
        <v>166</v>
      </c>
      <c r="AK532" s="45">
        <v>9.9999999999999995E-8</v>
      </c>
      <c r="AL532">
        <v>8.8314978449550921E-9</v>
      </c>
    </row>
    <row r="533" spans="36:38" x14ac:dyDescent="0.25">
      <c r="AJ533" s="27" t="s">
        <v>88</v>
      </c>
      <c r="AK533" s="45">
        <v>9.9999999999999995E-8</v>
      </c>
      <c r="AL533">
        <v>8.8314978449550921E-9</v>
      </c>
    </row>
    <row r="534" spans="36:38" x14ac:dyDescent="0.25">
      <c r="AJ534" s="3" t="s">
        <v>214</v>
      </c>
      <c r="AK534" s="45">
        <v>-201.17</v>
      </c>
      <c r="AL534">
        <v>-68.457432980148155</v>
      </c>
    </row>
    <row r="535" spans="36:38" x14ac:dyDescent="0.25">
      <c r="AJ535" s="4" t="s">
        <v>102</v>
      </c>
      <c r="AK535" s="45">
        <v>-201.17</v>
      </c>
      <c r="AL535">
        <v>-68.457432980148155</v>
      </c>
    </row>
    <row r="536" spans="36:38" x14ac:dyDescent="0.25">
      <c r="AJ536" s="27" t="s">
        <v>211</v>
      </c>
      <c r="AK536" s="45">
        <v>-201.17</v>
      </c>
      <c r="AL536">
        <v>-68.457432980148155</v>
      </c>
    </row>
    <row r="537" spans="36:38" x14ac:dyDescent="0.25">
      <c r="AJ537" s="3" t="s">
        <v>185</v>
      </c>
      <c r="AK537" s="45">
        <v>3189967.2936231201</v>
      </c>
      <c r="AL537">
        <v>27700.14279195312</v>
      </c>
    </row>
    <row r="538" spans="36:38" x14ac:dyDescent="0.25">
      <c r="AJ538" s="4" t="s">
        <v>184</v>
      </c>
      <c r="AK538" s="45">
        <v>3189967.2936231201</v>
      </c>
      <c r="AL538">
        <v>27700.14279195312</v>
      </c>
    </row>
    <row r="539" spans="36:38" x14ac:dyDescent="0.25">
      <c r="AJ539" s="27" t="s">
        <v>88</v>
      </c>
      <c r="AK539" s="45">
        <v>3189967.2936231201</v>
      </c>
      <c r="AL539">
        <v>27700.14279195312</v>
      </c>
    </row>
    <row r="540" spans="36:38" x14ac:dyDescent="0.25">
      <c r="AJ540" s="3" t="s">
        <v>187</v>
      </c>
      <c r="AK540" s="45">
        <v>10957624.232298901</v>
      </c>
      <c r="AL540">
        <v>2993803.983628212</v>
      </c>
    </row>
    <row r="541" spans="36:38" x14ac:dyDescent="0.25">
      <c r="AJ541" s="4" t="s">
        <v>87</v>
      </c>
      <c r="AK541" s="45">
        <v>59</v>
      </c>
      <c r="AL541">
        <v>19.477492173636382</v>
      </c>
    </row>
    <row r="542" spans="36:38" x14ac:dyDescent="0.25">
      <c r="AJ542" s="27" t="s">
        <v>88</v>
      </c>
      <c r="AK542" s="45">
        <v>59</v>
      </c>
      <c r="AL542">
        <v>19.477492173636382</v>
      </c>
    </row>
    <row r="543" spans="36:38" x14ac:dyDescent="0.25">
      <c r="AJ543" s="4" t="s">
        <v>15</v>
      </c>
      <c r="AK543" s="45">
        <v>-174.51592060999999</v>
      </c>
      <c r="AL543">
        <v>-2853922.6732049999</v>
      </c>
    </row>
    <row r="544" spans="36:38" x14ac:dyDescent="0.25">
      <c r="AJ544" s="27" t="s">
        <v>198</v>
      </c>
      <c r="AK544" s="45">
        <v>-174.51592060999999</v>
      </c>
      <c r="AL544">
        <v>-2853922.6732049999</v>
      </c>
    </row>
    <row r="545" spans="36:38" x14ac:dyDescent="0.25">
      <c r="AJ545" s="4" t="s">
        <v>16</v>
      </c>
      <c r="AK545" s="45">
        <v>-2994.3247933399998</v>
      </c>
      <c r="AL545">
        <v>-3658523.5766331628</v>
      </c>
    </row>
    <row r="546" spans="36:38" x14ac:dyDescent="0.25">
      <c r="AJ546" s="27" t="s">
        <v>198</v>
      </c>
      <c r="AK546" s="45">
        <v>-2994.3247933399998</v>
      </c>
      <c r="AL546">
        <v>-3658523.5766331628</v>
      </c>
    </row>
    <row r="547" spans="36:38" x14ac:dyDescent="0.25">
      <c r="AJ547" s="4" t="s">
        <v>275</v>
      </c>
      <c r="AK547" s="45">
        <v>1267.7570125100001</v>
      </c>
      <c r="AL547">
        <v>4940.0346432076312</v>
      </c>
    </row>
    <row r="548" spans="36:38" x14ac:dyDescent="0.25">
      <c r="AJ548" s="27" t="s">
        <v>88</v>
      </c>
      <c r="AK548" s="45">
        <v>1267.7570125100001</v>
      </c>
      <c r="AL548">
        <v>4940.0346432076312</v>
      </c>
    </row>
    <row r="549" spans="36:38" x14ac:dyDescent="0.25">
      <c r="AJ549" s="4" t="s">
        <v>39</v>
      </c>
      <c r="AK549" s="45">
        <v>9315180.2629010305</v>
      </c>
      <c r="AL549">
        <v>9303579.1220895518</v>
      </c>
    </row>
    <row r="550" spans="36:38" x14ac:dyDescent="0.25">
      <c r="AJ550" s="27" t="s">
        <v>88</v>
      </c>
      <c r="AK550" s="45">
        <v>9315180.2629010305</v>
      </c>
      <c r="AL550">
        <v>9303579.1220895518</v>
      </c>
    </row>
    <row r="551" spans="36:38" x14ac:dyDescent="0.25">
      <c r="AJ551" s="4" t="s">
        <v>188</v>
      </c>
      <c r="AK551" s="45">
        <v>1644286.05309931</v>
      </c>
      <c r="AL551">
        <v>197711.5992414417</v>
      </c>
    </row>
    <row r="552" spans="36:38" x14ac:dyDescent="0.25">
      <c r="AJ552" s="27" t="s">
        <v>88</v>
      </c>
      <c r="AK552" s="45">
        <v>1644286.05309931</v>
      </c>
      <c r="AL552">
        <v>197711.5992414417</v>
      </c>
    </row>
    <row r="553" spans="36:38" x14ac:dyDescent="0.25">
      <c r="AJ553" s="3" t="s">
        <v>284</v>
      </c>
      <c r="AK553" s="45"/>
    </row>
    <row r="554" spans="36:38" x14ac:dyDescent="0.25">
      <c r="AJ554" s="4" t="s">
        <v>284</v>
      </c>
      <c r="AK554" s="45"/>
    </row>
    <row r="555" spans="36:38" x14ac:dyDescent="0.25">
      <c r="AJ555" s="27" t="s">
        <v>284</v>
      </c>
      <c r="AK555" s="45"/>
    </row>
    <row r="556" spans="36:38" x14ac:dyDescent="0.25">
      <c r="AJ556" s="3" t="s">
        <v>59</v>
      </c>
      <c r="AK556" s="45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autoFilter ref="B1:AL581" xr:uid="{00000000-0001-0000-0900-000000000000}"/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540"/>
  <sheetViews>
    <sheetView zoomScale="78" zoomScaleNormal="78" workbookViewId="0">
      <selection activeCell="P61" sqref="P61"/>
    </sheetView>
  </sheetViews>
  <sheetFormatPr defaultRowHeight="15" x14ac:dyDescent="0.25"/>
  <cols>
    <col min="1" max="2" width="12.5703125" bestFit="1" customWidth="1"/>
    <col min="3" max="3" width="1.7109375" style="86" customWidth="1"/>
    <col min="5" max="5" width="23.140625" bestFit="1" customWidth="1"/>
    <col min="6" max="6" width="13.5703125" bestFit="1" customWidth="1"/>
    <col min="7" max="7" width="10.140625" bestFit="1" customWidth="1"/>
    <col min="8" max="8" width="12" bestFit="1" customWidth="1"/>
    <col min="9" max="9" width="1.7109375" style="86" customWidth="1"/>
    <col min="10" max="11" width="19.85546875" bestFit="1" customWidth="1"/>
    <col min="12" max="12" width="15.140625" bestFit="1" customWidth="1"/>
    <col min="13" max="13" width="1.7109375" style="86" customWidth="1"/>
    <col min="14" max="14" width="67.42578125" customWidth="1"/>
    <col min="15" max="15" width="18.7109375" style="43" customWidth="1"/>
    <col min="16" max="16" width="21" customWidth="1"/>
    <col min="17" max="17" width="18.7109375" style="43" customWidth="1"/>
    <col min="18" max="18" width="1.7109375" style="87" customWidth="1"/>
  </cols>
  <sheetData>
    <row r="1" spans="1:18" s="88" customFormat="1" x14ac:dyDescent="0.25">
      <c r="A1" s="88" t="s">
        <v>219</v>
      </c>
      <c r="B1" s="88" t="s">
        <v>0</v>
      </c>
      <c r="C1" s="89"/>
      <c r="E1" s="88" t="s">
        <v>74</v>
      </c>
      <c r="F1" s="88" t="s">
        <v>76</v>
      </c>
      <c r="G1" s="88" t="s">
        <v>84</v>
      </c>
      <c r="H1" s="88" t="s">
        <v>85</v>
      </c>
      <c r="I1" s="89"/>
      <c r="M1" s="89"/>
      <c r="N1" s="19" t="s">
        <v>725</v>
      </c>
      <c r="O1" s="85" t="s">
        <v>724</v>
      </c>
      <c r="P1" s="19" t="s">
        <v>77</v>
      </c>
      <c r="Q1" s="85" t="s">
        <v>323</v>
      </c>
      <c r="R1" s="90"/>
    </row>
    <row r="2" spans="1:18" x14ac:dyDescent="0.25">
      <c r="A2" t="s">
        <v>89</v>
      </c>
      <c r="B2" t="s">
        <v>11</v>
      </c>
      <c r="E2" t="s">
        <v>96</v>
      </c>
      <c r="G2" t="s">
        <v>88</v>
      </c>
      <c r="H2" t="s">
        <v>97</v>
      </c>
      <c r="J2" t="s">
        <v>115</v>
      </c>
      <c r="K2" t="s">
        <v>232</v>
      </c>
      <c r="L2" t="s">
        <v>231</v>
      </c>
      <c r="N2" s="84" t="str">
        <f>IF('asset_&amp;_open_positions'!$C2="","",'asset_&amp;_open_positions'!$E2)</f>
        <v>B_F_BTC-USD_230331</v>
      </c>
      <c r="O2" s="43">
        <f>IF('asset_&amp;_open_positions'!$C2="","",'asset_&amp;_open_positions'!$H2)</f>
        <v>18200.03058545</v>
      </c>
      <c r="P2" s="84" t="str">
        <f>IF(OR('asset_&amp;_open_positions'!$C2="",'asset_&amp;_open_positions'!$J2="SWAP",'asset_&amp;_open_positions'!$J2="FUTURE",'asset_&amp;_open_positions'!$J2="CME FUTURE"),"",'asset_&amp;_open_positions'!$M2)</f>
        <v/>
      </c>
      <c r="Q2" s="43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8" x14ac:dyDescent="0.25">
      <c r="A3" t="s">
        <v>262</v>
      </c>
      <c r="B3" t="s">
        <v>262</v>
      </c>
      <c r="E3" t="s">
        <v>100</v>
      </c>
      <c r="G3" t="s">
        <v>88</v>
      </c>
      <c r="H3" t="s">
        <v>100</v>
      </c>
      <c r="J3" t="s">
        <v>121</v>
      </c>
      <c r="K3" t="s">
        <v>233</v>
      </c>
      <c r="L3" t="s">
        <v>231</v>
      </c>
      <c r="N3" s="84" t="str">
        <f>IF('asset_&amp;_open_positions'!$C3="","",'asset_&amp;_open_positions'!$E3)</f>
        <v>B_P_BTC-USD-SWAP</v>
      </c>
      <c r="O3" s="43">
        <f>IF('asset_&amp;_open_positions'!$C3="","",'asset_&amp;_open_positions'!$H3)</f>
        <v>18086.77321508</v>
      </c>
      <c r="P3" s="84" t="str">
        <f>IF(OR('asset_&amp;_open_positions'!$C3="",'asset_&amp;_open_positions'!$J3="SWAP",'asset_&amp;_open_positions'!$J3="FUTURE",'asset_&amp;_open_positions'!$J3="CME FUTURE"),"",'asset_&amp;_open_positions'!$M3)</f>
        <v/>
      </c>
      <c r="Q3" s="43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8" x14ac:dyDescent="0.25">
      <c r="A4" t="s">
        <v>258</v>
      </c>
      <c r="B4" t="s">
        <v>258</v>
      </c>
      <c r="E4" t="s">
        <v>109</v>
      </c>
      <c r="G4" t="s">
        <v>88</v>
      </c>
      <c r="H4" t="s">
        <v>111</v>
      </c>
      <c r="J4" t="s">
        <v>46</v>
      </c>
      <c r="K4" t="s">
        <v>234</v>
      </c>
      <c r="L4" t="s">
        <v>231</v>
      </c>
      <c r="N4" s="84" t="str">
        <f>IF('asset_&amp;_open_positions'!$C4="","",'asset_&amp;_open_positions'!$E4)</f>
        <v>B_P_ETH-USD-SWAP</v>
      </c>
      <c r="O4" s="43">
        <f>IF('asset_&amp;_open_positions'!$C4="","",'asset_&amp;_open_positions'!$H4)</f>
        <v>1340.62</v>
      </c>
      <c r="P4" s="84" t="str">
        <f>IF(OR('asset_&amp;_open_positions'!$C4="",'asset_&amp;_open_positions'!$J4="SWAP",'asset_&amp;_open_positions'!$J4="FUTURE",'asset_&amp;_open_positions'!$J4="CME FUTURE"),"",'asset_&amp;_open_positions'!$M4)</f>
        <v/>
      </c>
      <c r="Q4" s="43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8" x14ac:dyDescent="0.25">
      <c r="A5" t="s">
        <v>33</v>
      </c>
      <c r="B5" t="s">
        <v>33</v>
      </c>
      <c r="E5" t="s">
        <v>114</v>
      </c>
      <c r="F5" t="s">
        <v>75</v>
      </c>
      <c r="G5" t="s">
        <v>88</v>
      </c>
      <c r="H5" t="s">
        <v>115</v>
      </c>
      <c r="J5" t="s">
        <v>179</v>
      </c>
      <c r="K5" t="s">
        <v>235</v>
      </c>
      <c r="L5" t="s">
        <v>231</v>
      </c>
      <c r="N5" s="84" t="str">
        <f>IF('asset_&amp;_open_positions'!$C5="","",'asset_&amp;_open_positions'!$E5)</f>
        <v>B_F_BTC-USD_221230</v>
      </c>
      <c r="O5" s="43">
        <f>IF('asset_&amp;_open_positions'!$C5="","",'asset_&amp;_open_positions'!$H5)</f>
        <v>18146.104786510001</v>
      </c>
      <c r="P5" s="84" t="str">
        <f>IF(OR('asset_&amp;_open_positions'!$C5="",'asset_&amp;_open_positions'!$J5="SWAP",'asset_&amp;_open_positions'!$J5="FUTURE",'asset_&amp;_open_positions'!$J5="CME FUTURE"),"",'asset_&amp;_open_positions'!$M5)</f>
        <v/>
      </c>
      <c r="Q5" s="43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8" x14ac:dyDescent="0.25">
      <c r="A6" t="s">
        <v>111</v>
      </c>
      <c r="B6" t="s">
        <v>37</v>
      </c>
      <c r="E6" t="s">
        <v>41</v>
      </c>
      <c r="F6" t="s">
        <v>75</v>
      </c>
      <c r="G6" t="s">
        <v>88</v>
      </c>
      <c r="H6" t="s">
        <v>115</v>
      </c>
      <c r="J6" t="s">
        <v>89</v>
      </c>
      <c r="K6" t="s">
        <v>236</v>
      </c>
      <c r="L6" t="s">
        <v>231</v>
      </c>
      <c r="N6" s="84" t="str">
        <f>IF('asset_&amp;_open_positions'!$C6="","",'asset_&amp;_open_positions'!$E6)</f>
        <v>B_F_ETH-USD_221230</v>
      </c>
      <c r="O6" s="43">
        <f>IF('asset_&amp;_open_positions'!$C6="","",'asset_&amp;_open_positions'!$H6)</f>
        <v>1343.0967177</v>
      </c>
      <c r="P6" s="84" t="str">
        <f>IF(OR('asset_&amp;_open_positions'!$C6="",'asset_&amp;_open_positions'!$J6="SWAP",'asset_&amp;_open_positions'!$J6="FUTURE",'asset_&amp;_open_positions'!$J6="CME FUTURE"),"",'asset_&amp;_open_positions'!$M6)</f>
        <v/>
      </c>
      <c r="Q6" s="43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8" x14ac:dyDescent="0.25">
      <c r="A7" t="s">
        <v>218</v>
      </c>
      <c r="B7" t="s">
        <v>40</v>
      </c>
      <c r="E7" t="s">
        <v>117</v>
      </c>
      <c r="G7" t="s">
        <v>88</v>
      </c>
      <c r="H7" t="s">
        <v>115</v>
      </c>
      <c r="J7" t="s">
        <v>225</v>
      </c>
      <c r="K7" t="s">
        <v>237</v>
      </c>
      <c r="L7" t="s">
        <v>231</v>
      </c>
      <c r="N7" s="84" t="str">
        <f>IF('asset_&amp;_open_positions'!$C7="","",'asset_&amp;_open_positions'!$E7)</f>
        <v>BAXSUSDT</v>
      </c>
      <c r="O7" s="43">
        <f>IF('asset_&amp;_open_positions'!$C7="","",'asset_&amp;_open_positions'!$H7)</f>
        <v>7.9009999999999998</v>
      </c>
      <c r="P7" s="84" t="str">
        <f>IF(OR('asset_&amp;_open_positions'!$C7="",'asset_&amp;_open_positions'!$J7="SWAP",'asset_&amp;_open_positions'!$J7="FUTURE",'asset_&amp;_open_positions'!$J7="CME FUTURE"),"",'asset_&amp;_open_positions'!$M7)</f>
        <v/>
      </c>
      <c r="Q7" s="43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8" x14ac:dyDescent="0.25">
      <c r="A8" t="s">
        <v>115</v>
      </c>
      <c r="B8" t="s">
        <v>40</v>
      </c>
      <c r="E8" t="s">
        <v>118</v>
      </c>
      <c r="G8" t="s">
        <v>88</v>
      </c>
      <c r="H8" t="s">
        <v>115</v>
      </c>
      <c r="J8" t="s">
        <v>33</v>
      </c>
      <c r="K8" t="s">
        <v>33</v>
      </c>
      <c r="L8" t="s">
        <v>231</v>
      </c>
      <c r="N8" s="84" t="str">
        <f>IF('asset_&amp;_open_positions'!$C8="","",'asset_&amp;_open_positions'!$E8)</f>
        <v>BEOSUSDT</v>
      </c>
      <c r="O8" s="43">
        <f>IF('asset_&amp;_open_positions'!$C8="","",'asset_&amp;_open_positions'!$H8)</f>
        <v>1.0046084</v>
      </c>
      <c r="P8" s="84" t="str">
        <f>IF(OR('asset_&amp;_open_positions'!$C8="",'asset_&amp;_open_positions'!$J8="SWAP",'asset_&amp;_open_positions'!$J8="FUTURE",'asset_&amp;_open_positions'!$J8="CME FUTURE"),"",'asset_&amp;_open_positions'!$M8)</f>
        <v/>
      </c>
      <c r="Q8" s="43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8" x14ac:dyDescent="0.25">
      <c r="A9" t="s">
        <v>46</v>
      </c>
      <c r="B9" t="s">
        <v>46</v>
      </c>
      <c r="E9" t="s">
        <v>42</v>
      </c>
      <c r="F9" t="s">
        <v>75</v>
      </c>
      <c r="G9" t="s">
        <v>88</v>
      </c>
      <c r="H9" t="s">
        <v>115</v>
      </c>
      <c r="J9" t="s">
        <v>187</v>
      </c>
      <c r="K9" t="s">
        <v>238</v>
      </c>
      <c r="L9" t="s">
        <v>231</v>
      </c>
      <c r="N9" s="84" t="str">
        <f>IF('asset_&amp;_open_positions'!$C9="","",'asset_&amp;_open_positions'!$E9)</f>
        <v>BBCHUSDT</v>
      </c>
      <c r="O9" s="43">
        <f>IF('asset_&amp;_open_positions'!$C9="","",'asset_&amp;_open_positions'!$H9)</f>
        <v>109.73</v>
      </c>
      <c r="P9" s="84" t="str">
        <f>IF(OR('asset_&amp;_open_positions'!$C9="",'asset_&amp;_open_positions'!$J9="SWAP",'asset_&amp;_open_positions'!$J9="FUTURE",'asset_&amp;_open_positions'!$J9="CME FUTURE"),"",'asset_&amp;_open_positions'!$M9)</f>
        <v/>
      </c>
      <c r="Q9" s="43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8" x14ac:dyDescent="0.25">
      <c r="A10" s="21" t="s">
        <v>100</v>
      </c>
      <c r="B10" t="s">
        <v>100</v>
      </c>
      <c r="E10" t="s">
        <v>45</v>
      </c>
      <c r="F10" t="s">
        <v>75</v>
      </c>
      <c r="G10" t="s">
        <v>88</v>
      </c>
      <c r="H10" t="s">
        <v>121</v>
      </c>
      <c r="J10" t="s">
        <v>111</v>
      </c>
      <c r="K10" t="s">
        <v>239</v>
      </c>
      <c r="L10" t="s">
        <v>231</v>
      </c>
      <c r="N10" s="84" t="str">
        <f>IF('asset_&amp;_open_positions'!$C10="","",'asset_&amp;_open_positions'!$E10)</f>
        <v>BBTCUSDT</v>
      </c>
      <c r="O10" s="43">
        <f>IF('asset_&amp;_open_positions'!$C10="","",'asset_&amp;_open_positions'!$H10)</f>
        <v>18081.2</v>
      </c>
      <c r="P10" s="84" t="str">
        <f>IF(OR('asset_&amp;_open_positions'!$C10="",'asset_&amp;_open_positions'!$J10="SWAP",'asset_&amp;_open_positions'!$J10="FUTURE",'asset_&amp;_open_positions'!$J10="CME FUTURE"),"",'asset_&amp;_open_positions'!$M10)</f>
        <v/>
      </c>
      <c r="Q10" s="43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8" x14ac:dyDescent="0.25">
      <c r="A11" s="21" t="s">
        <v>104</v>
      </c>
      <c r="B11" t="s">
        <v>104</v>
      </c>
      <c r="E11" t="s">
        <v>122</v>
      </c>
      <c r="G11" t="s">
        <v>88</v>
      </c>
      <c r="H11" t="s">
        <v>121</v>
      </c>
      <c r="K11" t="s">
        <v>240</v>
      </c>
      <c r="L11" t="s">
        <v>231</v>
      </c>
      <c r="N11" s="84" t="str">
        <f>IF('asset_&amp;_open_positions'!$C11="","",'asset_&amp;_open_positions'!$E11)</f>
        <v>BETCUSDT</v>
      </c>
      <c r="O11" s="43">
        <f>IF('asset_&amp;_open_positions'!$C11="","",'asset_&amp;_open_positions'!$H11)</f>
        <v>19.371727320000002</v>
      </c>
      <c r="P11" s="84" t="str">
        <f>IF(OR('asset_&amp;_open_positions'!$C11="",'asset_&amp;_open_positions'!$J11="SWAP",'asset_&amp;_open_positions'!$J11="FUTURE",'asset_&amp;_open_positions'!$J11="CME FUTURE"),"",'asset_&amp;_open_positions'!$M11)</f>
        <v/>
      </c>
      <c r="Q11" s="43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8" x14ac:dyDescent="0.25">
      <c r="A12" s="21" t="s">
        <v>97</v>
      </c>
      <c r="B12" t="s">
        <v>220</v>
      </c>
      <c r="E12" t="s">
        <v>123</v>
      </c>
      <c r="G12" t="s">
        <v>88</v>
      </c>
      <c r="H12" t="s">
        <v>115</v>
      </c>
      <c r="J12" t="s">
        <v>175</v>
      </c>
      <c r="K12" t="s">
        <v>241</v>
      </c>
      <c r="L12" t="s">
        <v>231</v>
      </c>
      <c r="N12" s="84" t="str">
        <f>IF('asset_&amp;_open_positions'!$C12="","",'asset_&amp;_open_positions'!$E12)</f>
        <v>BETHUSDT</v>
      </c>
      <c r="O12" s="43">
        <f>IF('asset_&amp;_open_positions'!$C12="","",'asset_&amp;_open_positions'!$H12)</f>
        <v>1340.6217527900001</v>
      </c>
      <c r="P12" s="84" t="str">
        <f>IF(OR('asset_&amp;_open_positions'!$C12="",'asset_&amp;_open_positions'!$J12="SWAP",'asset_&amp;_open_positions'!$J12="FUTURE",'asset_&amp;_open_positions'!$J12="CME FUTURE"),"",'asset_&amp;_open_positions'!$M12)</f>
        <v/>
      </c>
      <c r="Q12" s="43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8" x14ac:dyDescent="0.25">
      <c r="A13" s="21" t="s">
        <v>121</v>
      </c>
      <c r="B13" t="s">
        <v>121</v>
      </c>
      <c r="E13" t="s">
        <v>169</v>
      </c>
      <c r="G13" t="s">
        <v>88</v>
      </c>
      <c r="H13" t="s">
        <v>115</v>
      </c>
      <c r="J13" t="s">
        <v>100</v>
      </c>
      <c r="K13" t="s">
        <v>242</v>
      </c>
      <c r="L13" t="s">
        <v>231</v>
      </c>
      <c r="N13" s="84" t="str">
        <f>IF('asset_&amp;_open_positions'!$C13="","",'asset_&amp;_open_positions'!$E13)</f>
        <v>BLTCUSDT</v>
      </c>
      <c r="O13" s="43">
        <f>IF('asset_&amp;_open_positions'!$C13="","",'asset_&amp;_open_positions'!$H13)</f>
        <v>78.809221210000004</v>
      </c>
      <c r="P13" s="84" t="str">
        <f>IF(OR('asset_&amp;_open_positions'!$C13="",'asset_&amp;_open_positions'!$J13="SWAP",'asset_&amp;_open_positions'!$J13="FUTURE",'asset_&amp;_open_positions'!$J13="CME FUTURE"),"",'asset_&amp;_open_positions'!$M13)</f>
        <v/>
      </c>
      <c r="Q13" s="43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8" x14ac:dyDescent="0.25">
      <c r="A14" t="s">
        <v>170</v>
      </c>
      <c r="B14" t="s">
        <v>170</v>
      </c>
      <c r="E14" t="s">
        <v>170</v>
      </c>
      <c r="G14" t="s">
        <v>88</v>
      </c>
      <c r="H14" t="s">
        <v>170</v>
      </c>
      <c r="J14" t="s">
        <v>189</v>
      </c>
      <c r="K14" t="s">
        <v>243</v>
      </c>
      <c r="L14" t="s">
        <v>231</v>
      </c>
      <c r="N14" s="84" t="str">
        <f>IF('asset_&amp;_open_positions'!$C14="","",'asset_&amp;_open_positions'!$E14)</f>
        <v>BOMGUSDT</v>
      </c>
      <c r="O14" s="43">
        <f>IF('asset_&amp;_open_positions'!$C14="","",'asset_&amp;_open_positions'!$H14)</f>
        <v>1.1905484099999999</v>
      </c>
      <c r="P14" s="84" t="str">
        <f>IF(OR('asset_&amp;_open_positions'!$C14="",'asset_&amp;_open_positions'!$J14="SWAP",'asset_&amp;_open_positions'!$J14="FUTURE",'asset_&amp;_open_positions'!$J14="CME FUTURE"),"",'asset_&amp;_open_positions'!$M14)</f>
        <v/>
      </c>
      <c r="Q14" s="43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8" x14ac:dyDescent="0.25">
      <c r="A15" t="s">
        <v>173</v>
      </c>
      <c r="B15" t="s">
        <v>173</v>
      </c>
      <c r="E15" t="s">
        <v>175</v>
      </c>
      <c r="G15" t="s">
        <v>88</v>
      </c>
      <c r="H15" t="s">
        <v>175</v>
      </c>
      <c r="J15" t="s">
        <v>170</v>
      </c>
      <c r="K15" t="s">
        <v>244</v>
      </c>
      <c r="L15" t="s">
        <v>231</v>
      </c>
      <c r="N15" s="84" t="str">
        <f>IF('asset_&amp;_open_positions'!$C15="","",'asset_&amp;_open_positions'!$E15)</f>
        <v>BZILUSDT</v>
      </c>
      <c r="O15" s="43">
        <f>IF('asset_&amp;_open_positions'!$C15="","",'asset_&amp;_open_positions'!$H15)</f>
        <v>2.2200000000000001E-2</v>
      </c>
      <c r="P15" s="84" t="str">
        <f>IF(OR('asset_&amp;_open_positions'!$C15="",'asset_&amp;_open_positions'!$J15="SWAP",'asset_&amp;_open_positions'!$J15="FUTURE",'asset_&amp;_open_positions'!$J15="CME FUTURE"),"",'asset_&amp;_open_positions'!$M15)</f>
        <v/>
      </c>
      <c r="Q15" s="43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8" x14ac:dyDescent="0.25">
      <c r="A16" s="21" t="s">
        <v>175</v>
      </c>
      <c r="B16" t="s">
        <v>175</v>
      </c>
      <c r="E16" t="s">
        <v>176</v>
      </c>
      <c r="G16" t="s">
        <v>88</v>
      </c>
      <c r="H16" t="s">
        <v>176</v>
      </c>
      <c r="J16" t="s">
        <v>97</v>
      </c>
      <c r="K16" t="s">
        <v>245</v>
      </c>
      <c r="L16" t="s">
        <v>231</v>
      </c>
      <c r="N16" s="84" t="str">
        <f>IF('asset_&amp;_open_positions'!$C16="","",'asset_&amp;_open_positions'!$E16)</f>
        <v>BCOMPUSDT</v>
      </c>
      <c r="O16" s="43">
        <f>IF('asset_&amp;_open_positions'!$C16="","",'asset_&amp;_open_positions'!$H16)</f>
        <v>39.770000000000003</v>
      </c>
      <c r="P16" s="84" t="str">
        <f>IF(OR('asset_&amp;_open_positions'!$C16="",'asset_&amp;_open_positions'!$J16="SWAP",'asset_&amp;_open_positions'!$J16="FUTURE",'asset_&amp;_open_positions'!$J16="CME FUTURE"),"",'asset_&amp;_open_positions'!$M16)</f>
        <v/>
      </c>
      <c r="Q16" s="43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7" x14ac:dyDescent="0.25">
      <c r="A17" s="21" t="s">
        <v>176</v>
      </c>
      <c r="B17" t="s">
        <v>176</v>
      </c>
      <c r="E17" t="s">
        <v>50</v>
      </c>
      <c r="F17" t="s">
        <v>75</v>
      </c>
      <c r="G17" t="s">
        <v>88</v>
      </c>
      <c r="H17" t="s">
        <v>46</v>
      </c>
      <c r="J17" t="s">
        <v>176</v>
      </c>
      <c r="K17" t="s">
        <v>246</v>
      </c>
      <c r="L17" t="s">
        <v>231</v>
      </c>
      <c r="N17" s="84" t="str">
        <f>IF('asset_&amp;_open_positions'!$C17="","",'asset_&amp;_open_positions'!$E17)</f>
        <v>BLINKUSDT</v>
      </c>
      <c r="O17" s="43">
        <f>IF('asset_&amp;_open_positions'!$C17="","",'asset_&amp;_open_positions'!$H17)</f>
        <v>6.8890000000000002</v>
      </c>
      <c r="P17" s="84" t="str">
        <f>IF(OR('asset_&amp;_open_positions'!$C17="",'asset_&amp;_open_positions'!$J17="SWAP",'asset_&amp;_open_positions'!$J17="FUTURE",'asset_&amp;_open_positions'!$J17="CME FUTURE"),"",'asset_&amp;_open_positions'!$M17)</f>
        <v/>
      </c>
      <c r="Q17" s="43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7" x14ac:dyDescent="0.25">
      <c r="A18" t="s">
        <v>179</v>
      </c>
      <c r="B18" t="s">
        <v>179</v>
      </c>
      <c r="E18" t="s">
        <v>53</v>
      </c>
      <c r="F18" t="s">
        <v>75</v>
      </c>
      <c r="G18" t="s">
        <v>88</v>
      </c>
      <c r="H18" t="s">
        <v>46</v>
      </c>
      <c r="J18" t="s">
        <v>104</v>
      </c>
      <c r="K18" t="s">
        <v>247</v>
      </c>
      <c r="L18" t="s">
        <v>231</v>
      </c>
      <c r="N18" s="84" t="str">
        <f>IF('asset_&amp;_open_positions'!$C18="","",'asset_&amp;_open_positions'!$E18)</f>
        <v>B_F_BTC-USDT_221230</v>
      </c>
      <c r="O18" s="43">
        <f>IF('asset_&amp;_open_positions'!$C18="","",'asset_&amp;_open_positions'!$H18)</f>
        <v>18119.455640640001</v>
      </c>
      <c r="P18" s="84" t="str">
        <f>IF(OR('asset_&amp;_open_positions'!$C18="",'asset_&amp;_open_positions'!$J18="SWAP",'asset_&amp;_open_positions'!$J18="FUTURE",'asset_&amp;_open_positions'!$J18="CME FUTURE"),"",'asset_&amp;_open_positions'!$M18)</f>
        <v/>
      </c>
      <c r="Q18" s="43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7" x14ac:dyDescent="0.25">
      <c r="A19" t="s">
        <v>185</v>
      </c>
      <c r="B19" t="s">
        <v>185</v>
      </c>
      <c r="E19" t="s">
        <v>54</v>
      </c>
      <c r="F19" t="s">
        <v>75</v>
      </c>
      <c r="G19" t="s">
        <v>88</v>
      </c>
      <c r="H19" t="s">
        <v>46</v>
      </c>
      <c r="J19" t="s">
        <v>185</v>
      </c>
      <c r="K19" t="s">
        <v>248</v>
      </c>
      <c r="L19" t="s">
        <v>231</v>
      </c>
      <c r="N19" s="84" t="str">
        <f>IF('asset_&amp;_open_positions'!$C19="","",'asset_&amp;_open_positions'!$E19)</f>
        <v>B_F_ETH-USDT_221230</v>
      </c>
      <c r="O19" s="43">
        <f>IF('asset_&amp;_open_positions'!$C19="","",'asset_&amp;_open_positions'!$H19)</f>
        <v>1341.2469902600001</v>
      </c>
      <c r="P19" s="84" t="str">
        <f>IF(OR('asset_&amp;_open_positions'!$C19="",'asset_&amp;_open_positions'!$J19="SWAP",'asset_&amp;_open_positions'!$J19="FUTURE",'asset_&amp;_open_positions'!$J19="CME FUTURE"),"",'asset_&amp;_open_positions'!$M19)</f>
        <v/>
      </c>
      <c r="Q19" s="43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7" x14ac:dyDescent="0.25">
      <c r="A20" t="s">
        <v>187</v>
      </c>
      <c r="B20" t="s">
        <v>187</v>
      </c>
      <c r="E20" t="s">
        <v>47</v>
      </c>
      <c r="F20" t="s">
        <v>75</v>
      </c>
      <c r="G20" t="s">
        <v>88</v>
      </c>
      <c r="H20" t="s">
        <v>46</v>
      </c>
      <c r="K20" t="s">
        <v>249</v>
      </c>
      <c r="L20" t="s">
        <v>231</v>
      </c>
      <c r="N20" s="84" t="str">
        <f>IF('asset_&amp;_open_positions'!$C20="","",'asset_&amp;_open_positions'!$E20)</f>
        <v>BBTCUSDT</v>
      </c>
      <c r="O20" s="43">
        <f>IF('asset_&amp;_open_positions'!$C20="","",'asset_&amp;_open_positions'!$H20)</f>
        <v>18091.126908980001</v>
      </c>
      <c r="P20" s="84" t="str">
        <f>IF(OR('asset_&amp;_open_positions'!$C20="",'asset_&amp;_open_positions'!$J20="SWAP",'asset_&amp;_open_positions'!$J20="FUTURE",'asset_&amp;_open_positions'!$J20="CME FUTURE"),"",'asset_&amp;_open_positions'!$M20)</f>
        <v/>
      </c>
      <c r="Q20" s="43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7" x14ac:dyDescent="0.25">
      <c r="A21" t="s">
        <v>189</v>
      </c>
      <c r="B21" t="s">
        <v>189</v>
      </c>
      <c r="E21" t="s">
        <v>177</v>
      </c>
      <c r="F21" t="s">
        <v>75</v>
      </c>
      <c r="G21" t="s">
        <v>88</v>
      </c>
      <c r="H21" t="s">
        <v>46</v>
      </c>
      <c r="J21" t="s">
        <v>173</v>
      </c>
      <c r="K21" t="s">
        <v>250</v>
      </c>
      <c r="L21" t="s">
        <v>231</v>
      </c>
      <c r="N21" s="84" t="str">
        <f>IF('asset_&amp;_open_positions'!$C21="","",'asset_&amp;_open_positions'!$E21)</f>
        <v>D_T_BTC_USDC_SWAP</v>
      </c>
      <c r="O21" s="43">
        <f>IF('asset_&amp;_open_positions'!$C21="","",'asset_&amp;_open_positions'!$H21)</f>
        <v>18071.92578125</v>
      </c>
      <c r="P21" s="84" t="str">
        <f>IF(OR('asset_&amp;_open_positions'!$C21="",'asset_&amp;_open_positions'!$J21="SWAP",'asset_&amp;_open_positions'!$J21="FUTURE",'asset_&amp;_open_positions'!$J21="CME FUTURE"),"",'asset_&amp;_open_positions'!$M21)</f>
        <v/>
      </c>
      <c r="Q21" s="43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7" x14ac:dyDescent="0.25">
      <c r="A22" t="s">
        <v>212</v>
      </c>
      <c r="B22" t="s">
        <v>212</v>
      </c>
      <c r="E22" t="s">
        <v>178</v>
      </c>
      <c r="G22" t="s">
        <v>88</v>
      </c>
      <c r="H22" t="s">
        <v>179</v>
      </c>
      <c r="K22" t="s">
        <v>251</v>
      </c>
      <c r="L22" t="s">
        <v>231</v>
      </c>
      <c r="N22" s="84" t="str">
        <f>IF('asset_&amp;_open_positions'!$C22="","",'asset_&amp;_open_positions'!$E22)</f>
        <v>D_T_ATOM_USDC_SWAP</v>
      </c>
      <c r="O22" s="43">
        <f>IF('asset_&amp;_open_positions'!$C22="","",'asset_&amp;_open_positions'!$H22)</f>
        <v>9.8762998579999994</v>
      </c>
      <c r="P22" s="84" t="str">
        <f>IF(OR('asset_&amp;_open_positions'!$C22="",'asset_&amp;_open_positions'!$J22="SWAP",'asset_&amp;_open_positions'!$J22="FUTURE",'asset_&amp;_open_positions'!$J22="CME FUTURE"),"",'asset_&amp;_open_positions'!$M22)</f>
        <v/>
      </c>
      <c r="Q22" s="43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7" x14ac:dyDescent="0.25">
      <c r="A23" t="s">
        <v>214</v>
      </c>
      <c r="B23" t="s">
        <v>214</v>
      </c>
      <c r="E23" t="s">
        <v>183</v>
      </c>
      <c r="G23" t="s">
        <v>88</v>
      </c>
      <c r="H23" t="s">
        <v>185</v>
      </c>
      <c r="N23" s="84" t="str">
        <f>IF('asset_&amp;_open_positions'!$C23="","",'asset_&amp;_open_positions'!$E23)</f>
        <v>BTC221230</v>
      </c>
      <c r="O23" s="43">
        <f>IF('asset_&amp;_open_positions'!$C23="","",'asset_&amp;_open_positions'!$H23)</f>
        <v>18025.689999999999</v>
      </c>
      <c r="P23" s="84" t="str">
        <f>IF(OR('asset_&amp;_open_positions'!$C23="",'asset_&amp;_open_positions'!$J23="SWAP",'asset_&amp;_open_positions'!$J23="FUTURE",'asset_&amp;_open_positions'!$J23="CME FUTURE"),"",'asset_&amp;_open_positions'!$M23)</f>
        <v/>
      </c>
      <c r="Q23" s="43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7" x14ac:dyDescent="0.25">
      <c r="A24" t="s">
        <v>268</v>
      </c>
      <c r="B24" t="s">
        <v>268</v>
      </c>
      <c r="E24" t="s">
        <v>186</v>
      </c>
      <c r="G24" t="s">
        <v>88</v>
      </c>
      <c r="H24" t="s">
        <v>187</v>
      </c>
      <c r="N24" s="84" t="str">
        <f>IF('asset_&amp;_open_positions'!$C24="","",'asset_&amp;_open_positions'!$E24)</f>
        <v>ETH221230</v>
      </c>
      <c r="O24" s="43">
        <f>IF('asset_&amp;_open_positions'!$C24="","",'asset_&amp;_open_positions'!$H24)</f>
        <v>1334.066</v>
      </c>
      <c r="P24" s="84" t="str">
        <f>IF(OR('asset_&amp;_open_positions'!$C24="",'asset_&amp;_open_positions'!$J24="SWAP",'asset_&amp;_open_positions'!$J24="FUTURE",'asset_&amp;_open_positions'!$J24="CME FUTURE"),"",'asset_&amp;_open_positions'!$M24)</f>
        <v/>
      </c>
      <c r="Q24" s="43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7" x14ac:dyDescent="0.25">
      <c r="A25" t="s">
        <v>301</v>
      </c>
      <c r="B25" t="s">
        <v>301</v>
      </c>
      <c r="E25" t="s">
        <v>189</v>
      </c>
      <c r="G25" t="s">
        <v>88</v>
      </c>
      <c r="H25" t="s">
        <v>189</v>
      </c>
      <c r="K25" t="s">
        <v>252</v>
      </c>
      <c r="N25" s="84" t="str">
        <f>IF('asset_&amp;_open_positions'!$C25="","",'asset_&amp;_open_positions'!$E25)</f>
        <v>H_P_BTC-USD-SWAP</v>
      </c>
      <c r="O25" s="43">
        <f>IF('asset_&amp;_open_positions'!$C25="","",'asset_&amp;_open_positions'!$H25)</f>
        <v>18083</v>
      </c>
      <c r="P25" s="84" t="str">
        <f>IF(OR('asset_&amp;_open_positions'!$C25="",'asset_&amp;_open_positions'!$J25="SWAP",'asset_&amp;_open_positions'!$J25="FUTURE",'asset_&amp;_open_positions'!$J25="CME FUTURE"),"",'asset_&amp;_open_positions'!$M25)</f>
        <v/>
      </c>
      <c r="Q25" s="43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7" x14ac:dyDescent="0.25">
      <c r="A26" t="s">
        <v>302</v>
      </c>
      <c r="B26" t="s">
        <v>302</v>
      </c>
      <c r="E26" t="s">
        <v>103</v>
      </c>
      <c r="G26" t="s">
        <v>88</v>
      </c>
      <c r="H26" t="s">
        <v>104</v>
      </c>
      <c r="J26" t="s">
        <v>212</v>
      </c>
      <c r="K26" t="s">
        <v>253</v>
      </c>
      <c r="L26" t="s">
        <v>252</v>
      </c>
      <c r="N26" s="84" t="str">
        <f>IF('asset_&amp;_open_positions'!$C26="","",'asset_&amp;_open_positions'!$E26)</f>
        <v>H_P_ETH-USD-SWAP</v>
      </c>
      <c r="O26" s="43">
        <f>IF('asset_&amp;_open_positions'!$C26="","",'asset_&amp;_open_positions'!$H26)</f>
        <v>1339.71</v>
      </c>
      <c r="P26" s="84" t="str">
        <f>IF(OR('asset_&amp;_open_positions'!$C26="",'asset_&amp;_open_positions'!$J26="SWAP",'asset_&amp;_open_positions'!$J26="FUTURE",'asset_&amp;_open_positions'!$J26="CME FUTURE"),"",'asset_&amp;_open_positions'!$M26)</f>
        <v/>
      </c>
      <c r="Q26" s="43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7" x14ac:dyDescent="0.25">
      <c r="A27" t="s">
        <v>240</v>
      </c>
      <c r="B27" t="s">
        <v>268</v>
      </c>
      <c r="E27" t="s">
        <v>221</v>
      </c>
      <c r="G27" t="s">
        <v>88</v>
      </c>
      <c r="H27" t="s">
        <v>104</v>
      </c>
      <c r="J27" t="s">
        <v>214</v>
      </c>
      <c r="K27" t="s">
        <v>254</v>
      </c>
      <c r="L27" t="s">
        <v>252</v>
      </c>
      <c r="N27" s="84" t="str">
        <f>IF('asset_&amp;_open_positions'!$C27="","",'asset_&amp;_open_positions'!$E27)</f>
        <v>H_T_BTC_USDT_SWAP</v>
      </c>
      <c r="O27" s="43">
        <f>IF('asset_&amp;_open_positions'!$C27="","",'asset_&amp;_open_positions'!$H27)</f>
        <v>18071.400000000001</v>
      </c>
      <c r="P27" s="84" t="str">
        <f>IF(OR('asset_&amp;_open_positions'!$C27="",'asset_&amp;_open_positions'!$J27="SWAP",'asset_&amp;_open_positions'!$J27="FUTURE",'asset_&amp;_open_positions'!$J27="CME FUTURE"),"",'asset_&amp;_open_positions'!$M27)</f>
        <v/>
      </c>
      <c r="Q27" s="43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7" x14ac:dyDescent="0.25">
      <c r="A28" t="s">
        <v>262</v>
      </c>
      <c r="B28" t="s">
        <v>262</v>
      </c>
      <c r="E28" t="s">
        <v>171</v>
      </c>
      <c r="G28" t="s">
        <v>172</v>
      </c>
      <c r="H28" t="s">
        <v>173</v>
      </c>
      <c r="N28" s="84" t="str">
        <f>IF('asset_&amp;_open_positions'!$C28="","",'asset_&amp;_open_positions'!$E28)</f>
        <v>H_T_ETH_USDT_SWAP</v>
      </c>
      <c r="O28" s="43">
        <f>IF('asset_&amp;_open_positions'!$C28="","",'asset_&amp;_open_positions'!$H28)</f>
        <v>1340.27</v>
      </c>
      <c r="P28" s="84" t="str">
        <f>IF(OR('asset_&amp;_open_positions'!$C28="",'asset_&amp;_open_positions'!$J28="SWAP",'asset_&amp;_open_positions'!$J28="FUTURE",'asset_&amp;_open_positions'!$J28="CME FUTURE"),"",'asset_&amp;_open_positions'!$M28)</f>
        <v/>
      </c>
      <c r="Q28" s="43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7" x14ac:dyDescent="0.25">
      <c r="A29" t="s">
        <v>713</v>
      </c>
      <c r="B29" t="s">
        <v>713</v>
      </c>
      <c r="E29" t="s">
        <v>207</v>
      </c>
      <c r="G29" t="s">
        <v>198</v>
      </c>
      <c r="H29" t="s">
        <v>115</v>
      </c>
      <c r="N29" s="84" t="str">
        <f>IF('asset_&amp;_open_positions'!$C29="","",'asset_&amp;_open_positions'!$E29)</f>
        <v>O_P_BCH-USDT-SWAP</v>
      </c>
      <c r="O29" s="43">
        <f>IF('asset_&amp;_open_positions'!$C29="","",'asset_&amp;_open_positions'!$H29)</f>
        <v>109.88</v>
      </c>
      <c r="P29" s="84" t="str">
        <f>IF(OR('asset_&amp;_open_positions'!$C29="",'asset_&amp;_open_positions'!$J29="SWAP",'asset_&amp;_open_positions'!$J29="FUTURE",'asset_&amp;_open_positions'!$J29="CME FUTURE"),"",'asset_&amp;_open_positions'!$M29)</f>
        <v/>
      </c>
      <c r="Q29" s="43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7" x14ac:dyDescent="0.25">
      <c r="E30" t="s">
        <v>209</v>
      </c>
      <c r="G30" t="s">
        <v>198</v>
      </c>
      <c r="H30" t="s">
        <v>175</v>
      </c>
      <c r="N30" s="84" t="str">
        <f>IF('asset_&amp;_open_positions'!$C30="","",'asset_&amp;_open_positions'!$E30)</f>
        <v>O_P_BTC-USDT-SWAP</v>
      </c>
      <c r="O30" s="43">
        <f>IF('asset_&amp;_open_positions'!$C30="","",'asset_&amp;_open_positions'!$H30)</f>
        <v>18077.7</v>
      </c>
      <c r="P30" s="84" t="str">
        <f>IF(OR('asset_&amp;_open_positions'!$C30="",'asset_&amp;_open_positions'!$J30="SWAP",'asset_&amp;_open_positions'!$J30="FUTURE",'asset_&amp;_open_positions'!$J30="CME FUTURE"),"",'asset_&amp;_open_positions'!$M30)</f>
        <v/>
      </c>
      <c r="Q30" s="43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7" x14ac:dyDescent="0.25">
      <c r="E31" t="s">
        <v>222</v>
      </c>
      <c r="G31" t="s">
        <v>198</v>
      </c>
      <c r="H31" t="s">
        <v>46</v>
      </c>
      <c r="N31" s="84" t="str">
        <f>IF('asset_&amp;_open_positions'!$C31="","",'asset_&amp;_open_positions'!$E31)</f>
        <v>O_P_EOS-USDT-SWAP</v>
      </c>
      <c r="O31" s="43">
        <f>IF('asset_&amp;_open_positions'!$C31="","",'asset_&amp;_open_positions'!$H31)</f>
        <v>1.0038</v>
      </c>
      <c r="P31" s="84" t="str">
        <f>IF(OR('asset_&amp;_open_positions'!$C31="",'asset_&amp;_open_positions'!$J31="SWAP",'asset_&amp;_open_positions'!$J31="FUTURE",'asset_&amp;_open_positions'!$J31="CME FUTURE"),"",'asset_&amp;_open_positions'!$M31)</f>
        <v/>
      </c>
      <c r="Q31" s="43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7" x14ac:dyDescent="0.25">
      <c r="E32" t="s">
        <v>210</v>
      </c>
      <c r="G32" t="s">
        <v>211</v>
      </c>
      <c r="H32" t="s">
        <v>212</v>
      </c>
      <c r="N32" s="84" t="str">
        <f>IF('asset_&amp;_open_positions'!$C32="","",'asset_&amp;_open_positions'!$E32)</f>
        <v>O_F_ETH-USDT_221230</v>
      </c>
      <c r="O32" s="43">
        <f>IF('asset_&amp;_open_positions'!$C32="","",'asset_&amp;_open_positions'!$H32)</f>
        <v>1339.79</v>
      </c>
      <c r="P32" s="84" t="str">
        <f>IF(OR('asset_&amp;_open_positions'!$C32="",'asset_&amp;_open_positions'!$J32="SWAP",'asset_&amp;_open_positions'!$J32="FUTURE",'asset_&amp;_open_positions'!$J32="CME FUTURE"),"",'asset_&amp;_open_positions'!$M32)</f>
        <v/>
      </c>
      <c r="Q32" s="43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5:17" x14ac:dyDescent="0.25">
      <c r="E33" t="s">
        <v>223</v>
      </c>
      <c r="G33" t="s">
        <v>198</v>
      </c>
      <c r="H33" t="s">
        <v>179</v>
      </c>
      <c r="N33" s="84" t="str">
        <f>IF('asset_&amp;_open_positions'!$C33="","",'asset_&amp;_open_positions'!$E33)</f>
        <v>O_F_ETH-USDT_230331</v>
      </c>
      <c r="O33" s="43">
        <f>IF('asset_&amp;_open_positions'!$C33="","",'asset_&amp;_open_positions'!$H33)</f>
        <v>1338.82</v>
      </c>
      <c r="P33" s="84" t="str">
        <f>IF(OR('asset_&amp;_open_positions'!$C33="",'asset_&amp;_open_positions'!$J33="SWAP",'asset_&amp;_open_positions'!$J33="FUTURE",'asset_&amp;_open_positions'!$J33="CME FUTURE"),"",'asset_&amp;_open_positions'!$M33)</f>
        <v/>
      </c>
      <c r="Q33" s="43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5:17" x14ac:dyDescent="0.25">
      <c r="E34" t="s">
        <v>213</v>
      </c>
      <c r="G34" t="s">
        <v>211</v>
      </c>
      <c r="H34" t="s">
        <v>214</v>
      </c>
      <c r="N34" s="84" t="str">
        <f>IF('asset_&amp;_open_positions'!$C34="","",'asset_&amp;_open_positions'!$E34)</f>
        <v>O_P_BTC-USD-SWAP</v>
      </c>
      <c r="O34" s="43">
        <f>IF('asset_&amp;_open_positions'!$C34="","",'asset_&amp;_open_positions'!$H34)</f>
        <v>18088.7</v>
      </c>
      <c r="P34" s="84" t="str">
        <f>IF(OR('asset_&amp;_open_positions'!$C34="",'asset_&amp;_open_positions'!$J34="SWAP",'asset_&amp;_open_positions'!$J34="FUTURE",'asset_&amp;_open_positions'!$J34="CME FUTURE"),"",'asset_&amp;_open_positions'!$M34)</f>
        <v/>
      </c>
      <c r="Q34" s="43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5:17" x14ac:dyDescent="0.25">
      <c r="E35" t="s">
        <v>217</v>
      </c>
      <c r="G35" t="s">
        <v>198</v>
      </c>
      <c r="H35" t="s">
        <v>187</v>
      </c>
      <c r="N35" s="84" t="str">
        <f>IF('asset_&amp;_open_positions'!$C35="","",'asset_&amp;_open_positions'!$E35)</f>
        <v>O_P_ETH-USD-SWAP</v>
      </c>
      <c r="O35" s="43">
        <f>IF('asset_&amp;_open_positions'!$C35="","",'asset_&amp;_open_positions'!$H35)</f>
        <v>1340.19</v>
      </c>
      <c r="P35" s="84" t="str">
        <f>IF(OR('asset_&amp;_open_positions'!$C35="",'asset_&amp;_open_positions'!$J35="SWAP",'asset_&amp;_open_positions'!$J35="FUTURE",'asset_&amp;_open_positions'!$J35="CME FUTURE"),"",'asset_&amp;_open_positions'!$M35)</f>
        <v/>
      </c>
      <c r="Q35" s="43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5:17" x14ac:dyDescent="0.25">
      <c r="E36" t="s">
        <v>205</v>
      </c>
      <c r="F36" t="s">
        <v>203</v>
      </c>
      <c r="G36" t="s">
        <v>198</v>
      </c>
      <c r="H36" t="s">
        <v>115</v>
      </c>
      <c r="N36" s="84" t="str">
        <f>IF('asset_&amp;_open_positions'!$C36="","",'asset_&amp;_open_positions'!$E36)</f>
        <v>O_P_ETH-USDT-SWAP</v>
      </c>
      <c r="O36" s="43">
        <f>IF('asset_&amp;_open_positions'!$C36="","",'asset_&amp;_open_positions'!$H36)</f>
        <v>1340.16</v>
      </c>
      <c r="P36" s="84" t="str">
        <f>IF(OR('asset_&amp;_open_positions'!$C36="",'asset_&amp;_open_positions'!$J36="SWAP",'asset_&amp;_open_positions'!$J36="FUTURE",'asset_&amp;_open_positions'!$J36="CME FUTURE"),"",'asset_&amp;_open_positions'!$M36)</f>
        <v/>
      </c>
      <c r="Q36" s="43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5:17" x14ac:dyDescent="0.25">
      <c r="E37" t="s">
        <v>202</v>
      </c>
      <c r="F37" t="s">
        <v>203</v>
      </c>
      <c r="G37" t="s">
        <v>198</v>
      </c>
      <c r="H37" t="s">
        <v>115</v>
      </c>
      <c r="N37" s="84" t="str">
        <f>IF('asset_&amp;_open_positions'!$C37="","",'asset_&amp;_open_positions'!$E37)</f>
        <v>O_P_LTC-USDT-SWAP</v>
      </c>
      <c r="O37" s="43">
        <f>IF('asset_&amp;_open_positions'!$C37="","",'asset_&amp;_open_positions'!$H37)</f>
        <v>78.8</v>
      </c>
      <c r="P37" s="84" t="str">
        <f>IF(OR('asset_&amp;_open_positions'!$C37="",'asset_&amp;_open_positions'!$J37="SWAP",'asset_&amp;_open_positions'!$J37="FUTURE",'asset_&amp;_open_positions'!$J37="CME FUTURE"),"",'asset_&amp;_open_positions'!$M37)</f>
        <v/>
      </c>
      <c r="Q37" s="43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5:17" x14ac:dyDescent="0.25">
      <c r="E38" t="s">
        <v>204</v>
      </c>
      <c r="G38" t="s">
        <v>198</v>
      </c>
      <c r="H38" t="s">
        <v>121</v>
      </c>
      <c r="N38" s="84" t="str">
        <f>IF('asset_&amp;_open_positions'!$C38="","",'asset_&amp;_open_positions'!$E38)</f>
        <v>O_F_BTC-USD_221230</v>
      </c>
      <c r="O38" s="43">
        <f>IF('asset_&amp;_open_positions'!$C38="","",'asset_&amp;_open_positions'!$H38)</f>
        <v>18115.8</v>
      </c>
      <c r="P38" s="84" t="str">
        <f>IF(OR('asset_&amp;_open_positions'!$C38="",'asset_&amp;_open_positions'!$J38="SWAP",'asset_&amp;_open_positions'!$J38="FUTURE",'asset_&amp;_open_positions'!$J38="CME FUTURE"),"",'asset_&amp;_open_positions'!$M38)</f>
        <v/>
      </c>
      <c r="Q38" s="43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5:17" x14ac:dyDescent="0.25">
      <c r="E39" t="s">
        <v>201</v>
      </c>
      <c r="G39" t="s">
        <v>198</v>
      </c>
      <c r="H39" t="s">
        <v>111</v>
      </c>
      <c r="N39" s="84" t="str">
        <f>IF('asset_&amp;_open_positions'!$C39="","",'asset_&amp;_open_positions'!$E39)</f>
        <v>O_F_ETH-USD_221230</v>
      </c>
      <c r="O39" s="43">
        <f>IF('asset_&amp;_open_positions'!$C39="","",'asset_&amp;_open_positions'!$H39)</f>
        <v>1341.52</v>
      </c>
      <c r="P39" s="84" t="str">
        <f>IF(OR('asset_&amp;_open_positions'!$C39="",'asset_&amp;_open_positions'!$J39="SWAP",'asset_&amp;_open_positions'!$J39="FUTURE",'asset_&amp;_open_positions'!$J39="CME FUTURE"),"",'asset_&amp;_open_positions'!$M39)</f>
        <v/>
      </c>
      <c r="Q39" s="43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5:17" x14ac:dyDescent="0.25">
      <c r="E40" t="s">
        <v>208</v>
      </c>
      <c r="G40" t="s">
        <v>198</v>
      </c>
      <c r="H40" t="s">
        <v>115</v>
      </c>
      <c r="N40" s="84" t="str">
        <f>IF('asset_&amp;_open_positions'!$C40="","",'asset_&amp;_open_positions'!$E40)</f>
        <v>O_P_LINK-USDT-SWAP</v>
      </c>
      <c r="O40" s="43">
        <f>IF('asset_&amp;_open_positions'!$C40="","",'asset_&amp;_open_positions'!$H40)</f>
        <v>6.8869999999999996</v>
      </c>
      <c r="P40" s="84" t="str">
        <f>IF(OR('asset_&amp;_open_positions'!$C40="",'asset_&amp;_open_positions'!$J40="SWAP",'asset_&amp;_open_positions'!$J40="FUTURE",'asset_&amp;_open_positions'!$J40="CME FUTURE"),"",'asset_&amp;_open_positions'!$M40)</f>
        <v/>
      </c>
      <c r="Q40" s="43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5:17" x14ac:dyDescent="0.25">
      <c r="E41" t="s">
        <v>216</v>
      </c>
      <c r="G41" t="s">
        <v>198</v>
      </c>
      <c r="H41" t="s">
        <v>46</v>
      </c>
      <c r="N41" s="84" t="str">
        <f>IF('asset_&amp;_open_positions'!$C41="","",'asset_&amp;_open_positions'!$E41)</f>
        <v>O_P_SHIB-USDT-SWAP</v>
      </c>
      <c r="O41" s="43">
        <f>IF('asset_&amp;_open_positions'!$C41="","",'asset_&amp;_open_positions'!$H41)</f>
        <v>9.1600000000000004E-6</v>
      </c>
      <c r="P41" s="84" t="str">
        <f>IF(OR('asset_&amp;_open_positions'!$C41="",'asset_&amp;_open_positions'!$J41="SWAP",'asset_&amp;_open_positions'!$J41="FUTURE",'asset_&amp;_open_positions'!$J41="CME FUTURE"),"",'asset_&amp;_open_positions'!$M41)</f>
        <v/>
      </c>
      <c r="Q41" s="43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5:17" x14ac:dyDescent="0.25">
      <c r="E42" t="s">
        <v>224</v>
      </c>
      <c r="G42" t="s">
        <v>88</v>
      </c>
      <c r="H42" t="s">
        <v>225</v>
      </c>
      <c r="N42" s="84" t="str">
        <f>IF('asset_&amp;_open_positions'!$C42="","",'asset_&amp;_open_positions'!$E42)</f>
        <v>O_F_BTC-USDT_221230</v>
      </c>
      <c r="O42" s="43">
        <f>IF('asset_&amp;_open_positions'!$C42="","",'asset_&amp;_open_positions'!$H42)</f>
        <v>18104.7</v>
      </c>
      <c r="P42" s="84" t="str">
        <f>IF(OR('asset_&amp;_open_positions'!$C42="",'asset_&amp;_open_positions'!$J42="SWAP",'asset_&amp;_open_positions'!$J42="FUTURE",'asset_&amp;_open_positions'!$J42="CME FUTURE"),"",'asset_&amp;_open_positions'!$M42)</f>
        <v/>
      </c>
      <c r="Q42" s="43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5:17" x14ac:dyDescent="0.25">
      <c r="E43" t="s">
        <v>226</v>
      </c>
      <c r="G43" t="s">
        <v>88</v>
      </c>
      <c r="H43" t="s">
        <v>225</v>
      </c>
      <c r="N43" s="84" t="str">
        <f>IF('asset_&amp;_open_positions'!$C43="","",'asset_&amp;_open_positions'!$E43)</f>
        <v>O_P_BTC-USD-SWAP</v>
      </c>
      <c r="O43" s="43">
        <f>IF('asset_&amp;_open_positions'!$C43="","",'asset_&amp;_open_positions'!$H43)</f>
        <v>18090</v>
      </c>
      <c r="P43" s="84" t="str">
        <f>IF(OR('asset_&amp;_open_positions'!$C43="",'asset_&amp;_open_positions'!$J43="SWAP",'asset_&amp;_open_positions'!$J43="FUTURE",'asset_&amp;_open_positions'!$J43="CME FUTURE"),"",'asset_&amp;_open_positions'!$M43)</f>
        <v/>
      </c>
      <c r="Q43" s="43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5:17" x14ac:dyDescent="0.25">
      <c r="E44" t="s">
        <v>227</v>
      </c>
      <c r="G44" t="s">
        <v>88</v>
      </c>
      <c r="H44" t="s">
        <v>225</v>
      </c>
      <c r="N44" s="84" t="str">
        <f>IF('asset_&amp;_open_positions'!$C44="","",'asset_&amp;_open_positions'!$E44)</f>
        <v>O_P_ETH-USD-SWAP</v>
      </c>
      <c r="O44" s="43">
        <f>IF('asset_&amp;_open_positions'!$C44="","",'asset_&amp;_open_positions'!$H44)</f>
        <v>1340.19</v>
      </c>
      <c r="P44" s="84" t="str">
        <f>IF(OR('asset_&amp;_open_positions'!$C44="",'asset_&amp;_open_positions'!$J44="SWAP",'asset_&amp;_open_positions'!$J44="FUTURE",'asset_&amp;_open_positions'!$J44="CME FUTURE"),"",'asset_&amp;_open_positions'!$M44)</f>
        <v/>
      </c>
      <c r="Q44" s="43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5:17" x14ac:dyDescent="0.25">
      <c r="E45" t="s">
        <v>228</v>
      </c>
      <c r="G45" t="s">
        <v>88</v>
      </c>
      <c r="H45" t="s">
        <v>225</v>
      </c>
      <c r="N45" s="84" t="str">
        <f>IF('asset_&amp;_open_positions'!$C45="","",'asset_&amp;_open_positions'!$E45)</f>
        <v>O_F_ETH-USD_221230</v>
      </c>
      <c r="O45" s="43">
        <f>IF('asset_&amp;_open_positions'!$C45="","",'asset_&amp;_open_positions'!$H45)</f>
        <v>1341.51</v>
      </c>
      <c r="P45" s="84" t="str">
        <f>IF(OR('asset_&amp;_open_positions'!$C45="",'asset_&amp;_open_positions'!$J45="SWAP",'asset_&amp;_open_positions'!$J45="FUTURE",'asset_&amp;_open_positions'!$J45="CME FUTURE"),"",'asset_&amp;_open_positions'!$M45)</f>
        <v/>
      </c>
      <c r="Q45" s="43" t="str">
        <f>IF(OR('asset_&amp;_open_positions'!$C45="",'asset_&amp;_open_positions'!$J45="SWAP",'asset_&amp;_open_positions'!$J45="FUTURE",'asset_&amp;_open_positions'!$J45="CME FUTURE"),"",'asset_&amp;_open_positions'!$H45)</f>
        <v/>
      </c>
    </row>
    <row r="46" spans="5:17" x14ac:dyDescent="0.25">
      <c r="E46" t="s">
        <v>34</v>
      </c>
      <c r="G46" t="s">
        <v>88</v>
      </c>
      <c r="H46" t="s">
        <v>33</v>
      </c>
      <c r="N46" s="84" t="str">
        <f>IF('asset_&amp;_open_positions'!$C46="","",'asset_&amp;_open_positions'!$E46)</f>
        <v>O_F_BTC-USD_221230</v>
      </c>
      <c r="O46" s="43">
        <f>IF('asset_&amp;_open_positions'!$C46="","",'asset_&amp;_open_positions'!$H46)</f>
        <v>18116.2</v>
      </c>
      <c r="P46" s="84" t="str">
        <f>IF(OR('asset_&amp;_open_positions'!$C46="",'asset_&amp;_open_positions'!$J46="SWAP",'asset_&amp;_open_positions'!$J46="FUTURE",'asset_&amp;_open_positions'!$J46="CME FUTURE"),"",'asset_&amp;_open_positions'!$M46)</f>
        <v/>
      </c>
      <c r="Q46" s="43" t="str">
        <f>IF(OR('asset_&amp;_open_positions'!$C46="",'asset_&amp;_open_positions'!$J46="SWAP",'asset_&amp;_open_positions'!$J46="FUTURE",'asset_&amp;_open_positions'!$J46="CME FUTURE"),"",'asset_&amp;_open_positions'!$H46)</f>
        <v/>
      </c>
    </row>
    <row r="47" spans="5:17" x14ac:dyDescent="0.25">
      <c r="E47" t="s">
        <v>229</v>
      </c>
      <c r="G47" t="s">
        <v>198</v>
      </c>
      <c r="H47" t="s">
        <v>104</v>
      </c>
      <c r="N47" s="84" t="str">
        <f>IF('asset_&amp;_open_positions'!$C47="","",'asset_&amp;_open_positions'!$E47)</f>
        <v>O_F_BTC-USDT_221230</v>
      </c>
      <c r="O47" s="43">
        <f>IF('asset_&amp;_open_positions'!$C47="","",'asset_&amp;_open_positions'!$H47)</f>
        <v>18106.2</v>
      </c>
      <c r="P47" s="84" t="str">
        <f>IF(OR('asset_&amp;_open_positions'!$C47="",'asset_&amp;_open_positions'!$J47="SWAP",'asset_&amp;_open_positions'!$J47="FUTURE",'asset_&amp;_open_positions'!$J47="CME FUTURE"),"",'asset_&amp;_open_positions'!$M47)</f>
        <v/>
      </c>
      <c r="Q47" s="43" t="str">
        <f>IF(OR('asset_&amp;_open_positions'!$C47="",'asset_&amp;_open_positions'!$J47="SWAP",'asset_&amp;_open_positions'!$J47="FUTURE",'asset_&amp;_open_positions'!$J47="CME FUTURE"),"",'asset_&amp;_open_positions'!$H47)</f>
        <v/>
      </c>
    </row>
    <row r="48" spans="5:17" x14ac:dyDescent="0.25">
      <c r="E48" t="s">
        <v>230</v>
      </c>
      <c r="G48" t="s">
        <v>88</v>
      </c>
      <c r="H48" t="s">
        <v>121</v>
      </c>
      <c r="N48" s="84" t="str">
        <f>IF('asset_&amp;_open_positions'!$C48="","",'asset_&amp;_open_positions'!$E48)</f>
        <v>O_F_ETH-USDT_221230</v>
      </c>
      <c r="O48" s="43">
        <f>IF('asset_&amp;_open_positions'!$C48="","",'asset_&amp;_open_positions'!$H48)</f>
        <v>1339.81</v>
      </c>
      <c r="P48" s="84" t="str">
        <f>IF(OR('asset_&amp;_open_positions'!$C48="",'asset_&amp;_open_positions'!$J48="SWAP",'asset_&amp;_open_positions'!$J48="FUTURE",'asset_&amp;_open_positions'!$J48="CME FUTURE"),"",'asset_&amp;_open_positions'!$M48)</f>
        <v/>
      </c>
      <c r="Q48" s="43" t="str">
        <f>IF(OR('asset_&amp;_open_positions'!$C48="",'asset_&amp;_open_positions'!$J48="SWAP",'asset_&amp;_open_positions'!$J48="FUTURE",'asset_&amp;_open_positions'!$J48="CME FUTURE"),"",'asset_&amp;_open_positions'!$H48)</f>
        <v/>
      </c>
    </row>
    <row r="49" spans="5:21" x14ac:dyDescent="0.25">
      <c r="E49" t="s">
        <v>86</v>
      </c>
      <c r="G49" t="s">
        <v>88</v>
      </c>
      <c r="H49" t="s">
        <v>89</v>
      </c>
      <c r="N49" s="84" t="str">
        <f>IF('asset_&amp;_open_positions'!$C49="","",'asset_&amp;_open_positions'!$E49)</f>
        <v>O_P_BTC-USDT-SWAP</v>
      </c>
      <c r="O49" s="43">
        <f>IF('asset_&amp;_open_positions'!$C49="","",'asset_&amp;_open_positions'!$H49)</f>
        <v>18078.5</v>
      </c>
      <c r="P49" s="84" t="str">
        <f>IF(OR('asset_&amp;_open_positions'!$C49="",'asset_&amp;_open_positions'!$J49="SWAP",'asset_&amp;_open_positions'!$J49="FUTURE",'asset_&amp;_open_positions'!$J49="CME FUTURE"),"",'asset_&amp;_open_positions'!$M49)</f>
        <v/>
      </c>
      <c r="Q49" s="43" t="str">
        <f>IF(OR('asset_&amp;_open_positions'!$C49="",'asset_&amp;_open_positions'!$J49="SWAP",'asset_&amp;_open_positions'!$J49="FUTURE",'asset_&amp;_open_positions'!$J49="CME FUTURE"),"",'asset_&amp;_open_positions'!$H49)</f>
        <v/>
      </c>
    </row>
    <row r="50" spans="5:21" x14ac:dyDescent="0.25">
      <c r="E50" t="s">
        <v>12</v>
      </c>
      <c r="G50" t="s">
        <v>88</v>
      </c>
      <c r="H50" t="s">
        <v>89</v>
      </c>
      <c r="N50" s="84" t="str">
        <f>IF('asset_&amp;_open_positions'!$C50="","",'asset_&amp;_open_positions'!$E50)</f>
        <v>O_P_ETH-USDT-SWAP</v>
      </c>
      <c r="O50" s="43">
        <f>IF('asset_&amp;_open_positions'!$C50="","",'asset_&amp;_open_positions'!$H50)</f>
        <v>1340.2</v>
      </c>
      <c r="P50" s="84" t="str">
        <f>IF(OR('asset_&amp;_open_positions'!$C50="",'asset_&amp;_open_positions'!$J50="SWAP",'asset_&amp;_open_positions'!$J50="FUTURE",'asset_&amp;_open_positions'!$J50="CME FUTURE"),"",'asset_&amp;_open_positions'!$M50)</f>
        <v/>
      </c>
      <c r="Q50" s="43" t="str">
        <f>IF(OR('asset_&amp;_open_positions'!$C50="",'asset_&amp;_open_positions'!$J50="SWAP",'asset_&amp;_open_positions'!$J50="FUTURE",'asset_&amp;_open_positions'!$J50="CME FUTURE"),"",'asset_&amp;_open_positions'!$H50)</f>
        <v/>
      </c>
    </row>
    <row r="51" spans="5:21" x14ac:dyDescent="0.25">
      <c r="E51" t="s">
        <v>94</v>
      </c>
      <c r="G51" t="s">
        <v>88</v>
      </c>
      <c r="H51" t="s">
        <v>89</v>
      </c>
      <c r="N51" s="84" t="str">
        <f>IF('asset_&amp;_open_positions'!$C51="","",'asset_&amp;_open_positions'!$E51)</f>
        <v>O_P_AXS-USDT-SWAP</v>
      </c>
      <c r="O51" s="43">
        <f>IF('asset_&amp;_open_positions'!$C51="","",'asset_&amp;_open_positions'!$H51)</f>
        <v>7.9</v>
      </c>
      <c r="P51" s="84" t="str">
        <f>IF(OR('asset_&amp;_open_positions'!$C51="",'asset_&amp;_open_positions'!$J51="SWAP",'asset_&amp;_open_positions'!$J51="FUTURE",'asset_&amp;_open_positions'!$J51="CME FUTURE"),"",'asset_&amp;_open_positions'!$M51)</f>
        <v/>
      </c>
      <c r="Q51" s="43" t="str">
        <f>IF(OR('asset_&amp;_open_positions'!$C51="",'asset_&amp;_open_positions'!$J51="SWAP",'asset_&amp;_open_positions'!$J51="FUTURE",'asset_&amp;_open_positions'!$J51="CME FUTURE"),"",'asset_&amp;_open_positions'!$H51)</f>
        <v/>
      </c>
    </row>
    <row r="52" spans="5:21" x14ac:dyDescent="0.25">
      <c r="E52" t="s">
        <v>19</v>
      </c>
      <c r="G52" t="s">
        <v>88</v>
      </c>
      <c r="H52" t="s">
        <v>89</v>
      </c>
      <c r="N52" s="84" t="str">
        <f>IF('asset_&amp;_open_positions'!$C52="","",'asset_&amp;_open_positions'!$E52)</f>
        <v>ETHZ2</v>
      </c>
      <c r="O52" s="43">
        <f>IF('asset_&amp;_open_positions'!$C52="","",'asset_&amp;_open_positions'!$H52)</f>
        <v>1308</v>
      </c>
      <c r="P52" s="84" t="str">
        <f>IF(OR('asset_&amp;_open_positions'!$C52="",'asset_&amp;_open_positions'!$J52="SWAP",'asset_&amp;_open_positions'!$J52="FUTURE",'asset_&amp;_open_positions'!$J52="CME FUTURE"),"",'asset_&amp;_open_positions'!$M52)</f>
        <v/>
      </c>
      <c r="Q52" s="43" t="str">
        <f>IF(OR('asset_&amp;_open_positions'!$C52="",'asset_&amp;_open_positions'!$J52="SWAP",'asset_&amp;_open_positions'!$J52="FUTURE",'asset_&amp;_open_positions'!$J52="CME FUTURE"),"",'asset_&amp;_open_positions'!$H52)</f>
        <v/>
      </c>
    </row>
    <row r="53" spans="5:21" x14ac:dyDescent="0.25">
      <c r="E53" t="s">
        <v>105</v>
      </c>
      <c r="G53" t="s">
        <v>88</v>
      </c>
      <c r="H53" t="s">
        <v>104</v>
      </c>
      <c r="N53" s="84" t="str">
        <f>IF('asset_&amp;_open_positions'!$C53="","",'asset_&amp;_open_positions'!$E53)</f>
        <v>BTCZ2</v>
      </c>
      <c r="O53" s="43">
        <f>IF('asset_&amp;_open_positions'!$C53="","",'asset_&amp;_open_positions'!$H53)</f>
        <v>17795</v>
      </c>
      <c r="P53" s="84" t="str">
        <f>IF(OR('asset_&amp;_open_positions'!$C53="",'asset_&amp;_open_positions'!$J53="SWAP",'asset_&amp;_open_positions'!$J53="FUTURE",'asset_&amp;_open_positions'!$J53="CME FUTURE"),"",'asset_&amp;_open_positions'!$M53)</f>
        <v/>
      </c>
      <c r="Q53" s="43" t="str">
        <f>IF(OR('asset_&amp;_open_positions'!$C53="",'asset_&amp;_open_positions'!$J53="SWAP",'asset_&amp;_open_positions'!$J53="FUTURE",'asset_&amp;_open_positions'!$J53="CME FUTURE"),"",'asset_&amp;_open_positions'!$H53)</f>
        <v/>
      </c>
    </row>
    <row r="54" spans="5:21" x14ac:dyDescent="0.25">
      <c r="E54" t="s">
        <v>106</v>
      </c>
      <c r="G54" t="s">
        <v>88</v>
      </c>
      <c r="H54" t="s">
        <v>104</v>
      </c>
      <c r="N54" s="84" t="str">
        <f>IF('asset_&amp;_open_positions'!$C54="","",'asset_&amp;_open_positions'!$E54)</f>
        <v>AAVE</v>
      </c>
      <c r="O54" s="43">
        <f>IF('asset_&amp;_open_positions'!$C54="","",'asset_&amp;_open_positions'!$H54)</f>
        <v>62.562890626420497</v>
      </c>
      <c r="P54" s="84" t="str">
        <f>IF(OR('asset_&amp;_open_positions'!$C54="",'asset_&amp;_open_positions'!$J54="SWAP",'asset_&amp;_open_positions'!$J54="FUTURE",'asset_&amp;_open_positions'!$J54="CME FUTURE"),"",'asset_&amp;_open_positions'!$M54)</f>
        <v>AAVE</v>
      </c>
      <c r="Q54" s="43">
        <f>IF(OR('asset_&amp;_open_positions'!$C54="",'asset_&amp;_open_positions'!$J54="SWAP",'asset_&amp;_open_positions'!$J54="FUTURE",'asset_&amp;_open_positions'!$J54="CME FUTURE"),"",'asset_&amp;_open_positions'!$H54)</f>
        <v>62.562890626420497</v>
      </c>
    </row>
    <row r="55" spans="5:21" x14ac:dyDescent="0.25">
      <c r="E55" t="s">
        <v>206</v>
      </c>
      <c r="G55" t="s">
        <v>198</v>
      </c>
      <c r="H55" t="s">
        <v>104</v>
      </c>
      <c r="N55" s="84" t="str">
        <f>IF('asset_&amp;_open_positions'!$C55="","",'asset_&amp;_open_positions'!$E55)</f>
        <v>ADA</v>
      </c>
      <c r="O55" s="43">
        <f>IF('asset_&amp;_open_positions'!$C55="","",'asset_&amp;_open_positions'!$H55)</f>
        <v>0.308134251946941</v>
      </c>
      <c r="P55" s="84" t="str">
        <f>IF(OR('asset_&amp;_open_positions'!$C55="",'asset_&amp;_open_positions'!$J55="SWAP",'asset_&amp;_open_positions'!$J55="FUTURE",'asset_&amp;_open_positions'!$J55="CME FUTURE"),"",'asset_&amp;_open_positions'!$M55)</f>
        <v>ADA</v>
      </c>
      <c r="Q55" s="43">
        <f>IF(OR('asset_&amp;_open_positions'!$C55="",'asset_&amp;_open_positions'!$J55="SWAP",'asset_&amp;_open_positions'!$J55="FUTURE",'asset_&amp;_open_positions'!$J55="CME FUTURE"),"",'asset_&amp;_open_positions'!$H55)</f>
        <v>0.308134251946941</v>
      </c>
    </row>
    <row r="56" spans="5:21" x14ac:dyDescent="0.25">
      <c r="E56" t="s">
        <v>43</v>
      </c>
      <c r="G56" t="s">
        <v>88</v>
      </c>
      <c r="H56" t="s">
        <v>115</v>
      </c>
      <c r="N56" s="84" t="str">
        <f>IF('asset_&amp;_open_positions'!$C56="","",'asset_&amp;_open_positions'!$E56)</f>
        <v>ALGO</v>
      </c>
      <c r="O56" s="43">
        <f>IF('asset_&amp;_open_positions'!$C56="","",'asset_&amp;_open_positions'!$H56)</f>
        <v>0.220915807052601</v>
      </c>
      <c r="P56" s="84" t="str">
        <f>IF(OR('asset_&amp;_open_positions'!$C56="",'asset_&amp;_open_positions'!$J56="SWAP",'asset_&amp;_open_positions'!$J56="FUTURE",'asset_&amp;_open_positions'!$J56="CME FUTURE"),"",'asset_&amp;_open_positions'!$M56)</f>
        <v>ALGO</v>
      </c>
      <c r="Q56" s="43">
        <f>IF(OR('asset_&amp;_open_positions'!$C56="",'asset_&amp;_open_positions'!$J56="SWAP",'asset_&amp;_open_positions'!$J56="FUTURE",'asset_&amp;_open_positions'!$J56="CME FUTURE"),"",'asset_&amp;_open_positions'!$H56)</f>
        <v>0.220915807052601</v>
      </c>
    </row>
    <row r="57" spans="5:21" x14ac:dyDescent="0.25">
      <c r="E57" t="s">
        <v>107</v>
      </c>
      <c r="G57" t="s">
        <v>88</v>
      </c>
      <c r="H57" t="s">
        <v>104</v>
      </c>
      <c r="N57" s="84" t="str">
        <f>IF('asset_&amp;_open_positions'!$C57="","",'asset_&amp;_open_positions'!$E57)</f>
        <v>ATOM</v>
      </c>
      <c r="O57" s="43">
        <f>IF('asset_&amp;_open_positions'!$C57="","",'asset_&amp;_open_positions'!$H57)</f>
        <v>9.6091387789809204</v>
      </c>
      <c r="P57" s="84" t="str">
        <f>IF(OR('asset_&amp;_open_positions'!$C57="",'asset_&amp;_open_positions'!$J57="SWAP",'asset_&amp;_open_positions'!$J57="FUTURE",'asset_&amp;_open_positions'!$J57="CME FUTURE"),"",'asset_&amp;_open_positions'!$M57)</f>
        <v>ATOM</v>
      </c>
      <c r="Q57" s="43">
        <f>IF(OR('asset_&amp;_open_positions'!$C57="",'asset_&amp;_open_positions'!$J57="SWAP",'asset_&amp;_open_positions'!$J57="FUTURE",'asset_&amp;_open_positions'!$J57="CME FUTURE"),"",'asset_&amp;_open_positions'!$H57)</f>
        <v>9.6091387789809204</v>
      </c>
    </row>
    <row r="58" spans="5:21" x14ac:dyDescent="0.25">
      <c r="E58" t="s">
        <v>215</v>
      </c>
      <c r="G58" t="s">
        <v>198</v>
      </c>
      <c r="H58" t="s">
        <v>46</v>
      </c>
      <c r="N58" s="84" t="str">
        <f>IF('asset_&amp;_open_positions'!$C58="","",'asset_&amp;_open_positions'!$E58)</f>
        <v>AVAX</v>
      </c>
      <c r="O58" s="43">
        <f>IF('asset_&amp;_open_positions'!$C58="","",'asset_&amp;_open_positions'!$H58)</f>
        <v>13.7275595789196</v>
      </c>
      <c r="P58" s="84" t="str">
        <f>IF(OR('asset_&amp;_open_positions'!$C58="",'asset_&amp;_open_positions'!$J58="SWAP",'asset_&amp;_open_positions'!$J58="FUTURE",'asset_&amp;_open_positions'!$J58="CME FUTURE"),"",'asset_&amp;_open_positions'!$M58)</f>
        <v>AVAX</v>
      </c>
      <c r="Q58" s="43">
        <f>IF(OR('asset_&amp;_open_positions'!$C58="",'asset_&amp;_open_positions'!$J58="SWAP",'asset_&amp;_open_positions'!$J58="FUTURE",'asset_&amp;_open_positions'!$J58="CME FUTURE"),"",'asset_&amp;_open_positions'!$H58)</f>
        <v>13.7275595789196</v>
      </c>
    </row>
    <row r="59" spans="5:21" x14ac:dyDescent="0.25">
      <c r="E59" t="s">
        <v>108</v>
      </c>
      <c r="G59" t="s">
        <v>88</v>
      </c>
      <c r="H59" t="s">
        <v>104</v>
      </c>
      <c r="N59" s="84" t="str">
        <f>IF('asset_&amp;_open_positions'!$C59="","",'asset_&amp;_open_positions'!$E59)</f>
        <v>BAT</v>
      </c>
      <c r="O59" s="43">
        <f>IF('asset_&amp;_open_positions'!$C59="","",'asset_&amp;_open_positions'!$H59)</f>
        <v>0.223961356159531</v>
      </c>
      <c r="P59" s="84" t="str">
        <f>IF(OR('asset_&amp;_open_positions'!$C59="",'asset_&amp;_open_positions'!$J59="SWAP",'asset_&amp;_open_positions'!$J59="FUTURE",'asset_&amp;_open_positions'!$J59="CME FUTURE"),"",'asset_&amp;_open_positions'!$M59)</f>
        <v>BAT</v>
      </c>
      <c r="Q59" s="43">
        <f>IF(OR('asset_&amp;_open_positions'!$C59="",'asset_&amp;_open_positions'!$J59="SWAP",'asset_&amp;_open_positions'!$J59="FUTURE",'asset_&amp;_open_positions'!$J59="CME FUTURE"),"",'asset_&amp;_open_positions'!$H59)</f>
        <v>0.223961356159531</v>
      </c>
      <c r="U59" t="str">
        <f>IF(OR('asset_&amp;_open_positions'!$C2="",'asset_&amp;_open_positions'!$J2="FUTURE",'asset_&amp;_open_positions'!$J2="SWAP"),"",'asset_&amp;_open_positions'!$M2)</f>
        <v/>
      </c>
    </row>
    <row r="60" spans="5:21" x14ac:dyDescent="0.25">
      <c r="E60" t="s">
        <v>197</v>
      </c>
      <c r="G60" t="s">
        <v>198</v>
      </c>
      <c r="H60" t="s">
        <v>89</v>
      </c>
      <c r="N60" s="84" t="str">
        <f>IF('asset_&amp;_open_positions'!$C60="","",'asset_&amp;_open_positions'!$E60)</f>
        <v>BCH</v>
      </c>
      <c r="O60" s="43">
        <f>IF('asset_&amp;_open_positions'!$C60="","",'asset_&amp;_open_positions'!$H60)</f>
        <v>109.10849595307199</v>
      </c>
      <c r="P60" s="84" t="str">
        <f>IF(OR('asset_&amp;_open_positions'!$C60="",'asset_&amp;_open_positions'!$J60="SWAP",'asset_&amp;_open_positions'!$J60="FUTURE",'asset_&amp;_open_positions'!$J60="CME FUTURE"),"",'asset_&amp;_open_positions'!$M60)</f>
        <v>BCH</v>
      </c>
      <c r="Q60" s="43">
        <f>IF(OR('asset_&amp;_open_positions'!$C60="",'asset_&amp;_open_positions'!$J60="SWAP",'asset_&amp;_open_positions'!$J60="FUTURE",'asset_&amp;_open_positions'!$J60="CME FUTURE"),"",'asset_&amp;_open_positions'!$H60)</f>
        <v>109.10849595307199</v>
      </c>
    </row>
    <row r="61" spans="5:21" x14ac:dyDescent="0.25">
      <c r="E61" t="s">
        <v>200</v>
      </c>
      <c r="G61" t="s">
        <v>198</v>
      </c>
      <c r="H61" t="s">
        <v>104</v>
      </c>
      <c r="N61" s="84" t="str">
        <f>IF('asset_&amp;_open_positions'!$C61="","",'asset_&amp;_open_positions'!$E61)</f>
        <v>BNB</v>
      </c>
      <c r="O61" s="43">
        <f>IF('asset_&amp;_open_positions'!$C61="","",'asset_&amp;_open_positions'!$H61)</f>
        <v>268.231541052701</v>
      </c>
      <c r="P61" s="84" t="str">
        <f>IF(OR('asset_&amp;_open_positions'!$C61="",'asset_&amp;_open_positions'!$J61="SWAP",'asset_&amp;_open_positions'!$J61="FUTURE",'asset_&amp;_open_positions'!$J61="CME FUTURE"),"",'asset_&amp;_open_positions'!$M61)</f>
        <v>BNB</v>
      </c>
      <c r="Q61" s="43">
        <f>IF(OR('asset_&amp;_open_positions'!$C61="",'asset_&amp;_open_positions'!$J61="SWAP",'asset_&amp;_open_positions'!$J61="FUTURE",'asset_&amp;_open_positions'!$J61="CME FUTURE"),"",'asset_&amp;_open_positions'!$H61)</f>
        <v>268.231541052701</v>
      </c>
    </row>
    <row r="62" spans="5:21" x14ac:dyDescent="0.25">
      <c r="N62" s="84" t="str">
        <f>IF('asset_&amp;_open_positions'!$C62="","",'asset_&amp;_open_positions'!$E62)</f>
        <v>BTC</v>
      </c>
      <c r="O62" s="43">
        <f>IF('asset_&amp;_open_positions'!$C62="","",'asset_&amp;_open_positions'!$H62)</f>
        <v>17815.649854650899</v>
      </c>
      <c r="P62" s="84" t="str">
        <f>IF(OR('asset_&amp;_open_positions'!$C62="",'asset_&amp;_open_positions'!$J62="SWAP",'asset_&amp;_open_positions'!$J62="FUTURE",'asset_&amp;_open_positions'!$J62="CME FUTURE"),"",'asset_&amp;_open_positions'!$M62)</f>
        <v>BTC</v>
      </c>
      <c r="Q62" s="43">
        <f>IF(OR('asset_&amp;_open_positions'!$C62="",'asset_&amp;_open_positions'!$J62="SWAP",'asset_&amp;_open_positions'!$J62="FUTURE",'asset_&amp;_open_positions'!$J62="CME FUTURE"),"",'asset_&amp;_open_positions'!$H62)</f>
        <v>17815.649854650899</v>
      </c>
    </row>
    <row r="63" spans="5:21" x14ac:dyDescent="0.25">
      <c r="N63" s="84" t="str">
        <f>IF('asset_&amp;_open_positions'!$C63="","",'asset_&amp;_open_positions'!$E63)</f>
        <v>BUSD</v>
      </c>
      <c r="O63" s="43">
        <f>IF('asset_&amp;_open_positions'!$C63="","",'asset_&amp;_open_positions'!$H63)</f>
        <v>1.0002520042927801</v>
      </c>
      <c r="P63" s="84" t="str">
        <f>IF(OR('asset_&amp;_open_positions'!$C63="",'asset_&amp;_open_positions'!$J63="SWAP",'asset_&amp;_open_positions'!$J63="FUTURE",'asset_&amp;_open_positions'!$J63="CME FUTURE"),"",'asset_&amp;_open_positions'!$M63)</f>
        <v>BUSD</v>
      </c>
      <c r="Q63" s="43">
        <f>IF(OR('asset_&amp;_open_positions'!$C63="",'asset_&amp;_open_positions'!$J63="SWAP",'asset_&amp;_open_positions'!$J63="FUTURE",'asset_&amp;_open_positions'!$J63="CME FUTURE"),"",'asset_&amp;_open_positions'!$H63)</f>
        <v>1.0002520042927801</v>
      </c>
    </row>
    <row r="64" spans="5:21" x14ac:dyDescent="0.25">
      <c r="N64" s="84" t="str">
        <f>IF('asset_&amp;_open_positions'!$C64="","",'asset_&amp;_open_positions'!$E64)</f>
        <v>COMP</v>
      </c>
      <c r="O64" s="43">
        <f>IF('asset_&amp;_open_positions'!$C64="","",'asset_&amp;_open_positions'!$H64)</f>
        <v>39.353239129333097</v>
      </c>
      <c r="P64" s="84" t="str">
        <f>IF(OR('asset_&amp;_open_positions'!$C64="",'asset_&amp;_open_positions'!$J64="SWAP",'asset_&amp;_open_positions'!$J64="FUTURE",'asset_&amp;_open_positions'!$J64="CME FUTURE"),"",'asset_&amp;_open_positions'!$M64)</f>
        <v>COMP</v>
      </c>
      <c r="Q64" s="43">
        <f>IF(OR('asset_&amp;_open_positions'!$C64="",'asset_&amp;_open_positions'!$J64="SWAP",'asset_&amp;_open_positions'!$J64="FUTURE",'asset_&amp;_open_positions'!$J64="CME FUTURE"),"",'asset_&amp;_open_positions'!$H64)</f>
        <v>39.353239129333097</v>
      </c>
    </row>
    <row r="65" spans="14:17" x14ac:dyDescent="0.25">
      <c r="N65" s="84" t="str">
        <f>IF('asset_&amp;_open_positions'!$C65="","",'asset_&amp;_open_positions'!$E65)</f>
        <v>CRV</v>
      </c>
      <c r="O65" s="43">
        <f>IF('asset_&amp;_open_positions'!$C65="","",'asset_&amp;_open_positions'!$H65)</f>
        <v>0.64648601265202699</v>
      </c>
      <c r="P65" s="84" t="str">
        <f>IF(OR('asset_&amp;_open_positions'!$C65="",'asset_&amp;_open_positions'!$J65="SWAP",'asset_&amp;_open_positions'!$J65="FUTURE",'asset_&amp;_open_positions'!$J65="CME FUTURE"),"",'asset_&amp;_open_positions'!$M65)</f>
        <v>CRV</v>
      </c>
      <c r="Q65" s="43">
        <f>IF(OR('asset_&amp;_open_positions'!$C65="",'asset_&amp;_open_positions'!$J65="SWAP",'asset_&amp;_open_positions'!$J65="FUTURE",'asset_&amp;_open_positions'!$J65="CME FUTURE"),"",'asset_&amp;_open_positions'!$H65)</f>
        <v>0.64648601265202699</v>
      </c>
    </row>
    <row r="66" spans="14:17" x14ac:dyDescent="0.25">
      <c r="N66" s="84" t="str">
        <f>IF('asset_&amp;_open_positions'!$C66="","",'asset_&amp;_open_positions'!$E66)</f>
        <v>DASH</v>
      </c>
      <c r="O66" s="43">
        <f>IF('asset_&amp;_open_positions'!$C66="","",'asset_&amp;_open_positions'!$H66)</f>
        <v>48.843587166773403</v>
      </c>
      <c r="P66" s="84" t="str">
        <f>IF(OR('asset_&amp;_open_positions'!$C66="",'asset_&amp;_open_positions'!$J66="SWAP",'asset_&amp;_open_positions'!$J66="FUTURE",'asset_&amp;_open_positions'!$J66="CME FUTURE"),"",'asset_&amp;_open_positions'!$M66)</f>
        <v>DASH</v>
      </c>
      <c r="Q66" s="43">
        <f>IF(OR('asset_&amp;_open_positions'!$C66="",'asset_&amp;_open_positions'!$J66="SWAP",'asset_&amp;_open_positions'!$J66="FUTURE",'asset_&amp;_open_positions'!$J66="CME FUTURE"),"",'asset_&amp;_open_positions'!$H66)</f>
        <v>48.843587166773403</v>
      </c>
    </row>
    <row r="67" spans="14:17" x14ac:dyDescent="0.25">
      <c r="N67" s="84" t="str">
        <f>IF('asset_&amp;_open_positions'!$C67="","",'asset_&amp;_open_positions'!$E67)</f>
        <v>DOGE</v>
      </c>
      <c r="O67" s="43">
        <f>IF('asset_&amp;_open_positions'!$C67="","",'asset_&amp;_open_positions'!$H67)</f>
        <v>8.8514392712015305E-2</v>
      </c>
      <c r="P67" s="84" t="str">
        <f>IF(OR('asset_&amp;_open_positions'!$C67="",'asset_&amp;_open_positions'!$J67="SWAP",'asset_&amp;_open_positions'!$J67="FUTURE",'asset_&amp;_open_positions'!$J67="CME FUTURE"),"",'asset_&amp;_open_positions'!$M67)</f>
        <v>DOGE</v>
      </c>
      <c r="Q67" s="43">
        <f>IF(OR('asset_&amp;_open_positions'!$C67="",'asset_&amp;_open_positions'!$J67="SWAP",'asset_&amp;_open_positions'!$J67="FUTURE",'asset_&amp;_open_positions'!$J67="CME FUTURE"),"",'asset_&amp;_open_positions'!$H67)</f>
        <v>8.8514392712015305E-2</v>
      </c>
    </row>
    <row r="68" spans="14:17" x14ac:dyDescent="0.25">
      <c r="N68" s="84" t="str">
        <f>IF('asset_&amp;_open_positions'!$C68="","",'asset_&amp;_open_positions'!$E68)</f>
        <v>DOT</v>
      </c>
      <c r="O68" s="43">
        <f>IF('asset_&amp;_open_positions'!$C68="","",'asset_&amp;_open_positions'!$H68)</f>
        <v>5.21520975096543</v>
      </c>
      <c r="P68" s="84" t="str">
        <f>IF(OR('asset_&amp;_open_positions'!$C68="",'asset_&amp;_open_positions'!$J68="SWAP",'asset_&amp;_open_positions'!$J68="FUTURE",'asset_&amp;_open_positions'!$J68="CME FUTURE"),"",'asset_&amp;_open_positions'!$M68)</f>
        <v>DOT</v>
      </c>
      <c r="Q68" s="43">
        <f>IF(OR('asset_&amp;_open_positions'!$C68="",'asset_&amp;_open_positions'!$J68="SWAP",'asset_&amp;_open_positions'!$J68="FUTURE",'asset_&amp;_open_positions'!$J68="CME FUTURE"),"",'asset_&amp;_open_positions'!$H68)</f>
        <v>5.21520975096543</v>
      </c>
    </row>
    <row r="69" spans="14:17" x14ac:dyDescent="0.25">
      <c r="N69" s="84" t="str">
        <f>IF('asset_&amp;_open_positions'!$C69="","",'asset_&amp;_open_positions'!$E69)</f>
        <v>ENJ</v>
      </c>
      <c r="O69" s="43">
        <f>IF('asset_&amp;_open_positions'!$C69="","",'asset_&amp;_open_positions'!$H69)</f>
        <v>0.30026402054434098</v>
      </c>
      <c r="P69" s="84" t="str">
        <f>IF(OR('asset_&amp;_open_positions'!$C69="",'asset_&amp;_open_positions'!$J69="SWAP",'asset_&amp;_open_positions'!$J69="FUTURE",'asset_&amp;_open_positions'!$J69="CME FUTURE"),"",'asset_&amp;_open_positions'!$M69)</f>
        <v>ENJ</v>
      </c>
      <c r="Q69" s="43">
        <f>IF(OR('asset_&amp;_open_positions'!$C69="",'asset_&amp;_open_positions'!$J69="SWAP",'asset_&amp;_open_positions'!$J69="FUTURE",'asset_&amp;_open_positions'!$J69="CME FUTURE"),"",'asset_&amp;_open_positions'!$H69)</f>
        <v>0.30026402054434098</v>
      </c>
    </row>
    <row r="70" spans="14:17" x14ac:dyDescent="0.25">
      <c r="N70" s="84" t="str">
        <f>IF('asset_&amp;_open_positions'!$C70="","",'asset_&amp;_open_positions'!$E70)</f>
        <v>EOS</v>
      </c>
      <c r="O70" s="43">
        <f>IF('asset_&amp;_open_positions'!$C70="","",'asset_&amp;_open_positions'!$H70)</f>
        <v>0.97802133669101299</v>
      </c>
      <c r="P70" s="84" t="str">
        <f>IF(OR('asset_&amp;_open_positions'!$C70="",'asset_&amp;_open_positions'!$J70="SWAP",'asset_&amp;_open_positions'!$J70="FUTURE",'asset_&amp;_open_positions'!$J70="CME FUTURE"),"",'asset_&amp;_open_positions'!$M70)</f>
        <v>EOS</v>
      </c>
      <c r="Q70" s="43">
        <f>IF(OR('asset_&amp;_open_positions'!$C70="",'asset_&amp;_open_positions'!$J70="SWAP",'asset_&amp;_open_positions'!$J70="FUTURE",'asset_&amp;_open_positions'!$J70="CME FUTURE"),"",'asset_&amp;_open_positions'!$H70)</f>
        <v>0.97802133669101299</v>
      </c>
    </row>
    <row r="71" spans="14:17" x14ac:dyDescent="0.25">
      <c r="N71" s="84" t="str">
        <f>IF('asset_&amp;_open_positions'!$C71="","",'asset_&amp;_open_positions'!$E71)</f>
        <v>ETH</v>
      </c>
      <c r="O71" s="43">
        <f>IF('asset_&amp;_open_positions'!$C71="","",'asset_&amp;_open_positions'!$H71)</f>
        <v>1309.32867693296</v>
      </c>
      <c r="P71" s="84" t="str">
        <f>IF(OR('asset_&amp;_open_positions'!$C71="",'asset_&amp;_open_positions'!$J71="SWAP",'asset_&amp;_open_positions'!$J71="FUTURE",'asset_&amp;_open_positions'!$J71="CME FUTURE"),"",'asset_&amp;_open_positions'!$M71)</f>
        <v>ETH</v>
      </c>
      <c r="Q71" s="43">
        <f>IF(OR('asset_&amp;_open_positions'!$C71="",'asset_&amp;_open_positions'!$J71="SWAP",'asset_&amp;_open_positions'!$J71="FUTURE",'asset_&amp;_open_positions'!$J71="CME FUTURE"),"",'asset_&amp;_open_positions'!$H71)</f>
        <v>1309.32867693296</v>
      </c>
    </row>
    <row r="72" spans="14:17" x14ac:dyDescent="0.25">
      <c r="N72" s="84" t="str">
        <f>IF('asset_&amp;_open_positions'!$C72="","",'asset_&amp;_open_positions'!$E72)</f>
        <v>EUR</v>
      </c>
      <c r="O72" s="43">
        <f>IF('asset_&amp;_open_positions'!$C72="","",'asset_&amp;_open_positions'!$H72)</f>
        <v>1.0682700000000001</v>
      </c>
      <c r="P72" s="84" t="str">
        <f>IF(OR('asset_&amp;_open_positions'!$C72="",'asset_&amp;_open_positions'!$J72="SWAP",'asset_&amp;_open_positions'!$J72="FUTURE",'asset_&amp;_open_positions'!$J72="CME FUTURE"),"",'asset_&amp;_open_positions'!$M72)</f>
        <v>EUR</v>
      </c>
      <c r="Q72" s="43">
        <f>IF(OR('asset_&amp;_open_positions'!$C72="",'asset_&amp;_open_positions'!$J72="SWAP",'asset_&amp;_open_positions'!$J72="FUTURE",'asset_&amp;_open_positions'!$J72="CME FUTURE"),"",'asset_&amp;_open_positions'!$H72)</f>
        <v>1.0682700000000001</v>
      </c>
    </row>
    <row r="73" spans="14:17" x14ac:dyDescent="0.25">
      <c r="N73" s="84" t="str">
        <f>IF('asset_&amp;_open_positions'!$C73="","",'asset_&amp;_open_positions'!$E73)</f>
        <v>FIL</v>
      </c>
      <c r="O73" s="43">
        <f>IF('asset_&amp;_open_positions'!$C73="","",'asset_&amp;_open_positions'!$H73)</f>
        <v>4.2300897094453704</v>
      </c>
      <c r="P73" s="84" t="str">
        <f>IF(OR('asset_&amp;_open_positions'!$C73="",'asset_&amp;_open_positions'!$J73="SWAP",'asset_&amp;_open_positions'!$J73="FUTURE",'asset_&amp;_open_positions'!$J73="CME FUTURE"),"",'asset_&amp;_open_positions'!$M73)</f>
        <v>FIL</v>
      </c>
      <c r="Q73" s="43">
        <f>IF(OR('asset_&amp;_open_positions'!$C73="",'asset_&amp;_open_positions'!$J73="SWAP",'asset_&amp;_open_positions'!$J73="FUTURE",'asset_&amp;_open_positions'!$J73="CME FUTURE"),"",'asset_&amp;_open_positions'!$H73)</f>
        <v>4.2300897094453704</v>
      </c>
    </row>
    <row r="74" spans="14:17" x14ac:dyDescent="0.25">
      <c r="N74" s="84" t="str">
        <f>IF('asset_&amp;_open_positions'!$C74="","",'asset_&amp;_open_positions'!$E74)</f>
        <v>FTM</v>
      </c>
      <c r="O74" s="43">
        <f>IF('asset_&amp;_open_positions'!$C74="","",'asset_&amp;_open_positions'!$H74)</f>
        <v>0.24061937177408299</v>
      </c>
      <c r="P74" s="84" t="str">
        <f>IF(OR('asset_&amp;_open_positions'!$C74="",'asset_&amp;_open_positions'!$J74="SWAP",'asset_&amp;_open_positions'!$J74="FUTURE",'asset_&amp;_open_positions'!$J74="CME FUTURE"),"",'asset_&amp;_open_positions'!$M74)</f>
        <v>FTM</v>
      </c>
      <c r="Q74" s="43">
        <f>IF(OR('asset_&amp;_open_positions'!$C74="",'asset_&amp;_open_positions'!$J74="SWAP",'asset_&amp;_open_positions'!$J74="FUTURE",'asset_&amp;_open_positions'!$J74="CME FUTURE"),"",'asset_&amp;_open_positions'!$H74)</f>
        <v>0.24061937177408299</v>
      </c>
    </row>
    <row r="75" spans="14:17" x14ac:dyDescent="0.25">
      <c r="N75" s="84" t="str">
        <f>IF('asset_&amp;_open_positions'!$C75="","",'asset_&amp;_open_positions'!$E75)</f>
        <v>GRT</v>
      </c>
      <c r="O75" s="43">
        <f>IF('asset_&amp;_open_positions'!$C75="","",'asset_&amp;_open_positions'!$H75)</f>
        <v>6.5711922900504302E-2</v>
      </c>
      <c r="P75" s="84" t="str">
        <f>IF(OR('asset_&amp;_open_positions'!$C75="",'asset_&amp;_open_positions'!$J75="SWAP",'asset_&amp;_open_positions'!$J75="FUTURE",'asset_&amp;_open_positions'!$J75="CME FUTURE"),"",'asset_&amp;_open_positions'!$M75)</f>
        <v>GRT</v>
      </c>
      <c r="Q75" s="43">
        <f>IF(OR('asset_&amp;_open_positions'!$C75="",'asset_&amp;_open_positions'!$J75="SWAP",'asset_&amp;_open_positions'!$J75="FUTURE",'asset_&amp;_open_positions'!$J75="CME FUTURE"),"",'asset_&amp;_open_positions'!$H75)</f>
        <v>6.5711922900504302E-2</v>
      </c>
    </row>
    <row r="76" spans="14:17" x14ac:dyDescent="0.25">
      <c r="N76" s="84" t="str">
        <f>IF('asset_&amp;_open_positions'!$C76="","",'asset_&amp;_open_positions'!$E76)</f>
        <v>HBAR</v>
      </c>
      <c r="O76" s="43">
        <f>IF('asset_&amp;_open_positions'!$C76="","",'asset_&amp;_open_positions'!$H76)</f>
        <v>4.6678870005249097E-2</v>
      </c>
      <c r="P76" s="84" t="str">
        <f>IF(OR('asset_&amp;_open_positions'!$C76="",'asset_&amp;_open_positions'!$J76="SWAP",'asset_&amp;_open_positions'!$J76="FUTURE",'asset_&amp;_open_positions'!$J76="CME FUTURE"),"",'asset_&amp;_open_positions'!$M76)</f>
        <v>HBAR</v>
      </c>
      <c r="Q76" s="43">
        <f>IF(OR('asset_&amp;_open_positions'!$C76="",'asset_&amp;_open_positions'!$J76="SWAP",'asset_&amp;_open_positions'!$J76="FUTURE",'asset_&amp;_open_positions'!$J76="CME FUTURE"),"",'asset_&amp;_open_positions'!$H76)</f>
        <v>4.6678870005249097E-2</v>
      </c>
    </row>
    <row r="77" spans="14:17" x14ac:dyDescent="0.25">
      <c r="N77" s="84" t="str">
        <f>IF('asset_&amp;_open_positions'!$C77="","",'asset_&amp;_open_positions'!$E77)</f>
        <v>LINK</v>
      </c>
      <c r="O77" s="43">
        <f>IF('asset_&amp;_open_positions'!$C77="","",'asset_&amp;_open_positions'!$H77)</f>
        <v>6.72882805759214</v>
      </c>
      <c r="P77" s="84" t="str">
        <f>IF(OR('asset_&amp;_open_positions'!$C77="",'asset_&amp;_open_positions'!$J77="SWAP",'asset_&amp;_open_positions'!$J77="FUTURE",'asset_&amp;_open_positions'!$J77="CME FUTURE"),"",'asset_&amp;_open_positions'!$M77)</f>
        <v>LINK</v>
      </c>
      <c r="Q77" s="43">
        <f>IF(OR('asset_&amp;_open_positions'!$C77="",'asset_&amp;_open_positions'!$J77="SWAP",'asset_&amp;_open_positions'!$J77="FUTURE",'asset_&amp;_open_positions'!$J77="CME FUTURE"),"",'asset_&amp;_open_positions'!$H77)</f>
        <v>6.72882805759214</v>
      </c>
    </row>
    <row r="78" spans="14:17" x14ac:dyDescent="0.25">
      <c r="N78" s="84" t="str">
        <f>IF('asset_&amp;_open_positions'!$C78="","",'asset_&amp;_open_positions'!$E78)</f>
        <v>LTC</v>
      </c>
      <c r="O78" s="43">
        <f>IF('asset_&amp;_open_positions'!$C78="","",'asset_&amp;_open_positions'!$H78)</f>
        <v>75.475863646134997</v>
      </c>
      <c r="P78" s="84" t="str">
        <f>IF(OR('asset_&amp;_open_positions'!$C78="",'asset_&amp;_open_positions'!$J78="SWAP",'asset_&amp;_open_positions'!$J78="FUTURE",'asset_&amp;_open_positions'!$J78="CME FUTURE"),"",'asset_&amp;_open_positions'!$M78)</f>
        <v>LTC</v>
      </c>
      <c r="Q78" s="43">
        <f>IF(OR('asset_&amp;_open_positions'!$C78="",'asset_&amp;_open_positions'!$J78="SWAP",'asset_&amp;_open_positions'!$J78="FUTURE",'asset_&amp;_open_positions'!$J78="CME FUTURE"),"",'asset_&amp;_open_positions'!$H78)</f>
        <v>75.475863646134997</v>
      </c>
    </row>
    <row r="79" spans="14:17" x14ac:dyDescent="0.25">
      <c r="N79" s="84" t="str">
        <f>IF('asset_&amp;_open_positions'!$C79="","",'asset_&amp;_open_positions'!$E79)</f>
        <v>MANA</v>
      </c>
      <c r="O79" s="43">
        <f>IF('asset_&amp;_open_positions'!$C79="","",'asset_&amp;_open_positions'!$H79)</f>
        <v>0.38186039560085799</v>
      </c>
      <c r="P79" s="84" t="str">
        <f>IF(OR('asset_&amp;_open_positions'!$C79="",'asset_&amp;_open_positions'!$J79="SWAP",'asset_&amp;_open_positions'!$J79="FUTURE",'asset_&amp;_open_positions'!$J79="CME FUTURE"),"",'asset_&amp;_open_positions'!$M79)</f>
        <v>MANA</v>
      </c>
      <c r="Q79" s="43">
        <f>IF(OR('asset_&amp;_open_positions'!$C79="",'asset_&amp;_open_positions'!$J79="SWAP",'asset_&amp;_open_positions'!$J79="FUTURE",'asset_&amp;_open_positions'!$J79="CME FUTURE"),"",'asset_&amp;_open_positions'!$H79)</f>
        <v>0.38186039560085799</v>
      </c>
    </row>
    <row r="80" spans="14:17" x14ac:dyDescent="0.25">
      <c r="N80" s="84" t="str">
        <f>IF('asset_&amp;_open_positions'!$C80="","",'asset_&amp;_open_positions'!$E80)</f>
        <v>MATIC</v>
      </c>
      <c r="O80" s="43">
        <f>IF('asset_&amp;_open_positions'!$C80="","",'asset_&amp;_open_positions'!$H80)</f>
        <v>0.90334735375244002</v>
      </c>
      <c r="P80" s="84" t="str">
        <f>IF(OR('asset_&amp;_open_positions'!$C80="",'asset_&amp;_open_positions'!$J80="SWAP",'asset_&amp;_open_positions'!$J80="FUTURE",'asset_&amp;_open_positions'!$J80="CME FUTURE"),"",'asset_&amp;_open_positions'!$M80)</f>
        <v>MATIC</v>
      </c>
      <c r="Q80" s="43">
        <f>IF(OR('asset_&amp;_open_positions'!$C80="",'asset_&amp;_open_positions'!$J80="SWAP",'asset_&amp;_open_positions'!$J80="FUTURE",'asset_&amp;_open_positions'!$J80="CME FUTURE"),"",'asset_&amp;_open_positions'!$H80)</f>
        <v>0.90334735375244002</v>
      </c>
    </row>
    <row r="81" spans="14:17" x14ac:dyDescent="0.25">
      <c r="N81" s="84" t="str">
        <f>IF('asset_&amp;_open_positions'!$C81="","",'asset_&amp;_open_positions'!$E81)</f>
        <v>MKR</v>
      </c>
      <c r="O81" s="43">
        <f>IF('asset_&amp;_open_positions'!$C81="","",'asset_&amp;_open_positions'!$H81)</f>
        <v>606.15766908594901</v>
      </c>
      <c r="P81" s="84" t="str">
        <f>IF(OR('asset_&amp;_open_positions'!$C81="",'asset_&amp;_open_positions'!$J81="SWAP",'asset_&amp;_open_positions'!$J81="FUTURE",'asset_&amp;_open_positions'!$J81="CME FUTURE"),"",'asset_&amp;_open_positions'!$M81)</f>
        <v>MKR</v>
      </c>
      <c r="Q81" s="43">
        <f>IF(OR('asset_&amp;_open_positions'!$C81="",'asset_&amp;_open_positions'!$J81="SWAP",'asset_&amp;_open_positions'!$J81="FUTURE",'asset_&amp;_open_positions'!$J81="CME FUTURE"),"",'asset_&amp;_open_positions'!$H81)</f>
        <v>606.15766908594901</v>
      </c>
    </row>
    <row r="82" spans="14:17" x14ac:dyDescent="0.25">
      <c r="N82" s="84" t="str">
        <f>IF('asset_&amp;_open_positions'!$C82="","",'asset_&amp;_open_positions'!$E82)</f>
        <v>OMG</v>
      </c>
      <c r="O82" s="43">
        <f>IF('asset_&amp;_open_positions'!$C82="","",'asset_&amp;_open_positions'!$H82)</f>
        <v>1.1778225277242</v>
      </c>
      <c r="P82" s="84" t="str">
        <f>IF(OR('asset_&amp;_open_positions'!$C82="",'asset_&amp;_open_positions'!$J82="SWAP",'asset_&amp;_open_positions'!$J82="FUTURE",'asset_&amp;_open_positions'!$J82="CME FUTURE"),"",'asset_&amp;_open_positions'!$M82)</f>
        <v>OMG</v>
      </c>
      <c r="Q82" s="43">
        <f>IF(OR('asset_&amp;_open_positions'!$C82="",'asset_&amp;_open_positions'!$J82="SWAP",'asset_&amp;_open_positions'!$J82="FUTURE",'asset_&amp;_open_positions'!$J82="CME FUTURE"),"",'asset_&amp;_open_positions'!$H82)</f>
        <v>1.1778225277242</v>
      </c>
    </row>
    <row r="83" spans="14:17" x14ac:dyDescent="0.25">
      <c r="N83" s="84" t="str">
        <f>IF('asset_&amp;_open_positions'!$C83="","",'asset_&amp;_open_positions'!$E83)</f>
        <v>OXT</v>
      </c>
      <c r="O83" s="43">
        <f>IF('asset_&amp;_open_positions'!$C83="","",'asset_&amp;_open_positions'!$H83)</f>
        <v>8.1177871372945895E-2</v>
      </c>
      <c r="P83" s="84" t="str">
        <f>IF(OR('asset_&amp;_open_positions'!$C83="",'asset_&amp;_open_positions'!$J83="SWAP",'asset_&amp;_open_positions'!$J83="FUTURE",'asset_&amp;_open_positions'!$J83="CME FUTURE"),"",'asset_&amp;_open_positions'!$M83)</f>
        <v>OXT</v>
      </c>
      <c r="Q83" s="43">
        <f>IF(OR('asset_&amp;_open_positions'!$C83="",'asset_&amp;_open_positions'!$J83="SWAP",'asset_&amp;_open_positions'!$J83="FUTURE",'asset_&amp;_open_positions'!$J83="CME FUTURE"),"",'asset_&amp;_open_positions'!$H83)</f>
        <v>8.1177871372945895E-2</v>
      </c>
    </row>
    <row r="84" spans="14:17" x14ac:dyDescent="0.25">
      <c r="N84" s="84" t="str">
        <f>IF('asset_&amp;_open_positions'!$C84="","",'asset_&amp;_open_positions'!$E84)</f>
        <v>SHIB</v>
      </c>
      <c r="O84" s="43">
        <f>IF('asset_&amp;_open_positions'!$C84="","",'asset_&amp;_open_positions'!$H84)</f>
        <v>8.9727561705582505E-6</v>
      </c>
      <c r="P84" s="84" t="str">
        <f>IF(OR('asset_&amp;_open_positions'!$C84="",'asset_&amp;_open_positions'!$J84="SWAP",'asset_&amp;_open_positions'!$J84="FUTURE",'asset_&amp;_open_positions'!$J84="CME FUTURE"),"",'asset_&amp;_open_positions'!$M84)</f>
        <v>SHIB</v>
      </c>
      <c r="Q84" s="43">
        <f>IF(OR('asset_&amp;_open_positions'!$C84="",'asset_&amp;_open_positions'!$J84="SWAP",'asset_&amp;_open_positions'!$J84="FUTURE",'asset_&amp;_open_positions'!$J84="CME FUTURE"),"",'asset_&amp;_open_positions'!$H84)</f>
        <v>8.9727561705582505E-6</v>
      </c>
    </row>
    <row r="85" spans="14:17" x14ac:dyDescent="0.25">
      <c r="N85" s="84" t="str">
        <f>IF('asset_&amp;_open_positions'!$C85="","",'asset_&amp;_open_positions'!$E85)</f>
        <v>SOL</v>
      </c>
      <c r="O85" s="43">
        <f>IF('asset_&amp;_open_positions'!$C85="","",'asset_&amp;_open_positions'!$H85)</f>
        <v>14.1405261987448</v>
      </c>
      <c r="P85" s="84" t="str">
        <f>IF(OR('asset_&amp;_open_positions'!$C85="",'asset_&amp;_open_positions'!$J85="SWAP",'asset_&amp;_open_positions'!$J85="FUTURE",'asset_&amp;_open_positions'!$J85="CME FUTURE"),"",'asset_&amp;_open_positions'!$M85)</f>
        <v>SOL</v>
      </c>
      <c r="Q85" s="43">
        <f>IF(OR('asset_&amp;_open_positions'!$C85="",'asset_&amp;_open_positions'!$J85="SWAP",'asset_&amp;_open_positions'!$J85="FUTURE",'asset_&amp;_open_positions'!$J85="CME FUTURE"),"",'asset_&amp;_open_positions'!$H85)</f>
        <v>14.1405261987448</v>
      </c>
    </row>
    <row r="86" spans="14:17" x14ac:dyDescent="0.25">
      <c r="N86" s="84" t="str">
        <f>IF('asset_&amp;_open_positions'!$C86="","",'asset_&amp;_open_positions'!$E86)</f>
        <v>SUSHI</v>
      </c>
      <c r="O86" s="43">
        <f>IF('asset_&amp;_open_positions'!$C86="","",'asset_&amp;_open_positions'!$H86)</f>
        <v>1.1196546929645199</v>
      </c>
      <c r="P86" s="84" t="str">
        <f>IF(OR('asset_&amp;_open_positions'!$C86="",'asset_&amp;_open_positions'!$J86="SWAP",'asset_&amp;_open_positions'!$J86="FUTURE",'asset_&amp;_open_positions'!$J86="CME FUTURE"),"",'asset_&amp;_open_positions'!$M86)</f>
        <v>SUSHI</v>
      </c>
      <c r="Q86" s="43">
        <f>IF(OR('asset_&amp;_open_positions'!$C86="",'asset_&amp;_open_positions'!$J86="SWAP",'asset_&amp;_open_positions'!$J86="FUTURE",'asset_&amp;_open_positions'!$J86="CME FUTURE"),"",'asset_&amp;_open_positions'!$H86)</f>
        <v>1.1196546929645199</v>
      </c>
    </row>
    <row r="87" spans="14:17" x14ac:dyDescent="0.25">
      <c r="N87" s="84" t="str">
        <f>IF('asset_&amp;_open_positions'!$C87="","",'asset_&amp;_open_positions'!$E87)</f>
        <v>UNI</v>
      </c>
      <c r="O87" s="43">
        <f>IF('asset_&amp;_open_positions'!$C87="","",'asset_&amp;_open_positions'!$H87)</f>
        <v>5.9196374391119297</v>
      </c>
      <c r="P87" s="84" t="str">
        <f>IF(OR('asset_&amp;_open_positions'!$C87="",'asset_&amp;_open_positions'!$J87="SWAP",'asset_&amp;_open_positions'!$J87="FUTURE",'asset_&amp;_open_positions'!$J87="CME FUTURE"),"",'asset_&amp;_open_positions'!$M87)</f>
        <v>UNI</v>
      </c>
      <c r="Q87" s="43">
        <f>IF(OR('asset_&amp;_open_positions'!$C87="",'asset_&amp;_open_positions'!$J87="SWAP",'asset_&amp;_open_positions'!$J87="FUTURE",'asset_&amp;_open_positions'!$J87="CME FUTURE"),"",'asset_&amp;_open_positions'!$H87)</f>
        <v>5.9196374391119297</v>
      </c>
    </row>
    <row r="88" spans="14:17" x14ac:dyDescent="0.25">
      <c r="N88" s="84" t="str">
        <f>IF('asset_&amp;_open_positions'!$C88="","",'asset_&amp;_open_positions'!$E88)</f>
        <v>USDT</v>
      </c>
      <c r="O88" s="43">
        <f>IF('asset_&amp;_open_positions'!$C88="","",'asset_&amp;_open_positions'!$H88)</f>
        <v>1.0001054103245299</v>
      </c>
      <c r="P88" s="84" t="str">
        <f>IF(OR('asset_&amp;_open_positions'!$C88="",'asset_&amp;_open_positions'!$J88="SWAP",'asset_&amp;_open_positions'!$J88="FUTURE",'asset_&amp;_open_positions'!$J88="CME FUTURE"),"",'asset_&amp;_open_positions'!$M88)</f>
        <v>USDT</v>
      </c>
      <c r="Q88" s="43">
        <f>IF(OR('asset_&amp;_open_positions'!$C88="",'asset_&amp;_open_positions'!$J88="SWAP",'asset_&amp;_open_positions'!$J88="FUTURE",'asset_&amp;_open_positions'!$J88="CME FUTURE"),"",'asset_&amp;_open_positions'!$H88)</f>
        <v>1.0001054103245299</v>
      </c>
    </row>
    <row r="89" spans="14:17" x14ac:dyDescent="0.25">
      <c r="N89" s="84" t="str">
        <f>IF('asset_&amp;_open_positions'!$C89="","",'asset_&amp;_open_positions'!$E89)</f>
        <v>XLM</v>
      </c>
      <c r="O89" s="43">
        <f>IF('asset_&amp;_open_positions'!$C89="","",'asset_&amp;_open_positions'!$H89)</f>
        <v>8.3013789241186201E-2</v>
      </c>
      <c r="P89" s="84" t="str">
        <f>IF(OR('asset_&amp;_open_positions'!$C89="",'asset_&amp;_open_positions'!$J89="SWAP",'asset_&amp;_open_positions'!$J89="FUTURE",'asset_&amp;_open_positions'!$J89="CME FUTURE"),"",'asset_&amp;_open_positions'!$M89)</f>
        <v>XLM</v>
      </c>
      <c r="Q89" s="43">
        <f>IF(OR('asset_&amp;_open_positions'!$C89="",'asset_&amp;_open_positions'!$J89="SWAP",'asset_&amp;_open_positions'!$J89="FUTURE",'asset_&amp;_open_positions'!$J89="CME FUTURE"),"",'asset_&amp;_open_positions'!$H89)</f>
        <v>8.3013789241186201E-2</v>
      </c>
    </row>
    <row r="90" spans="14:17" x14ac:dyDescent="0.25">
      <c r="N90" s="84" t="str">
        <f>IF('asset_&amp;_open_positions'!$C90="","",'asset_&amp;_open_positions'!$E90)</f>
        <v>XTZ</v>
      </c>
      <c r="O90" s="43">
        <f>IF('asset_&amp;_open_positions'!$C90="","",'asset_&amp;_open_positions'!$H90)</f>
        <v>0.95145134341780602</v>
      </c>
      <c r="P90" s="84" t="str">
        <f>IF(OR('asset_&amp;_open_positions'!$C90="",'asset_&amp;_open_positions'!$J90="SWAP",'asset_&amp;_open_positions'!$J90="FUTURE",'asset_&amp;_open_positions'!$J90="CME FUTURE"),"",'asset_&amp;_open_positions'!$M90)</f>
        <v>XTZ</v>
      </c>
      <c r="Q90" s="43">
        <f>IF(OR('asset_&amp;_open_positions'!$C90="",'asset_&amp;_open_positions'!$J90="SWAP",'asset_&amp;_open_positions'!$J90="FUTURE",'asset_&amp;_open_positions'!$J90="CME FUTURE"),"",'asset_&amp;_open_positions'!$H90)</f>
        <v>0.95145134341780602</v>
      </c>
    </row>
    <row r="91" spans="14:17" x14ac:dyDescent="0.25">
      <c r="N91" s="84" t="str">
        <f>IF('asset_&amp;_open_positions'!$C91="","",'asset_&amp;_open_positions'!$E91)</f>
        <v>YFI</v>
      </c>
      <c r="O91" s="43">
        <f>IF('asset_&amp;_open_positions'!$C91="","",'asset_&amp;_open_positions'!$H91)</f>
        <v>6452.7811531384496</v>
      </c>
      <c r="P91" s="84" t="str">
        <f>IF(OR('asset_&amp;_open_positions'!$C91="",'asset_&amp;_open_positions'!$J91="SWAP",'asset_&amp;_open_positions'!$J91="FUTURE",'asset_&amp;_open_positions'!$J91="CME FUTURE"),"",'asset_&amp;_open_positions'!$M91)</f>
        <v>YFI</v>
      </c>
      <c r="Q91" s="43">
        <f>IF(OR('asset_&amp;_open_positions'!$C91="",'asset_&amp;_open_positions'!$J91="SWAP",'asset_&amp;_open_positions'!$J91="FUTURE",'asset_&amp;_open_positions'!$J91="CME FUTURE"),"",'asset_&amp;_open_positions'!$H91)</f>
        <v>6452.7811531384496</v>
      </c>
    </row>
    <row r="92" spans="14:17" x14ac:dyDescent="0.25">
      <c r="N92" s="84" t="str">
        <f>IF('asset_&amp;_open_positions'!$C92="","",'asset_&amp;_open_positions'!$E92)</f>
        <v>BTC</v>
      </c>
      <c r="O92" s="43">
        <f>IF('asset_&amp;_open_positions'!$C92="","",'asset_&amp;_open_positions'!$H92)</f>
        <v>17815.649854650899</v>
      </c>
      <c r="P92" s="84" t="str">
        <f>IF(OR('asset_&amp;_open_positions'!$C92="",'asset_&amp;_open_positions'!$J92="SWAP",'asset_&amp;_open_positions'!$J92="FUTURE",'asset_&amp;_open_positions'!$J92="CME FUTURE"),"",'asset_&amp;_open_positions'!$M92)</f>
        <v>BTC</v>
      </c>
      <c r="Q92" s="43">
        <f>IF(OR('asset_&amp;_open_positions'!$C92="",'asset_&amp;_open_positions'!$J92="SWAP",'asset_&amp;_open_positions'!$J92="FUTURE",'asset_&amp;_open_positions'!$J92="CME FUTURE"),"",'asset_&amp;_open_positions'!$H92)</f>
        <v>17815.649854650899</v>
      </c>
    </row>
    <row r="93" spans="14:17" x14ac:dyDescent="0.25">
      <c r="N93" s="84" t="str">
        <f>IF('asset_&amp;_open_positions'!$C93="","",'asset_&amp;_open_positions'!$E93)</f>
        <v>BTC</v>
      </c>
      <c r="O93" s="43">
        <f>IF('asset_&amp;_open_positions'!$C93="","",'asset_&amp;_open_positions'!$H93)</f>
        <v>17815.649854650899</v>
      </c>
      <c r="P93" s="84" t="str">
        <f>IF(OR('asset_&amp;_open_positions'!$C93="",'asset_&amp;_open_positions'!$J93="SWAP",'asset_&amp;_open_positions'!$J93="FUTURE",'asset_&amp;_open_positions'!$J93="CME FUTURE"),"",'asset_&amp;_open_positions'!$M93)</f>
        <v>BTC</v>
      </c>
      <c r="Q93" s="43">
        <f>IF(OR('asset_&amp;_open_positions'!$C93="",'asset_&amp;_open_positions'!$J93="SWAP",'asset_&amp;_open_positions'!$J93="FUTURE",'asset_&amp;_open_positions'!$J93="CME FUTURE"),"",'asset_&amp;_open_positions'!$H93)</f>
        <v>17815.649854650899</v>
      </c>
    </row>
    <row r="94" spans="14:17" x14ac:dyDescent="0.25">
      <c r="N94" s="84" t="str">
        <f>IF('asset_&amp;_open_positions'!$C94="","",'asset_&amp;_open_positions'!$E94)</f>
        <v>ETH</v>
      </c>
      <c r="O94" s="43">
        <f>IF('asset_&amp;_open_positions'!$C94="","",'asset_&amp;_open_positions'!$H94)</f>
        <v>1309.32867693296</v>
      </c>
      <c r="P94" s="84" t="str">
        <f>IF(OR('asset_&amp;_open_positions'!$C94="",'asset_&amp;_open_positions'!$J94="SWAP",'asset_&amp;_open_positions'!$J94="FUTURE",'asset_&amp;_open_positions'!$J94="CME FUTURE"),"",'asset_&amp;_open_positions'!$M94)</f>
        <v>ETH</v>
      </c>
      <c r="Q94" s="43">
        <f>IF(OR('asset_&amp;_open_positions'!$C94="",'asset_&amp;_open_positions'!$J94="SWAP",'asset_&amp;_open_positions'!$J94="FUTURE",'asset_&amp;_open_positions'!$J94="CME FUTURE"),"",'asset_&amp;_open_positions'!$H94)</f>
        <v>1309.32867693296</v>
      </c>
    </row>
    <row r="95" spans="14:17" x14ac:dyDescent="0.25">
      <c r="N95" s="84" t="str">
        <f>IF('asset_&amp;_open_positions'!$C95="","",'asset_&amp;_open_positions'!$E95)</f>
        <v>ETH</v>
      </c>
      <c r="O95" s="43">
        <f>IF('asset_&amp;_open_positions'!$C95="","",'asset_&amp;_open_positions'!$H95)</f>
        <v>1309.32867693296</v>
      </c>
      <c r="P95" s="84" t="str">
        <f>IF(OR('asset_&amp;_open_positions'!$C95="",'asset_&amp;_open_positions'!$J95="SWAP",'asset_&amp;_open_positions'!$J95="FUTURE",'asset_&amp;_open_positions'!$J95="CME FUTURE"),"",'asset_&amp;_open_positions'!$M95)</f>
        <v>ETH</v>
      </c>
      <c r="Q95" s="43">
        <f>IF(OR('asset_&amp;_open_positions'!$C95="",'asset_&amp;_open_positions'!$J95="SWAP",'asset_&amp;_open_positions'!$J95="FUTURE",'asset_&amp;_open_positions'!$J95="CME FUTURE"),"",'asset_&amp;_open_positions'!$H95)</f>
        <v>1309.32867693296</v>
      </c>
    </row>
    <row r="96" spans="14:17" x14ac:dyDescent="0.25">
      <c r="N96" s="84" t="str">
        <f>IF('asset_&amp;_open_positions'!$C96="","",'asset_&amp;_open_positions'!$E96)</f>
        <v>BNB</v>
      </c>
      <c r="O96" s="43">
        <f>IF('asset_&amp;_open_positions'!$C96="","",'asset_&amp;_open_positions'!$H96)</f>
        <v>268.231541052701</v>
      </c>
      <c r="P96" s="84" t="str">
        <f>IF(OR('asset_&amp;_open_positions'!$C96="",'asset_&amp;_open_positions'!$J96="SWAP",'asset_&amp;_open_positions'!$J96="FUTURE",'asset_&amp;_open_positions'!$J96="CME FUTURE"),"",'asset_&amp;_open_positions'!$M96)</f>
        <v>BNB</v>
      </c>
      <c r="Q96" s="43">
        <f>IF(OR('asset_&amp;_open_positions'!$C96="",'asset_&amp;_open_positions'!$J96="SWAP",'asset_&amp;_open_positions'!$J96="FUTURE",'asset_&amp;_open_positions'!$J96="CME FUTURE"),"",'asset_&amp;_open_positions'!$H96)</f>
        <v>268.231541052701</v>
      </c>
    </row>
    <row r="97" spans="14:17" x14ac:dyDescent="0.25">
      <c r="N97" s="84" t="str">
        <f>IF('asset_&amp;_open_positions'!$C97="","",'asset_&amp;_open_positions'!$E97)</f>
        <v>BTC</v>
      </c>
      <c r="O97" s="43">
        <f>IF('asset_&amp;_open_positions'!$C97="","",'asset_&amp;_open_positions'!$H97)</f>
        <v>17815.649854650899</v>
      </c>
      <c r="P97" s="84" t="str">
        <f>IF(OR('asset_&amp;_open_positions'!$C97="",'asset_&amp;_open_positions'!$J97="SWAP",'asset_&amp;_open_positions'!$J97="FUTURE",'asset_&amp;_open_positions'!$J97="CME FUTURE"),"",'asset_&amp;_open_positions'!$M97)</f>
        <v>BTC</v>
      </c>
      <c r="Q97" s="43">
        <f>IF(OR('asset_&amp;_open_positions'!$C97="",'asset_&amp;_open_positions'!$J97="SWAP",'asset_&amp;_open_positions'!$J97="FUTURE",'asset_&amp;_open_positions'!$J97="CME FUTURE"),"",'asset_&amp;_open_positions'!$H97)</f>
        <v>17815.649854650899</v>
      </c>
    </row>
    <row r="98" spans="14:17" x14ac:dyDescent="0.25">
      <c r="N98" s="84" t="str">
        <f>IF('asset_&amp;_open_positions'!$C98="","",'asset_&amp;_open_positions'!$E98)</f>
        <v>EOS</v>
      </c>
      <c r="O98" s="43">
        <f>IF('asset_&amp;_open_positions'!$C98="","",'asset_&amp;_open_positions'!$H98)</f>
        <v>0.97802133669101299</v>
      </c>
      <c r="P98" s="84" t="str">
        <f>IF(OR('asset_&amp;_open_positions'!$C98="",'asset_&amp;_open_positions'!$J98="SWAP",'asset_&amp;_open_positions'!$J98="FUTURE",'asset_&amp;_open_positions'!$J98="CME FUTURE"),"",'asset_&amp;_open_positions'!$M98)</f>
        <v>EOS</v>
      </c>
      <c r="Q98" s="43">
        <f>IF(OR('asset_&amp;_open_positions'!$C98="",'asset_&amp;_open_positions'!$J98="SWAP",'asset_&amp;_open_positions'!$J98="FUTURE",'asset_&amp;_open_positions'!$J98="CME FUTURE"),"",'asset_&amp;_open_positions'!$H98)</f>
        <v>0.97802133669101299</v>
      </c>
    </row>
    <row r="99" spans="14:17" x14ac:dyDescent="0.25">
      <c r="N99" s="84" t="str">
        <f>IF('asset_&amp;_open_positions'!$C99="","",'asset_&amp;_open_positions'!$E99)</f>
        <v>ETC</v>
      </c>
      <c r="O99" s="43">
        <f>IF('asset_&amp;_open_positions'!$C99="","",'asset_&amp;_open_positions'!$H99)</f>
        <v>18.787687228417099</v>
      </c>
      <c r="P99" s="84" t="str">
        <f>IF(OR('asset_&amp;_open_positions'!$C99="",'asset_&amp;_open_positions'!$J99="SWAP",'asset_&amp;_open_positions'!$J99="FUTURE",'asset_&amp;_open_positions'!$J99="CME FUTURE"),"",'asset_&amp;_open_positions'!$M99)</f>
        <v>ETC</v>
      </c>
      <c r="Q99" s="43">
        <f>IF(OR('asset_&amp;_open_positions'!$C99="",'asset_&amp;_open_positions'!$J99="SWAP",'asset_&amp;_open_positions'!$J99="FUTURE",'asset_&amp;_open_positions'!$J99="CME FUTURE"),"",'asset_&amp;_open_positions'!$H99)</f>
        <v>18.787687228417099</v>
      </c>
    </row>
    <row r="100" spans="14:17" x14ac:dyDescent="0.25">
      <c r="N100" s="84" t="str">
        <f>IF('asset_&amp;_open_positions'!$C100="","",'asset_&amp;_open_positions'!$E100)</f>
        <v>ETH</v>
      </c>
      <c r="O100" s="43">
        <f>IF('asset_&amp;_open_positions'!$C100="","",'asset_&amp;_open_positions'!$H100)</f>
        <v>1309.32867693296</v>
      </c>
      <c r="P100" s="84" t="str">
        <f>IF(OR('asset_&amp;_open_positions'!$C100="",'asset_&amp;_open_positions'!$J100="SWAP",'asset_&amp;_open_positions'!$J100="FUTURE",'asset_&amp;_open_positions'!$J100="CME FUTURE"),"",'asset_&amp;_open_positions'!$M100)</f>
        <v>ETH</v>
      </c>
      <c r="Q100" s="43">
        <f>IF(OR('asset_&amp;_open_positions'!$C100="",'asset_&amp;_open_positions'!$J100="SWAP",'asset_&amp;_open_positions'!$J100="FUTURE",'asset_&amp;_open_positions'!$J100="CME FUTURE"),"",'asset_&amp;_open_positions'!$H100)</f>
        <v>1309.32867693296</v>
      </c>
    </row>
    <row r="101" spans="14:17" x14ac:dyDescent="0.25">
      <c r="N101" s="84" t="str">
        <f>IF('asset_&amp;_open_positions'!$C101="","",'asset_&amp;_open_positions'!$E101)</f>
        <v>BNB</v>
      </c>
      <c r="O101" s="43">
        <f>IF('asset_&amp;_open_positions'!$C101="","",'asset_&amp;_open_positions'!$H101)</f>
        <v>268.231541052701</v>
      </c>
      <c r="P101" s="84" t="str">
        <f>IF(OR('asset_&amp;_open_positions'!$C101="",'asset_&amp;_open_positions'!$J101="SWAP",'asset_&amp;_open_positions'!$J101="FUTURE",'asset_&amp;_open_positions'!$J101="CME FUTURE"),"",'asset_&amp;_open_positions'!$M101)</f>
        <v>BNB</v>
      </c>
      <c r="Q101" s="43">
        <f>IF(OR('asset_&amp;_open_positions'!$C101="",'asset_&amp;_open_positions'!$J101="SWAP",'asset_&amp;_open_positions'!$J101="FUTURE",'asset_&amp;_open_positions'!$J101="CME FUTURE"),"",'asset_&amp;_open_positions'!$H101)</f>
        <v>268.231541052701</v>
      </c>
    </row>
    <row r="102" spans="14:17" x14ac:dyDescent="0.25">
      <c r="N102" s="84" t="str">
        <f>IF('asset_&amp;_open_positions'!$C102="","",'asset_&amp;_open_positions'!$E102)</f>
        <v>BUSD</v>
      </c>
      <c r="O102" s="43">
        <f>IF('asset_&amp;_open_positions'!$C102="","",'asset_&amp;_open_positions'!$H102)</f>
        <v>1.0002520042927801</v>
      </c>
      <c r="P102" s="84" t="str">
        <f>IF(OR('asset_&amp;_open_positions'!$C102="",'asset_&amp;_open_positions'!$J102="SWAP",'asset_&amp;_open_positions'!$J102="FUTURE",'asset_&amp;_open_positions'!$J102="CME FUTURE"),"",'asset_&amp;_open_positions'!$M102)</f>
        <v>BUSD</v>
      </c>
      <c r="Q102" s="43">
        <f>IF(OR('asset_&amp;_open_positions'!$C102="",'asset_&amp;_open_positions'!$J102="SWAP",'asset_&amp;_open_positions'!$J102="FUTURE",'asset_&amp;_open_positions'!$J102="CME FUTURE"),"",'asset_&amp;_open_positions'!$H102)</f>
        <v>1.0002520042927801</v>
      </c>
    </row>
    <row r="103" spans="14:17" x14ac:dyDescent="0.25">
      <c r="N103" s="84" t="str">
        <f>IF('asset_&amp;_open_positions'!$C103="","",'asset_&amp;_open_positions'!$E103)</f>
        <v>USDT</v>
      </c>
      <c r="O103" s="43">
        <f>IF('asset_&amp;_open_positions'!$C103="","",'asset_&amp;_open_positions'!$H103)</f>
        <v>1.0001054103245299</v>
      </c>
      <c r="P103" s="84" t="str">
        <f>IF(OR('asset_&amp;_open_positions'!$C103="",'asset_&amp;_open_positions'!$J103="SWAP",'asset_&amp;_open_positions'!$J103="FUTURE",'asset_&amp;_open_positions'!$J103="CME FUTURE"),"",'asset_&amp;_open_positions'!$M103)</f>
        <v>USDT</v>
      </c>
      <c r="Q103" s="43">
        <f>IF(OR('asset_&amp;_open_positions'!$C103="",'asset_&amp;_open_positions'!$J103="SWAP",'asset_&amp;_open_positions'!$J103="FUTURE",'asset_&amp;_open_positions'!$J103="CME FUTURE"),"",'asset_&amp;_open_positions'!$H103)</f>
        <v>1.0001054103245299</v>
      </c>
    </row>
    <row r="104" spans="14:17" x14ac:dyDescent="0.25">
      <c r="N104" s="84" t="str">
        <f>IF('asset_&amp;_open_positions'!$C104="","",'asset_&amp;_open_positions'!$E104)</f>
        <v>USDT</v>
      </c>
      <c r="O104" s="43">
        <f>IF('asset_&amp;_open_positions'!$C104="","",'asset_&amp;_open_positions'!$H104)</f>
        <v>1.0001054103245299</v>
      </c>
      <c r="P104" s="84" t="str">
        <f>IF(OR('asset_&amp;_open_positions'!$C104="",'asset_&amp;_open_positions'!$J104="SWAP",'asset_&amp;_open_positions'!$J104="FUTURE",'asset_&amp;_open_positions'!$J104="CME FUTURE"),"",'asset_&amp;_open_positions'!$M104)</f>
        <v>USDT</v>
      </c>
      <c r="Q104" s="43">
        <f>IF(OR('asset_&amp;_open_positions'!$C104="",'asset_&amp;_open_positions'!$J104="SWAP",'asset_&amp;_open_positions'!$J104="FUTURE",'asset_&amp;_open_positions'!$J104="CME FUTURE"),"",'asset_&amp;_open_positions'!$H104)</f>
        <v>1.0001054103245299</v>
      </c>
    </row>
    <row r="105" spans="14:17" x14ac:dyDescent="0.25">
      <c r="N105" s="84" t="str">
        <f>IF('asset_&amp;_open_positions'!$C105="","",'asset_&amp;_open_positions'!$E105)</f>
        <v>USDT</v>
      </c>
      <c r="O105" s="43">
        <f>IF('asset_&amp;_open_positions'!$C105="","",'asset_&amp;_open_positions'!$H105)</f>
        <v>1.0001054103245299</v>
      </c>
      <c r="P105" s="84" t="str">
        <f>IF(OR('asset_&amp;_open_positions'!$C105="",'asset_&amp;_open_positions'!$J105="SWAP",'asset_&amp;_open_positions'!$J105="FUTURE",'asset_&amp;_open_positions'!$J105="CME FUTURE"),"",'asset_&amp;_open_positions'!$M105)</f>
        <v>USDT</v>
      </c>
      <c r="Q105" s="43">
        <f>IF(OR('asset_&amp;_open_positions'!$C105="",'asset_&amp;_open_positions'!$J105="SWAP",'asset_&amp;_open_positions'!$J105="FUTURE",'asset_&amp;_open_positions'!$J105="CME FUTURE"),"",'asset_&amp;_open_positions'!$H105)</f>
        <v>1.0001054103245299</v>
      </c>
    </row>
    <row r="106" spans="14:17" x14ac:dyDescent="0.25">
      <c r="N106" s="84" t="str">
        <f>IF('asset_&amp;_open_positions'!$C106="","",'asset_&amp;_open_positions'!$E106)</f>
        <v>USDT</v>
      </c>
      <c r="O106" s="43">
        <f>IF('asset_&amp;_open_positions'!$C106="","",'asset_&amp;_open_positions'!$H106)</f>
        <v>1.0001054103245299</v>
      </c>
      <c r="P106" s="84" t="str">
        <f>IF(OR('asset_&amp;_open_positions'!$C106="",'asset_&amp;_open_positions'!$J106="SWAP",'asset_&amp;_open_positions'!$J106="FUTURE",'asset_&amp;_open_positions'!$J106="CME FUTURE"),"",'asset_&amp;_open_positions'!$M106)</f>
        <v>USDT</v>
      </c>
      <c r="Q106" s="43">
        <f>IF(OR('asset_&amp;_open_positions'!$C106="",'asset_&amp;_open_positions'!$J106="SWAP",'asset_&amp;_open_positions'!$J106="FUTURE",'asset_&amp;_open_positions'!$J106="CME FUTURE"),"",'asset_&amp;_open_positions'!$H106)</f>
        <v>1.0001054103245299</v>
      </c>
    </row>
    <row r="107" spans="14:17" x14ac:dyDescent="0.25">
      <c r="N107" s="84" t="str">
        <f>IF('asset_&amp;_open_positions'!$C107="","",'asset_&amp;_open_positions'!$E107)</f>
        <v>BTC</v>
      </c>
      <c r="O107" s="43">
        <f>IF('asset_&amp;_open_positions'!$C107="","",'asset_&amp;_open_positions'!$H107)</f>
        <v>17815.649854650899</v>
      </c>
      <c r="P107" s="84" t="str">
        <f>IF(OR('asset_&amp;_open_positions'!$C107="",'asset_&amp;_open_positions'!$J107="SWAP",'asset_&amp;_open_positions'!$J107="FUTURE",'asset_&amp;_open_positions'!$J107="CME FUTURE"),"",'asset_&amp;_open_positions'!$M107)</f>
        <v>BTC</v>
      </c>
      <c r="Q107" s="43">
        <f>IF(OR('asset_&amp;_open_positions'!$C107="",'asset_&amp;_open_positions'!$J107="SWAP",'asset_&amp;_open_positions'!$J107="FUTURE",'asset_&amp;_open_positions'!$J107="CME FUTURE"),"",'asset_&amp;_open_positions'!$H107)</f>
        <v>17815.649854650899</v>
      </c>
    </row>
    <row r="108" spans="14:17" x14ac:dyDescent="0.25">
      <c r="N108" s="84" t="str">
        <f>IF('asset_&amp;_open_positions'!$C108="","",'asset_&amp;_open_positions'!$E108)</f>
        <v>ETH</v>
      </c>
      <c r="O108" s="43">
        <f>IF('asset_&amp;_open_positions'!$C108="","",'asset_&amp;_open_positions'!$H108)</f>
        <v>1309.32867693296</v>
      </c>
      <c r="P108" s="84" t="str">
        <f>IF(OR('asset_&amp;_open_positions'!$C108="",'asset_&amp;_open_positions'!$J108="SWAP",'asset_&amp;_open_positions'!$J108="FUTURE",'asset_&amp;_open_positions'!$J108="CME FUTURE"),"",'asset_&amp;_open_positions'!$M108)</f>
        <v>ETH</v>
      </c>
      <c r="Q108" s="43">
        <f>IF(OR('asset_&amp;_open_positions'!$C108="",'asset_&amp;_open_positions'!$J108="SWAP",'asset_&amp;_open_positions'!$J108="FUTURE",'asset_&amp;_open_positions'!$J108="CME FUTURE"),"",'asset_&amp;_open_positions'!$H108)</f>
        <v>1309.32867693296</v>
      </c>
    </row>
    <row r="109" spans="14:17" x14ac:dyDescent="0.25">
      <c r="N109" s="84" t="str">
        <f>IF('asset_&amp;_open_positions'!$C109="","",'asset_&amp;_open_positions'!$E109)</f>
        <v>ETHW</v>
      </c>
      <c r="O109" s="43">
        <f>IF('asset_&amp;_open_positions'!$C109="","",'asset_&amp;_open_positions'!$H109)</f>
        <v>3.5405121692480601</v>
      </c>
      <c r="P109" s="84" t="str">
        <f>IF(OR('asset_&amp;_open_positions'!$C109="",'asset_&amp;_open_positions'!$J109="SWAP",'asset_&amp;_open_positions'!$J109="FUTURE",'asset_&amp;_open_positions'!$J109="CME FUTURE"),"",'asset_&amp;_open_positions'!$M109)</f>
        <v>ETHW</v>
      </c>
      <c r="Q109" s="43">
        <f>IF(OR('asset_&amp;_open_positions'!$C109="",'asset_&amp;_open_positions'!$J109="SWAP",'asset_&amp;_open_positions'!$J109="FUTURE",'asset_&amp;_open_positions'!$J109="CME FUTURE"),"",'asset_&amp;_open_positions'!$H109)</f>
        <v>3.5405121692480601</v>
      </c>
    </row>
    <row r="110" spans="14:17" x14ac:dyDescent="0.25">
      <c r="N110" s="84" t="str">
        <f>IF('asset_&amp;_open_positions'!$C110="","",'asset_&amp;_open_positions'!$E110)</f>
        <v>USD</v>
      </c>
      <c r="O110" s="43">
        <f>IF('asset_&amp;_open_positions'!$C110="","",'asset_&amp;_open_positions'!$H110)</f>
        <v>1</v>
      </c>
      <c r="P110" s="84" t="str">
        <f>IF(OR('asset_&amp;_open_positions'!$C110="",'asset_&amp;_open_positions'!$J110="SWAP",'asset_&amp;_open_positions'!$J110="FUTURE",'asset_&amp;_open_positions'!$J110="CME FUTURE"),"",'asset_&amp;_open_positions'!$M110)</f>
        <v>USD</v>
      </c>
      <c r="Q110" s="43">
        <f>IF(OR('asset_&amp;_open_positions'!$C110="",'asset_&amp;_open_positions'!$J110="SWAP",'asset_&amp;_open_positions'!$J110="FUTURE",'asset_&amp;_open_positions'!$J110="CME FUTURE"),"",'asset_&amp;_open_positions'!$H110)</f>
        <v>1</v>
      </c>
    </row>
    <row r="111" spans="14:17" x14ac:dyDescent="0.25">
      <c r="N111" s="84" t="str">
        <f>IF('asset_&amp;_open_positions'!$C111="","",'asset_&amp;_open_positions'!$E111)</f>
        <v>UST</v>
      </c>
      <c r="O111" s="43">
        <f>IF('asset_&amp;_open_positions'!$C111="","",'asset_&amp;_open_positions'!$H111)</f>
        <v>0</v>
      </c>
      <c r="P111" s="84" t="str">
        <f>IF(OR('asset_&amp;_open_positions'!$C111="",'asset_&amp;_open_positions'!$J111="SWAP",'asset_&amp;_open_positions'!$J111="FUTURE",'asset_&amp;_open_positions'!$J111="CME FUTURE"),"",'asset_&amp;_open_positions'!$M111)</f>
        <v>UST</v>
      </c>
      <c r="Q111" s="43">
        <f>IF(OR('asset_&amp;_open_positions'!$C111="",'asset_&amp;_open_positions'!$J111="SWAP",'asset_&amp;_open_positions'!$J111="FUTURE",'asset_&amp;_open_positions'!$J111="CME FUTURE"),"",'asset_&amp;_open_positions'!$H111)</f>
        <v>0</v>
      </c>
    </row>
    <row r="112" spans="14:17" x14ac:dyDescent="0.25">
      <c r="N112" s="84" t="str">
        <f>IF('asset_&amp;_open_positions'!$C112="","",'asset_&amp;_open_positions'!$E112)</f>
        <v>BCH</v>
      </c>
      <c r="O112" s="43">
        <f>IF('asset_&amp;_open_positions'!$C112="","",'asset_&amp;_open_positions'!$H112)</f>
        <v>109.10849595307199</v>
      </c>
      <c r="P112" s="84" t="str">
        <f>IF(OR('asset_&amp;_open_positions'!$C112="",'asset_&amp;_open_positions'!$J112="SWAP",'asset_&amp;_open_positions'!$J112="FUTURE",'asset_&amp;_open_positions'!$J112="CME FUTURE"),"",'asset_&amp;_open_positions'!$M112)</f>
        <v>BCH</v>
      </c>
      <c r="Q112" s="43">
        <f>IF(OR('asset_&amp;_open_positions'!$C112="",'asset_&amp;_open_positions'!$J112="SWAP",'asset_&amp;_open_positions'!$J112="FUTURE",'asset_&amp;_open_positions'!$J112="CME FUTURE"),"",'asset_&amp;_open_positions'!$H112)</f>
        <v>109.10849595307199</v>
      </c>
    </row>
    <row r="113" spans="14:17" x14ac:dyDescent="0.25">
      <c r="N113" s="84" t="str">
        <f>IF('asset_&amp;_open_positions'!$C113="","",'asset_&amp;_open_positions'!$E113)</f>
        <v>BTC</v>
      </c>
      <c r="O113" s="43">
        <f>IF('asset_&amp;_open_positions'!$C113="","",'asset_&amp;_open_positions'!$H113)</f>
        <v>17815.649854650899</v>
      </c>
      <c r="P113" s="84" t="str">
        <f>IF(OR('asset_&amp;_open_positions'!$C113="",'asset_&amp;_open_positions'!$J113="SWAP",'asset_&amp;_open_positions'!$J113="FUTURE",'asset_&amp;_open_positions'!$J113="CME FUTURE"),"",'asset_&amp;_open_positions'!$M113)</f>
        <v>BTC</v>
      </c>
      <c r="Q113" s="43">
        <f>IF(OR('asset_&amp;_open_positions'!$C113="",'asset_&amp;_open_positions'!$J113="SWAP",'asset_&amp;_open_positions'!$J113="FUTURE",'asset_&amp;_open_positions'!$J113="CME FUTURE"),"",'asset_&amp;_open_positions'!$H113)</f>
        <v>17815.649854650899</v>
      </c>
    </row>
    <row r="114" spans="14:17" x14ac:dyDescent="0.25">
      <c r="N114" s="84" t="str">
        <f>IF('asset_&amp;_open_positions'!$C114="","",'asset_&amp;_open_positions'!$E114)</f>
        <v>ETH</v>
      </c>
      <c r="O114" s="43">
        <f>IF('asset_&amp;_open_positions'!$C114="","",'asset_&amp;_open_positions'!$H114)</f>
        <v>1309.32867693296</v>
      </c>
      <c r="P114" s="84" t="str">
        <f>IF(OR('asset_&amp;_open_positions'!$C114="",'asset_&amp;_open_positions'!$J114="SWAP",'asset_&amp;_open_positions'!$J114="FUTURE",'asset_&amp;_open_positions'!$J114="CME FUTURE"),"",'asset_&amp;_open_positions'!$M114)</f>
        <v>ETH</v>
      </c>
      <c r="Q114" s="43">
        <f>IF(OR('asset_&amp;_open_positions'!$C114="",'asset_&amp;_open_positions'!$J114="SWAP",'asset_&amp;_open_positions'!$J114="FUTURE",'asset_&amp;_open_positions'!$J114="CME FUTURE"),"",'asset_&amp;_open_positions'!$H114)</f>
        <v>1309.32867693296</v>
      </c>
    </row>
    <row r="115" spans="14:17" x14ac:dyDescent="0.25">
      <c r="N115" s="84" t="str">
        <f>IF('asset_&amp;_open_positions'!$C115="","",'asset_&amp;_open_positions'!$E115)</f>
        <v>SGB</v>
      </c>
      <c r="O115" s="43">
        <f>IF('asset_&amp;_open_positions'!$C115="","",'asset_&amp;_open_positions'!$H115)</f>
        <v>1.1899667914311201E-2</v>
      </c>
      <c r="P115" s="84" t="str">
        <f>IF(OR('asset_&amp;_open_positions'!$C115="",'asset_&amp;_open_positions'!$J115="SWAP",'asset_&amp;_open_positions'!$J115="FUTURE",'asset_&amp;_open_positions'!$J115="CME FUTURE"),"",'asset_&amp;_open_positions'!$M115)</f>
        <v>SGB</v>
      </c>
      <c r="Q115" s="43">
        <f>IF(OR('asset_&amp;_open_positions'!$C115="",'asset_&amp;_open_positions'!$J115="SWAP",'asset_&amp;_open_positions'!$J115="FUTURE",'asset_&amp;_open_positions'!$J115="CME FUTURE"),"",'asset_&amp;_open_positions'!$H115)</f>
        <v>1.1899667914311201E-2</v>
      </c>
    </row>
    <row r="116" spans="14:17" x14ac:dyDescent="0.25">
      <c r="N116" s="84" t="str">
        <f>IF('asset_&amp;_open_positions'!$C116="","",'asset_&amp;_open_positions'!$E116)</f>
        <v>USD</v>
      </c>
      <c r="O116" s="43">
        <f>IF('asset_&amp;_open_positions'!$C116="","",'asset_&amp;_open_positions'!$H116)</f>
        <v>1</v>
      </c>
      <c r="P116" s="84" t="str">
        <f>IF(OR('asset_&amp;_open_positions'!$C116="",'asset_&amp;_open_positions'!$J116="SWAP",'asset_&amp;_open_positions'!$J116="FUTURE",'asset_&amp;_open_positions'!$J116="CME FUTURE"),"",'asset_&amp;_open_positions'!$M116)</f>
        <v>USD</v>
      </c>
      <c r="Q116" s="43">
        <f>IF(OR('asset_&amp;_open_positions'!$C116="",'asset_&amp;_open_positions'!$J116="SWAP",'asset_&amp;_open_positions'!$J116="FUTURE",'asset_&amp;_open_positions'!$J116="CME FUTURE"),"",'asset_&amp;_open_positions'!$H116)</f>
        <v>1</v>
      </c>
    </row>
    <row r="117" spans="14:17" x14ac:dyDescent="0.25">
      <c r="N117" s="84" t="str">
        <f>IF('asset_&amp;_open_positions'!$C117="","",'asset_&amp;_open_positions'!$E117)</f>
        <v>XRP</v>
      </c>
      <c r="O117" s="43">
        <f>IF('asset_&amp;_open_positions'!$C117="","",'asset_&amp;_open_positions'!$H117)</f>
        <v>0.38641371777866901</v>
      </c>
      <c r="P117" s="84" t="str">
        <f>IF(OR('asset_&amp;_open_positions'!$C117="",'asset_&amp;_open_positions'!$J117="SWAP",'asset_&amp;_open_positions'!$J117="FUTURE",'asset_&amp;_open_positions'!$J117="CME FUTURE"),"",'asset_&amp;_open_positions'!$M117)</f>
        <v>XRP</v>
      </c>
      <c r="Q117" s="43">
        <f>IF(OR('asset_&amp;_open_positions'!$C117="",'asset_&amp;_open_positions'!$J117="SWAP",'asset_&amp;_open_positions'!$J117="FUTURE",'asset_&amp;_open_positions'!$J117="CME FUTURE"),"",'asset_&amp;_open_positions'!$H117)</f>
        <v>0.38641371777866901</v>
      </c>
    </row>
    <row r="118" spans="14:17" x14ac:dyDescent="0.25">
      <c r="N118" s="84" t="str">
        <f>IF('asset_&amp;_open_positions'!$C118="","",'asset_&amp;_open_positions'!$E118)</f>
        <v>BTC</v>
      </c>
      <c r="O118" s="43">
        <f>IF('asset_&amp;_open_positions'!$C118="","",'asset_&amp;_open_positions'!$H118)</f>
        <v>17815.649854650899</v>
      </c>
      <c r="P118" s="84" t="str">
        <f>IF(OR('asset_&amp;_open_positions'!$C118="",'asset_&amp;_open_positions'!$J118="SWAP",'asset_&amp;_open_positions'!$J118="FUTURE",'asset_&amp;_open_positions'!$J118="CME FUTURE"),"",'asset_&amp;_open_positions'!$M118)</f>
        <v>BTC</v>
      </c>
      <c r="Q118" s="43">
        <f>IF(OR('asset_&amp;_open_positions'!$C118="",'asset_&amp;_open_positions'!$J118="SWAP",'asset_&amp;_open_positions'!$J118="FUTURE",'asset_&amp;_open_positions'!$J118="CME FUTURE"),"",'asset_&amp;_open_positions'!$H118)</f>
        <v>17815.649854650899</v>
      </c>
    </row>
    <row r="119" spans="14:17" x14ac:dyDescent="0.25">
      <c r="N119" s="84" t="str">
        <f>IF('asset_&amp;_open_positions'!$C119="","",'asset_&amp;_open_positions'!$E119)</f>
        <v>USD</v>
      </c>
      <c r="O119" s="43">
        <f>IF('asset_&amp;_open_positions'!$C119="","",'asset_&amp;_open_positions'!$H119)</f>
        <v>1</v>
      </c>
      <c r="P119" s="84" t="str">
        <f>IF(OR('asset_&amp;_open_positions'!$C119="",'asset_&amp;_open_positions'!$J119="SWAP",'asset_&amp;_open_positions'!$J119="FUTURE",'asset_&amp;_open_positions'!$J119="CME FUTURE"),"",'asset_&amp;_open_positions'!$M119)</f>
        <v>USD</v>
      </c>
      <c r="Q119" s="43">
        <f>IF(OR('asset_&amp;_open_positions'!$C119="",'asset_&amp;_open_positions'!$J119="SWAP",'asset_&amp;_open_positions'!$J119="FUTURE",'asset_&amp;_open_positions'!$J119="CME FUTURE"),"",'asset_&amp;_open_positions'!$H119)</f>
        <v>1</v>
      </c>
    </row>
    <row r="120" spans="14:17" x14ac:dyDescent="0.25">
      <c r="N120" s="84" t="str">
        <f>IF('asset_&amp;_open_positions'!$C120="","",'asset_&amp;_open_positions'!$E120)</f>
        <v>USDC</v>
      </c>
      <c r="O120" s="43">
        <f>IF('asset_&amp;_open_positions'!$C120="","",'asset_&amp;_open_positions'!$H120)</f>
        <v>0.99997952530443501</v>
      </c>
      <c r="P120" s="84" t="str">
        <f>IF(OR('asset_&amp;_open_positions'!$C120="",'asset_&amp;_open_positions'!$J120="SWAP",'asset_&amp;_open_positions'!$J120="FUTURE",'asset_&amp;_open_positions'!$J120="CME FUTURE"),"",'asset_&amp;_open_positions'!$M120)</f>
        <v>USDC</v>
      </c>
      <c r="Q120" s="43">
        <f>IF(OR('asset_&amp;_open_positions'!$C120="",'asset_&amp;_open_positions'!$J120="SWAP",'asset_&amp;_open_positions'!$J120="FUTURE",'asset_&amp;_open_positions'!$J120="CME FUTURE"),"",'asset_&amp;_open_positions'!$H120)</f>
        <v>0.99997952530443501</v>
      </c>
    </row>
    <row r="121" spans="14:17" x14ac:dyDescent="0.25">
      <c r="N121" s="84" t="str">
        <f>IF('asset_&amp;_open_positions'!$C121="","",'asset_&amp;_open_positions'!$E121)</f>
        <v>EOS</v>
      </c>
      <c r="O121" s="43">
        <f>IF('asset_&amp;_open_positions'!$C121="","",'asset_&amp;_open_positions'!$H121)</f>
        <v>0.97802133669101299</v>
      </c>
      <c r="P121" s="84" t="str">
        <f>IF(OR('asset_&amp;_open_positions'!$C121="",'asset_&amp;_open_positions'!$J121="SWAP",'asset_&amp;_open_positions'!$J121="FUTURE",'asset_&amp;_open_positions'!$J121="CME FUTURE"),"",'asset_&amp;_open_positions'!$M121)</f>
        <v>EOS</v>
      </c>
      <c r="Q121" s="43">
        <f>IF(OR('asset_&amp;_open_positions'!$C121="",'asset_&amp;_open_positions'!$J121="SWAP",'asset_&amp;_open_positions'!$J121="FUTURE",'asset_&amp;_open_positions'!$J121="CME FUTURE"),"",'asset_&amp;_open_positions'!$H121)</f>
        <v>0.97802133669101299</v>
      </c>
    </row>
    <row r="122" spans="14:17" x14ac:dyDescent="0.25">
      <c r="N122" s="84" t="str">
        <f>IF('asset_&amp;_open_positions'!$C122="","",'asset_&amp;_open_positions'!$E122)</f>
        <v>LINK</v>
      </c>
      <c r="O122" s="43">
        <f>IF('asset_&amp;_open_positions'!$C122="","",'asset_&amp;_open_positions'!$H122)</f>
        <v>6.72882805759214</v>
      </c>
      <c r="P122" s="84" t="str">
        <f>IF(OR('asset_&amp;_open_positions'!$C122="",'asset_&amp;_open_positions'!$J122="SWAP",'asset_&amp;_open_positions'!$J122="FUTURE",'asset_&amp;_open_positions'!$J122="CME FUTURE"),"",'asset_&amp;_open_positions'!$M122)</f>
        <v>LINK</v>
      </c>
      <c r="Q122" s="43">
        <f>IF(OR('asset_&amp;_open_positions'!$C122="",'asset_&amp;_open_positions'!$J122="SWAP",'asset_&amp;_open_positions'!$J122="FUTURE",'asset_&amp;_open_positions'!$J122="CME FUTURE"),"",'asset_&amp;_open_positions'!$H122)</f>
        <v>6.72882805759214</v>
      </c>
    </row>
    <row r="123" spans="14:17" x14ac:dyDescent="0.25">
      <c r="N123" s="84" t="str">
        <f>IF('asset_&amp;_open_positions'!$C123="","",'asset_&amp;_open_positions'!$E123)</f>
        <v>LTC</v>
      </c>
      <c r="O123" s="43">
        <f>IF('asset_&amp;_open_positions'!$C123="","",'asset_&amp;_open_positions'!$H123)</f>
        <v>75.475863646134997</v>
      </c>
      <c r="P123" s="84" t="str">
        <f>IF(OR('asset_&amp;_open_positions'!$C123="",'asset_&amp;_open_positions'!$J123="SWAP",'asset_&amp;_open_positions'!$J123="FUTURE",'asset_&amp;_open_positions'!$J123="CME FUTURE"),"",'asset_&amp;_open_positions'!$M123)</f>
        <v>LTC</v>
      </c>
      <c r="Q123" s="43">
        <f>IF(OR('asset_&amp;_open_positions'!$C123="",'asset_&amp;_open_positions'!$J123="SWAP",'asset_&amp;_open_positions'!$J123="FUTURE",'asset_&amp;_open_positions'!$J123="CME FUTURE"),"",'asset_&amp;_open_positions'!$H123)</f>
        <v>75.475863646134997</v>
      </c>
    </row>
    <row r="124" spans="14:17" x14ac:dyDescent="0.25">
      <c r="N124" s="84" t="str">
        <f>IF('asset_&amp;_open_positions'!$C124="","",'asset_&amp;_open_positions'!$E124)</f>
        <v>USD</v>
      </c>
      <c r="O124" s="43">
        <f>IF('asset_&amp;_open_positions'!$C124="","",'asset_&amp;_open_positions'!$H124)</f>
        <v>1</v>
      </c>
      <c r="P124" s="84" t="str">
        <f>IF(OR('asset_&amp;_open_positions'!$C124="",'asset_&amp;_open_positions'!$J124="SWAP",'asset_&amp;_open_positions'!$J124="FUTURE",'asset_&amp;_open_positions'!$J124="CME FUTURE"),"",'asset_&amp;_open_positions'!$M124)</f>
        <v>USD</v>
      </c>
      <c r="Q124" s="43">
        <f>IF(OR('asset_&amp;_open_positions'!$C124="",'asset_&amp;_open_positions'!$J124="SWAP",'asset_&amp;_open_positions'!$J124="FUTURE",'asset_&amp;_open_positions'!$J124="CME FUTURE"),"",'asset_&amp;_open_positions'!$H124)</f>
        <v>1</v>
      </c>
    </row>
    <row r="125" spans="14:17" x14ac:dyDescent="0.25">
      <c r="N125" s="84" t="str">
        <f>IF('asset_&amp;_open_positions'!$C125="","",'asset_&amp;_open_positions'!$E125)</f>
        <v>ETH</v>
      </c>
      <c r="O125" s="43">
        <f>IF('asset_&amp;_open_positions'!$C125="","",'asset_&amp;_open_positions'!$H125)</f>
        <v>1309.32867693296</v>
      </c>
      <c r="P125" s="84" t="str">
        <f>IF(OR('asset_&amp;_open_positions'!$C125="",'asset_&amp;_open_positions'!$J125="SWAP",'asset_&amp;_open_positions'!$J125="FUTURE",'asset_&amp;_open_positions'!$J125="CME FUTURE"),"",'asset_&amp;_open_positions'!$M125)</f>
        <v>ETH</v>
      </c>
      <c r="Q125" s="43">
        <f>IF(OR('asset_&amp;_open_positions'!$C125="",'asset_&amp;_open_positions'!$J125="SWAP",'asset_&amp;_open_positions'!$J125="FUTURE",'asset_&amp;_open_positions'!$J125="CME FUTURE"),"",'asset_&amp;_open_positions'!$H125)</f>
        <v>1309.32867693296</v>
      </c>
    </row>
    <row r="126" spans="14:17" x14ac:dyDescent="0.25">
      <c r="N126" s="84" t="str">
        <f>IF('asset_&amp;_open_positions'!$C126="","",'asset_&amp;_open_positions'!$E126)</f>
        <v>USD</v>
      </c>
      <c r="O126" s="43">
        <f>IF('asset_&amp;_open_positions'!$C126="","",'asset_&amp;_open_positions'!$H126)</f>
        <v>1</v>
      </c>
      <c r="P126" s="84" t="str">
        <f>IF(OR('asset_&amp;_open_positions'!$C126="",'asset_&amp;_open_positions'!$J126="SWAP",'asset_&amp;_open_positions'!$J126="FUTURE",'asset_&amp;_open_positions'!$J126="CME FUTURE"),"",'asset_&amp;_open_positions'!$M126)</f>
        <v>USD</v>
      </c>
      <c r="Q126" s="43">
        <f>IF(OR('asset_&amp;_open_positions'!$C126="",'asset_&amp;_open_positions'!$J126="SWAP",'asset_&amp;_open_positions'!$J126="FUTURE",'asset_&amp;_open_positions'!$J126="CME FUTURE"),"",'asset_&amp;_open_positions'!$H126)</f>
        <v>1</v>
      </c>
    </row>
    <row r="127" spans="14:17" x14ac:dyDescent="0.25">
      <c r="N127" s="84" t="str">
        <f>IF('asset_&amp;_open_positions'!$C127="","",'asset_&amp;_open_positions'!$E127)</f>
        <v>BTC</v>
      </c>
      <c r="O127" s="43">
        <f>IF('asset_&amp;_open_positions'!$C127="","",'asset_&amp;_open_positions'!$H127)</f>
        <v>17815.649854650899</v>
      </c>
      <c r="P127" s="84" t="str">
        <f>IF(OR('asset_&amp;_open_positions'!$C127="",'asset_&amp;_open_positions'!$J127="SWAP",'asset_&amp;_open_positions'!$J127="FUTURE",'asset_&amp;_open_positions'!$J127="CME FUTURE"),"",'asset_&amp;_open_positions'!$M127)</f>
        <v>BTC</v>
      </c>
      <c r="Q127" s="43">
        <f>IF(OR('asset_&amp;_open_positions'!$C127="",'asset_&amp;_open_positions'!$J127="SWAP",'asset_&amp;_open_positions'!$J127="FUTURE",'asset_&amp;_open_positions'!$J127="CME FUTURE"),"",'asset_&amp;_open_positions'!$H127)</f>
        <v>17815.649854650899</v>
      </c>
    </row>
    <row r="128" spans="14:17" x14ac:dyDescent="0.25">
      <c r="N128" s="84" t="str">
        <f>IF('asset_&amp;_open_positions'!$C128="","",'asset_&amp;_open_positions'!$E128)</f>
        <v>ETH</v>
      </c>
      <c r="O128" s="43">
        <f>IF('asset_&amp;_open_positions'!$C128="","",'asset_&amp;_open_positions'!$H128)</f>
        <v>1309.32867693296</v>
      </c>
      <c r="P128" s="84" t="str">
        <f>IF(OR('asset_&amp;_open_positions'!$C128="",'asset_&amp;_open_positions'!$J128="SWAP",'asset_&amp;_open_positions'!$J128="FUTURE",'asset_&amp;_open_positions'!$J128="CME FUTURE"),"",'asset_&amp;_open_positions'!$M128)</f>
        <v>ETH</v>
      </c>
      <c r="Q128" s="43">
        <f>IF(OR('asset_&amp;_open_positions'!$C128="",'asset_&amp;_open_positions'!$J128="SWAP",'asset_&amp;_open_positions'!$J128="FUTURE",'asset_&amp;_open_positions'!$J128="CME FUTURE"),"",'asset_&amp;_open_positions'!$H128)</f>
        <v>1309.32867693296</v>
      </c>
    </row>
    <row r="129" spans="14:17" x14ac:dyDescent="0.25">
      <c r="N129" s="84" t="str">
        <f>IF('asset_&amp;_open_positions'!$C129="","",'asset_&amp;_open_positions'!$E129)</f>
        <v>CRV</v>
      </c>
      <c r="O129" s="43">
        <f>IF('asset_&amp;_open_positions'!$C129="","",'asset_&amp;_open_positions'!$H129)</f>
        <v>0.64648601265202699</v>
      </c>
      <c r="P129" s="84" t="str">
        <f>IF(OR('asset_&amp;_open_positions'!$C129="",'asset_&amp;_open_positions'!$J129="SWAP",'asset_&amp;_open_positions'!$J129="FUTURE",'asset_&amp;_open_positions'!$J129="CME FUTURE"),"",'asset_&amp;_open_positions'!$M129)</f>
        <v>CRV</v>
      </c>
      <c r="Q129" s="43">
        <f>IF(OR('asset_&amp;_open_positions'!$C129="",'asset_&amp;_open_positions'!$J129="SWAP",'asset_&amp;_open_positions'!$J129="FUTURE",'asset_&amp;_open_positions'!$J129="CME FUTURE"),"",'asset_&amp;_open_positions'!$H129)</f>
        <v>0.64648601265202699</v>
      </c>
    </row>
    <row r="130" spans="14:17" x14ac:dyDescent="0.25">
      <c r="N130" s="84" t="str">
        <f>IF('asset_&amp;_open_positions'!$C130="","",'asset_&amp;_open_positions'!$E130)</f>
        <v>CRV</v>
      </c>
      <c r="O130" s="43">
        <f>IF('asset_&amp;_open_positions'!$C130="","",'asset_&amp;_open_positions'!$H130)</f>
        <v>0.64648601265202699</v>
      </c>
      <c r="P130" s="84" t="str">
        <f>IF(OR('asset_&amp;_open_positions'!$C130="",'asset_&amp;_open_positions'!$J130="SWAP",'asset_&amp;_open_positions'!$J130="FUTURE",'asset_&amp;_open_positions'!$J130="CME FUTURE"),"",'asset_&amp;_open_positions'!$M130)</f>
        <v>CRV</v>
      </c>
      <c r="Q130" s="43">
        <f>IF(OR('asset_&amp;_open_positions'!$C130="",'asset_&amp;_open_positions'!$J130="SWAP",'asset_&amp;_open_positions'!$J130="FUTURE",'asset_&amp;_open_positions'!$J130="CME FUTURE"),"",'asset_&amp;_open_positions'!$H130)</f>
        <v>0.64648601265202699</v>
      </c>
    </row>
    <row r="131" spans="14:17" x14ac:dyDescent="0.25">
      <c r="N131" s="84" t="str">
        <f>IF('asset_&amp;_open_positions'!$C131="","",'asset_&amp;_open_positions'!$E131)</f>
        <v>CVX</v>
      </c>
      <c r="O131" s="43">
        <f>IF('asset_&amp;_open_positions'!$C131="","",'asset_&amp;_open_positions'!$H131)</f>
        <v>3.90762449079106</v>
      </c>
      <c r="P131" s="84" t="str">
        <f>IF(OR('asset_&amp;_open_positions'!$C131="",'asset_&amp;_open_positions'!$J131="SWAP",'asset_&amp;_open_positions'!$J131="FUTURE",'asset_&amp;_open_positions'!$J131="CME FUTURE"),"",'asset_&amp;_open_positions'!$M131)</f>
        <v>CVX</v>
      </c>
      <c r="Q131" s="43">
        <f>IF(OR('asset_&amp;_open_positions'!$C131="",'asset_&amp;_open_positions'!$J131="SWAP",'asset_&amp;_open_positions'!$J131="FUTURE",'asset_&amp;_open_positions'!$J131="CME FUTURE"),"",'asset_&amp;_open_positions'!$H131)</f>
        <v>3.90762449079106</v>
      </c>
    </row>
    <row r="132" spans="14:17" x14ac:dyDescent="0.25">
      <c r="N132" s="84" t="str">
        <f>IF('asset_&amp;_open_positions'!$C132="","",'asset_&amp;_open_positions'!$E132)</f>
        <v>ETH</v>
      </c>
      <c r="O132" s="43">
        <f>IF('asset_&amp;_open_positions'!$C132="","",'asset_&amp;_open_positions'!$H132)</f>
        <v>1309.32867693296</v>
      </c>
      <c r="P132" s="84" t="str">
        <f>IF(OR('asset_&amp;_open_positions'!$C132="",'asset_&amp;_open_positions'!$J132="SWAP",'asset_&amp;_open_positions'!$J132="FUTURE",'asset_&amp;_open_positions'!$J132="CME FUTURE"),"",'asset_&amp;_open_positions'!$M132)</f>
        <v>ETH</v>
      </c>
      <c r="Q132" s="43">
        <f>IF(OR('asset_&amp;_open_positions'!$C132="",'asset_&amp;_open_positions'!$J132="SWAP",'asset_&amp;_open_positions'!$J132="FUTURE",'asset_&amp;_open_positions'!$J132="CME FUTURE"),"",'asset_&amp;_open_positions'!$H132)</f>
        <v>1309.32867693296</v>
      </c>
    </row>
    <row r="133" spans="14:17" x14ac:dyDescent="0.25">
      <c r="N133" s="84" t="str">
        <f>IF('asset_&amp;_open_positions'!$C133="","",'asset_&amp;_open_positions'!$E133)</f>
        <v>USDC</v>
      </c>
      <c r="O133" s="43">
        <f>IF('asset_&amp;_open_positions'!$C133="","",'asset_&amp;_open_positions'!$H133)</f>
        <v>0.99997952530443501</v>
      </c>
      <c r="P133" s="84" t="str">
        <f>IF(OR('asset_&amp;_open_positions'!$C133="",'asset_&amp;_open_positions'!$J133="SWAP",'asset_&amp;_open_positions'!$J133="FUTURE",'asset_&amp;_open_positions'!$J133="CME FUTURE"),"",'asset_&amp;_open_positions'!$M133)</f>
        <v>USDC</v>
      </c>
      <c r="Q133" s="43">
        <f>IF(OR('asset_&amp;_open_positions'!$C133="",'asset_&amp;_open_positions'!$J133="SWAP",'asset_&amp;_open_positions'!$J133="FUTURE",'asset_&amp;_open_positions'!$J133="CME FUTURE"),"",'asset_&amp;_open_positions'!$H133)</f>
        <v>0.99997952530443501</v>
      </c>
    </row>
    <row r="134" spans="14:17" x14ac:dyDescent="0.25">
      <c r="N134" s="84" t="str">
        <f>IF('asset_&amp;_open_positions'!$C134="","",'asset_&amp;_open_positions'!$E134)</f>
        <v>$ USDCBONUS.COM &lt;- VISIT TO CLAIM BONUS</v>
      </c>
      <c r="O134" s="43">
        <f>IF('asset_&amp;_open_positions'!$C134="","",'asset_&amp;_open_positions'!$H134)</f>
        <v>0</v>
      </c>
      <c r="P134" s="84" t="str">
        <f>IF(OR('asset_&amp;_open_positions'!$C134="",'asset_&amp;_open_positions'!$J134="SWAP",'asset_&amp;_open_positions'!$J134="FUTURE",'asset_&amp;_open_positions'!$J134="CME FUTURE"),"",'asset_&amp;_open_positions'!$M134)</f>
        <v>$ USDCBONUS.COM &lt;- VISIT TO CLAIM BONUS</v>
      </c>
      <c r="Q134" s="43">
        <f>IF(OR('asset_&amp;_open_positions'!$C134="",'asset_&amp;_open_positions'!$J134="SWAP",'asset_&amp;_open_positions'!$J134="FUTURE",'asset_&amp;_open_positions'!$J134="CME FUTURE"),"",'asset_&amp;_open_positions'!$H134)</f>
        <v>0</v>
      </c>
    </row>
    <row r="135" spans="14:17" x14ac:dyDescent="0.25">
      <c r="N135" s="84" t="str">
        <f>IF('asset_&amp;_open_positions'!$C135="","",'asset_&amp;_open_positions'!$E135)</f>
        <v>$ USDCGIFT.COM &lt;- VISIT TO CLAIM BONUS</v>
      </c>
      <c r="O135" s="43">
        <f>IF('asset_&amp;_open_positions'!$C135="","",'asset_&amp;_open_positions'!$H135)</f>
        <v>0</v>
      </c>
      <c r="P135" s="84" t="str">
        <f>IF(OR('asset_&amp;_open_positions'!$C135="",'asset_&amp;_open_positions'!$J135="SWAP",'asset_&amp;_open_positions'!$J135="FUTURE",'asset_&amp;_open_positions'!$J135="CME FUTURE"),"",'asset_&amp;_open_positions'!$M135)</f>
        <v>$ USDCGIFT.COM &lt;- VISIT TO CLAIM BONUS</v>
      </c>
      <c r="Q135" s="43">
        <f>IF(OR('asset_&amp;_open_positions'!$C135="",'asset_&amp;_open_positions'!$J135="SWAP",'asset_&amp;_open_positions'!$J135="FUTURE",'asset_&amp;_open_positions'!$J135="CME FUTURE"),"",'asset_&amp;_open_positions'!$H135)</f>
        <v>0</v>
      </c>
    </row>
    <row r="136" spans="14:17" x14ac:dyDescent="0.25">
      <c r="N136" s="84" t="str">
        <f>IF('asset_&amp;_open_positions'!$C136="","",'asset_&amp;_open_positions'!$E136)</f>
        <v>927$ VISIT AUSDBONUS.COM TO CLAIM</v>
      </c>
      <c r="O136" s="43">
        <f>IF('asset_&amp;_open_positions'!$C136="","",'asset_&amp;_open_positions'!$H136)</f>
        <v>0</v>
      </c>
      <c r="P136" s="84" t="str">
        <f>IF(OR('asset_&amp;_open_positions'!$C136="",'asset_&amp;_open_positions'!$J136="SWAP",'asset_&amp;_open_positions'!$J136="FUTURE",'asset_&amp;_open_positions'!$J136="CME FUTURE"),"",'asset_&amp;_open_positions'!$M136)</f>
        <v>927$ VISIT AUSDBONUS.COM TO CLAIM</v>
      </c>
      <c r="Q136" s="43">
        <f>IF(OR('asset_&amp;_open_positions'!$C136="",'asset_&amp;_open_positions'!$J136="SWAP",'asset_&amp;_open_positions'!$J136="FUTURE",'asset_&amp;_open_positions'!$J136="CME FUTURE"),"",'asset_&amp;_open_positions'!$H136)</f>
        <v>0</v>
      </c>
    </row>
    <row r="137" spans="14:17" x14ac:dyDescent="0.25">
      <c r="N137" s="84" t="str">
        <f>IF('asset_&amp;_open_positions'!$C137="","",'asset_&amp;_open_positions'!$E137)</f>
        <v>AAVE</v>
      </c>
      <c r="O137" s="43">
        <f>IF('asset_&amp;_open_positions'!$C137="","",'asset_&amp;_open_positions'!$H137)</f>
        <v>62.562890626420497</v>
      </c>
      <c r="P137" s="84" t="str">
        <f>IF(OR('asset_&amp;_open_positions'!$C137="",'asset_&amp;_open_positions'!$J137="SWAP",'asset_&amp;_open_positions'!$J137="FUTURE",'asset_&amp;_open_positions'!$J137="CME FUTURE"),"",'asset_&amp;_open_positions'!$M137)</f>
        <v>AAVE</v>
      </c>
      <c r="Q137" s="43">
        <f>IF(OR('asset_&amp;_open_positions'!$C137="",'asset_&amp;_open_positions'!$J137="SWAP",'asset_&amp;_open_positions'!$J137="FUTURE",'asset_&amp;_open_positions'!$J137="CME FUTURE"),"",'asset_&amp;_open_positions'!$H137)</f>
        <v>62.562890626420497</v>
      </c>
    </row>
    <row r="138" spans="14:17" x14ac:dyDescent="0.25">
      <c r="N138" s="84" t="str">
        <f>IF('asset_&amp;_open_positions'!$C138="","",'asset_&amp;_open_positions'!$E138)</f>
        <v>AVAX</v>
      </c>
      <c r="O138" s="43">
        <f>IF('asset_&amp;_open_positions'!$C138="","",'asset_&amp;_open_positions'!$H138)</f>
        <v>13.7275595789196</v>
      </c>
      <c r="P138" s="84" t="str">
        <f>IF(OR('asset_&amp;_open_positions'!$C138="",'asset_&amp;_open_positions'!$J138="SWAP",'asset_&amp;_open_positions'!$J138="FUTURE",'asset_&amp;_open_positions'!$J138="CME FUTURE"),"",'asset_&amp;_open_positions'!$M138)</f>
        <v>AVAX</v>
      </c>
      <c r="Q138" s="43">
        <f>IF(OR('asset_&amp;_open_positions'!$C138="",'asset_&amp;_open_positions'!$J138="SWAP",'asset_&amp;_open_positions'!$J138="FUTURE",'asset_&amp;_open_positions'!$J138="CME FUTURE"),"",'asset_&amp;_open_positions'!$H138)</f>
        <v>13.7275595789196</v>
      </c>
    </row>
    <row r="139" spans="14:17" x14ac:dyDescent="0.25">
      <c r="N139" s="84" t="str">
        <f>IF('asset_&amp;_open_positions'!$C139="","",'asset_&amp;_open_positions'!$E139)</f>
        <v>BONUS. VISIT HTTPS://BITBONUS.TECH TO CLAIM REWARD.</v>
      </c>
      <c r="O139" s="43">
        <f>IF('asset_&amp;_open_positions'!$C139="","",'asset_&amp;_open_positions'!$H139)</f>
        <v>0</v>
      </c>
      <c r="P139" s="84" t="str">
        <f>IF(OR('asset_&amp;_open_positions'!$C139="",'asset_&amp;_open_positions'!$J139="SWAP",'asset_&amp;_open_positions'!$J139="FUTURE",'asset_&amp;_open_positions'!$J139="CME FUTURE"),"",'asset_&amp;_open_positions'!$M139)</f>
        <v>BONUS. VISIT HTTPS://BITBONUS.TECH TO CLAIM REWARD.</v>
      </c>
      <c r="Q139" s="43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4:17" x14ac:dyDescent="0.25">
      <c r="N140" s="84" t="str">
        <f>IF('asset_&amp;_open_positions'!$C140="","",'asset_&amp;_open_positions'!$E140)</f>
        <v>ETH</v>
      </c>
      <c r="O140" s="43">
        <f>IF('asset_&amp;_open_positions'!$C140="","",'asset_&amp;_open_positions'!$H140)</f>
        <v>1309.32867693296</v>
      </c>
      <c r="P140" s="84" t="str">
        <f>IF(OR('asset_&amp;_open_positions'!$C140="",'asset_&amp;_open_positions'!$J140="SWAP",'asset_&amp;_open_positions'!$J140="FUTURE",'asset_&amp;_open_positions'!$J140="CME FUTURE"),"",'asset_&amp;_open_positions'!$M140)</f>
        <v>ETH</v>
      </c>
      <c r="Q140" s="43">
        <f>IF(OR('asset_&amp;_open_positions'!$C140="",'asset_&amp;_open_positions'!$J140="SWAP",'asset_&amp;_open_positions'!$J140="FUTURE",'asset_&amp;_open_positions'!$J140="CME FUTURE"),"",'asset_&amp;_open_positions'!$H140)</f>
        <v>1309.32867693296</v>
      </c>
    </row>
    <row r="141" spans="14:17" x14ac:dyDescent="0.25">
      <c r="N141" s="84" t="str">
        <f>IF('asset_&amp;_open_positions'!$C141="","",'asset_&amp;_open_positions'!$E141)</f>
        <v>INVITATION TOKEN. PLEASE VISIT HTTPS://AAKER.SITE AND CLAIM REWARDS.</v>
      </c>
      <c r="O141" s="43">
        <f>IF('asset_&amp;_open_positions'!$C141="","",'asset_&amp;_open_positions'!$H141)</f>
        <v>0</v>
      </c>
      <c r="P141" s="84" t="str">
        <f>IF(OR('asset_&amp;_open_positions'!$C141="",'asset_&amp;_open_positions'!$J141="SWAP",'asset_&amp;_open_positions'!$J141="FUTURE",'asset_&amp;_open_positions'!$J141="CME FUTURE"),"",'asset_&amp;_open_positions'!$M141)</f>
        <v>INVITATION TOKEN. PLEASE VISIT HTTPS://AAKER.SITE AND CLAIM REWARDS.</v>
      </c>
      <c r="Q141" s="43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4:17" x14ac:dyDescent="0.25">
      <c r="N142" s="84" t="str">
        <f>IF('asset_&amp;_open_positions'!$C142="","",'asset_&amp;_open_positions'!$E142)</f>
        <v>OAAVEUSDC/AAVE-02DEC22-67.5C</v>
      </c>
      <c r="O142" s="43">
        <f>IF('asset_&amp;_open_positions'!$C142="","",'asset_&amp;_open_positions'!$H142)</f>
        <v>0</v>
      </c>
      <c r="P142" s="84" t="str">
        <f>IF(OR('asset_&amp;_open_positions'!$C142="",'asset_&amp;_open_positions'!$J142="SWAP",'asset_&amp;_open_positions'!$J142="FUTURE",'asset_&amp;_open_positions'!$J142="CME FUTURE"),"",'asset_&amp;_open_positions'!$M142)</f>
        <v>OAAVEUSDC/AAVE-02DEC22-67.5C</v>
      </c>
      <c r="Q142" s="43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4:17" x14ac:dyDescent="0.25">
      <c r="N143" s="84" t="str">
        <f>IF('asset_&amp;_open_positions'!$C143="","",'asset_&amp;_open_positions'!$E143)</f>
        <v>OAAVEUSDC/AAVE-16DEC22-72.5C</v>
      </c>
      <c r="O143" s="43">
        <f>IF('asset_&amp;_open_positions'!$C143="","",'asset_&amp;_open_positions'!$H143)</f>
        <v>0</v>
      </c>
      <c r="P143" s="84" t="str">
        <f>IF(OR('asset_&amp;_open_positions'!$C143="",'asset_&amp;_open_positions'!$J143="SWAP",'asset_&amp;_open_positions'!$J143="FUTURE",'asset_&amp;_open_positions'!$J143="CME FUTURE"),"",'asset_&amp;_open_positions'!$M143)</f>
        <v>OAAVEUSDC/AAVE-16DEC22-72.5C</v>
      </c>
      <c r="Q143" s="43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4:17" x14ac:dyDescent="0.25">
      <c r="N144" s="84" t="str">
        <f>IF('asset_&amp;_open_positions'!$C144="","",'asset_&amp;_open_positions'!$E144)</f>
        <v>OAAVEUSDC/AAVE-25NOV22-72.5C</v>
      </c>
      <c r="O144" s="43">
        <f>IF('asset_&amp;_open_positions'!$C144="","",'asset_&amp;_open_positions'!$H144)</f>
        <v>0</v>
      </c>
      <c r="P144" s="84" t="str">
        <f>IF(OR('asset_&amp;_open_positions'!$C144="",'asset_&amp;_open_positions'!$J144="SWAP",'asset_&amp;_open_positions'!$J144="FUTURE",'asset_&amp;_open_positions'!$J144="CME FUTURE"),"",'asset_&amp;_open_positions'!$M144)</f>
        <v>OAAVEUSDC/AAVE-25NOV22-72.5C</v>
      </c>
      <c r="Q144" s="43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4:17" x14ac:dyDescent="0.25">
      <c r="N145" s="84" t="str">
        <f>IF('asset_&amp;_open_positions'!$C145="","",'asset_&amp;_open_positions'!$E145)</f>
        <v>OWAVAXUSDC.E/WAVAX-09DEC22-15.5C</v>
      </c>
      <c r="O145" s="43">
        <f>IF('asset_&amp;_open_positions'!$C145="","",'asset_&amp;_open_positions'!$H145)</f>
        <v>0</v>
      </c>
      <c r="P145" s="84" t="str">
        <f>IF(OR('asset_&amp;_open_positions'!$C145="",'asset_&amp;_open_positions'!$J145="SWAP",'asset_&amp;_open_positions'!$J145="FUTURE",'asset_&amp;_open_positions'!$J145="CME FUTURE"),"",'asset_&amp;_open_positions'!$M145)</f>
        <v>OWAVAXUSDC.E/WAVAX-09DEC22-15.5C</v>
      </c>
      <c r="Q145" s="43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4:17" x14ac:dyDescent="0.25">
      <c r="N146" s="84" t="str">
        <f>IF('asset_&amp;_open_positions'!$C146="","",'asset_&amp;_open_positions'!$E146)</f>
        <v>OWAVAXUSDC.E/WAVAX-16DEC22-15.25C</v>
      </c>
      <c r="O146" s="43">
        <f>IF('asset_&amp;_open_positions'!$C146="","",'asset_&amp;_open_positions'!$H146)</f>
        <v>0</v>
      </c>
      <c r="P146" s="84" t="str">
        <f>IF(OR('asset_&amp;_open_positions'!$C146="",'asset_&amp;_open_positions'!$J146="SWAP",'asset_&amp;_open_positions'!$J146="FUTURE",'asset_&amp;_open_positions'!$J146="CME FUTURE"),"",'asset_&amp;_open_positions'!$M146)</f>
        <v>OWAVAXUSDC.E/WAVAX-16DEC22-15.25C</v>
      </c>
      <c r="Q146" s="43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4:17" x14ac:dyDescent="0.25">
      <c r="N147" s="84" t="str">
        <f>IF('asset_&amp;_open_positions'!$C147="","",'asset_&amp;_open_positions'!$E147)</f>
        <v>OWAVAXUSDC.E/WAVAX-25NOV22-15.5C</v>
      </c>
      <c r="O147" s="43">
        <f>IF('asset_&amp;_open_positions'!$C147="","",'asset_&amp;_open_positions'!$H147)</f>
        <v>0</v>
      </c>
      <c r="P147" s="84" t="str">
        <f>IF(OR('asset_&amp;_open_positions'!$C147="",'asset_&amp;_open_positions'!$J147="SWAP",'asset_&amp;_open_positions'!$J147="FUTURE",'asset_&amp;_open_positions'!$J147="CME FUTURE"),"",'asset_&amp;_open_positions'!$M147)</f>
        <v>OWAVAXUSDC.E/WAVAX-25NOV22-15.5C</v>
      </c>
      <c r="Q147" s="43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4:17" x14ac:dyDescent="0.25">
      <c r="N148" s="84" t="str">
        <f>IF('asset_&amp;_open_positions'!$C148="","",'asset_&amp;_open_positions'!$E148)</f>
        <v>OWETHUSDC/WETH-09DEC22-1450C</v>
      </c>
      <c r="O148" s="43">
        <f>IF('asset_&amp;_open_positions'!$C148="","",'asset_&amp;_open_positions'!$H148)</f>
        <v>0</v>
      </c>
      <c r="P148" s="84" t="str">
        <f>IF(OR('asset_&amp;_open_positions'!$C148="",'asset_&amp;_open_positions'!$J148="SWAP",'asset_&amp;_open_positions'!$J148="FUTURE",'asset_&amp;_open_positions'!$J148="CME FUTURE"),"",'asset_&amp;_open_positions'!$M148)</f>
        <v>OWETHUSDC/WETH-09DEC22-1450C</v>
      </c>
      <c r="Q148" s="43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4:17" x14ac:dyDescent="0.25">
      <c r="N149" s="84" t="str">
        <f>IF('asset_&amp;_open_positions'!$C149="","",'asset_&amp;_open_positions'!$E149)</f>
        <v>OWETHUSDC/WETH-16DEC22-1450C</v>
      </c>
      <c r="O149" s="43">
        <f>IF('asset_&amp;_open_positions'!$C149="","",'asset_&amp;_open_positions'!$H149)</f>
        <v>0</v>
      </c>
      <c r="P149" s="84" t="str">
        <f>IF(OR('asset_&amp;_open_positions'!$C149="",'asset_&amp;_open_positions'!$J149="SWAP",'asset_&amp;_open_positions'!$J149="FUTURE",'asset_&amp;_open_positions'!$J149="CME FUTURE"),"",'asset_&amp;_open_positions'!$M149)</f>
        <v>OWETHUSDC/WETH-16DEC22-1450C</v>
      </c>
      <c r="Q149" s="43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4:17" x14ac:dyDescent="0.25">
      <c r="N150" s="84" t="str">
        <f>IF('asset_&amp;_open_positions'!$C150="","",'asset_&amp;_open_positions'!$E150)</f>
        <v>OWETHUSDC/WETH-25NOV22-1400C</v>
      </c>
      <c r="O150" s="43">
        <f>IF('asset_&amp;_open_positions'!$C150="","",'asset_&amp;_open_positions'!$H150)</f>
        <v>0</v>
      </c>
      <c r="P150" s="84" t="str">
        <f>IF(OR('asset_&amp;_open_positions'!$C150="",'asset_&amp;_open_positions'!$J150="SWAP",'asset_&amp;_open_positions'!$J150="FUTURE",'asset_&amp;_open_positions'!$J150="CME FUTURE"),"",'asset_&amp;_open_positions'!$M150)</f>
        <v>OWETHUSDC/WETH-25NOV22-1400C</v>
      </c>
      <c r="Q150" s="43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4:17" x14ac:dyDescent="0.25">
      <c r="N151" s="84" t="str">
        <f>IF('asset_&amp;_open_positions'!$C151="","",'asset_&amp;_open_positions'!$E151)</f>
        <v>OWETHUSDC/WSTETH-02DEC22-1350C</v>
      </c>
      <c r="O151" s="43">
        <f>IF('asset_&amp;_open_positions'!$C151="","",'asset_&amp;_open_positions'!$H151)</f>
        <v>0</v>
      </c>
      <c r="P151" s="84" t="str">
        <f>IF(OR('asset_&amp;_open_positions'!$C151="",'asset_&amp;_open_positions'!$J151="SWAP",'asset_&amp;_open_positions'!$J151="FUTURE",'asset_&amp;_open_positions'!$J151="CME FUTURE"),"",'asset_&amp;_open_positions'!$M151)</f>
        <v>OWETHUSDC/WSTETH-02DEC22-1350C</v>
      </c>
      <c r="Q151" s="43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4:17" x14ac:dyDescent="0.25">
      <c r="N152" s="84" t="str">
        <f>IF('asset_&amp;_open_positions'!$C152="","",'asset_&amp;_open_positions'!$E152)</f>
        <v>OWETHUSDC/WSTETH-04NOV22-1700C</v>
      </c>
      <c r="O152" s="43">
        <f>IF('asset_&amp;_open_positions'!$C152="","",'asset_&amp;_open_positions'!$H152)</f>
        <v>0</v>
      </c>
      <c r="P152" s="84" t="str">
        <f>IF(OR('asset_&amp;_open_positions'!$C152="",'asset_&amp;_open_positions'!$J152="SWAP",'asset_&amp;_open_positions'!$J152="FUTURE",'asset_&amp;_open_positions'!$J152="CME FUTURE"),"",'asset_&amp;_open_positions'!$M152)</f>
        <v>OWETHUSDC/WSTETH-04NOV22-1700C</v>
      </c>
      <c r="Q152" s="43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4:17" x14ac:dyDescent="0.25">
      <c r="N153" s="84" t="str">
        <f>IF('asset_&amp;_open_positions'!$C153="","",'asset_&amp;_open_positions'!$E153)</f>
        <v>OWETHUSDC/WSTETH-09SEP22-1900C</v>
      </c>
      <c r="O153" s="43">
        <f>IF('asset_&amp;_open_positions'!$C153="","",'asset_&amp;_open_positions'!$H153)</f>
        <v>0</v>
      </c>
      <c r="P153" s="84" t="str">
        <f>IF(OR('asset_&amp;_open_positions'!$C153="",'asset_&amp;_open_positions'!$J153="SWAP",'asset_&amp;_open_positions'!$J153="FUTURE",'asset_&amp;_open_positions'!$J153="CME FUTURE"),"",'asset_&amp;_open_positions'!$M153)</f>
        <v>OWETHUSDC/WSTETH-09SEP22-1900C</v>
      </c>
      <c r="Q153" s="43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4:17" x14ac:dyDescent="0.25">
      <c r="N154" s="84" t="str">
        <f>IF('asset_&amp;_open_positions'!$C154="","",'asset_&amp;_open_positions'!$E154)</f>
        <v>USDC</v>
      </c>
      <c r="O154" s="43">
        <f>IF('asset_&amp;_open_positions'!$C154="","",'asset_&amp;_open_positions'!$H154)</f>
        <v>0.99997952530443501</v>
      </c>
      <c r="P154" s="84" t="str">
        <f>IF(OR('asset_&amp;_open_positions'!$C154="",'asset_&amp;_open_positions'!$J154="SWAP",'asset_&amp;_open_positions'!$J154="FUTURE",'asset_&amp;_open_positions'!$J154="CME FUTURE"),"",'asset_&amp;_open_positions'!$M154)</f>
        <v>USDC</v>
      </c>
      <c r="Q154" s="43">
        <f>IF(OR('asset_&amp;_open_positions'!$C154="",'asset_&amp;_open_positions'!$J154="SWAP",'asset_&amp;_open_positions'!$J154="FUTURE",'asset_&amp;_open_positions'!$J154="CME FUTURE"),"",'asset_&amp;_open_positions'!$H154)</f>
        <v>0.99997952530443501</v>
      </c>
    </row>
    <row r="155" spans="14:17" x14ac:dyDescent="0.25">
      <c r="N155" s="84" t="str">
        <f>IF('asset_&amp;_open_positions'!$C155="","",'asset_&amp;_open_positions'!$E155)</f>
        <v>WAVAX</v>
      </c>
      <c r="O155" s="43">
        <f>IF('asset_&amp;_open_positions'!$C155="","",'asset_&amp;_open_positions'!$H155)</f>
        <v>13.7160124717829</v>
      </c>
      <c r="P155" s="84" t="str">
        <f>IF(OR('asset_&amp;_open_positions'!$C155="",'asset_&amp;_open_positions'!$J155="SWAP",'asset_&amp;_open_positions'!$J155="FUTURE",'asset_&amp;_open_positions'!$J155="CME FUTURE"),"",'asset_&amp;_open_positions'!$M155)</f>
        <v>WAVAX</v>
      </c>
      <c r="Q155" s="43">
        <f>IF(OR('asset_&amp;_open_positions'!$C155="",'asset_&amp;_open_positions'!$J155="SWAP",'asset_&amp;_open_positions'!$J155="FUTURE",'asset_&amp;_open_positions'!$J155="CME FUTURE"),"",'asset_&amp;_open_positions'!$H155)</f>
        <v>13.7160124717829</v>
      </c>
    </row>
    <row r="156" spans="14:17" x14ac:dyDescent="0.25">
      <c r="N156" s="84" t="str">
        <f>IF('asset_&amp;_open_positions'!$C156="","",'asset_&amp;_open_positions'!$E156)</f>
        <v>WETH</v>
      </c>
      <c r="O156" s="43">
        <f>IF('asset_&amp;_open_positions'!$C156="","",'asset_&amp;_open_positions'!$H156)</f>
        <v>1307.5527369704</v>
      </c>
      <c r="P156" s="84" t="str">
        <f>IF(OR('asset_&amp;_open_positions'!$C156="",'asset_&amp;_open_positions'!$J156="SWAP",'asset_&amp;_open_positions'!$J156="FUTURE",'asset_&amp;_open_positions'!$J156="CME FUTURE"),"",'asset_&amp;_open_positions'!$M156)</f>
        <v>WETH</v>
      </c>
      <c r="Q156" s="43">
        <f>IF(OR('asset_&amp;_open_positions'!$C156="",'asset_&amp;_open_positions'!$J156="SWAP",'asset_&amp;_open_positions'!$J156="FUTURE",'asset_&amp;_open_positions'!$J156="CME FUTURE"),"",'asset_&amp;_open_positions'!$H156)</f>
        <v>1307.5527369704</v>
      </c>
    </row>
    <row r="157" spans="14:17" x14ac:dyDescent="0.25">
      <c r="N157" s="84" t="str">
        <f>IF('asset_&amp;_open_positions'!$C157="","",'asset_&amp;_open_positions'!$E157)</f>
        <v>CRV</v>
      </c>
      <c r="O157" s="43">
        <f>IF('asset_&amp;_open_positions'!$C157="","",'asset_&amp;_open_positions'!$H157)</f>
        <v>0.64648601265202699</v>
      </c>
      <c r="P157" s="84" t="str">
        <f>IF(OR('asset_&amp;_open_positions'!$C157="",'asset_&amp;_open_positions'!$J157="SWAP",'asset_&amp;_open_positions'!$J157="FUTURE",'asset_&amp;_open_positions'!$J157="CME FUTURE"),"",'asset_&amp;_open_positions'!$M157)</f>
        <v>CRV</v>
      </c>
      <c r="Q157" s="43">
        <f>IF(OR('asset_&amp;_open_positions'!$C157="",'asset_&amp;_open_positions'!$J157="SWAP",'asset_&amp;_open_positions'!$J157="FUTURE",'asset_&amp;_open_positions'!$J157="CME FUTURE"),"",'asset_&amp;_open_positions'!$H157)</f>
        <v>0.64648601265202699</v>
      </c>
    </row>
    <row r="158" spans="14:17" x14ac:dyDescent="0.25">
      <c r="N158" s="84" t="str">
        <f>IF('asset_&amp;_open_positions'!$C158="","",'asset_&amp;_open_positions'!$E158)</f>
        <v>CVX</v>
      </c>
      <c r="O158" s="43">
        <f>IF('asset_&amp;_open_positions'!$C158="","",'asset_&amp;_open_positions'!$H158)</f>
        <v>3.90762449079106</v>
      </c>
      <c r="P158" s="84" t="str">
        <f>IF(OR('asset_&amp;_open_positions'!$C158="",'asset_&amp;_open_positions'!$J158="SWAP",'asset_&amp;_open_positions'!$J158="FUTURE",'asset_&amp;_open_positions'!$J158="CME FUTURE"),"",'asset_&amp;_open_positions'!$M158)</f>
        <v>CVX</v>
      </c>
      <c r="Q158" s="43">
        <f>IF(OR('asset_&amp;_open_positions'!$C158="",'asset_&amp;_open_positions'!$J158="SWAP",'asset_&amp;_open_positions'!$J158="FUTURE",'asset_&amp;_open_positions'!$J158="CME FUTURE"),"",'asset_&amp;_open_positions'!$H158)</f>
        <v>3.90762449079106</v>
      </c>
    </row>
    <row r="159" spans="14:17" x14ac:dyDescent="0.25">
      <c r="N159" s="84" t="str">
        <f>IF('asset_&amp;_open_positions'!$C159="","",'asset_&amp;_open_positions'!$E159)</f>
        <v>DAI</v>
      </c>
      <c r="O159" s="43">
        <f>IF('asset_&amp;_open_positions'!$C159="","",'asset_&amp;_open_positions'!$H159)</f>
        <v>0.99957398624469695</v>
      </c>
      <c r="P159" s="84" t="str">
        <f>IF(OR('asset_&amp;_open_positions'!$C159="",'asset_&amp;_open_positions'!$J159="SWAP",'asset_&amp;_open_positions'!$J159="FUTURE",'asset_&amp;_open_positions'!$J159="CME FUTURE"),"",'asset_&amp;_open_positions'!$M159)</f>
        <v>DAI</v>
      </c>
      <c r="Q159" s="43">
        <f>IF(OR('asset_&amp;_open_positions'!$C159="",'asset_&amp;_open_positions'!$J159="SWAP",'asset_&amp;_open_positions'!$J159="FUTURE",'asset_&amp;_open_positions'!$J159="CME FUTURE"),"",'asset_&amp;_open_positions'!$H159)</f>
        <v>0.99957398624469695</v>
      </c>
    </row>
    <row r="160" spans="14:17" x14ac:dyDescent="0.25">
      <c r="N160" s="84" t="str">
        <f>IF('asset_&amp;_open_positions'!$C160="","",'asset_&amp;_open_positions'!$E160)</f>
        <v>ETH</v>
      </c>
      <c r="O160" s="43">
        <f>IF('asset_&amp;_open_positions'!$C160="","",'asset_&amp;_open_positions'!$H160)</f>
        <v>1309.32867693296</v>
      </c>
      <c r="P160" s="84" t="str">
        <f>IF(OR('asset_&amp;_open_positions'!$C160="",'asset_&amp;_open_positions'!$J160="SWAP",'asset_&amp;_open_positions'!$J160="FUTURE",'asset_&amp;_open_positions'!$J160="CME FUTURE"),"",'asset_&amp;_open_positions'!$M160)</f>
        <v>ETH</v>
      </c>
      <c r="Q160" s="43">
        <f>IF(OR('asset_&amp;_open_positions'!$C160="",'asset_&amp;_open_positions'!$J160="SWAP",'asset_&amp;_open_positions'!$J160="FUTURE",'asset_&amp;_open_positions'!$J160="CME FUTURE"),"",'asset_&amp;_open_positions'!$H160)</f>
        <v>1309.32867693296</v>
      </c>
    </row>
    <row r="161" spans="14:17" x14ac:dyDescent="0.25">
      <c r="N161" s="84" t="str">
        <f>IF('asset_&amp;_open_positions'!$C161="","",'asset_&amp;_open_positions'!$E161)</f>
        <v>MIM</v>
      </c>
      <c r="O161" s="43">
        <f>IF('asset_&amp;_open_positions'!$C161="","",'asset_&amp;_open_positions'!$H161)</f>
        <v>0.99578006240177297</v>
      </c>
      <c r="P161" s="84" t="str">
        <f>IF(OR('asset_&amp;_open_positions'!$C161="",'asset_&amp;_open_positions'!$J161="SWAP",'asset_&amp;_open_positions'!$J161="FUTURE",'asset_&amp;_open_positions'!$J161="CME FUTURE"),"",'asset_&amp;_open_positions'!$M161)</f>
        <v>MIM</v>
      </c>
      <c r="Q161" s="43">
        <f>IF(OR('asset_&amp;_open_positions'!$C161="",'asset_&amp;_open_positions'!$J161="SWAP",'asset_&amp;_open_positions'!$J161="FUTURE",'asset_&amp;_open_positions'!$J161="CME FUTURE"),"",'asset_&amp;_open_positions'!$H161)</f>
        <v>0.99578006240177297</v>
      </c>
    </row>
    <row r="162" spans="14:17" x14ac:dyDescent="0.25">
      <c r="N162" s="84" t="str">
        <f>IF('asset_&amp;_open_positions'!$C162="","",'asset_&amp;_open_positions'!$E162)</f>
        <v>USDC</v>
      </c>
      <c r="O162" s="43">
        <f>IF('asset_&amp;_open_positions'!$C162="","",'asset_&amp;_open_positions'!$H162)</f>
        <v>0.99997952530443501</v>
      </c>
      <c r="P162" s="84" t="str">
        <f>IF(OR('asset_&amp;_open_positions'!$C162="",'asset_&amp;_open_positions'!$J162="SWAP",'asset_&amp;_open_positions'!$J162="FUTURE",'asset_&amp;_open_positions'!$J162="CME FUTURE"),"",'asset_&amp;_open_positions'!$M162)</f>
        <v>USDC</v>
      </c>
      <c r="Q162" s="43">
        <f>IF(OR('asset_&amp;_open_positions'!$C162="",'asset_&amp;_open_positions'!$J162="SWAP",'asset_&amp;_open_positions'!$J162="FUTURE",'asset_&amp;_open_positions'!$J162="CME FUTURE"),"",'asset_&amp;_open_positions'!$H162)</f>
        <v>0.99997952530443501</v>
      </c>
    </row>
    <row r="163" spans="14:17" x14ac:dyDescent="0.25">
      <c r="N163" s="84" t="str">
        <f>IF('asset_&amp;_open_positions'!$C163="","",'asset_&amp;_open_positions'!$E163)</f>
        <v>USDC</v>
      </c>
      <c r="O163" s="43">
        <f>IF('asset_&amp;_open_positions'!$C163="","",'asset_&amp;_open_positions'!$H163)</f>
        <v>0.99997952530443501</v>
      </c>
      <c r="P163" s="84" t="str">
        <f>IF(OR('asset_&amp;_open_positions'!$C163="",'asset_&amp;_open_positions'!$J163="SWAP",'asset_&amp;_open_positions'!$J163="FUTURE",'asset_&amp;_open_positions'!$J163="CME FUTURE"),"",'asset_&amp;_open_positions'!$M163)</f>
        <v>USDC</v>
      </c>
      <c r="Q163" s="43">
        <f>IF(OR('asset_&amp;_open_positions'!$C163="",'asset_&amp;_open_positions'!$J163="SWAP",'asset_&amp;_open_positions'!$J163="FUTURE",'asset_&amp;_open_positions'!$J163="CME FUTURE"),"",'asset_&amp;_open_positions'!$H163)</f>
        <v>0.99997952530443501</v>
      </c>
    </row>
    <row r="164" spans="14:17" x14ac:dyDescent="0.25">
      <c r="N164" s="84" t="str">
        <f>IF('asset_&amp;_open_positions'!$C164="","",'asset_&amp;_open_positions'!$E164)</f>
        <v>USDT</v>
      </c>
      <c r="O164" s="43">
        <f>IF('asset_&amp;_open_positions'!$C164="","",'asset_&amp;_open_positions'!$H164)</f>
        <v>1.0001054103245299</v>
      </c>
      <c r="P164" s="84" t="str">
        <f>IF(OR('asset_&amp;_open_positions'!$C164="",'asset_&amp;_open_positions'!$J164="SWAP",'asset_&amp;_open_positions'!$J164="FUTURE",'asset_&amp;_open_positions'!$J164="CME FUTURE"),"",'asset_&amp;_open_positions'!$M164)</f>
        <v>USDT</v>
      </c>
      <c r="Q164" s="43">
        <f>IF(OR('asset_&amp;_open_positions'!$C164="",'asset_&amp;_open_positions'!$J164="SWAP",'asset_&amp;_open_positions'!$J164="FUTURE",'asset_&amp;_open_positions'!$J164="CME FUTURE"),"",'asset_&amp;_open_positions'!$H164)</f>
        <v>1.0001054103245299</v>
      </c>
    </row>
    <row r="165" spans="14:17" x14ac:dyDescent="0.25">
      <c r="N165" s="84" t="str">
        <f>IF('asset_&amp;_open_positions'!$C165="","",'asset_&amp;_open_positions'!$E165)</f>
        <v>AURA</v>
      </c>
      <c r="O165" s="43">
        <f>IF('asset_&amp;_open_positions'!$C165="","",'asset_&amp;_open_positions'!$H165)</f>
        <v>5.7917758722179802E-2</v>
      </c>
      <c r="P165" s="84" t="str">
        <f>IF(OR('asset_&amp;_open_positions'!$C165="",'asset_&amp;_open_positions'!$J165="SWAP",'asset_&amp;_open_positions'!$J165="FUTURE",'asset_&amp;_open_positions'!$J165="CME FUTURE"),"",'asset_&amp;_open_positions'!$M165)</f>
        <v>AURA</v>
      </c>
      <c r="Q165" s="43">
        <f>IF(OR('asset_&amp;_open_positions'!$C165="",'asset_&amp;_open_positions'!$J165="SWAP",'asset_&amp;_open_positions'!$J165="FUTURE",'asset_&amp;_open_positions'!$J165="CME FUTURE"),"",'asset_&amp;_open_positions'!$H165)</f>
        <v>5.7917758722179802E-2</v>
      </c>
    </row>
    <row r="166" spans="14:17" x14ac:dyDescent="0.25">
      <c r="N166" s="84" t="str">
        <f>IF('asset_&amp;_open_positions'!$C166="","",'asset_&amp;_open_positions'!$E166)</f>
        <v>BAL</v>
      </c>
      <c r="O166" s="43">
        <f>IF('asset_&amp;_open_positions'!$C166="","",'asset_&amp;_open_positions'!$H166)</f>
        <v>6.1471185331996896</v>
      </c>
      <c r="P166" s="84" t="str">
        <f>IF(OR('asset_&amp;_open_positions'!$C166="",'asset_&amp;_open_positions'!$J166="SWAP",'asset_&amp;_open_positions'!$J166="FUTURE",'asset_&amp;_open_positions'!$J166="CME FUTURE"),"",'asset_&amp;_open_positions'!$M166)</f>
        <v>BAL</v>
      </c>
      <c r="Q166" s="43">
        <f>IF(OR('asset_&amp;_open_positions'!$C166="",'asset_&amp;_open_positions'!$J166="SWAP",'asset_&amp;_open_positions'!$J166="FUTURE",'asset_&amp;_open_positions'!$J166="CME FUTURE"),"",'asset_&amp;_open_positions'!$H166)</f>
        <v>6.1471185331996896</v>
      </c>
    </row>
    <row r="167" spans="14:17" x14ac:dyDescent="0.25">
      <c r="N167" s="84" t="str">
        <f>IF('asset_&amp;_open_positions'!$C167="","",'asset_&amp;_open_positions'!$E167)</f>
        <v>ETH</v>
      </c>
      <c r="O167" s="43">
        <f>IF('asset_&amp;_open_positions'!$C167="","",'asset_&amp;_open_positions'!$H167)</f>
        <v>1309.32867693296</v>
      </c>
      <c r="P167" s="84" t="str">
        <f>IF(OR('asset_&amp;_open_positions'!$C167="",'asset_&amp;_open_positions'!$J167="SWAP",'asset_&amp;_open_positions'!$J167="FUTURE",'asset_&amp;_open_positions'!$J167="CME FUTURE"),"",'asset_&amp;_open_positions'!$M167)</f>
        <v>ETH</v>
      </c>
      <c r="Q167" s="43">
        <f>IF(OR('asset_&amp;_open_positions'!$C167="",'asset_&amp;_open_positions'!$J167="SWAP",'asset_&amp;_open_positions'!$J167="FUTURE",'asset_&amp;_open_positions'!$J167="CME FUTURE"),"",'asset_&amp;_open_positions'!$H167)</f>
        <v>1309.32867693296</v>
      </c>
    </row>
    <row r="168" spans="14:17" x14ac:dyDescent="0.25">
      <c r="N168" s="84" t="str">
        <f>IF('asset_&amp;_open_positions'!$C168="","",'asset_&amp;_open_positions'!$E168)</f>
        <v>ETH</v>
      </c>
      <c r="O168" s="43">
        <f>IF('asset_&amp;_open_positions'!$C168="","",'asset_&amp;_open_positions'!$H168)</f>
        <v>1309.32867693296</v>
      </c>
      <c r="P168" s="84" t="str">
        <f>IF(OR('asset_&amp;_open_positions'!$C168="",'asset_&amp;_open_positions'!$J168="SWAP",'asset_&amp;_open_positions'!$J168="FUTURE",'asset_&amp;_open_positions'!$J168="CME FUTURE"),"",'asset_&amp;_open_positions'!$M168)</f>
        <v>ETH</v>
      </c>
      <c r="Q168" s="43">
        <f>IF(OR('asset_&amp;_open_positions'!$C168="",'asset_&amp;_open_positions'!$J168="SWAP",'asset_&amp;_open_positions'!$J168="FUTURE",'asset_&amp;_open_positions'!$J168="CME FUTURE"),"",'asset_&amp;_open_positions'!$H168)</f>
        <v>1309.32867693296</v>
      </c>
    </row>
    <row r="169" spans="14:17" x14ac:dyDescent="0.25">
      <c r="N169" s="84" t="str">
        <f>IF('asset_&amp;_open_positions'!$C169="","",'asset_&amp;_open_positions'!$E169)</f>
        <v>STETH</v>
      </c>
      <c r="O169" s="43">
        <f>IF('asset_&amp;_open_positions'!$C169="","",'asset_&amp;_open_positions'!$H169)</f>
        <v>1283.0943894304501</v>
      </c>
      <c r="P169" s="84" t="str">
        <f>IF(OR('asset_&amp;_open_positions'!$C169="",'asset_&amp;_open_positions'!$J169="SWAP",'asset_&amp;_open_positions'!$J169="FUTURE",'asset_&amp;_open_positions'!$J169="CME FUTURE"),"",'asset_&amp;_open_positions'!$M169)</f>
        <v>STETH</v>
      </c>
      <c r="Q169" s="43">
        <f>IF(OR('asset_&amp;_open_positions'!$C169="",'asset_&amp;_open_positions'!$J169="SWAP",'asset_&amp;_open_positions'!$J169="FUTURE",'asset_&amp;_open_positions'!$J169="CME FUTURE"),"",'asset_&amp;_open_positions'!$H169)</f>
        <v>1283.0943894304501</v>
      </c>
    </row>
    <row r="170" spans="14:17" x14ac:dyDescent="0.25">
      <c r="N170" s="84" t="str">
        <f>IF('asset_&amp;_open_positions'!$C170="","",'asset_&amp;_open_positions'!$E170)</f>
        <v>ETH</v>
      </c>
      <c r="O170" s="43">
        <f>IF('asset_&amp;_open_positions'!$C170="","",'asset_&amp;_open_positions'!$H170)</f>
        <v>1309.32867693296</v>
      </c>
      <c r="P170" s="84" t="str">
        <f>IF(OR('asset_&amp;_open_positions'!$C170="",'asset_&amp;_open_positions'!$J170="SWAP",'asset_&amp;_open_positions'!$J170="FUTURE",'asset_&amp;_open_positions'!$J170="CME FUTURE"),"",'asset_&amp;_open_positions'!$M170)</f>
        <v>ETH</v>
      </c>
      <c r="Q170" s="43">
        <f>IF(OR('asset_&amp;_open_positions'!$C170="",'asset_&amp;_open_positions'!$J170="SWAP",'asset_&amp;_open_positions'!$J170="FUTURE",'asset_&amp;_open_positions'!$J170="CME FUTURE"),"",'asset_&amp;_open_positions'!$H170)</f>
        <v>1309.32867693296</v>
      </c>
    </row>
    <row r="171" spans="14:17" x14ac:dyDescent="0.25">
      <c r="N171" s="84" t="str">
        <f>IF('asset_&amp;_open_positions'!$C171="","",'asset_&amp;_open_positions'!$E171)</f>
        <v>OBALUSDC/BAL-30DEC22-7.6C</v>
      </c>
      <c r="O171" s="43">
        <f>IF('asset_&amp;_open_positions'!$C171="","",'asset_&amp;_open_positions'!$H171)</f>
        <v>0</v>
      </c>
      <c r="P171" s="84" t="str">
        <f>IF(OR('asset_&amp;_open_positions'!$C171="",'asset_&amp;_open_positions'!$J171="SWAP",'asset_&amp;_open_positions'!$J171="FUTURE",'asset_&amp;_open_positions'!$J171="CME FUTURE"),"",'asset_&amp;_open_positions'!$M171)</f>
        <v>OBALUSDC/BAL-30DEC22-7.6C</v>
      </c>
      <c r="Q171" s="43">
        <f>IF(OR('asset_&amp;_open_positions'!$C171="",'asset_&amp;_open_positions'!$J171="SWAP",'asset_&amp;_open_positions'!$J171="FUTURE",'asset_&amp;_open_positions'!$J171="CME FUTURE"),"",'asset_&amp;_open_positions'!$H171)</f>
        <v>0</v>
      </c>
    </row>
    <row r="172" spans="14:17" x14ac:dyDescent="0.25">
      <c r="N172" s="84" t="str">
        <f>IF('asset_&amp;_open_positions'!$C172="","",'asset_&amp;_open_positions'!$E172)</f>
        <v>OPERPUSDC/PERP-30DEC22-0.54C</v>
      </c>
      <c r="O172" s="43">
        <f>IF('asset_&amp;_open_positions'!$C172="","",'asset_&amp;_open_positions'!$H172)</f>
        <v>0</v>
      </c>
      <c r="P172" s="84" t="str">
        <f>IF(OR('asset_&amp;_open_positions'!$C172="",'asset_&amp;_open_positions'!$J172="SWAP",'asset_&amp;_open_positions'!$J172="FUTURE",'asset_&amp;_open_positions'!$J172="CME FUTURE"),"",'asset_&amp;_open_positions'!$M172)</f>
        <v>OPERPUSDC/PERP-30DEC22-0.54C</v>
      </c>
      <c r="Q172" s="43">
        <f>IF(OR('asset_&amp;_open_positions'!$C172="",'asset_&amp;_open_positions'!$J172="SWAP",'asset_&amp;_open_positions'!$J172="FUTURE",'asset_&amp;_open_positions'!$J172="CME FUTURE"),"",'asset_&amp;_open_positions'!$H172)</f>
        <v>0</v>
      </c>
    </row>
    <row r="173" spans="14:17" x14ac:dyDescent="0.25">
      <c r="N173" s="84" t="str">
        <f>IF('asset_&amp;_open_positions'!$C173="","",'asset_&amp;_open_positions'!$E173)</f>
        <v>OSPELLUSDC/SPELL-30DEC22-0.00079C</v>
      </c>
      <c r="O173" s="43">
        <f>IF('asset_&amp;_open_positions'!$C173="","",'asset_&amp;_open_positions'!$H173)</f>
        <v>0</v>
      </c>
      <c r="P173" s="84" t="str">
        <f>IF(OR('asset_&amp;_open_positions'!$C173="",'asset_&amp;_open_positions'!$J173="SWAP",'asset_&amp;_open_positions'!$J173="FUTURE",'asset_&amp;_open_positions'!$J173="CME FUTURE"),"",'asset_&amp;_open_positions'!$M173)</f>
        <v>OSPELLUSDC/SPELL-30DEC22-0.00079C</v>
      </c>
      <c r="Q173" s="43">
        <f>IF(OR('asset_&amp;_open_positions'!$C173="",'asset_&amp;_open_positions'!$J173="SWAP",'asset_&amp;_open_positions'!$J173="FUTURE",'asset_&amp;_open_positions'!$J173="CME FUTURE"),"",'asset_&amp;_open_positions'!$H173)</f>
        <v>0</v>
      </c>
    </row>
    <row r="174" spans="14:17" x14ac:dyDescent="0.25">
      <c r="N174" s="84" t="str">
        <f>IF('asset_&amp;_open_positions'!$C174="","",'asset_&amp;_open_positions'!$E174)</f>
        <v>ETH</v>
      </c>
      <c r="O174" s="43">
        <f>IF('asset_&amp;_open_positions'!$C174="","",'asset_&amp;_open_positions'!$H174)</f>
        <v>1309.32867693296</v>
      </c>
      <c r="P174" s="84" t="str">
        <f>IF(OR('asset_&amp;_open_positions'!$C174="",'asset_&amp;_open_positions'!$J174="SWAP",'asset_&amp;_open_positions'!$J174="FUTURE",'asset_&amp;_open_positions'!$J174="CME FUTURE"),"",'asset_&amp;_open_positions'!$M174)</f>
        <v>ETH</v>
      </c>
      <c r="Q174" s="43">
        <f>IF(OR('asset_&amp;_open_positions'!$C174="",'asset_&amp;_open_positions'!$J174="SWAP",'asset_&amp;_open_positions'!$J174="FUTURE",'asset_&amp;_open_positions'!$J174="CME FUTURE"),"",'asset_&amp;_open_positions'!$H174)</f>
        <v>1309.32867693296</v>
      </c>
    </row>
    <row r="175" spans="14:17" x14ac:dyDescent="0.25">
      <c r="N175" s="84" t="str">
        <f>IF('asset_&amp;_open_positions'!$C175="","",'asset_&amp;_open_positions'!$E175)</f>
        <v>ETH</v>
      </c>
      <c r="O175" s="43">
        <f>IF('asset_&amp;_open_positions'!$C175="","",'asset_&amp;_open_positions'!$H175)</f>
        <v>1309.32867693296</v>
      </c>
      <c r="P175" s="84" t="str">
        <f>IF(OR('asset_&amp;_open_positions'!$C175="",'asset_&amp;_open_positions'!$J175="SWAP",'asset_&amp;_open_positions'!$J175="FUTURE",'asset_&amp;_open_positions'!$J175="CME FUTURE"),"",'asset_&amp;_open_positions'!$M175)</f>
        <v>ETH</v>
      </c>
      <c r="Q175" s="43">
        <f>IF(OR('asset_&amp;_open_positions'!$C175="",'asset_&amp;_open_positions'!$J175="SWAP",'asset_&amp;_open_positions'!$J175="FUTURE",'asset_&amp;_open_positions'!$J175="CME FUTURE"),"",'asset_&amp;_open_positions'!$H175)</f>
        <v>1309.32867693296</v>
      </c>
    </row>
    <row r="176" spans="14:17" x14ac:dyDescent="0.25">
      <c r="N176" s="84" t="str">
        <f>IF('asset_&amp;_open_positions'!$C176="","",'asset_&amp;_open_positions'!$E176)</f>
        <v>FRXETH</v>
      </c>
      <c r="O176" s="43">
        <f>IF('asset_&amp;_open_positions'!$C176="","",'asset_&amp;_open_positions'!$H176)</f>
        <v>0</v>
      </c>
      <c r="P176" s="84" t="str">
        <f>IF(OR('asset_&amp;_open_positions'!$C176="",'asset_&amp;_open_positions'!$J176="SWAP",'asset_&amp;_open_positions'!$J176="FUTURE",'asset_&amp;_open_positions'!$J176="CME FUTURE"),"",'asset_&amp;_open_positions'!$M176)</f>
        <v>FRXETH</v>
      </c>
      <c r="Q176" s="43">
        <f>IF(OR('asset_&amp;_open_positions'!$C176="",'asset_&amp;_open_positions'!$J176="SWAP",'asset_&amp;_open_positions'!$J176="FUTURE",'asset_&amp;_open_positions'!$J176="CME FUTURE"),"",'asset_&amp;_open_positions'!$H176)</f>
        <v>0</v>
      </c>
    </row>
    <row r="177" spans="14:17" x14ac:dyDescent="0.25">
      <c r="N177" s="84" t="str">
        <f>IF('asset_&amp;_open_positions'!$C177="","",'asset_&amp;_open_positions'!$E177)</f>
        <v>USDC</v>
      </c>
      <c r="O177" s="43">
        <f>IF('asset_&amp;_open_positions'!$C177="","",'asset_&amp;_open_positions'!$H177)</f>
        <v>0.99997952530443501</v>
      </c>
      <c r="P177" s="84" t="str">
        <f>IF(OR('asset_&amp;_open_positions'!$C177="",'asset_&amp;_open_positions'!$J177="SWAP",'asset_&amp;_open_positions'!$J177="FUTURE",'asset_&amp;_open_positions'!$J177="CME FUTURE"),"",'asset_&amp;_open_positions'!$M177)</f>
        <v>USDC</v>
      </c>
      <c r="Q177" s="43">
        <f>IF(OR('asset_&amp;_open_positions'!$C177="",'asset_&amp;_open_positions'!$J177="SWAP",'asset_&amp;_open_positions'!$J177="FUTURE",'asset_&amp;_open_positions'!$J177="CME FUTURE"),"",'asset_&amp;_open_positions'!$H177)</f>
        <v>0.99997952530443501</v>
      </c>
    </row>
    <row r="178" spans="14:17" x14ac:dyDescent="0.25">
      <c r="N178" s="84" t="str">
        <f>IF('asset_&amp;_open_positions'!$C178="","",'asset_&amp;_open_positions'!$E178)</f>
        <v>ADA</v>
      </c>
      <c r="O178" s="43">
        <f>IF('asset_&amp;_open_positions'!$C178="","",'asset_&amp;_open_positions'!$H178)</f>
        <v>0.308134251946941</v>
      </c>
      <c r="P178" s="84" t="str">
        <f>IF(OR('asset_&amp;_open_positions'!$C178="",'asset_&amp;_open_positions'!$J178="SWAP",'asset_&amp;_open_positions'!$J178="FUTURE",'asset_&amp;_open_positions'!$J178="CME FUTURE"),"",'asset_&amp;_open_positions'!$M178)</f>
        <v>ADA</v>
      </c>
      <c r="Q178" s="43">
        <f>IF(OR('asset_&amp;_open_positions'!$C178="",'asset_&amp;_open_positions'!$J178="SWAP",'asset_&amp;_open_positions'!$J178="FUTURE",'asset_&amp;_open_positions'!$J178="CME FUTURE"),"",'asset_&amp;_open_positions'!$H178)</f>
        <v>0.308134251946941</v>
      </c>
    </row>
    <row r="179" spans="14:17" x14ac:dyDescent="0.25">
      <c r="N179" s="84" t="str">
        <f>IF('asset_&amp;_open_positions'!$C179="","",'asset_&amp;_open_positions'!$E179)</f>
        <v>BCH</v>
      </c>
      <c r="O179" s="43">
        <f>IF('asset_&amp;_open_positions'!$C179="","",'asset_&amp;_open_positions'!$H179)</f>
        <v>109.10849595307199</v>
      </c>
      <c r="P179" s="84" t="str">
        <f>IF(OR('asset_&amp;_open_positions'!$C179="",'asset_&amp;_open_positions'!$J179="SWAP",'asset_&amp;_open_positions'!$J179="FUTURE",'asset_&amp;_open_positions'!$J179="CME FUTURE"),"",'asset_&amp;_open_positions'!$M179)</f>
        <v>BCH</v>
      </c>
      <c r="Q179" s="43">
        <f>IF(OR('asset_&amp;_open_positions'!$C179="",'asset_&amp;_open_positions'!$J179="SWAP",'asset_&amp;_open_positions'!$J179="FUTURE",'asset_&amp;_open_positions'!$J179="CME FUTURE"),"",'asset_&amp;_open_positions'!$H179)</f>
        <v>109.10849595307199</v>
      </c>
    </row>
    <row r="180" spans="14:17" x14ac:dyDescent="0.25">
      <c r="N180" s="84" t="str">
        <f>IF('asset_&amp;_open_positions'!$C180="","",'asset_&amp;_open_positions'!$E180)</f>
        <v>BSV</v>
      </c>
      <c r="O180" s="43">
        <f>IF('asset_&amp;_open_positions'!$C180="","",'asset_&amp;_open_positions'!$H180)</f>
        <v>45.311618722574998</v>
      </c>
      <c r="P180" s="84" t="str">
        <f>IF(OR('asset_&amp;_open_positions'!$C180="",'asset_&amp;_open_positions'!$J180="SWAP",'asset_&amp;_open_positions'!$J180="FUTURE",'asset_&amp;_open_positions'!$J180="CME FUTURE"),"",'asset_&amp;_open_positions'!$M180)</f>
        <v>BSV</v>
      </c>
      <c r="Q180" s="43">
        <f>IF(OR('asset_&amp;_open_positions'!$C180="",'asset_&amp;_open_positions'!$J180="SWAP",'asset_&amp;_open_positions'!$J180="FUTURE",'asset_&amp;_open_positions'!$J180="CME FUTURE"),"",'asset_&amp;_open_positions'!$H180)</f>
        <v>45.311618722574998</v>
      </c>
    </row>
    <row r="181" spans="14:17" x14ac:dyDescent="0.25">
      <c r="N181" s="84" t="str">
        <f>IF('asset_&amp;_open_positions'!$C181="","",'asset_&amp;_open_positions'!$E181)</f>
        <v>BTC</v>
      </c>
      <c r="O181" s="43">
        <f>IF('asset_&amp;_open_positions'!$C181="","",'asset_&amp;_open_positions'!$H181)</f>
        <v>17815.649854650899</v>
      </c>
      <c r="P181" s="84" t="str">
        <f>IF(OR('asset_&amp;_open_positions'!$C181="",'asset_&amp;_open_positions'!$J181="SWAP",'asset_&amp;_open_positions'!$J181="FUTURE",'asset_&amp;_open_positions'!$J181="CME FUTURE"),"",'asset_&amp;_open_positions'!$M181)</f>
        <v>BTC</v>
      </c>
      <c r="Q181" s="43">
        <f>IF(OR('asset_&amp;_open_positions'!$C181="",'asset_&amp;_open_positions'!$J181="SWAP",'asset_&amp;_open_positions'!$J181="FUTURE",'asset_&amp;_open_positions'!$J181="CME FUTURE"),"",'asset_&amp;_open_positions'!$H181)</f>
        <v>17815.649854650899</v>
      </c>
    </row>
    <row r="182" spans="14:17" x14ac:dyDescent="0.25">
      <c r="N182" s="84" t="str">
        <f>IF('asset_&amp;_open_positions'!$C182="","",'asset_&amp;_open_positions'!$E182)</f>
        <v>EOS</v>
      </c>
      <c r="O182" s="43">
        <f>IF('asset_&amp;_open_positions'!$C182="","",'asset_&amp;_open_positions'!$H182)</f>
        <v>0.97802133669101299</v>
      </c>
      <c r="P182" s="84" t="str">
        <f>IF(OR('asset_&amp;_open_positions'!$C182="",'asset_&amp;_open_positions'!$J182="SWAP",'asset_&amp;_open_positions'!$J182="FUTURE",'asset_&amp;_open_positions'!$J182="CME FUTURE"),"",'asset_&amp;_open_positions'!$M182)</f>
        <v>EOS</v>
      </c>
      <c r="Q182" s="43">
        <f>IF(OR('asset_&amp;_open_positions'!$C182="",'asset_&amp;_open_positions'!$J182="SWAP",'asset_&amp;_open_positions'!$J182="FUTURE",'asset_&amp;_open_positions'!$J182="CME FUTURE"),"",'asset_&amp;_open_positions'!$H182)</f>
        <v>0.97802133669101299</v>
      </c>
    </row>
    <row r="183" spans="14:17" x14ac:dyDescent="0.25">
      <c r="N183" s="84" t="str">
        <f>IF('asset_&amp;_open_positions'!$C183="","",'asset_&amp;_open_positions'!$E183)</f>
        <v>ETC</v>
      </c>
      <c r="O183" s="43">
        <f>IF('asset_&amp;_open_positions'!$C183="","",'asset_&amp;_open_positions'!$H183)</f>
        <v>18.787687228417099</v>
      </c>
      <c r="P183" s="84" t="str">
        <f>IF(OR('asset_&amp;_open_positions'!$C183="",'asset_&amp;_open_positions'!$J183="SWAP",'asset_&amp;_open_positions'!$J183="FUTURE",'asset_&amp;_open_positions'!$J183="CME FUTURE"),"",'asset_&amp;_open_positions'!$M183)</f>
        <v>ETC</v>
      </c>
      <c r="Q183" s="43">
        <f>IF(OR('asset_&amp;_open_positions'!$C183="",'asset_&amp;_open_positions'!$J183="SWAP",'asset_&amp;_open_positions'!$J183="FUTURE",'asset_&amp;_open_positions'!$J183="CME FUTURE"),"",'asset_&amp;_open_positions'!$H183)</f>
        <v>18.787687228417099</v>
      </c>
    </row>
    <row r="184" spans="14:17" x14ac:dyDescent="0.25">
      <c r="N184" s="84" t="str">
        <f>IF('asset_&amp;_open_positions'!$C184="","",'asset_&amp;_open_positions'!$E184)</f>
        <v>ETH</v>
      </c>
      <c r="O184" s="43">
        <f>IF('asset_&amp;_open_positions'!$C184="","",'asset_&amp;_open_positions'!$H184)</f>
        <v>1309.32867693296</v>
      </c>
      <c r="P184" s="84" t="str">
        <f>IF(OR('asset_&amp;_open_positions'!$C184="",'asset_&amp;_open_positions'!$J184="SWAP",'asset_&amp;_open_positions'!$J184="FUTURE",'asset_&amp;_open_positions'!$J184="CME FUTURE"),"",'asset_&amp;_open_positions'!$M184)</f>
        <v>ETH</v>
      </c>
      <c r="Q184" s="43">
        <f>IF(OR('asset_&amp;_open_positions'!$C184="",'asset_&amp;_open_positions'!$J184="SWAP",'asset_&amp;_open_positions'!$J184="FUTURE",'asset_&amp;_open_positions'!$J184="CME FUTURE"),"",'asset_&amp;_open_positions'!$H184)</f>
        <v>1309.32867693296</v>
      </c>
    </row>
    <row r="185" spans="14:17" x14ac:dyDescent="0.25">
      <c r="N185" s="84" t="str">
        <f>IF('asset_&amp;_open_positions'!$C185="","",'asset_&amp;_open_positions'!$E185)</f>
        <v>LTC</v>
      </c>
      <c r="O185" s="43">
        <f>IF('asset_&amp;_open_positions'!$C185="","",'asset_&amp;_open_positions'!$H185)</f>
        <v>75.475863646134997</v>
      </c>
      <c r="P185" s="84" t="str">
        <f>IF(OR('asset_&amp;_open_positions'!$C185="",'asset_&amp;_open_positions'!$J185="SWAP",'asset_&amp;_open_positions'!$J185="FUTURE",'asset_&amp;_open_positions'!$J185="CME FUTURE"),"",'asset_&amp;_open_positions'!$M185)</f>
        <v>LTC</v>
      </c>
      <c r="Q185" s="43">
        <f>IF(OR('asset_&amp;_open_positions'!$C185="",'asset_&amp;_open_positions'!$J185="SWAP",'asset_&amp;_open_positions'!$J185="FUTURE",'asset_&amp;_open_positions'!$J185="CME FUTURE"),"",'asset_&amp;_open_positions'!$H185)</f>
        <v>75.475863646134997</v>
      </c>
    </row>
    <row r="186" spans="14:17" x14ac:dyDescent="0.25">
      <c r="N186" s="84" t="str">
        <f>IF('asset_&amp;_open_positions'!$C186="","",'asset_&amp;_open_positions'!$E186)</f>
        <v>TRX</v>
      </c>
      <c r="O186" s="43">
        <f>IF('asset_&amp;_open_positions'!$C186="","",'asset_&amp;_open_positions'!$H186)</f>
        <v>5.5666357131219001E-2</v>
      </c>
      <c r="P186" s="84" t="str">
        <f>IF(OR('asset_&amp;_open_positions'!$C186="",'asset_&amp;_open_positions'!$J186="SWAP",'asset_&amp;_open_positions'!$J186="FUTURE",'asset_&amp;_open_positions'!$J186="CME FUTURE"),"",'asset_&amp;_open_positions'!$M186)</f>
        <v>TRX</v>
      </c>
      <c r="Q186" s="43">
        <f>IF(OR('asset_&amp;_open_positions'!$C186="",'asset_&amp;_open_positions'!$J186="SWAP",'asset_&amp;_open_positions'!$J186="FUTURE",'asset_&amp;_open_positions'!$J186="CME FUTURE"),"",'asset_&amp;_open_positions'!$H186)</f>
        <v>5.5666357131219001E-2</v>
      </c>
    </row>
    <row r="187" spans="14:17" x14ac:dyDescent="0.25">
      <c r="N187" s="84" t="str">
        <f>IF('asset_&amp;_open_positions'!$C187="","",'asset_&amp;_open_positions'!$E187)</f>
        <v>XRP</v>
      </c>
      <c r="O187" s="43">
        <f>IF('asset_&amp;_open_positions'!$C187="","",'asset_&amp;_open_positions'!$H187)</f>
        <v>0.38641371777866901</v>
      </c>
      <c r="P187" s="84" t="str">
        <f>IF(OR('asset_&amp;_open_positions'!$C187="",'asset_&amp;_open_positions'!$J187="SWAP",'asset_&amp;_open_positions'!$J187="FUTURE",'asset_&amp;_open_positions'!$J187="CME FUTURE"),"",'asset_&amp;_open_positions'!$M187)</f>
        <v>XRP</v>
      </c>
      <c r="Q187" s="43">
        <f>IF(OR('asset_&amp;_open_positions'!$C187="",'asset_&amp;_open_positions'!$J187="SWAP",'asset_&amp;_open_positions'!$J187="FUTURE",'asset_&amp;_open_positions'!$J187="CME FUTURE"),"",'asset_&amp;_open_positions'!$H187)</f>
        <v>0.38641371777866901</v>
      </c>
    </row>
    <row r="188" spans="14:17" x14ac:dyDescent="0.25">
      <c r="N188" s="84" t="str">
        <f>IF('asset_&amp;_open_positions'!$C188="","",'asset_&amp;_open_positions'!$E188)</f>
        <v>ADA</v>
      </c>
      <c r="O188" s="43">
        <f>IF('asset_&amp;_open_positions'!$C188="","",'asset_&amp;_open_positions'!$H188)</f>
        <v>0.308134251946941</v>
      </c>
      <c r="P188" s="84" t="str">
        <f>IF(OR('asset_&amp;_open_positions'!$C188="",'asset_&amp;_open_positions'!$J188="SWAP",'asset_&amp;_open_positions'!$J188="FUTURE",'asset_&amp;_open_positions'!$J188="CME FUTURE"),"",'asset_&amp;_open_positions'!$M188)</f>
        <v>ADA</v>
      </c>
      <c r="Q188" s="43">
        <f>IF(OR('asset_&amp;_open_positions'!$C188="",'asset_&amp;_open_positions'!$J188="SWAP",'asset_&amp;_open_positions'!$J188="FUTURE",'asset_&amp;_open_positions'!$J188="CME FUTURE"),"",'asset_&amp;_open_positions'!$H188)</f>
        <v>0.308134251946941</v>
      </c>
    </row>
    <row r="189" spans="14:17" x14ac:dyDescent="0.25">
      <c r="N189" s="84" t="str">
        <f>IF('asset_&amp;_open_positions'!$C189="","",'asset_&amp;_open_positions'!$E189)</f>
        <v>BCH</v>
      </c>
      <c r="O189" s="43">
        <f>IF('asset_&amp;_open_positions'!$C189="","",'asset_&amp;_open_positions'!$H189)</f>
        <v>109.10849595307199</v>
      </c>
      <c r="P189" s="84" t="str">
        <f>IF(OR('asset_&amp;_open_positions'!$C189="",'asset_&amp;_open_positions'!$J189="SWAP",'asset_&amp;_open_positions'!$J189="FUTURE",'asset_&amp;_open_positions'!$J189="CME FUTURE"),"",'asset_&amp;_open_positions'!$M189)</f>
        <v>BCH</v>
      </c>
      <c r="Q189" s="43">
        <f>IF(OR('asset_&amp;_open_positions'!$C189="",'asset_&amp;_open_positions'!$J189="SWAP",'asset_&amp;_open_positions'!$J189="FUTURE",'asset_&amp;_open_positions'!$J189="CME FUTURE"),"",'asset_&amp;_open_positions'!$H189)</f>
        <v>109.10849595307199</v>
      </c>
    </row>
    <row r="190" spans="14:17" x14ac:dyDescent="0.25">
      <c r="N190" s="84" t="str">
        <f>IF('asset_&amp;_open_positions'!$C190="","",'asset_&amp;_open_positions'!$E190)</f>
        <v>BSV</v>
      </c>
      <c r="O190" s="43">
        <f>IF('asset_&amp;_open_positions'!$C190="","",'asset_&amp;_open_positions'!$H190)</f>
        <v>45.311618722574998</v>
      </c>
      <c r="P190" s="84" t="str">
        <f>IF(OR('asset_&amp;_open_positions'!$C190="",'asset_&amp;_open_positions'!$J190="SWAP",'asset_&amp;_open_positions'!$J190="FUTURE",'asset_&amp;_open_positions'!$J190="CME FUTURE"),"",'asset_&amp;_open_positions'!$M190)</f>
        <v>BSV</v>
      </c>
      <c r="Q190" s="43">
        <f>IF(OR('asset_&amp;_open_positions'!$C190="",'asset_&amp;_open_positions'!$J190="SWAP",'asset_&amp;_open_positions'!$J190="FUTURE",'asset_&amp;_open_positions'!$J190="CME FUTURE"),"",'asset_&amp;_open_positions'!$H190)</f>
        <v>45.311618722574998</v>
      </c>
    </row>
    <row r="191" spans="14:17" x14ac:dyDescent="0.25">
      <c r="N191" s="84" t="str">
        <f>IF('asset_&amp;_open_positions'!$C191="","",'asset_&amp;_open_positions'!$E191)</f>
        <v>BTC</v>
      </c>
      <c r="O191" s="43">
        <f>IF('asset_&amp;_open_positions'!$C191="","",'asset_&amp;_open_positions'!$H191)</f>
        <v>17815.649854650899</v>
      </c>
      <c r="P191" s="84" t="str">
        <f>IF(OR('asset_&amp;_open_positions'!$C191="",'asset_&amp;_open_positions'!$J191="SWAP",'asset_&amp;_open_positions'!$J191="FUTURE",'asset_&amp;_open_positions'!$J191="CME FUTURE"),"",'asset_&amp;_open_positions'!$M191)</f>
        <v>BTC</v>
      </c>
      <c r="Q191" s="43">
        <f>IF(OR('asset_&amp;_open_positions'!$C191="",'asset_&amp;_open_positions'!$J191="SWAP",'asset_&amp;_open_positions'!$J191="FUTURE",'asset_&amp;_open_positions'!$J191="CME FUTURE"),"",'asset_&amp;_open_positions'!$H191)</f>
        <v>17815.649854650899</v>
      </c>
    </row>
    <row r="192" spans="14:17" x14ac:dyDescent="0.25">
      <c r="N192" s="84" t="str">
        <f>IF('asset_&amp;_open_positions'!$C192="","",'asset_&amp;_open_positions'!$E192)</f>
        <v>BTC</v>
      </c>
      <c r="O192" s="43">
        <f>IF('asset_&amp;_open_positions'!$C192="","",'asset_&amp;_open_positions'!$H192)</f>
        <v>17815.649854650899</v>
      </c>
      <c r="P192" s="84" t="str">
        <f>IF(OR('asset_&amp;_open_positions'!$C192="",'asset_&amp;_open_positions'!$J192="SWAP",'asset_&amp;_open_positions'!$J192="FUTURE",'asset_&amp;_open_positions'!$J192="CME FUTURE"),"",'asset_&amp;_open_positions'!$M192)</f>
        <v>BTC</v>
      </c>
      <c r="Q192" s="43">
        <f>IF(OR('asset_&amp;_open_positions'!$C192="",'asset_&amp;_open_positions'!$J192="SWAP",'asset_&amp;_open_positions'!$J192="FUTURE",'asset_&amp;_open_positions'!$J192="CME FUTURE"),"",'asset_&amp;_open_positions'!$H192)</f>
        <v>17815.649854650899</v>
      </c>
    </row>
    <row r="193" spans="14:17" x14ac:dyDescent="0.25">
      <c r="N193" s="84" t="str">
        <f>IF('asset_&amp;_open_positions'!$C193="","",'asset_&amp;_open_positions'!$E193)</f>
        <v>DOT</v>
      </c>
      <c r="O193" s="43">
        <f>IF('asset_&amp;_open_positions'!$C193="","",'asset_&amp;_open_positions'!$H193)</f>
        <v>5.21520975096543</v>
      </c>
      <c r="P193" s="84" t="str">
        <f>IF(OR('asset_&amp;_open_positions'!$C193="",'asset_&amp;_open_positions'!$J193="SWAP",'asset_&amp;_open_positions'!$J193="FUTURE",'asset_&amp;_open_positions'!$J193="CME FUTURE"),"",'asset_&amp;_open_positions'!$M193)</f>
        <v>DOT</v>
      </c>
      <c r="Q193" s="43">
        <f>IF(OR('asset_&amp;_open_positions'!$C193="",'asset_&amp;_open_positions'!$J193="SWAP",'asset_&amp;_open_positions'!$J193="FUTURE",'asset_&amp;_open_positions'!$J193="CME FUTURE"),"",'asset_&amp;_open_positions'!$H193)</f>
        <v>5.21520975096543</v>
      </c>
    </row>
    <row r="194" spans="14:17" x14ac:dyDescent="0.25">
      <c r="N194" s="84" t="str">
        <f>IF('asset_&amp;_open_positions'!$C194="","",'asset_&amp;_open_positions'!$E194)</f>
        <v>EOS</v>
      </c>
      <c r="O194" s="43">
        <f>IF('asset_&amp;_open_positions'!$C194="","",'asset_&amp;_open_positions'!$H194)</f>
        <v>0.97802133669101299</v>
      </c>
      <c r="P194" s="84" t="str">
        <f>IF(OR('asset_&amp;_open_positions'!$C194="",'asset_&amp;_open_positions'!$J194="SWAP",'asset_&amp;_open_positions'!$J194="FUTURE",'asset_&amp;_open_positions'!$J194="CME FUTURE"),"",'asset_&amp;_open_positions'!$M194)</f>
        <v>EOS</v>
      </c>
      <c r="Q194" s="43">
        <f>IF(OR('asset_&amp;_open_positions'!$C194="",'asset_&amp;_open_positions'!$J194="SWAP",'asset_&amp;_open_positions'!$J194="FUTURE",'asset_&amp;_open_positions'!$J194="CME FUTURE"),"",'asset_&amp;_open_positions'!$H194)</f>
        <v>0.97802133669101299</v>
      </c>
    </row>
    <row r="195" spans="14:17" x14ac:dyDescent="0.25">
      <c r="N195" s="84" t="str">
        <f>IF('asset_&amp;_open_positions'!$C195="","",'asset_&amp;_open_positions'!$E195)</f>
        <v>ETC</v>
      </c>
      <c r="O195" s="43">
        <f>IF('asset_&amp;_open_positions'!$C195="","",'asset_&amp;_open_positions'!$H195)</f>
        <v>18.787687228417099</v>
      </c>
      <c r="P195" s="84" t="str">
        <f>IF(OR('asset_&amp;_open_positions'!$C195="",'asset_&amp;_open_positions'!$J195="SWAP",'asset_&amp;_open_positions'!$J195="FUTURE",'asset_&amp;_open_positions'!$J195="CME FUTURE"),"",'asset_&amp;_open_positions'!$M195)</f>
        <v>ETC</v>
      </c>
      <c r="Q195" s="43">
        <f>IF(OR('asset_&amp;_open_positions'!$C195="",'asset_&amp;_open_positions'!$J195="SWAP",'asset_&amp;_open_positions'!$J195="FUTURE",'asset_&amp;_open_positions'!$J195="CME FUTURE"),"",'asset_&amp;_open_positions'!$H195)</f>
        <v>18.787687228417099</v>
      </c>
    </row>
    <row r="196" spans="14:17" x14ac:dyDescent="0.25">
      <c r="N196" s="84" t="str">
        <f>IF('asset_&amp;_open_positions'!$C196="","",'asset_&amp;_open_positions'!$E196)</f>
        <v>ETH</v>
      </c>
      <c r="O196" s="43">
        <f>IF('asset_&amp;_open_positions'!$C196="","",'asset_&amp;_open_positions'!$H196)</f>
        <v>1309.32867693296</v>
      </c>
      <c r="P196" s="84" t="str">
        <f>IF(OR('asset_&amp;_open_positions'!$C196="",'asset_&amp;_open_positions'!$J196="SWAP",'asset_&amp;_open_positions'!$J196="FUTURE",'asset_&amp;_open_positions'!$J196="CME FUTURE"),"",'asset_&amp;_open_positions'!$M196)</f>
        <v>ETH</v>
      </c>
      <c r="Q196" s="43">
        <f>IF(OR('asset_&amp;_open_positions'!$C196="",'asset_&amp;_open_positions'!$J196="SWAP",'asset_&amp;_open_positions'!$J196="FUTURE",'asset_&amp;_open_positions'!$J196="CME FUTURE"),"",'asset_&amp;_open_positions'!$H196)</f>
        <v>1309.32867693296</v>
      </c>
    </row>
    <row r="197" spans="14:17" x14ac:dyDescent="0.25">
      <c r="N197" s="84" t="str">
        <f>IF('asset_&amp;_open_positions'!$C197="","",'asset_&amp;_open_positions'!$E197)</f>
        <v>ETH</v>
      </c>
      <c r="O197" s="43">
        <f>IF('asset_&amp;_open_positions'!$C197="","",'asset_&amp;_open_positions'!$H197)</f>
        <v>1309.32867693296</v>
      </c>
      <c r="P197" s="84" t="str">
        <f>IF(OR('asset_&amp;_open_positions'!$C197="",'asset_&amp;_open_positions'!$J197="SWAP",'asset_&amp;_open_positions'!$J197="FUTURE",'asset_&amp;_open_positions'!$J197="CME FUTURE"),"",'asset_&amp;_open_positions'!$M197)</f>
        <v>ETH</v>
      </c>
      <c r="Q197" s="43">
        <f>IF(OR('asset_&amp;_open_positions'!$C197="",'asset_&amp;_open_positions'!$J197="SWAP",'asset_&amp;_open_positions'!$J197="FUTURE",'asset_&amp;_open_positions'!$J197="CME FUTURE"),"",'asset_&amp;_open_positions'!$H197)</f>
        <v>1309.32867693296</v>
      </c>
    </row>
    <row r="198" spans="14:17" x14ac:dyDescent="0.25">
      <c r="N198" s="84" t="str">
        <f>IF('asset_&amp;_open_positions'!$C198="","",'asset_&amp;_open_positions'!$E198)</f>
        <v>LINK</v>
      </c>
      <c r="O198" s="43">
        <f>IF('asset_&amp;_open_positions'!$C198="","",'asset_&amp;_open_positions'!$H198)</f>
        <v>6.72882805759214</v>
      </c>
      <c r="P198" s="84" t="str">
        <f>IF(OR('asset_&amp;_open_positions'!$C198="",'asset_&amp;_open_positions'!$J198="SWAP",'asset_&amp;_open_positions'!$J198="FUTURE",'asset_&amp;_open_positions'!$J198="CME FUTURE"),"",'asset_&amp;_open_positions'!$M198)</f>
        <v>LINK</v>
      </c>
      <c r="Q198" s="43">
        <f>IF(OR('asset_&amp;_open_positions'!$C198="",'asset_&amp;_open_positions'!$J198="SWAP",'asset_&amp;_open_positions'!$J198="FUTURE",'asset_&amp;_open_positions'!$J198="CME FUTURE"),"",'asset_&amp;_open_positions'!$H198)</f>
        <v>6.72882805759214</v>
      </c>
    </row>
    <row r="199" spans="14:17" x14ac:dyDescent="0.25">
      <c r="N199" s="84" t="str">
        <f>IF('asset_&amp;_open_positions'!$C199="","",'asset_&amp;_open_positions'!$E199)</f>
        <v>LTC</v>
      </c>
      <c r="O199" s="43">
        <f>IF('asset_&amp;_open_positions'!$C199="","",'asset_&amp;_open_positions'!$H199)</f>
        <v>75.475863646134997</v>
      </c>
      <c r="P199" s="84" t="str">
        <f>IF(OR('asset_&amp;_open_positions'!$C199="",'asset_&amp;_open_positions'!$J199="SWAP",'asset_&amp;_open_positions'!$J199="FUTURE",'asset_&amp;_open_positions'!$J199="CME FUTURE"),"",'asset_&amp;_open_positions'!$M199)</f>
        <v>LTC</v>
      </c>
      <c r="Q199" s="43">
        <f>IF(OR('asset_&amp;_open_positions'!$C199="",'asset_&amp;_open_positions'!$J199="SWAP",'asset_&amp;_open_positions'!$J199="FUTURE",'asset_&amp;_open_positions'!$J199="CME FUTURE"),"",'asset_&amp;_open_positions'!$H199)</f>
        <v>75.475863646134997</v>
      </c>
    </row>
    <row r="200" spans="14:17" x14ac:dyDescent="0.25">
      <c r="N200" s="84" t="str">
        <f>IF('asset_&amp;_open_positions'!$C200="","",'asset_&amp;_open_positions'!$E200)</f>
        <v>TRX</v>
      </c>
      <c r="O200" s="43">
        <f>IF('asset_&amp;_open_positions'!$C200="","",'asset_&amp;_open_positions'!$H200)</f>
        <v>5.5666357131219001E-2</v>
      </c>
      <c r="P200" s="84" t="str">
        <f>IF(OR('asset_&amp;_open_positions'!$C200="",'asset_&amp;_open_positions'!$J200="SWAP",'asset_&amp;_open_positions'!$J200="FUTURE",'asset_&amp;_open_positions'!$J200="CME FUTURE"),"",'asset_&amp;_open_positions'!$M200)</f>
        <v>TRX</v>
      </c>
      <c r="Q200" s="43">
        <f>IF(OR('asset_&amp;_open_positions'!$C200="",'asset_&amp;_open_positions'!$J200="SWAP",'asset_&amp;_open_positions'!$J200="FUTURE",'asset_&amp;_open_positions'!$J200="CME FUTURE"),"",'asset_&amp;_open_positions'!$H200)</f>
        <v>5.5666357131219001E-2</v>
      </c>
    </row>
    <row r="201" spans="14:17" x14ac:dyDescent="0.25">
      <c r="N201" s="84" t="str">
        <f>IF('asset_&amp;_open_positions'!$C201="","",'asset_&amp;_open_positions'!$E201)</f>
        <v>XRP</v>
      </c>
      <c r="O201" s="43">
        <f>IF('asset_&amp;_open_positions'!$C201="","",'asset_&amp;_open_positions'!$H201)</f>
        <v>0.38641371777866901</v>
      </c>
      <c r="P201" s="84" t="str">
        <f>IF(OR('asset_&amp;_open_positions'!$C201="",'asset_&amp;_open_positions'!$J201="SWAP",'asset_&amp;_open_positions'!$J201="FUTURE",'asset_&amp;_open_positions'!$J201="CME FUTURE"),"",'asset_&amp;_open_positions'!$M201)</f>
        <v>XRP</v>
      </c>
      <c r="Q201" s="43">
        <f>IF(OR('asset_&amp;_open_positions'!$C201="",'asset_&amp;_open_positions'!$J201="SWAP",'asset_&amp;_open_positions'!$J201="FUTURE",'asset_&amp;_open_positions'!$J201="CME FUTURE"),"",'asset_&amp;_open_positions'!$H201)</f>
        <v>0.38641371777866901</v>
      </c>
    </row>
    <row r="202" spans="14:17" x14ac:dyDescent="0.25">
      <c r="N202" s="84" t="str">
        <f>IF('asset_&amp;_open_positions'!$C202="","",'asset_&amp;_open_positions'!$E202)</f>
        <v>BTC</v>
      </c>
      <c r="O202" s="43">
        <f>IF('asset_&amp;_open_positions'!$C202="","",'asset_&amp;_open_positions'!$H202)</f>
        <v>17815.649854650899</v>
      </c>
      <c r="P202" s="84" t="str">
        <f>IF(OR('asset_&amp;_open_positions'!$C202="",'asset_&amp;_open_positions'!$J202="SWAP",'asset_&amp;_open_positions'!$J202="FUTURE",'asset_&amp;_open_positions'!$J202="CME FUTURE"),"",'asset_&amp;_open_positions'!$M202)</f>
        <v>BTC</v>
      </c>
      <c r="Q202" s="43">
        <f>IF(OR('asset_&amp;_open_positions'!$C202="",'asset_&amp;_open_positions'!$J202="SWAP",'asset_&amp;_open_positions'!$J202="FUTURE",'asset_&amp;_open_positions'!$J202="CME FUTURE"),"",'asset_&amp;_open_positions'!$H202)</f>
        <v>17815.649854650899</v>
      </c>
    </row>
    <row r="203" spans="14:17" x14ac:dyDescent="0.25">
      <c r="N203" s="84" t="str">
        <f>IF('asset_&amp;_open_positions'!$C203="","",'asset_&amp;_open_positions'!$E203)</f>
        <v>USDT</v>
      </c>
      <c r="O203" s="43">
        <f>IF('asset_&amp;_open_positions'!$C203="","",'asset_&amp;_open_positions'!$H203)</f>
        <v>1.0001054103245299</v>
      </c>
      <c r="P203" s="84" t="str">
        <f>IF(OR('asset_&amp;_open_positions'!$C203="",'asset_&amp;_open_positions'!$J203="SWAP",'asset_&amp;_open_positions'!$J203="FUTURE",'asset_&amp;_open_positions'!$J203="CME FUTURE"),"",'asset_&amp;_open_positions'!$M203)</f>
        <v>USDT</v>
      </c>
      <c r="Q203" s="43">
        <f>IF(OR('asset_&amp;_open_positions'!$C203="",'asset_&amp;_open_positions'!$J203="SWAP",'asset_&amp;_open_positions'!$J203="FUTURE",'asset_&amp;_open_positions'!$J203="CME FUTURE"),"",'asset_&amp;_open_positions'!$H203)</f>
        <v>1.0001054103245299</v>
      </c>
    </row>
    <row r="204" spans="14:17" x14ac:dyDescent="0.25">
      <c r="N204" s="84" t="str">
        <f>IF('asset_&amp;_open_positions'!$C204="","",'asset_&amp;_open_positions'!$E204)</f>
        <v>BTC</v>
      </c>
      <c r="O204" s="43">
        <f>IF('asset_&amp;_open_positions'!$C204="","",'asset_&amp;_open_positions'!$H204)</f>
        <v>17815.649854650899</v>
      </c>
      <c r="P204" s="84" t="str">
        <f>IF(OR('asset_&amp;_open_positions'!$C204="",'asset_&amp;_open_positions'!$J204="SWAP",'asset_&amp;_open_positions'!$J204="FUTURE",'asset_&amp;_open_positions'!$J204="CME FUTURE"),"",'asset_&amp;_open_positions'!$M204)</f>
        <v>BTC</v>
      </c>
      <c r="Q204" s="43">
        <f>IF(OR('asset_&amp;_open_positions'!$C204="",'asset_&amp;_open_positions'!$J204="SWAP",'asset_&amp;_open_positions'!$J204="FUTURE",'asset_&amp;_open_positions'!$J204="CME FUTURE"),"",'asset_&amp;_open_positions'!$H204)</f>
        <v>17815.649854650899</v>
      </c>
    </row>
    <row r="205" spans="14:17" x14ac:dyDescent="0.25">
      <c r="N205" s="84" t="str">
        <f>IF('asset_&amp;_open_positions'!$C205="","",'asset_&amp;_open_positions'!$E205)</f>
        <v>ETHF</v>
      </c>
      <c r="O205" s="43">
        <f>IF('asset_&amp;_open_positions'!$C205="","",'asset_&amp;_open_positions'!$H205)</f>
        <v>0.23001664875320599</v>
      </c>
      <c r="P205" s="84" t="str">
        <f>IF(OR('asset_&amp;_open_positions'!$C205="",'asset_&amp;_open_positions'!$J205="SWAP",'asset_&amp;_open_positions'!$J205="FUTURE",'asset_&amp;_open_positions'!$J205="CME FUTURE"),"",'asset_&amp;_open_positions'!$M205)</f>
        <v>ETHF</v>
      </c>
      <c r="Q205" s="43">
        <f>IF(OR('asset_&amp;_open_positions'!$C205="",'asset_&amp;_open_positions'!$J205="SWAP",'asset_&amp;_open_positions'!$J205="FUTURE",'asset_&amp;_open_positions'!$J205="CME FUTURE"),"",'asset_&amp;_open_positions'!$H205)</f>
        <v>0.23001664875320599</v>
      </c>
    </row>
    <row r="206" spans="14:17" x14ac:dyDescent="0.25">
      <c r="N206" s="84" t="str">
        <f>IF('asset_&amp;_open_positions'!$C206="","",'asset_&amp;_open_positions'!$E206)</f>
        <v>ETHW</v>
      </c>
      <c r="O206" s="43">
        <f>IF('asset_&amp;_open_positions'!$C206="","",'asset_&amp;_open_positions'!$H206)</f>
        <v>3.5405121692480601</v>
      </c>
      <c r="P206" s="84" t="str">
        <f>IF(OR('asset_&amp;_open_positions'!$C206="",'asset_&amp;_open_positions'!$J206="SWAP",'asset_&amp;_open_positions'!$J206="FUTURE",'asset_&amp;_open_positions'!$J206="CME FUTURE"),"",'asset_&amp;_open_positions'!$M206)</f>
        <v>ETHW</v>
      </c>
      <c r="Q206" s="43">
        <f>IF(OR('asset_&amp;_open_positions'!$C206="",'asset_&amp;_open_positions'!$J206="SWAP",'asset_&amp;_open_positions'!$J206="FUTURE",'asset_&amp;_open_positions'!$J206="CME FUTURE"),"",'asset_&amp;_open_positions'!$H206)</f>
        <v>3.5405121692480601</v>
      </c>
    </row>
    <row r="207" spans="14:17" x14ac:dyDescent="0.25">
      <c r="N207" s="84" t="str">
        <f>IF('asset_&amp;_open_positions'!$C207="","",'asset_&amp;_open_positions'!$E207)</f>
        <v>ROSE</v>
      </c>
      <c r="O207" s="43">
        <f>IF('asset_&amp;_open_positions'!$C207="","",'asset_&amp;_open_positions'!$H207)</f>
        <v>4.3878636168297402E-2</v>
      </c>
      <c r="P207" s="84" t="str">
        <f>IF(OR('asset_&amp;_open_positions'!$C207="",'asset_&amp;_open_positions'!$J207="SWAP",'asset_&amp;_open_positions'!$J207="FUTURE",'asset_&amp;_open_positions'!$J207="CME FUTURE"),"",'asset_&amp;_open_positions'!$M207)</f>
        <v>ROSE</v>
      </c>
      <c r="Q207" s="43">
        <f>IF(OR('asset_&amp;_open_positions'!$C207="",'asset_&amp;_open_positions'!$J207="SWAP",'asset_&amp;_open_positions'!$J207="FUTURE",'asset_&amp;_open_positions'!$J207="CME FUTURE"),"",'asset_&amp;_open_positions'!$H207)</f>
        <v>4.3878636168297402E-2</v>
      </c>
    </row>
    <row r="208" spans="14:17" x14ac:dyDescent="0.25">
      <c r="N208" s="84" t="str">
        <f>IF('asset_&amp;_open_positions'!$C208="","",'asset_&amp;_open_positions'!$E208)</f>
        <v>USDT</v>
      </c>
      <c r="O208" s="43">
        <f>IF('asset_&amp;_open_positions'!$C208="","",'asset_&amp;_open_positions'!$H208)</f>
        <v>1.0001054103245299</v>
      </c>
      <c r="P208" s="84" t="str">
        <f>IF(OR('asset_&amp;_open_positions'!$C208="",'asset_&amp;_open_positions'!$J208="SWAP",'asset_&amp;_open_positions'!$J208="FUTURE",'asset_&amp;_open_positions'!$J208="CME FUTURE"),"",'asset_&amp;_open_positions'!$M208)</f>
        <v>USDT</v>
      </c>
      <c r="Q208" s="43">
        <f>IF(OR('asset_&amp;_open_positions'!$C208="",'asset_&amp;_open_positions'!$J208="SWAP",'asset_&amp;_open_positions'!$J208="FUTURE",'asset_&amp;_open_positions'!$J208="CME FUTURE"),"",'asset_&amp;_open_positions'!$H208)</f>
        <v>1.0001054103245299</v>
      </c>
    </row>
    <row r="209" spans="14:17" x14ac:dyDescent="0.25">
      <c r="N209" s="84" t="str">
        <f>IF('asset_&amp;_open_positions'!$C209="","",'asset_&amp;_open_positions'!$E209)</f>
        <v>BTC</v>
      </c>
      <c r="O209" s="43">
        <f>IF('asset_&amp;_open_positions'!$C209="","",'asset_&amp;_open_positions'!$H209)</f>
        <v>17815.649854650899</v>
      </c>
      <c r="P209" s="84" t="str">
        <f>IF(OR('asset_&amp;_open_positions'!$C209="",'asset_&amp;_open_positions'!$J209="SWAP",'asset_&amp;_open_positions'!$J209="FUTURE",'asset_&amp;_open_positions'!$J209="CME FUTURE"),"",'asset_&amp;_open_positions'!$M209)</f>
        <v>BTC</v>
      </c>
      <c r="Q209" s="43">
        <f>IF(OR('asset_&amp;_open_positions'!$C209="",'asset_&amp;_open_positions'!$J209="SWAP",'asset_&amp;_open_positions'!$J209="FUTURE",'asset_&amp;_open_positions'!$J209="CME FUTURE"),"",'asset_&amp;_open_positions'!$H209)</f>
        <v>17815.649854650899</v>
      </c>
    </row>
    <row r="210" spans="14:17" x14ac:dyDescent="0.25">
      <c r="N210" s="84" t="str">
        <f>IF('asset_&amp;_open_positions'!$C210="","",'asset_&amp;_open_positions'!$E210)</f>
        <v>ETH</v>
      </c>
      <c r="O210" s="43">
        <f>IF('asset_&amp;_open_positions'!$C210="","",'asset_&amp;_open_positions'!$H210)</f>
        <v>1309.32867693296</v>
      </c>
      <c r="P210" s="84" t="str">
        <f>IF(OR('asset_&amp;_open_positions'!$C210="",'asset_&amp;_open_positions'!$J210="SWAP",'asset_&amp;_open_positions'!$J210="FUTURE",'asset_&amp;_open_positions'!$J210="CME FUTURE"),"",'asset_&amp;_open_positions'!$M210)</f>
        <v>ETH</v>
      </c>
      <c r="Q210" s="43">
        <f>IF(OR('asset_&amp;_open_positions'!$C210="",'asset_&amp;_open_positions'!$J210="SWAP",'asset_&amp;_open_positions'!$J210="FUTURE",'asset_&amp;_open_positions'!$J210="CME FUTURE"),"",'asset_&amp;_open_positions'!$H210)</f>
        <v>1309.32867693296</v>
      </c>
    </row>
    <row r="211" spans="14:17" x14ac:dyDescent="0.25">
      <c r="N211" s="84" t="str">
        <f>IF('asset_&amp;_open_positions'!$C211="","",'asset_&amp;_open_positions'!$E211)</f>
        <v>USDT</v>
      </c>
      <c r="O211" s="43">
        <f>IF('asset_&amp;_open_positions'!$C211="","",'asset_&amp;_open_positions'!$H211)</f>
        <v>1.0001054103245299</v>
      </c>
      <c r="P211" s="84" t="str">
        <f>IF(OR('asset_&amp;_open_positions'!$C211="",'asset_&amp;_open_positions'!$J211="SWAP",'asset_&amp;_open_positions'!$J211="FUTURE",'asset_&amp;_open_positions'!$J211="CME FUTURE"),"",'asset_&amp;_open_positions'!$M211)</f>
        <v>USDT</v>
      </c>
      <c r="Q211" s="43">
        <f>IF(OR('asset_&amp;_open_positions'!$C211="",'asset_&amp;_open_positions'!$J211="SWAP",'asset_&amp;_open_positions'!$J211="FUTURE",'asset_&amp;_open_positions'!$J211="CME FUTURE"),"",'asset_&amp;_open_positions'!$H211)</f>
        <v>1.0001054103245299</v>
      </c>
    </row>
    <row r="212" spans="14:17" x14ac:dyDescent="0.25">
      <c r="N212" s="84" t="str">
        <f>IF('asset_&amp;_open_positions'!$C212="","",'asset_&amp;_open_positions'!$E212)</f>
        <v>USDT</v>
      </c>
      <c r="O212" s="43">
        <f>IF('asset_&amp;_open_positions'!$C212="","",'asset_&amp;_open_positions'!$H212)</f>
        <v>1.0001054103245299</v>
      </c>
      <c r="P212" s="84" t="str">
        <f>IF(OR('asset_&amp;_open_positions'!$C212="",'asset_&amp;_open_positions'!$J212="SWAP",'asset_&amp;_open_positions'!$J212="FUTURE",'asset_&amp;_open_positions'!$J212="CME FUTURE"),"",'asset_&amp;_open_positions'!$M212)</f>
        <v>USDT</v>
      </c>
      <c r="Q212" s="43">
        <f>IF(OR('asset_&amp;_open_positions'!$C212="",'asset_&amp;_open_positions'!$J212="SWAP",'asset_&amp;_open_positions'!$J212="FUTURE",'asset_&amp;_open_positions'!$J212="CME FUTURE"),"",'asset_&amp;_open_positions'!$H212)</f>
        <v>1.0001054103245299</v>
      </c>
    </row>
    <row r="213" spans="14:17" x14ac:dyDescent="0.25">
      <c r="N213" s="84" t="str">
        <f>IF('asset_&amp;_open_positions'!$C213="","",'asset_&amp;_open_positions'!$E213)</f>
        <v>USDT</v>
      </c>
      <c r="O213" s="43">
        <f>IF('asset_&amp;_open_positions'!$C213="","",'asset_&amp;_open_positions'!$H213)</f>
        <v>1.0001054103245299</v>
      </c>
      <c r="P213" s="84" t="str">
        <f>IF(OR('asset_&amp;_open_positions'!$C213="",'asset_&amp;_open_positions'!$J213="SWAP",'asset_&amp;_open_positions'!$J213="FUTURE",'asset_&amp;_open_positions'!$J213="CME FUTURE"),"",'asset_&amp;_open_positions'!$M213)</f>
        <v>USDT</v>
      </c>
      <c r="Q213" s="43">
        <f>IF(OR('asset_&amp;_open_positions'!$C213="",'asset_&amp;_open_positions'!$J213="SWAP",'asset_&amp;_open_positions'!$J213="FUTURE",'asset_&amp;_open_positions'!$J213="CME FUTURE"),"",'asset_&amp;_open_positions'!$H213)</f>
        <v>1.0001054103245299</v>
      </c>
    </row>
    <row r="214" spans="14:17" x14ac:dyDescent="0.25">
      <c r="N214" s="84" t="str">
        <f>IF('asset_&amp;_open_positions'!$C214="","",'asset_&amp;_open_positions'!$E214)</f>
        <v>XRP</v>
      </c>
      <c r="O214" s="43">
        <f>IF('asset_&amp;_open_positions'!$C214="","",'asset_&amp;_open_positions'!$H214)</f>
        <v>0.38641371777866901</v>
      </c>
      <c r="P214" s="84" t="str">
        <f>IF(OR('asset_&amp;_open_positions'!$C214="",'asset_&amp;_open_positions'!$J214="SWAP",'asset_&amp;_open_positions'!$J214="FUTURE",'asset_&amp;_open_positions'!$J214="CME FUTURE"),"",'asset_&amp;_open_positions'!$M214)</f>
        <v>XRP</v>
      </c>
      <c r="Q214" s="43">
        <f>IF(OR('asset_&amp;_open_positions'!$C214="",'asset_&amp;_open_positions'!$J214="SWAP",'asset_&amp;_open_positions'!$J214="FUTURE",'asset_&amp;_open_positions'!$J214="CME FUTURE"),"",'asset_&amp;_open_positions'!$H214)</f>
        <v>0.38641371777866901</v>
      </c>
    </row>
    <row r="215" spans="14:17" x14ac:dyDescent="0.25">
      <c r="N215" s="84" t="str">
        <f>IF('asset_&amp;_open_positions'!$C215="","",'asset_&amp;_open_positions'!$E215)</f>
        <v>ADA</v>
      </c>
      <c r="O215" s="43">
        <f>IF('asset_&amp;_open_positions'!$C215="","",'asset_&amp;_open_positions'!$H215)</f>
        <v>0.308134251946941</v>
      </c>
      <c r="P215" s="84" t="str">
        <f>IF(OR('asset_&amp;_open_positions'!$C215="",'asset_&amp;_open_positions'!$J215="SWAP",'asset_&amp;_open_positions'!$J215="FUTURE",'asset_&amp;_open_positions'!$J215="CME FUTURE"),"",'asset_&amp;_open_positions'!$M215)</f>
        <v>ADA</v>
      </c>
      <c r="Q215" s="43">
        <f>IF(OR('asset_&amp;_open_positions'!$C215="",'asset_&amp;_open_positions'!$J215="SWAP",'asset_&amp;_open_positions'!$J215="FUTURE",'asset_&amp;_open_positions'!$J215="CME FUTURE"),"",'asset_&amp;_open_positions'!$H215)</f>
        <v>0.308134251946941</v>
      </c>
    </row>
    <row r="216" spans="14:17" x14ac:dyDescent="0.25">
      <c r="N216" s="84" t="str">
        <f>IF('asset_&amp;_open_positions'!$C216="","",'asset_&amp;_open_positions'!$E216)</f>
        <v>BCH</v>
      </c>
      <c r="O216" s="43">
        <f>IF('asset_&amp;_open_positions'!$C216="","",'asset_&amp;_open_positions'!$H216)</f>
        <v>109.10849595307199</v>
      </c>
      <c r="P216" s="84" t="str">
        <f>IF(OR('asset_&amp;_open_positions'!$C216="",'asset_&amp;_open_positions'!$J216="SWAP",'asset_&amp;_open_positions'!$J216="FUTURE",'asset_&amp;_open_positions'!$J216="CME FUTURE"),"",'asset_&amp;_open_positions'!$M216)</f>
        <v>BCH</v>
      </c>
      <c r="Q216" s="43">
        <f>IF(OR('asset_&amp;_open_positions'!$C216="",'asset_&amp;_open_positions'!$J216="SWAP",'asset_&amp;_open_positions'!$J216="FUTURE",'asset_&amp;_open_positions'!$J216="CME FUTURE"),"",'asset_&amp;_open_positions'!$H216)</f>
        <v>109.10849595307199</v>
      </c>
    </row>
    <row r="217" spans="14:17" x14ac:dyDescent="0.25">
      <c r="N217" s="84" t="str">
        <f>IF('asset_&amp;_open_positions'!$C217="","",'asset_&amp;_open_positions'!$E217)</f>
        <v>BSV</v>
      </c>
      <c r="O217" s="43">
        <f>IF('asset_&amp;_open_positions'!$C217="","",'asset_&amp;_open_positions'!$H217)</f>
        <v>45.311618722574998</v>
      </c>
      <c r="P217" s="84" t="str">
        <f>IF(OR('asset_&amp;_open_positions'!$C217="",'asset_&amp;_open_positions'!$J217="SWAP",'asset_&amp;_open_positions'!$J217="FUTURE",'asset_&amp;_open_positions'!$J217="CME FUTURE"),"",'asset_&amp;_open_positions'!$M217)</f>
        <v>BSV</v>
      </c>
      <c r="Q217" s="43">
        <f>IF(OR('asset_&amp;_open_positions'!$C217="",'asset_&amp;_open_positions'!$J217="SWAP",'asset_&amp;_open_positions'!$J217="FUTURE",'asset_&amp;_open_positions'!$J217="CME FUTURE"),"",'asset_&amp;_open_positions'!$H217)</f>
        <v>45.311618722574998</v>
      </c>
    </row>
    <row r="218" spans="14:17" x14ac:dyDescent="0.25">
      <c r="N218" s="84" t="str">
        <f>IF('asset_&amp;_open_positions'!$C218="","",'asset_&amp;_open_positions'!$E218)</f>
        <v>EOS</v>
      </c>
      <c r="O218" s="43">
        <f>IF('asset_&amp;_open_positions'!$C218="","",'asset_&amp;_open_positions'!$H218)</f>
        <v>0.97802133669101299</v>
      </c>
      <c r="P218" s="84" t="str">
        <f>IF(OR('asset_&amp;_open_positions'!$C218="",'asset_&amp;_open_positions'!$J218="SWAP",'asset_&amp;_open_positions'!$J218="FUTURE",'asset_&amp;_open_positions'!$J218="CME FUTURE"),"",'asset_&amp;_open_positions'!$M218)</f>
        <v>EOS</v>
      </c>
      <c r="Q218" s="43">
        <f>IF(OR('asset_&amp;_open_positions'!$C218="",'asset_&amp;_open_positions'!$J218="SWAP",'asset_&amp;_open_positions'!$J218="FUTURE",'asset_&amp;_open_positions'!$J218="CME FUTURE"),"",'asset_&amp;_open_positions'!$H218)</f>
        <v>0.97802133669101299</v>
      </c>
    </row>
    <row r="219" spans="14:17" x14ac:dyDescent="0.25">
      <c r="N219" s="84" t="str">
        <f>IF('asset_&amp;_open_positions'!$C219="","",'asset_&amp;_open_positions'!$E219)</f>
        <v>ETC</v>
      </c>
      <c r="O219" s="43">
        <f>IF('asset_&amp;_open_positions'!$C219="","",'asset_&amp;_open_positions'!$H219)</f>
        <v>18.787687228417099</v>
      </c>
      <c r="P219" s="84" t="str">
        <f>IF(OR('asset_&amp;_open_positions'!$C219="",'asset_&amp;_open_positions'!$J219="SWAP",'asset_&amp;_open_positions'!$J219="FUTURE",'asset_&amp;_open_positions'!$J219="CME FUTURE"),"",'asset_&amp;_open_positions'!$M219)</f>
        <v>ETC</v>
      </c>
      <c r="Q219" s="43">
        <f>IF(OR('asset_&amp;_open_positions'!$C219="",'asset_&amp;_open_positions'!$J219="SWAP",'asset_&amp;_open_positions'!$J219="FUTURE",'asset_&amp;_open_positions'!$J219="CME FUTURE"),"",'asset_&amp;_open_positions'!$H219)</f>
        <v>18.787687228417099</v>
      </c>
    </row>
    <row r="220" spans="14:17" x14ac:dyDescent="0.25">
      <c r="N220" s="84" t="str">
        <f>IF('asset_&amp;_open_positions'!$C220="","",'asset_&amp;_open_positions'!$E220)</f>
        <v>ETH</v>
      </c>
      <c r="O220" s="43">
        <f>IF('asset_&amp;_open_positions'!$C220="","",'asset_&amp;_open_positions'!$H220)</f>
        <v>1309.32867693296</v>
      </c>
      <c r="P220" s="84" t="str">
        <f>IF(OR('asset_&amp;_open_positions'!$C220="",'asset_&amp;_open_positions'!$J220="SWAP",'asset_&amp;_open_positions'!$J220="FUTURE",'asset_&amp;_open_positions'!$J220="CME FUTURE"),"",'asset_&amp;_open_positions'!$M220)</f>
        <v>ETH</v>
      </c>
      <c r="Q220" s="43">
        <f>IF(OR('asset_&amp;_open_positions'!$C220="",'asset_&amp;_open_positions'!$J220="SWAP",'asset_&amp;_open_positions'!$J220="FUTURE",'asset_&amp;_open_positions'!$J220="CME FUTURE"),"",'asset_&amp;_open_positions'!$H220)</f>
        <v>1309.32867693296</v>
      </c>
    </row>
    <row r="221" spans="14:17" x14ac:dyDescent="0.25">
      <c r="N221" s="84" t="str">
        <f>IF('asset_&amp;_open_positions'!$C221="","",'asset_&amp;_open_positions'!$E221)</f>
        <v>LINK</v>
      </c>
      <c r="O221" s="43">
        <f>IF('asset_&amp;_open_positions'!$C221="","",'asset_&amp;_open_positions'!$H221)</f>
        <v>6.72882805759214</v>
      </c>
      <c r="P221" s="84" t="str">
        <f>IF(OR('asset_&amp;_open_positions'!$C221="",'asset_&amp;_open_positions'!$J221="SWAP",'asset_&amp;_open_positions'!$J221="FUTURE",'asset_&amp;_open_positions'!$J221="CME FUTURE"),"",'asset_&amp;_open_positions'!$M221)</f>
        <v>LINK</v>
      </c>
      <c r="Q221" s="43">
        <f>IF(OR('asset_&amp;_open_positions'!$C221="",'asset_&amp;_open_positions'!$J221="SWAP",'asset_&amp;_open_positions'!$J221="FUTURE",'asset_&amp;_open_positions'!$J221="CME FUTURE"),"",'asset_&amp;_open_positions'!$H221)</f>
        <v>6.72882805759214</v>
      </c>
    </row>
    <row r="222" spans="14:17" x14ac:dyDescent="0.25">
      <c r="N222" s="84" t="str">
        <f>IF('asset_&amp;_open_positions'!$C222="","",'asset_&amp;_open_positions'!$E222)</f>
        <v>LTC</v>
      </c>
      <c r="O222" s="43">
        <f>IF('asset_&amp;_open_positions'!$C222="","",'asset_&amp;_open_positions'!$H222)</f>
        <v>75.475863646134997</v>
      </c>
      <c r="P222" s="84" t="str">
        <f>IF(OR('asset_&amp;_open_positions'!$C222="",'asset_&amp;_open_positions'!$J222="SWAP",'asset_&amp;_open_positions'!$J222="FUTURE",'asset_&amp;_open_positions'!$J222="CME FUTURE"),"",'asset_&amp;_open_positions'!$M222)</f>
        <v>LTC</v>
      </c>
      <c r="Q222" s="43">
        <f>IF(OR('asset_&amp;_open_positions'!$C222="",'asset_&amp;_open_positions'!$J222="SWAP",'asset_&amp;_open_positions'!$J222="FUTURE",'asset_&amp;_open_positions'!$J222="CME FUTURE"),"",'asset_&amp;_open_positions'!$H222)</f>
        <v>75.475863646134997</v>
      </c>
    </row>
    <row r="223" spans="14:17" x14ac:dyDescent="0.25">
      <c r="N223" s="84" t="str">
        <f>IF('asset_&amp;_open_positions'!$C223="","",'asset_&amp;_open_positions'!$E223)</f>
        <v>USDT</v>
      </c>
      <c r="O223" s="43">
        <f>IF('asset_&amp;_open_positions'!$C223="","",'asset_&amp;_open_positions'!$H223)</f>
        <v>1.0001054103245299</v>
      </c>
      <c r="P223" s="84" t="str">
        <f>IF(OR('asset_&amp;_open_positions'!$C223="",'asset_&amp;_open_positions'!$J223="SWAP",'asset_&amp;_open_positions'!$J223="FUTURE",'asset_&amp;_open_positions'!$J223="CME FUTURE"),"",'asset_&amp;_open_positions'!$M223)</f>
        <v>USDT</v>
      </c>
      <c r="Q223" s="43">
        <f>IF(OR('asset_&amp;_open_positions'!$C223="",'asset_&amp;_open_positions'!$J223="SWAP",'asset_&amp;_open_positions'!$J223="FUTURE",'asset_&amp;_open_positions'!$J223="CME FUTURE"),"",'asset_&amp;_open_positions'!$H223)</f>
        <v>1.0001054103245299</v>
      </c>
    </row>
    <row r="224" spans="14:17" x14ac:dyDescent="0.25">
      <c r="N224" s="84" t="str">
        <f>IF('asset_&amp;_open_positions'!$C224="","",'asset_&amp;_open_positions'!$E224)</f>
        <v>XRP</v>
      </c>
      <c r="O224" s="43">
        <f>IF('asset_&amp;_open_positions'!$C224="","",'asset_&amp;_open_positions'!$H224)</f>
        <v>0.38641371777866901</v>
      </c>
      <c r="P224" s="84" t="str">
        <f>IF(OR('asset_&amp;_open_positions'!$C224="",'asset_&amp;_open_positions'!$J224="SWAP",'asset_&amp;_open_positions'!$J224="FUTURE",'asset_&amp;_open_positions'!$J224="CME FUTURE"),"",'asset_&amp;_open_positions'!$M224)</f>
        <v>XRP</v>
      </c>
      <c r="Q224" s="43">
        <f>IF(OR('asset_&amp;_open_positions'!$C224="",'asset_&amp;_open_positions'!$J224="SWAP",'asset_&amp;_open_positions'!$J224="FUTURE",'asset_&amp;_open_positions'!$J224="CME FUTURE"),"",'asset_&amp;_open_positions'!$H224)</f>
        <v>0.38641371777866901</v>
      </c>
    </row>
    <row r="225" spans="14:17" x14ac:dyDescent="0.25">
      <c r="N225" s="84" t="str">
        <f>IF('asset_&amp;_open_positions'!$C225="","",'asset_&amp;_open_positions'!$E225)</f>
        <v>AAVE</v>
      </c>
      <c r="O225" s="43">
        <f>IF('asset_&amp;_open_positions'!$C225="","",'asset_&amp;_open_positions'!$H225)</f>
        <v>62.562890626420497</v>
      </c>
      <c r="P225" s="84" t="str">
        <f>IF(OR('asset_&amp;_open_positions'!$C225="",'asset_&amp;_open_positions'!$J225="SWAP",'asset_&amp;_open_positions'!$J225="FUTURE",'asset_&amp;_open_positions'!$J225="CME FUTURE"),"",'asset_&amp;_open_positions'!$M225)</f>
        <v>AAVE</v>
      </c>
      <c r="Q225" s="43">
        <f>IF(OR('asset_&amp;_open_positions'!$C225="",'asset_&amp;_open_positions'!$J225="SWAP",'asset_&amp;_open_positions'!$J225="FUTURE",'asset_&amp;_open_positions'!$J225="CME FUTURE"),"",'asset_&amp;_open_positions'!$H225)</f>
        <v>62.562890626420497</v>
      </c>
    </row>
    <row r="226" spans="14:17" x14ac:dyDescent="0.25">
      <c r="N226" s="84" t="str">
        <f>IF('asset_&amp;_open_positions'!$C226="","",'asset_&amp;_open_positions'!$E226)</f>
        <v>ADA</v>
      </c>
      <c r="O226" s="43">
        <f>IF('asset_&amp;_open_positions'!$C226="","",'asset_&amp;_open_positions'!$H226)</f>
        <v>0.308134251946941</v>
      </c>
      <c r="P226" s="84" t="str">
        <f>IF(OR('asset_&amp;_open_positions'!$C226="",'asset_&amp;_open_positions'!$J226="SWAP",'asset_&amp;_open_positions'!$J226="FUTURE",'asset_&amp;_open_positions'!$J226="CME FUTURE"),"",'asset_&amp;_open_positions'!$M226)</f>
        <v>ADA</v>
      </c>
      <c r="Q226" s="43">
        <f>IF(OR('asset_&amp;_open_positions'!$C226="",'asset_&amp;_open_positions'!$J226="SWAP",'asset_&amp;_open_positions'!$J226="FUTURE",'asset_&amp;_open_positions'!$J226="CME FUTURE"),"",'asset_&amp;_open_positions'!$H226)</f>
        <v>0.308134251946941</v>
      </c>
    </row>
    <row r="227" spans="14:17" x14ac:dyDescent="0.25">
      <c r="N227" s="84" t="str">
        <f>IF('asset_&amp;_open_positions'!$C227="","",'asset_&amp;_open_positions'!$E227)</f>
        <v>BCH</v>
      </c>
      <c r="O227" s="43">
        <f>IF('asset_&amp;_open_positions'!$C227="","",'asset_&amp;_open_positions'!$H227)</f>
        <v>109.10849595307199</v>
      </c>
      <c r="P227" s="84" t="str">
        <f>IF(OR('asset_&amp;_open_positions'!$C227="",'asset_&amp;_open_positions'!$J227="SWAP",'asset_&amp;_open_positions'!$J227="FUTURE",'asset_&amp;_open_positions'!$J227="CME FUTURE"),"",'asset_&amp;_open_positions'!$M227)</f>
        <v>BCH</v>
      </c>
      <c r="Q227" s="43">
        <f>IF(OR('asset_&amp;_open_positions'!$C227="",'asset_&amp;_open_positions'!$J227="SWAP",'asset_&amp;_open_positions'!$J227="FUTURE",'asset_&amp;_open_positions'!$J227="CME FUTURE"),"",'asset_&amp;_open_positions'!$H227)</f>
        <v>109.10849595307199</v>
      </c>
    </row>
    <row r="228" spans="14:17" x14ac:dyDescent="0.25">
      <c r="N228" s="84" t="str">
        <f>IF('asset_&amp;_open_positions'!$C228="","",'asset_&amp;_open_positions'!$E228)</f>
        <v>BSV</v>
      </c>
      <c r="O228" s="43">
        <f>IF('asset_&amp;_open_positions'!$C228="","",'asset_&amp;_open_positions'!$H228)</f>
        <v>45.311618722574998</v>
      </c>
      <c r="P228" s="84" t="str">
        <f>IF(OR('asset_&amp;_open_positions'!$C228="",'asset_&amp;_open_positions'!$J228="SWAP",'asset_&amp;_open_positions'!$J228="FUTURE",'asset_&amp;_open_positions'!$J228="CME FUTURE"),"",'asset_&amp;_open_positions'!$M228)</f>
        <v>BSV</v>
      </c>
      <c r="Q228" s="43">
        <f>IF(OR('asset_&amp;_open_positions'!$C228="",'asset_&amp;_open_positions'!$J228="SWAP",'asset_&amp;_open_positions'!$J228="FUTURE",'asset_&amp;_open_positions'!$J228="CME FUTURE"),"",'asset_&amp;_open_positions'!$H228)</f>
        <v>45.311618722574998</v>
      </c>
    </row>
    <row r="229" spans="14:17" x14ac:dyDescent="0.25">
      <c r="N229" s="84" t="str">
        <f>IF('asset_&amp;_open_positions'!$C229="","",'asset_&amp;_open_positions'!$E229)</f>
        <v>BTC</v>
      </c>
      <c r="O229" s="43">
        <f>IF('asset_&amp;_open_positions'!$C229="","",'asset_&amp;_open_positions'!$H229)</f>
        <v>17815.649854650899</v>
      </c>
      <c r="P229" s="84" t="str">
        <f>IF(OR('asset_&amp;_open_positions'!$C229="",'asset_&amp;_open_positions'!$J229="SWAP",'asset_&amp;_open_positions'!$J229="FUTURE",'asset_&amp;_open_positions'!$J229="CME FUTURE"),"",'asset_&amp;_open_positions'!$M229)</f>
        <v>BTC</v>
      </c>
      <c r="Q229" s="43">
        <f>IF(OR('asset_&amp;_open_positions'!$C229="",'asset_&amp;_open_positions'!$J229="SWAP",'asset_&amp;_open_positions'!$J229="FUTURE",'asset_&amp;_open_positions'!$J229="CME FUTURE"),"",'asset_&amp;_open_positions'!$H229)</f>
        <v>17815.649854650899</v>
      </c>
    </row>
    <row r="230" spans="14:17" x14ac:dyDescent="0.25">
      <c r="N230" s="84" t="str">
        <f>IF('asset_&amp;_open_positions'!$C230="","",'asset_&amp;_open_positions'!$E230)</f>
        <v>BTC</v>
      </c>
      <c r="O230" s="43">
        <f>IF('asset_&amp;_open_positions'!$C230="","",'asset_&amp;_open_positions'!$H230)</f>
        <v>17815.649854650899</v>
      </c>
      <c r="P230" s="84" t="str">
        <f>IF(OR('asset_&amp;_open_positions'!$C230="",'asset_&amp;_open_positions'!$J230="SWAP",'asset_&amp;_open_positions'!$J230="FUTURE",'asset_&amp;_open_positions'!$J230="CME FUTURE"),"",'asset_&amp;_open_positions'!$M230)</f>
        <v>BTC</v>
      </c>
      <c r="Q230" s="43">
        <f>IF(OR('asset_&amp;_open_positions'!$C230="",'asset_&amp;_open_positions'!$J230="SWAP",'asset_&amp;_open_positions'!$J230="FUTURE",'asset_&amp;_open_positions'!$J230="CME FUTURE"),"",'asset_&amp;_open_positions'!$H230)</f>
        <v>17815.649854650899</v>
      </c>
    </row>
    <row r="231" spans="14:17" x14ac:dyDescent="0.25">
      <c r="N231" s="84" t="str">
        <f>IF('asset_&amp;_open_positions'!$C231="","",'asset_&amp;_open_positions'!$E231)</f>
        <v>DOT</v>
      </c>
      <c r="O231" s="43">
        <f>IF('asset_&amp;_open_positions'!$C231="","",'asset_&amp;_open_positions'!$H231)</f>
        <v>5.21520975096543</v>
      </c>
      <c r="P231" s="84" t="str">
        <f>IF(OR('asset_&amp;_open_positions'!$C231="",'asset_&amp;_open_positions'!$J231="SWAP",'asset_&amp;_open_positions'!$J231="FUTURE",'asset_&amp;_open_positions'!$J231="CME FUTURE"),"",'asset_&amp;_open_positions'!$M231)</f>
        <v>DOT</v>
      </c>
      <c r="Q231" s="43">
        <f>IF(OR('asset_&amp;_open_positions'!$C231="",'asset_&amp;_open_positions'!$J231="SWAP",'asset_&amp;_open_positions'!$J231="FUTURE",'asset_&amp;_open_positions'!$J231="CME FUTURE"),"",'asset_&amp;_open_positions'!$H231)</f>
        <v>5.21520975096543</v>
      </c>
    </row>
    <row r="232" spans="14:17" x14ac:dyDescent="0.25">
      <c r="N232" s="84" t="str">
        <f>IF('asset_&amp;_open_positions'!$C232="","",'asset_&amp;_open_positions'!$E232)</f>
        <v>ETC</v>
      </c>
      <c r="O232" s="43">
        <f>IF('asset_&amp;_open_positions'!$C232="","",'asset_&amp;_open_positions'!$H232)</f>
        <v>18.787687228417099</v>
      </c>
      <c r="P232" s="84" t="str">
        <f>IF(OR('asset_&amp;_open_positions'!$C232="",'asset_&amp;_open_positions'!$J232="SWAP",'asset_&amp;_open_positions'!$J232="FUTURE",'asset_&amp;_open_positions'!$J232="CME FUTURE"),"",'asset_&amp;_open_positions'!$M232)</f>
        <v>ETC</v>
      </c>
      <c r="Q232" s="43">
        <f>IF(OR('asset_&amp;_open_positions'!$C232="",'asset_&amp;_open_positions'!$J232="SWAP",'asset_&amp;_open_positions'!$J232="FUTURE",'asset_&amp;_open_positions'!$J232="CME FUTURE"),"",'asset_&amp;_open_positions'!$H232)</f>
        <v>18.787687228417099</v>
      </c>
    </row>
    <row r="233" spans="14:17" x14ac:dyDescent="0.25">
      <c r="N233" s="84" t="str">
        <f>IF('asset_&amp;_open_positions'!$C233="","",'asset_&amp;_open_positions'!$E233)</f>
        <v>ETH</v>
      </c>
      <c r="O233" s="43">
        <f>IF('asset_&amp;_open_positions'!$C233="","",'asset_&amp;_open_positions'!$H233)</f>
        <v>1309.32867693296</v>
      </c>
      <c r="P233" s="84" t="str">
        <f>IF(OR('asset_&amp;_open_positions'!$C233="",'asset_&amp;_open_positions'!$J233="SWAP",'asset_&amp;_open_positions'!$J233="FUTURE",'asset_&amp;_open_positions'!$J233="CME FUTURE"),"",'asset_&amp;_open_positions'!$M233)</f>
        <v>ETH</v>
      </c>
      <c r="Q233" s="43">
        <f>IF(OR('asset_&amp;_open_positions'!$C233="",'asset_&amp;_open_positions'!$J233="SWAP",'asset_&amp;_open_positions'!$J233="FUTURE",'asset_&amp;_open_positions'!$J233="CME FUTURE"),"",'asset_&amp;_open_positions'!$H233)</f>
        <v>1309.32867693296</v>
      </c>
    </row>
    <row r="234" spans="14:17" x14ac:dyDescent="0.25">
      <c r="N234" s="84" t="str">
        <f>IF('asset_&amp;_open_positions'!$C234="","",'asset_&amp;_open_positions'!$E234)</f>
        <v>ETH</v>
      </c>
      <c r="O234" s="43">
        <f>IF('asset_&amp;_open_positions'!$C234="","",'asset_&amp;_open_positions'!$H234)</f>
        <v>1309.32867693296</v>
      </c>
      <c r="P234" s="84" t="str">
        <f>IF(OR('asset_&amp;_open_positions'!$C234="",'asset_&amp;_open_positions'!$J234="SWAP",'asset_&amp;_open_positions'!$J234="FUTURE",'asset_&amp;_open_positions'!$J234="CME FUTURE"),"",'asset_&amp;_open_positions'!$M234)</f>
        <v>ETH</v>
      </c>
      <c r="Q234" s="43">
        <f>IF(OR('asset_&amp;_open_positions'!$C234="",'asset_&amp;_open_positions'!$J234="SWAP",'asset_&amp;_open_positions'!$J234="FUTURE",'asset_&amp;_open_positions'!$J234="CME FUTURE"),"",'asset_&amp;_open_positions'!$H234)</f>
        <v>1309.32867693296</v>
      </c>
    </row>
    <row r="235" spans="14:17" x14ac:dyDescent="0.25">
      <c r="N235" s="84" t="str">
        <f>IF('asset_&amp;_open_positions'!$C235="","",'asset_&amp;_open_positions'!$E235)</f>
        <v>LINK</v>
      </c>
      <c r="O235" s="43">
        <f>IF('asset_&amp;_open_positions'!$C235="","",'asset_&amp;_open_positions'!$H235)</f>
        <v>6.72882805759214</v>
      </c>
      <c r="P235" s="84" t="str">
        <f>IF(OR('asset_&amp;_open_positions'!$C235="",'asset_&amp;_open_positions'!$J235="SWAP",'asset_&amp;_open_positions'!$J235="FUTURE",'asset_&amp;_open_positions'!$J235="CME FUTURE"),"",'asset_&amp;_open_positions'!$M235)</f>
        <v>LINK</v>
      </c>
      <c r="Q235" s="43">
        <f>IF(OR('asset_&amp;_open_positions'!$C235="",'asset_&amp;_open_positions'!$J235="SWAP",'asset_&amp;_open_positions'!$J235="FUTURE",'asset_&amp;_open_positions'!$J235="CME FUTURE"),"",'asset_&amp;_open_positions'!$H235)</f>
        <v>6.72882805759214</v>
      </c>
    </row>
    <row r="236" spans="14:17" x14ac:dyDescent="0.25">
      <c r="N236" s="84" t="str">
        <f>IF('asset_&amp;_open_positions'!$C236="","",'asset_&amp;_open_positions'!$E236)</f>
        <v>LTC</v>
      </c>
      <c r="O236" s="43">
        <f>IF('asset_&amp;_open_positions'!$C236="","",'asset_&amp;_open_positions'!$H236)</f>
        <v>75.475863646134997</v>
      </c>
      <c r="P236" s="84" t="str">
        <f>IF(OR('asset_&amp;_open_positions'!$C236="",'asset_&amp;_open_positions'!$J236="SWAP",'asset_&amp;_open_positions'!$J236="FUTURE",'asset_&amp;_open_positions'!$J236="CME FUTURE"),"",'asset_&amp;_open_positions'!$M236)</f>
        <v>LTC</v>
      </c>
      <c r="Q236" s="43">
        <f>IF(OR('asset_&amp;_open_positions'!$C236="",'asset_&amp;_open_positions'!$J236="SWAP",'asset_&amp;_open_positions'!$J236="FUTURE",'asset_&amp;_open_positions'!$J236="CME FUTURE"),"",'asset_&amp;_open_positions'!$H236)</f>
        <v>75.475863646134997</v>
      </c>
    </row>
    <row r="237" spans="14:17" x14ac:dyDescent="0.25">
      <c r="N237" s="84" t="str">
        <f>IF('asset_&amp;_open_positions'!$C237="","",'asset_&amp;_open_positions'!$E237)</f>
        <v>SHIB</v>
      </c>
      <c r="O237" s="43">
        <f>IF('asset_&amp;_open_positions'!$C237="","",'asset_&amp;_open_positions'!$H237)</f>
        <v>8.9727561705582505E-6</v>
      </c>
      <c r="P237" s="84" t="str">
        <f>IF(OR('asset_&amp;_open_positions'!$C237="",'asset_&amp;_open_positions'!$J237="SWAP",'asset_&amp;_open_positions'!$J237="FUTURE",'asset_&amp;_open_positions'!$J237="CME FUTURE"),"",'asset_&amp;_open_positions'!$M237)</f>
        <v>SHIB</v>
      </c>
      <c r="Q237" s="43">
        <f>IF(OR('asset_&amp;_open_positions'!$C237="",'asset_&amp;_open_positions'!$J237="SWAP",'asset_&amp;_open_positions'!$J237="FUTURE",'asset_&amp;_open_positions'!$J237="CME FUTURE"),"",'asset_&amp;_open_positions'!$H237)</f>
        <v>8.9727561705582505E-6</v>
      </c>
    </row>
    <row r="238" spans="14:17" x14ac:dyDescent="0.25">
      <c r="N238" s="84" t="str">
        <f>IF('asset_&amp;_open_positions'!$C238="","",'asset_&amp;_open_positions'!$E238)</f>
        <v>TRX</v>
      </c>
      <c r="O238" s="43">
        <f>IF('asset_&amp;_open_positions'!$C238="","",'asset_&amp;_open_positions'!$H238)</f>
        <v>5.5666357131219001E-2</v>
      </c>
      <c r="P238" s="84" t="str">
        <f>IF(OR('asset_&amp;_open_positions'!$C238="",'asset_&amp;_open_positions'!$J238="SWAP",'asset_&amp;_open_positions'!$J238="FUTURE",'asset_&amp;_open_positions'!$J238="CME FUTURE"),"",'asset_&amp;_open_positions'!$M238)</f>
        <v>TRX</v>
      </c>
      <c r="Q238" s="43">
        <f>IF(OR('asset_&amp;_open_positions'!$C238="",'asset_&amp;_open_positions'!$J238="SWAP",'asset_&amp;_open_positions'!$J238="FUTURE",'asset_&amp;_open_positions'!$J238="CME FUTURE"),"",'asset_&amp;_open_positions'!$H238)</f>
        <v>5.5666357131219001E-2</v>
      </c>
    </row>
    <row r="239" spans="14:17" x14ac:dyDescent="0.25">
      <c r="N239" s="84" t="str">
        <f>IF('asset_&amp;_open_positions'!$C239="","",'asset_&amp;_open_positions'!$E239)</f>
        <v>XRP</v>
      </c>
      <c r="O239" s="43">
        <f>IF('asset_&amp;_open_positions'!$C239="","",'asset_&amp;_open_positions'!$H239)</f>
        <v>0.38641371777866901</v>
      </c>
      <c r="P239" s="84" t="str">
        <f>IF(OR('asset_&amp;_open_positions'!$C239="",'asset_&amp;_open_positions'!$J239="SWAP",'asset_&amp;_open_positions'!$J239="FUTURE",'asset_&amp;_open_positions'!$J239="CME FUTURE"),"",'asset_&amp;_open_positions'!$M239)</f>
        <v>XRP</v>
      </c>
      <c r="Q239" s="43">
        <f>IF(OR('asset_&amp;_open_positions'!$C239="",'asset_&amp;_open_positions'!$J239="SWAP",'asset_&amp;_open_positions'!$J239="FUTURE",'asset_&amp;_open_positions'!$J239="CME FUTURE"),"",'asset_&amp;_open_positions'!$H239)</f>
        <v>0.38641371777866901</v>
      </c>
    </row>
    <row r="240" spans="14:17" x14ac:dyDescent="0.25">
      <c r="N240" s="84" t="str">
        <f>IF('asset_&amp;_open_positions'!$C240="","",'asset_&amp;_open_positions'!$E240)</f>
        <v>YFII</v>
      </c>
      <c r="O240" s="43">
        <f>IF('asset_&amp;_open_positions'!$C240="","",'asset_&amp;_open_positions'!$H240)</f>
        <v>1343.3976264953401</v>
      </c>
      <c r="P240" s="84" t="str">
        <f>IF(OR('asset_&amp;_open_positions'!$C240="",'asset_&amp;_open_positions'!$J240="SWAP",'asset_&amp;_open_positions'!$J240="FUTURE",'asset_&amp;_open_positions'!$J240="CME FUTURE"),"",'asset_&amp;_open_positions'!$M240)</f>
        <v>YFII</v>
      </c>
      <c r="Q240" s="43">
        <f>IF(OR('asset_&amp;_open_positions'!$C240="",'asset_&amp;_open_positions'!$J240="SWAP",'asset_&amp;_open_positions'!$J240="FUTURE",'asset_&amp;_open_positions'!$J240="CME FUTURE"),"",'asset_&amp;_open_positions'!$H240)</f>
        <v>1343.3976264953401</v>
      </c>
    </row>
    <row r="241" spans="14:17" x14ac:dyDescent="0.25">
      <c r="N241" s="84" t="str">
        <f>IF('asset_&amp;_open_positions'!$C241="","",'asset_&amp;_open_positions'!$E241)</f>
        <v>USDT</v>
      </c>
      <c r="O241" s="43">
        <f>IF('asset_&amp;_open_positions'!$C241="","",'asset_&amp;_open_positions'!$H241)</f>
        <v>1.0001054103245299</v>
      </c>
      <c r="P241" s="84" t="str">
        <f>IF(OR('asset_&amp;_open_positions'!$C241="",'asset_&amp;_open_positions'!$J241="SWAP",'asset_&amp;_open_positions'!$J241="FUTURE",'asset_&amp;_open_positions'!$J241="CME FUTURE"),"",'asset_&amp;_open_positions'!$M241)</f>
        <v>USDT</v>
      </c>
      <c r="Q241" s="43">
        <f>IF(OR('asset_&amp;_open_positions'!$C241="",'asset_&amp;_open_positions'!$J241="SWAP",'asset_&amp;_open_positions'!$J241="FUTURE",'asset_&amp;_open_positions'!$J241="CME FUTURE"),"",'asset_&amp;_open_positions'!$H241)</f>
        <v>1.0001054103245299</v>
      </c>
    </row>
    <row r="242" spans="14:17" x14ac:dyDescent="0.25">
      <c r="N242" s="84" t="str">
        <f>IF('asset_&amp;_open_positions'!$C242="","",'asset_&amp;_open_positions'!$E242)</f>
        <v>USDT</v>
      </c>
      <c r="O242" s="43">
        <f>IF('asset_&amp;_open_positions'!$C242="","",'asset_&amp;_open_positions'!$H242)</f>
        <v>1.0001054103245299</v>
      </c>
      <c r="P242" s="84" t="str">
        <f>IF(OR('asset_&amp;_open_positions'!$C242="",'asset_&amp;_open_positions'!$J242="SWAP",'asset_&amp;_open_positions'!$J242="FUTURE",'asset_&amp;_open_positions'!$J242="CME FUTURE"),"",'asset_&amp;_open_positions'!$M242)</f>
        <v>USDT</v>
      </c>
      <c r="Q242" s="43">
        <f>IF(OR('asset_&amp;_open_positions'!$C242="",'asset_&amp;_open_positions'!$J242="SWAP",'asset_&amp;_open_positions'!$J242="FUTURE",'asset_&amp;_open_positions'!$J242="CME FUTURE"),"",'asset_&amp;_open_positions'!$H242)</f>
        <v>1.0001054103245299</v>
      </c>
    </row>
    <row r="243" spans="14:17" x14ac:dyDescent="0.25">
      <c r="N243" s="84" t="str">
        <f>IF('asset_&amp;_open_positions'!$C243="","",'asset_&amp;_open_positions'!$E243)</f>
        <v>AAC</v>
      </c>
      <c r="O243" s="43">
        <f>IF('asset_&amp;_open_positions'!$C243="","",'asset_&amp;_open_positions'!$H243)</f>
        <v>2.95031096045738E-4</v>
      </c>
      <c r="P243" s="84" t="str">
        <f>IF(OR('asset_&amp;_open_positions'!$C243="",'asset_&amp;_open_positions'!$J243="SWAP",'asset_&amp;_open_positions'!$J243="FUTURE",'asset_&amp;_open_positions'!$J243="CME FUTURE"),"",'asset_&amp;_open_positions'!$M243)</f>
        <v>AAC</v>
      </c>
      <c r="Q243" s="43">
        <f>IF(OR('asset_&amp;_open_positions'!$C243="",'asset_&amp;_open_positions'!$J243="SWAP",'asset_&amp;_open_positions'!$J243="FUTURE",'asset_&amp;_open_positions'!$J243="CME FUTURE"),"",'asset_&amp;_open_positions'!$H243)</f>
        <v>2.95031096045738E-4</v>
      </c>
    </row>
    <row r="244" spans="14:17" x14ac:dyDescent="0.25">
      <c r="N244" s="84" t="str">
        <f>IF('asset_&amp;_open_positions'!$C244="","",'asset_&amp;_open_positions'!$E244)</f>
        <v>ADA</v>
      </c>
      <c r="O244" s="43">
        <f>IF('asset_&amp;_open_positions'!$C244="","",'asset_&amp;_open_positions'!$H244)</f>
        <v>0.308134251946941</v>
      </c>
      <c r="P244" s="84" t="str">
        <f>IF(OR('asset_&amp;_open_positions'!$C244="",'asset_&amp;_open_positions'!$J244="SWAP",'asset_&amp;_open_positions'!$J244="FUTURE",'asset_&amp;_open_positions'!$J244="CME FUTURE"),"",'asset_&amp;_open_positions'!$M244)</f>
        <v>ADA</v>
      </c>
      <c r="Q244" s="43">
        <f>IF(OR('asset_&amp;_open_positions'!$C244="",'asset_&amp;_open_positions'!$J244="SWAP",'asset_&amp;_open_positions'!$J244="FUTURE",'asset_&amp;_open_positions'!$J244="CME FUTURE"),"",'asset_&amp;_open_positions'!$H244)</f>
        <v>0.308134251946941</v>
      </c>
    </row>
    <row r="245" spans="14:17" x14ac:dyDescent="0.25">
      <c r="N245" s="84" t="str">
        <f>IF('asset_&amp;_open_positions'!$C245="","",'asset_&amp;_open_positions'!$E245)</f>
        <v>ALGO</v>
      </c>
      <c r="O245" s="43">
        <f>IF('asset_&amp;_open_positions'!$C245="","",'asset_&amp;_open_positions'!$H245)</f>
        <v>0.220915807052601</v>
      </c>
      <c r="P245" s="84" t="str">
        <f>IF(OR('asset_&amp;_open_positions'!$C245="",'asset_&amp;_open_positions'!$J245="SWAP",'asset_&amp;_open_positions'!$J245="FUTURE",'asset_&amp;_open_positions'!$J245="CME FUTURE"),"",'asset_&amp;_open_positions'!$M245)</f>
        <v>ALGO</v>
      </c>
      <c r="Q245" s="43">
        <f>IF(OR('asset_&amp;_open_positions'!$C245="",'asset_&amp;_open_positions'!$J245="SWAP",'asset_&amp;_open_positions'!$J245="FUTURE",'asset_&amp;_open_positions'!$J245="CME FUTURE"),"",'asset_&amp;_open_positions'!$H245)</f>
        <v>0.220915807052601</v>
      </c>
    </row>
    <row r="246" spans="14:17" x14ac:dyDescent="0.25">
      <c r="N246" s="84" t="str">
        <f>IF('asset_&amp;_open_positions'!$C246="","",'asset_&amp;_open_positions'!$E246)</f>
        <v>ARPA</v>
      </c>
      <c r="O246" s="43">
        <f>IF('asset_&amp;_open_positions'!$C246="","",'asset_&amp;_open_positions'!$H246)</f>
        <v>2.9292471050082598E-2</v>
      </c>
      <c r="P246" s="84" t="str">
        <f>IF(OR('asset_&amp;_open_positions'!$C246="",'asset_&amp;_open_positions'!$J246="SWAP",'asset_&amp;_open_positions'!$J246="FUTURE",'asset_&amp;_open_positions'!$J246="CME FUTURE"),"",'asset_&amp;_open_positions'!$M246)</f>
        <v>ARPA</v>
      </c>
      <c r="Q246" s="43">
        <f>IF(OR('asset_&amp;_open_positions'!$C246="",'asset_&amp;_open_positions'!$J246="SWAP",'asset_&amp;_open_positions'!$J246="FUTURE",'asset_&amp;_open_positions'!$J246="CME FUTURE"),"",'asset_&amp;_open_positions'!$H246)</f>
        <v>2.9292471050082598E-2</v>
      </c>
    </row>
    <row r="247" spans="14:17" x14ac:dyDescent="0.25">
      <c r="N247" s="84" t="str">
        <f>IF('asset_&amp;_open_positions'!$C247="","",'asset_&amp;_open_positions'!$E247)</f>
        <v>ATOM</v>
      </c>
      <c r="O247" s="43">
        <f>IF('asset_&amp;_open_positions'!$C247="","",'asset_&amp;_open_positions'!$H247)</f>
        <v>9.6091387789809204</v>
      </c>
      <c r="P247" s="84" t="str">
        <f>IF(OR('asset_&amp;_open_positions'!$C247="",'asset_&amp;_open_positions'!$J247="SWAP",'asset_&amp;_open_positions'!$J247="FUTURE",'asset_&amp;_open_positions'!$J247="CME FUTURE"),"",'asset_&amp;_open_positions'!$M247)</f>
        <v>ATOM</v>
      </c>
      <c r="Q247" s="43">
        <f>IF(OR('asset_&amp;_open_positions'!$C247="",'asset_&amp;_open_positions'!$J247="SWAP",'asset_&amp;_open_positions'!$J247="FUTURE",'asset_&amp;_open_positions'!$J247="CME FUTURE"),"",'asset_&amp;_open_positions'!$H247)</f>
        <v>9.6091387789809204</v>
      </c>
    </row>
    <row r="248" spans="14:17" x14ac:dyDescent="0.25">
      <c r="N248" s="84" t="str">
        <f>IF('asset_&amp;_open_positions'!$C248="","",'asset_&amp;_open_positions'!$E248)</f>
        <v>AVAX</v>
      </c>
      <c r="O248" s="43">
        <f>IF('asset_&amp;_open_positions'!$C248="","",'asset_&amp;_open_positions'!$H248)</f>
        <v>13.7275595789196</v>
      </c>
      <c r="P248" s="84" t="str">
        <f>IF(OR('asset_&amp;_open_positions'!$C248="",'asset_&amp;_open_positions'!$J248="SWAP",'asset_&amp;_open_positions'!$J248="FUTURE",'asset_&amp;_open_positions'!$J248="CME FUTURE"),"",'asset_&amp;_open_positions'!$M248)</f>
        <v>AVAX</v>
      </c>
      <c r="Q248" s="43">
        <f>IF(OR('asset_&amp;_open_positions'!$C248="",'asset_&amp;_open_positions'!$J248="SWAP",'asset_&amp;_open_positions'!$J248="FUTURE",'asset_&amp;_open_positions'!$J248="CME FUTURE"),"",'asset_&amp;_open_positions'!$H248)</f>
        <v>13.7275595789196</v>
      </c>
    </row>
    <row r="249" spans="14:17" x14ac:dyDescent="0.25">
      <c r="N249" s="84" t="str">
        <f>IF('asset_&amp;_open_positions'!$C249="","",'asset_&amp;_open_positions'!$E249)</f>
        <v>BAT</v>
      </c>
      <c r="O249" s="43">
        <f>IF('asset_&amp;_open_positions'!$C249="","",'asset_&amp;_open_positions'!$H249)</f>
        <v>0.223961356159531</v>
      </c>
      <c r="P249" s="84" t="str">
        <f>IF(OR('asset_&amp;_open_positions'!$C249="",'asset_&amp;_open_positions'!$J249="SWAP",'asset_&amp;_open_positions'!$J249="FUTURE",'asset_&amp;_open_positions'!$J249="CME FUTURE"),"",'asset_&amp;_open_positions'!$M249)</f>
        <v>BAT</v>
      </c>
      <c r="Q249" s="43">
        <f>IF(OR('asset_&amp;_open_positions'!$C249="",'asset_&amp;_open_positions'!$J249="SWAP",'asset_&amp;_open_positions'!$J249="FUTURE",'asset_&amp;_open_positions'!$J249="CME FUTURE"),"",'asset_&amp;_open_positions'!$H249)</f>
        <v>0.223961356159531</v>
      </c>
    </row>
    <row r="250" spans="14:17" x14ac:dyDescent="0.25">
      <c r="N250" s="84" t="str">
        <f>IF('asset_&amp;_open_positions'!$C250="","",'asset_&amp;_open_positions'!$E250)</f>
        <v>BCH</v>
      </c>
      <c r="O250" s="43">
        <f>IF('asset_&amp;_open_positions'!$C250="","",'asset_&amp;_open_positions'!$H250)</f>
        <v>109.10849595307199</v>
      </c>
      <c r="P250" s="84" t="str">
        <f>IF(OR('asset_&amp;_open_positions'!$C250="",'asset_&amp;_open_positions'!$J250="SWAP",'asset_&amp;_open_positions'!$J250="FUTURE",'asset_&amp;_open_positions'!$J250="CME FUTURE"),"",'asset_&amp;_open_positions'!$M250)</f>
        <v>BCH</v>
      </c>
      <c r="Q250" s="43">
        <f>IF(OR('asset_&amp;_open_positions'!$C250="",'asset_&amp;_open_positions'!$J250="SWAP",'asset_&amp;_open_positions'!$J250="FUTURE",'asset_&amp;_open_positions'!$J250="CME FUTURE"),"",'asset_&amp;_open_positions'!$H250)</f>
        <v>109.10849595307199</v>
      </c>
    </row>
    <row r="251" spans="14:17" x14ac:dyDescent="0.25">
      <c r="N251" s="84" t="str">
        <f>IF('asset_&amp;_open_positions'!$C251="","",'asset_&amp;_open_positions'!$E251)</f>
        <v>BHD</v>
      </c>
      <c r="O251" s="43">
        <f>IF('asset_&amp;_open_positions'!$C251="","",'asset_&amp;_open_positions'!$H251)</f>
        <v>7.97072869237644E-2</v>
      </c>
      <c r="P251" s="84" t="str">
        <f>IF(OR('asset_&amp;_open_positions'!$C251="",'asset_&amp;_open_positions'!$J251="SWAP",'asset_&amp;_open_positions'!$J251="FUTURE",'asset_&amp;_open_positions'!$J251="CME FUTURE"),"",'asset_&amp;_open_positions'!$M251)</f>
        <v>BHD</v>
      </c>
      <c r="Q251" s="43">
        <f>IF(OR('asset_&amp;_open_positions'!$C251="",'asset_&amp;_open_positions'!$J251="SWAP",'asset_&amp;_open_positions'!$J251="FUTURE",'asset_&amp;_open_positions'!$J251="CME FUTURE"),"",'asset_&amp;_open_positions'!$H251)</f>
        <v>7.97072869237644E-2</v>
      </c>
    </row>
    <row r="252" spans="14:17" x14ac:dyDescent="0.25">
      <c r="N252" s="84" t="str">
        <f>IF('asset_&amp;_open_positions'!$C252="","",'asset_&amp;_open_positions'!$E252)</f>
        <v>BLZ</v>
      </c>
      <c r="O252" s="43">
        <f>IF('asset_&amp;_open_positions'!$C252="","",'asset_&amp;_open_positions'!$H252)</f>
        <v>6.2874298539874501E-2</v>
      </c>
      <c r="P252" s="84" t="str">
        <f>IF(OR('asset_&amp;_open_positions'!$C252="",'asset_&amp;_open_positions'!$J252="SWAP",'asset_&amp;_open_positions'!$J252="FUTURE",'asset_&amp;_open_positions'!$J252="CME FUTURE"),"",'asset_&amp;_open_positions'!$M252)</f>
        <v>BLZ</v>
      </c>
      <c r="Q252" s="43">
        <f>IF(OR('asset_&amp;_open_positions'!$C252="",'asset_&amp;_open_positions'!$J252="SWAP",'asset_&amp;_open_positions'!$J252="FUTURE",'asset_&amp;_open_positions'!$J252="CME FUTURE"),"",'asset_&amp;_open_positions'!$H252)</f>
        <v>6.2874298539874501E-2</v>
      </c>
    </row>
    <row r="253" spans="14:17" x14ac:dyDescent="0.25">
      <c r="N253" s="84" t="str">
        <f>IF('asset_&amp;_open_positions'!$C253="","",'asset_&amp;_open_positions'!$E253)</f>
        <v>BOBA</v>
      </c>
      <c r="O253" s="43">
        <f>IF('asset_&amp;_open_positions'!$C253="","",'asset_&amp;_open_positions'!$H253)</f>
        <v>0.205434155304387</v>
      </c>
      <c r="P253" s="84" t="str">
        <f>IF(OR('asset_&amp;_open_positions'!$C253="",'asset_&amp;_open_positions'!$J253="SWAP",'asset_&amp;_open_positions'!$J253="FUTURE",'asset_&amp;_open_positions'!$J253="CME FUTURE"),"",'asset_&amp;_open_positions'!$M253)</f>
        <v>BOBA</v>
      </c>
      <c r="Q253" s="43">
        <f>IF(OR('asset_&amp;_open_positions'!$C253="",'asset_&amp;_open_positions'!$J253="SWAP",'asset_&amp;_open_positions'!$J253="FUTURE",'asset_&amp;_open_positions'!$J253="CME FUTURE"),"",'asset_&amp;_open_positions'!$H253)</f>
        <v>0.205434155304387</v>
      </c>
    </row>
    <row r="254" spans="14:17" x14ac:dyDescent="0.25">
      <c r="N254" s="84" t="str">
        <f>IF('asset_&amp;_open_positions'!$C254="","",'asset_&amp;_open_positions'!$E254)</f>
        <v>BSV</v>
      </c>
      <c r="O254" s="43">
        <f>IF('asset_&amp;_open_positions'!$C254="","",'asset_&amp;_open_positions'!$H254)</f>
        <v>45.311618722574998</v>
      </c>
      <c r="P254" s="84" t="str">
        <f>IF(OR('asset_&amp;_open_positions'!$C254="",'asset_&amp;_open_positions'!$J254="SWAP",'asset_&amp;_open_positions'!$J254="FUTURE",'asset_&amp;_open_positions'!$J254="CME FUTURE"),"",'asset_&amp;_open_positions'!$M254)</f>
        <v>BSV</v>
      </c>
      <c r="Q254" s="43">
        <f>IF(OR('asset_&amp;_open_positions'!$C254="",'asset_&amp;_open_positions'!$J254="SWAP",'asset_&amp;_open_positions'!$J254="FUTURE",'asset_&amp;_open_positions'!$J254="CME FUTURE"),"",'asset_&amp;_open_positions'!$H254)</f>
        <v>45.311618722574998</v>
      </c>
    </row>
    <row r="255" spans="14:17" x14ac:dyDescent="0.25">
      <c r="N255" s="84" t="str">
        <f>IF('asset_&amp;_open_positions'!$C255="","",'asset_&amp;_open_positions'!$E255)</f>
        <v>BTC</v>
      </c>
      <c r="O255" s="43">
        <f>IF('asset_&amp;_open_positions'!$C255="","",'asset_&amp;_open_positions'!$H255)</f>
        <v>17815.649854650899</v>
      </c>
      <c r="P255" s="84" t="str">
        <f>IF(OR('asset_&amp;_open_positions'!$C255="",'asset_&amp;_open_positions'!$J255="SWAP",'asset_&amp;_open_positions'!$J255="FUTURE",'asset_&amp;_open_positions'!$J255="CME FUTURE"),"",'asset_&amp;_open_positions'!$M255)</f>
        <v>BTC</v>
      </c>
      <c r="Q255" s="43">
        <f>IF(OR('asset_&amp;_open_positions'!$C255="",'asset_&amp;_open_positions'!$J255="SWAP",'asset_&amp;_open_positions'!$J255="FUTURE",'asset_&amp;_open_positions'!$J255="CME FUTURE"),"",'asset_&amp;_open_positions'!$H255)</f>
        <v>17815.649854650899</v>
      </c>
    </row>
    <row r="256" spans="14:17" x14ac:dyDescent="0.25">
      <c r="N256" s="84" t="str">
        <f>IF('asset_&amp;_open_positions'!$C256="","",'asset_&amp;_open_positions'!$E256)</f>
        <v>BTM</v>
      </c>
      <c r="O256" s="43">
        <f>IF('asset_&amp;_open_positions'!$C256="","",'asset_&amp;_open_positions'!$H256)</f>
        <v>1.3704024376927301E-2</v>
      </c>
      <c r="P256" s="84" t="str">
        <f>IF(OR('asset_&amp;_open_positions'!$C256="",'asset_&amp;_open_positions'!$J256="SWAP",'asset_&amp;_open_positions'!$J256="FUTURE",'asset_&amp;_open_positions'!$J256="CME FUTURE"),"",'asset_&amp;_open_positions'!$M256)</f>
        <v>BTM</v>
      </c>
      <c r="Q256" s="43">
        <f>IF(OR('asset_&amp;_open_positions'!$C256="",'asset_&amp;_open_positions'!$J256="SWAP",'asset_&amp;_open_positions'!$J256="FUTURE",'asset_&amp;_open_positions'!$J256="CME FUTURE"),"",'asset_&amp;_open_positions'!$H256)</f>
        <v>1.3704024376927301E-2</v>
      </c>
    </row>
    <row r="257" spans="14:17" x14ac:dyDescent="0.25">
      <c r="N257" s="84" t="str">
        <f>IF('asset_&amp;_open_positions'!$C257="","",'asset_&amp;_open_positions'!$E257)</f>
        <v>BTT</v>
      </c>
      <c r="O257" s="43">
        <f>IF('asset_&amp;_open_positions'!$C257="","",'asset_&amp;_open_positions'!$H257)</f>
        <v>6.7771918504672998E-7</v>
      </c>
      <c r="P257" s="84" t="str">
        <f>IF(OR('asset_&amp;_open_positions'!$C257="",'asset_&amp;_open_positions'!$J257="SWAP",'asset_&amp;_open_positions'!$J257="FUTURE",'asset_&amp;_open_positions'!$J257="CME FUTURE"),"",'asset_&amp;_open_positions'!$M257)</f>
        <v>BTT</v>
      </c>
      <c r="Q257" s="43">
        <f>IF(OR('asset_&amp;_open_positions'!$C257="",'asset_&amp;_open_positions'!$J257="SWAP",'asset_&amp;_open_positions'!$J257="FUTURE",'asset_&amp;_open_positions'!$J257="CME FUTURE"),"",'asset_&amp;_open_positions'!$H257)</f>
        <v>6.7771918504672998E-7</v>
      </c>
    </row>
    <row r="258" spans="14:17" x14ac:dyDescent="0.25">
      <c r="N258" s="84" t="str">
        <f>IF('asset_&amp;_open_positions'!$C258="","",'asset_&amp;_open_positions'!$E258)</f>
        <v>CMT</v>
      </c>
      <c r="O258" s="43">
        <f>IF('asset_&amp;_open_positions'!$C258="","",'asset_&amp;_open_positions'!$H258)</f>
        <v>3.7412864694766901E-3</v>
      </c>
      <c r="P258" s="84" t="str">
        <f>IF(OR('asset_&amp;_open_positions'!$C258="",'asset_&amp;_open_positions'!$J258="SWAP",'asset_&amp;_open_positions'!$J258="FUTURE",'asset_&amp;_open_positions'!$J258="CME FUTURE"),"",'asset_&amp;_open_positions'!$M258)</f>
        <v>CMT</v>
      </c>
      <c r="Q258" s="43">
        <f>IF(OR('asset_&amp;_open_positions'!$C258="",'asset_&amp;_open_positions'!$J258="SWAP",'asset_&amp;_open_positions'!$J258="FUTURE",'asset_&amp;_open_positions'!$J258="CME FUTURE"),"",'asset_&amp;_open_positions'!$H258)</f>
        <v>3.7412864694766901E-3</v>
      </c>
    </row>
    <row r="259" spans="14:17" x14ac:dyDescent="0.25">
      <c r="N259" s="84" t="str">
        <f>IF('asset_&amp;_open_positions'!$C259="","",'asset_&amp;_open_positions'!$E259)</f>
        <v>CRO</v>
      </c>
      <c r="O259" s="43">
        <f>IF('asset_&amp;_open_positions'!$C259="","",'asset_&amp;_open_positions'!$H259)</f>
        <v>6.1937305798025602E-2</v>
      </c>
      <c r="P259" s="84" t="str">
        <f>IF(OR('asset_&amp;_open_positions'!$C259="",'asset_&amp;_open_positions'!$J259="SWAP",'asset_&amp;_open_positions'!$J259="FUTURE",'asset_&amp;_open_positions'!$J259="CME FUTURE"),"",'asset_&amp;_open_positions'!$M259)</f>
        <v>CRO</v>
      </c>
      <c r="Q259" s="43">
        <f>IF(OR('asset_&amp;_open_positions'!$C259="",'asset_&amp;_open_positions'!$J259="SWAP",'asset_&amp;_open_positions'!$J259="FUTURE",'asset_&amp;_open_positions'!$J259="CME FUTURE"),"",'asset_&amp;_open_positions'!$H259)</f>
        <v>6.1937305798025602E-2</v>
      </c>
    </row>
    <row r="260" spans="14:17" x14ac:dyDescent="0.25">
      <c r="N260" s="84" t="str">
        <f>IF('asset_&amp;_open_positions'!$C260="","",'asset_&amp;_open_positions'!$E260)</f>
        <v>DASH</v>
      </c>
      <c r="O260" s="43">
        <f>IF('asset_&amp;_open_positions'!$C260="","",'asset_&amp;_open_positions'!$H260)</f>
        <v>48.843587166773403</v>
      </c>
      <c r="P260" s="84" t="str">
        <f>IF(OR('asset_&amp;_open_positions'!$C260="",'asset_&amp;_open_positions'!$J260="SWAP",'asset_&amp;_open_positions'!$J260="FUTURE",'asset_&amp;_open_positions'!$J260="CME FUTURE"),"",'asset_&amp;_open_positions'!$M260)</f>
        <v>DASH</v>
      </c>
      <c r="Q260" s="43">
        <f>IF(OR('asset_&amp;_open_positions'!$C260="",'asset_&amp;_open_positions'!$J260="SWAP",'asset_&amp;_open_positions'!$J260="FUTURE",'asset_&amp;_open_positions'!$J260="CME FUTURE"),"",'asset_&amp;_open_positions'!$H260)</f>
        <v>48.843587166773403</v>
      </c>
    </row>
    <row r="261" spans="14:17" x14ac:dyDescent="0.25">
      <c r="N261" s="84" t="str">
        <f>IF('asset_&amp;_open_positions'!$C261="","",'asset_&amp;_open_positions'!$E261)</f>
        <v>DON</v>
      </c>
      <c r="O261" s="43">
        <f>IF('asset_&amp;_open_positions'!$C261="","",'asset_&amp;_open_positions'!$H261)</f>
        <v>5.0005270516226804E-3</v>
      </c>
      <c r="P261" s="84" t="str">
        <f>IF(OR('asset_&amp;_open_positions'!$C261="",'asset_&amp;_open_positions'!$J261="SWAP",'asset_&amp;_open_positions'!$J261="FUTURE",'asset_&amp;_open_positions'!$J261="CME FUTURE"),"",'asset_&amp;_open_positions'!$M261)</f>
        <v>DON</v>
      </c>
      <c r="Q261" s="43">
        <f>IF(OR('asset_&amp;_open_positions'!$C261="",'asset_&amp;_open_positions'!$J261="SWAP",'asset_&amp;_open_positions'!$J261="FUTURE",'asset_&amp;_open_positions'!$J261="CME FUTURE"),"",'asset_&amp;_open_positions'!$H261)</f>
        <v>5.0005270516226804E-3</v>
      </c>
    </row>
    <row r="262" spans="14:17" x14ac:dyDescent="0.25">
      <c r="N262" s="84" t="str">
        <f>IF('asset_&amp;_open_positions'!$C262="","",'asset_&amp;_open_positions'!$E262)</f>
        <v>DOT</v>
      </c>
      <c r="O262" s="43">
        <f>IF('asset_&amp;_open_positions'!$C262="","",'asset_&amp;_open_positions'!$H262)</f>
        <v>5.21520975096543</v>
      </c>
      <c r="P262" s="84" t="str">
        <f>IF(OR('asset_&amp;_open_positions'!$C262="",'asset_&amp;_open_positions'!$J262="SWAP",'asset_&amp;_open_positions'!$J262="FUTURE",'asset_&amp;_open_positions'!$J262="CME FUTURE"),"",'asset_&amp;_open_positions'!$M262)</f>
        <v>DOT</v>
      </c>
      <c r="Q262" s="43">
        <f>IF(OR('asset_&amp;_open_positions'!$C262="",'asset_&amp;_open_positions'!$J262="SWAP",'asset_&amp;_open_positions'!$J262="FUTURE",'asset_&amp;_open_positions'!$J262="CME FUTURE"),"",'asset_&amp;_open_positions'!$H262)</f>
        <v>5.21520975096543</v>
      </c>
    </row>
    <row r="263" spans="14:17" x14ac:dyDescent="0.25">
      <c r="N263" s="84" t="str">
        <f>IF('asset_&amp;_open_positions'!$C263="","",'asset_&amp;_open_positions'!$E263)</f>
        <v>ENJ</v>
      </c>
      <c r="O263" s="43">
        <f>IF('asset_&amp;_open_positions'!$C263="","",'asset_&amp;_open_positions'!$H263)</f>
        <v>0.30026402054434098</v>
      </c>
      <c r="P263" s="84" t="str">
        <f>IF(OR('asset_&amp;_open_positions'!$C263="",'asset_&amp;_open_positions'!$J263="SWAP",'asset_&amp;_open_positions'!$J263="FUTURE",'asset_&amp;_open_positions'!$J263="CME FUTURE"),"",'asset_&amp;_open_positions'!$M263)</f>
        <v>ENJ</v>
      </c>
      <c r="Q263" s="43">
        <f>IF(OR('asset_&amp;_open_positions'!$C263="",'asset_&amp;_open_positions'!$J263="SWAP",'asset_&amp;_open_positions'!$J263="FUTURE",'asset_&amp;_open_positions'!$J263="CME FUTURE"),"",'asset_&amp;_open_positions'!$H263)</f>
        <v>0.30026402054434098</v>
      </c>
    </row>
    <row r="264" spans="14:17" x14ac:dyDescent="0.25">
      <c r="N264" s="84" t="str">
        <f>IF('asset_&amp;_open_positions'!$C264="","",'asset_&amp;_open_positions'!$E264)</f>
        <v>EOS</v>
      </c>
      <c r="O264" s="43">
        <f>IF('asset_&amp;_open_positions'!$C264="","",'asset_&amp;_open_positions'!$H264)</f>
        <v>0.97802133669101299</v>
      </c>
      <c r="P264" s="84" t="str">
        <f>IF(OR('asset_&amp;_open_positions'!$C264="",'asset_&amp;_open_positions'!$J264="SWAP",'asset_&amp;_open_positions'!$J264="FUTURE",'asset_&amp;_open_positions'!$J264="CME FUTURE"),"",'asset_&amp;_open_positions'!$M264)</f>
        <v>EOS</v>
      </c>
      <c r="Q264" s="43">
        <f>IF(OR('asset_&amp;_open_positions'!$C264="",'asset_&amp;_open_positions'!$J264="SWAP",'asset_&amp;_open_positions'!$J264="FUTURE",'asset_&amp;_open_positions'!$J264="CME FUTURE"),"",'asset_&amp;_open_positions'!$H264)</f>
        <v>0.97802133669101299</v>
      </c>
    </row>
    <row r="265" spans="14:17" x14ac:dyDescent="0.25">
      <c r="N265" s="84" t="str">
        <f>IF('asset_&amp;_open_positions'!$C265="","",'asset_&amp;_open_positions'!$E265)</f>
        <v>ETC</v>
      </c>
      <c r="O265" s="43">
        <f>IF('asset_&amp;_open_positions'!$C265="","",'asset_&amp;_open_positions'!$H265)</f>
        <v>18.787687228417099</v>
      </c>
      <c r="P265" s="84" t="str">
        <f>IF(OR('asset_&amp;_open_positions'!$C265="",'asset_&amp;_open_positions'!$J265="SWAP",'asset_&amp;_open_positions'!$J265="FUTURE",'asset_&amp;_open_positions'!$J265="CME FUTURE"),"",'asset_&amp;_open_positions'!$M265)</f>
        <v>ETC</v>
      </c>
      <c r="Q265" s="43">
        <f>IF(OR('asset_&amp;_open_positions'!$C265="",'asset_&amp;_open_positions'!$J265="SWAP",'asset_&amp;_open_positions'!$J265="FUTURE",'asset_&amp;_open_positions'!$J265="CME FUTURE"),"",'asset_&amp;_open_positions'!$H265)</f>
        <v>18.787687228417099</v>
      </c>
    </row>
    <row r="266" spans="14:17" x14ac:dyDescent="0.25">
      <c r="N266" s="84" t="str">
        <f>IF('asset_&amp;_open_positions'!$C266="","",'asset_&amp;_open_positions'!$E266)</f>
        <v>ETH</v>
      </c>
      <c r="O266" s="43">
        <f>IF('asset_&amp;_open_positions'!$C266="","",'asset_&amp;_open_positions'!$H266)</f>
        <v>1309.32867693296</v>
      </c>
      <c r="P266" s="84" t="str">
        <f>IF(OR('asset_&amp;_open_positions'!$C266="",'asset_&amp;_open_positions'!$J266="SWAP",'asset_&amp;_open_positions'!$J266="FUTURE",'asset_&amp;_open_positions'!$J266="CME FUTURE"),"",'asset_&amp;_open_positions'!$M266)</f>
        <v>ETH</v>
      </c>
      <c r="Q266" s="43">
        <f>IF(OR('asset_&amp;_open_positions'!$C266="",'asset_&amp;_open_positions'!$J266="SWAP",'asset_&amp;_open_positions'!$J266="FUTURE",'asset_&amp;_open_positions'!$J266="CME FUTURE"),"",'asset_&amp;_open_positions'!$H266)</f>
        <v>1309.32867693296</v>
      </c>
    </row>
    <row r="267" spans="14:17" x14ac:dyDescent="0.25">
      <c r="N267" s="84" t="str">
        <f>IF('asset_&amp;_open_positions'!$C267="","",'asset_&amp;_open_positions'!$E267)</f>
        <v>ETHF</v>
      </c>
      <c r="O267" s="43">
        <f>IF('asset_&amp;_open_positions'!$C267="","",'asset_&amp;_open_positions'!$H267)</f>
        <v>0.23001664875320599</v>
      </c>
      <c r="P267" s="84" t="str">
        <f>IF(OR('asset_&amp;_open_positions'!$C267="",'asset_&amp;_open_positions'!$J267="SWAP",'asset_&amp;_open_positions'!$J267="FUTURE",'asset_&amp;_open_positions'!$J267="CME FUTURE"),"",'asset_&amp;_open_positions'!$M267)</f>
        <v>ETHF</v>
      </c>
      <c r="Q267" s="43">
        <f>IF(OR('asset_&amp;_open_positions'!$C267="",'asset_&amp;_open_positions'!$J267="SWAP",'asset_&amp;_open_positions'!$J267="FUTURE",'asset_&amp;_open_positions'!$J267="CME FUTURE"),"",'asset_&amp;_open_positions'!$H267)</f>
        <v>0.23001664875320599</v>
      </c>
    </row>
    <row r="268" spans="14:17" x14ac:dyDescent="0.25">
      <c r="N268" s="84" t="str">
        <f>IF('asset_&amp;_open_positions'!$C268="","",'asset_&amp;_open_positions'!$E268)</f>
        <v>ETHW</v>
      </c>
      <c r="O268" s="43">
        <f>IF('asset_&amp;_open_positions'!$C268="","",'asset_&amp;_open_positions'!$H268)</f>
        <v>3.5405121692480601</v>
      </c>
      <c r="P268" s="84" t="str">
        <f>IF(OR('asset_&amp;_open_positions'!$C268="",'asset_&amp;_open_positions'!$J268="SWAP",'asset_&amp;_open_positions'!$J268="FUTURE",'asset_&amp;_open_positions'!$J268="CME FUTURE"),"",'asset_&amp;_open_positions'!$M268)</f>
        <v>ETHW</v>
      </c>
      <c r="Q268" s="43">
        <f>IF(OR('asset_&amp;_open_positions'!$C268="",'asset_&amp;_open_positions'!$J268="SWAP",'asset_&amp;_open_positions'!$J268="FUTURE",'asset_&amp;_open_positions'!$J268="CME FUTURE"),"",'asset_&amp;_open_positions'!$H268)</f>
        <v>3.5405121692480601</v>
      </c>
    </row>
    <row r="269" spans="14:17" x14ac:dyDescent="0.25">
      <c r="N269" s="84" t="str">
        <f>IF('asset_&amp;_open_positions'!$C269="","",'asset_&amp;_open_positions'!$E269)</f>
        <v>EUROC</v>
      </c>
      <c r="O269" s="43">
        <f>IF('asset_&amp;_open_positions'!$C269="","",'asset_&amp;_open_positions'!$H269)</f>
        <v>1.0683314432701201</v>
      </c>
      <c r="P269" s="84" t="str">
        <f>IF(OR('asset_&amp;_open_positions'!$C269="",'asset_&amp;_open_positions'!$J269="SWAP",'asset_&amp;_open_positions'!$J269="FUTURE",'asset_&amp;_open_positions'!$J269="CME FUTURE"),"",'asset_&amp;_open_positions'!$M269)</f>
        <v>EUROC</v>
      </c>
      <c r="Q269" s="43">
        <f>IF(OR('asset_&amp;_open_positions'!$C269="",'asset_&amp;_open_positions'!$J269="SWAP",'asset_&amp;_open_positions'!$J269="FUTURE",'asset_&amp;_open_positions'!$J269="CME FUTURE"),"",'asset_&amp;_open_positions'!$H269)</f>
        <v>1.0683314432701201</v>
      </c>
    </row>
    <row r="270" spans="14:17" x14ac:dyDescent="0.25">
      <c r="N270" s="84" t="str">
        <f>IF('asset_&amp;_open_positions'!$C270="","",'asset_&amp;_open_positions'!$E270)</f>
        <v>FIL</v>
      </c>
      <c r="O270" s="43">
        <f>IF('asset_&amp;_open_positions'!$C270="","",'asset_&amp;_open_positions'!$H270)</f>
        <v>4.2300897094453704</v>
      </c>
      <c r="P270" s="84" t="str">
        <f>IF(OR('asset_&amp;_open_positions'!$C270="",'asset_&amp;_open_positions'!$J270="SWAP",'asset_&amp;_open_positions'!$J270="FUTURE",'asset_&amp;_open_positions'!$J270="CME FUTURE"),"",'asset_&amp;_open_positions'!$M270)</f>
        <v>FIL</v>
      </c>
      <c r="Q270" s="43">
        <f>IF(OR('asset_&amp;_open_positions'!$C270="",'asset_&amp;_open_positions'!$J270="SWAP",'asset_&amp;_open_positions'!$J270="FUTURE",'asset_&amp;_open_positions'!$J270="CME FUTURE"),"",'asset_&amp;_open_positions'!$H270)</f>
        <v>4.2300897094453704</v>
      </c>
    </row>
    <row r="271" spans="14:17" x14ac:dyDescent="0.25">
      <c r="N271" s="84" t="str">
        <f>IF('asset_&amp;_open_positions'!$C271="","",'asset_&amp;_open_positions'!$E271)</f>
        <v>FTT</v>
      </c>
      <c r="O271" s="43">
        <f>IF('asset_&amp;_open_positions'!$C271="","",'asset_&amp;_open_positions'!$H271)</f>
        <v>1.37125509905009</v>
      </c>
      <c r="P271" s="84" t="str">
        <f>IF(OR('asset_&amp;_open_positions'!$C271="",'asset_&amp;_open_positions'!$J271="SWAP",'asset_&amp;_open_positions'!$J271="FUTURE",'asset_&amp;_open_positions'!$J271="CME FUTURE"),"",'asset_&amp;_open_positions'!$M271)</f>
        <v>FTT</v>
      </c>
      <c r="Q271" s="43">
        <f>IF(OR('asset_&amp;_open_positions'!$C271="",'asset_&amp;_open_positions'!$J271="SWAP",'asset_&amp;_open_positions'!$J271="FUTURE",'asset_&amp;_open_positions'!$J271="CME FUTURE"),"",'asset_&amp;_open_positions'!$H271)</f>
        <v>1.37125509905009</v>
      </c>
    </row>
    <row r="272" spans="14:17" x14ac:dyDescent="0.25">
      <c r="N272" s="84" t="str">
        <f>IF('asset_&amp;_open_positions'!$C272="","",'asset_&amp;_open_positions'!$E272)</f>
        <v>GAS</v>
      </c>
      <c r="O272" s="43">
        <f>IF('asset_&amp;_open_positions'!$C272="","",'asset_&amp;_open_positions'!$H272)</f>
        <v>2.31656606457818</v>
      </c>
      <c r="P272" s="84" t="str">
        <f>IF(OR('asset_&amp;_open_positions'!$C272="",'asset_&amp;_open_positions'!$J272="SWAP",'asset_&amp;_open_positions'!$J272="FUTURE",'asset_&amp;_open_positions'!$J272="CME FUTURE"),"",'asset_&amp;_open_positions'!$M272)</f>
        <v>GAS</v>
      </c>
      <c r="Q272" s="43">
        <f>IF(OR('asset_&amp;_open_positions'!$C272="",'asset_&amp;_open_positions'!$J272="SWAP",'asset_&amp;_open_positions'!$J272="FUTURE",'asset_&amp;_open_positions'!$J272="CME FUTURE"),"",'asset_&amp;_open_positions'!$H272)</f>
        <v>2.31656606457818</v>
      </c>
    </row>
    <row r="273" spans="14:17" x14ac:dyDescent="0.25">
      <c r="N273" s="84" t="str">
        <f>IF('asset_&amp;_open_positions'!$C273="","",'asset_&amp;_open_positions'!$E273)</f>
        <v>HBAR</v>
      </c>
      <c r="O273" s="43">
        <f>IF('asset_&amp;_open_positions'!$C273="","",'asset_&amp;_open_positions'!$H273)</f>
        <v>4.6678870005249097E-2</v>
      </c>
      <c r="P273" s="84" t="str">
        <f>IF(OR('asset_&amp;_open_positions'!$C273="",'asset_&amp;_open_positions'!$J273="SWAP",'asset_&amp;_open_positions'!$J273="FUTURE",'asset_&amp;_open_positions'!$J273="CME FUTURE"),"",'asset_&amp;_open_positions'!$M273)</f>
        <v>HBAR</v>
      </c>
      <c r="Q273" s="43">
        <f>IF(OR('asset_&amp;_open_positions'!$C273="",'asset_&amp;_open_positions'!$J273="SWAP",'asset_&amp;_open_positions'!$J273="FUTURE",'asset_&amp;_open_positions'!$J273="CME FUTURE"),"",'asset_&amp;_open_positions'!$H273)</f>
        <v>4.6678870005249097E-2</v>
      </c>
    </row>
    <row r="274" spans="14:17" x14ac:dyDescent="0.25">
      <c r="N274" s="84" t="str">
        <f>IF('asset_&amp;_open_positions'!$C274="","",'asset_&amp;_open_positions'!$E274)</f>
        <v>HPT</v>
      </c>
      <c r="O274" s="43">
        <f>IF('asset_&amp;_open_positions'!$C274="","",'asset_&amp;_open_positions'!$H274)</f>
        <v>8.0352093305725597E-4</v>
      </c>
      <c r="P274" s="84" t="str">
        <f>IF(OR('asset_&amp;_open_positions'!$C274="",'asset_&amp;_open_positions'!$J274="SWAP",'asset_&amp;_open_positions'!$J274="FUTURE",'asset_&amp;_open_positions'!$J274="CME FUTURE"),"",'asset_&amp;_open_positions'!$M274)</f>
        <v>HPT</v>
      </c>
      <c r="Q274" s="43">
        <f>IF(OR('asset_&amp;_open_positions'!$C274="",'asset_&amp;_open_positions'!$J274="SWAP",'asset_&amp;_open_positions'!$J274="FUTURE",'asset_&amp;_open_positions'!$J274="CME FUTURE"),"",'asset_&amp;_open_positions'!$H274)</f>
        <v>8.0352093305725597E-4</v>
      </c>
    </row>
    <row r="275" spans="14:17" x14ac:dyDescent="0.25">
      <c r="N275" s="84" t="str">
        <f>IF('asset_&amp;_open_positions'!$C275="","",'asset_&amp;_open_positions'!$E275)</f>
        <v>HT</v>
      </c>
      <c r="O275" s="43">
        <f>IF('asset_&amp;_open_positions'!$C275="","",'asset_&amp;_open_positions'!$H275)</f>
        <v>6.2993291825257502</v>
      </c>
      <c r="P275" s="84" t="str">
        <f>IF(OR('asset_&amp;_open_positions'!$C275="",'asset_&amp;_open_positions'!$J275="SWAP",'asset_&amp;_open_positions'!$J275="FUTURE",'asset_&amp;_open_positions'!$J275="CME FUTURE"),"",'asset_&amp;_open_positions'!$M275)</f>
        <v>HT</v>
      </c>
      <c r="Q275" s="43">
        <f>IF(OR('asset_&amp;_open_positions'!$C275="",'asset_&amp;_open_positions'!$J275="SWAP",'asset_&amp;_open_positions'!$J275="FUTURE",'asset_&amp;_open_positions'!$J275="CME FUTURE"),"",'asset_&amp;_open_positions'!$H275)</f>
        <v>6.2993291825257502</v>
      </c>
    </row>
    <row r="276" spans="14:17" x14ac:dyDescent="0.25">
      <c r="N276" s="84" t="str">
        <f>IF('asset_&amp;_open_positions'!$C276="","",'asset_&amp;_open_positions'!$E276)</f>
        <v>IOST</v>
      </c>
      <c r="O276" s="43">
        <f>IF('asset_&amp;_open_positions'!$C276="","",'asset_&amp;_open_positions'!$H276)</f>
        <v>8.3021921800215306E-3</v>
      </c>
      <c r="P276" s="84" t="str">
        <f>IF(OR('asset_&amp;_open_positions'!$C276="",'asset_&amp;_open_positions'!$J276="SWAP",'asset_&amp;_open_positions'!$J276="FUTURE",'asset_&amp;_open_positions'!$J276="CME FUTURE"),"",'asset_&amp;_open_positions'!$M276)</f>
        <v>IOST</v>
      </c>
      <c r="Q276" s="43">
        <f>IF(OR('asset_&amp;_open_positions'!$C276="",'asset_&amp;_open_positions'!$J276="SWAP",'asset_&amp;_open_positions'!$J276="FUTURE",'asset_&amp;_open_positions'!$J276="CME FUTURE"),"",'asset_&amp;_open_positions'!$H276)</f>
        <v>8.3021921800215306E-3</v>
      </c>
    </row>
    <row r="277" spans="14:17" x14ac:dyDescent="0.25">
      <c r="N277" s="84" t="str">
        <f>IF('asset_&amp;_open_positions'!$C277="","",'asset_&amp;_open_positions'!$E277)</f>
        <v>IRIS</v>
      </c>
      <c r="O277" s="43">
        <f>IF('asset_&amp;_open_positions'!$C277="","",'asset_&amp;_open_positions'!$H277)</f>
        <v>1.41889022315148E-2</v>
      </c>
      <c r="P277" s="84" t="str">
        <f>IF(OR('asset_&amp;_open_positions'!$C277="",'asset_&amp;_open_positions'!$J277="SWAP",'asset_&amp;_open_positions'!$J277="FUTURE",'asset_&amp;_open_positions'!$J277="CME FUTURE"),"",'asset_&amp;_open_positions'!$M277)</f>
        <v>IRIS</v>
      </c>
      <c r="Q277" s="43">
        <f>IF(OR('asset_&amp;_open_positions'!$C277="",'asset_&amp;_open_positions'!$J277="SWAP",'asset_&amp;_open_positions'!$J277="FUTURE",'asset_&amp;_open_positions'!$J277="CME FUTURE"),"",'asset_&amp;_open_positions'!$H277)</f>
        <v>1.41889022315148E-2</v>
      </c>
    </row>
    <row r="278" spans="14:17" x14ac:dyDescent="0.25">
      <c r="N278" s="84" t="str">
        <f>IF('asset_&amp;_open_positions'!$C278="","",'asset_&amp;_open_positions'!$E278)</f>
        <v>JST</v>
      </c>
      <c r="O278" s="43">
        <f>IF('asset_&amp;_open_positions'!$C278="","",'asset_&amp;_open_positions'!$H278)</f>
        <v>2.2389911778594E-2</v>
      </c>
      <c r="P278" s="84" t="str">
        <f>IF(OR('asset_&amp;_open_positions'!$C278="",'asset_&amp;_open_positions'!$J278="SWAP",'asset_&amp;_open_positions'!$J278="FUTURE",'asset_&amp;_open_positions'!$J278="CME FUTURE"),"",'asset_&amp;_open_positions'!$M278)</f>
        <v>JST</v>
      </c>
      <c r="Q278" s="43">
        <f>IF(OR('asset_&amp;_open_positions'!$C278="",'asset_&amp;_open_positions'!$J278="SWAP",'asset_&amp;_open_positions'!$J278="FUTURE",'asset_&amp;_open_positions'!$J278="CME FUTURE"),"",'asset_&amp;_open_positions'!$H278)</f>
        <v>2.2389911778594E-2</v>
      </c>
    </row>
    <row r="279" spans="14:17" x14ac:dyDescent="0.25">
      <c r="N279" s="84" t="str">
        <f>IF('asset_&amp;_open_positions'!$C279="","",'asset_&amp;_open_positions'!$E279)</f>
        <v>KSM</v>
      </c>
      <c r="O279" s="43">
        <f>IF('asset_&amp;_open_positions'!$C279="","",'asset_&amp;_open_positions'!$H279)</f>
        <v>27.547323742667501</v>
      </c>
      <c r="P279" s="84" t="str">
        <f>IF(OR('asset_&amp;_open_positions'!$C279="",'asset_&amp;_open_positions'!$J279="SWAP",'asset_&amp;_open_positions'!$J279="FUTURE",'asset_&amp;_open_positions'!$J279="CME FUTURE"),"",'asset_&amp;_open_positions'!$M279)</f>
        <v>KSM</v>
      </c>
      <c r="Q279" s="43">
        <f>IF(OR('asset_&amp;_open_positions'!$C279="",'asset_&amp;_open_positions'!$J279="SWAP",'asset_&amp;_open_positions'!$J279="FUTURE",'asset_&amp;_open_positions'!$J279="CME FUTURE"),"",'asset_&amp;_open_positions'!$H279)</f>
        <v>27.547323742667501</v>
      </c>
    </row>
    <row r="280" spans="14:17" x14ac:dyDescent="0.25">
      <c r="N280" s="84" t="str">
        <f>IF('asset_&amp;_open_positions'!$C280="","",'asset_&amp;_open_positions'!$E280)</f>
        <v>LAMB</v>
      </c>
      <c r="O280" s="43">
        <f>IF('asset_&amp;_open_positions'!$C280="","",'asset_&amp;_open_positions'!$H280)</f>
        <v>1.27548379816825E-3</v>
      </c>
      <c r="P280" s="84" t="str">
        <f>IF(OR('asset_&amp;_open_positions'!$C280="",'asset_&amp;_open_positions'!$J280="SWAP",'asset_&amp;_open_positions'!$J280="FUTURE",'asset_&amp;_open_positions'!$J280="CME FUTURE"),"",'asset_&amp;_open_positions'!$M280)</f>
        <v>LAMB</v>
      </c>
      <c r="Q280" s="43">
        <f>IF(OR('asset_&amp;_open_positions'!$C280="",'asset_&amp;_open_positions'!$J280="SWAP",'asset_&amp;_open_positions'!$J280="FUTURE",'asset_&amp;_open_positions'!$J280="CME FUTURE"),"",'asset_&amp;_open_positions'!$H280)</f>
        <v>1.27548379816825E-3</v>
      </c>
    </row>
    <row r="281" spans="14:17" x14ac:dyDescent="0.25">
      <c r="N281" s="84" t="str">
        <f>IF('asset_&amp;_open_positions'!$C281="","",'asset_&amp;_open_positions'!$E281)</f>
        <v>LEND</v>
      </c>
      <c r="O281" s="43">
        <f>IF('asset_&amp;_open_positions'!$C281="","",'asset_&amp;_open_positions'!$H281)</f>
        <v>0</v>
      </c>
      <c r="P281" s="84" t="str">
        <f>IF(OR('asset_&amp;_open_positions'!$C281="",'asset_&amp;_open_positions'!$J281="SWAP",'asset_&amp;_open_positions'!$J281="FUTURE",'asset_&amp;_open_positions'!$J281="CME FUTURE"),"",'asset_&amp;_open_positions'!$M281)</f>
        <v>LEND</v>
      </c>
      <c r="Q281" s="43">
        <f>IF(OR('asset_&amp;_open_positions'!$C281="",'asset_&amp;_open_positions'!$J281="SWAP",'asset_&amp;_open_positions'!$J281="FUTURE",'asset_&amp;_open_positions'!$J281="CME FUTURE"),"",'asset_&amp;_open_positions'!$H281)</f>
        <v>0</v>
      </c>
    </row>
    <row r="282" spans="14:17" x14ac:dyDescent="0.25">
      <c r="N282" s="84" t="str">
        <f>IF('asset_&amp;_open_positions'!$C282="","",'asset_&amp;_open_positions'!$E282)</f>
        <v>LINK</v>
      </c>
      <c r="O282" s="43">
        <f>IF('asset_&amp;_open_positions'!$C282="","",'asset_&amp;_open_positions'!$H282)</f>
        <v>6.72882805759214</v>
      </c>
      <c r="P282" s="84" t="str">
        <f>IF(OR('asset_&amp;_open_positions'!$C282="",'asset_&amp;_open_positions'!$J282="SWAP",'asset_&amp;_open_positions'!$J282="FUTURE",'asset_&amp;_open_positions'!$J282="CME FUTURE"),"",'asset_&amp;_open_positions'!$M282)</f>
        <v>LINK</v>
      </c>
      <c r="Q282" s="43">
        <f>IF(OR('asset_&amp;_open_positions'!$C282="",'asset_&amp;_open_positions'!$J282="SWAP",'asset_&amp;_open_positions'!$J282="FUTURE",'asset_&amp;_open_positions'!$J282="CME FUTURE"),"",'asset_&amp;_open_positions'!$H282)</f>
        <v>6.72882805759214</v>
      </c>
    </row>
    <row r="283" spans="14:17" x14ac:dyDescent="0.25">
      <c r="N283" s="84" t="str">
        <f>IF('asset_&amp;_open_positions'!$C283="","",'asset_&amp;_open_positions'!$E283)</f>
        <v>LOL</v>
      </c>
      <c r="O283" s="43">
        <f>IF('asset_&amp;_open_positions'!$C283="","",'asset_&amp;_open_positions'!$H283)</f>
        <v>2.8613514332115E-7</v>
      </c>
      <c r="P283" s="84" t="str">
        <f>IF(OR('asset_&amp;_open_positions'!$C283="",'asset_&amp;_open_positions'!$J283="SWAP",'asset_&amp;_open_positions'!$J283="FUTURE",'asset_&amp;_open_positions'!$J283="CME FUTURE"),"",'asset_&amp;_open_positions'!$M283)</f>
        <v>LOL</v>
      </c>
      <c r="Q283" s="43">
        <f>IF(OR('asset_&amp;_open_positions'!$C283="",'asset_&amp;_open_positions'!$J283="SWAP",'asset_&amp;_open_positions'!$J283="FUTURE",'asset_&amp;_open_positions'!$J283="CME FUTURE"),"",'asset_&amp;_open_positions'!$H283)</f>
        <v>2.8613514332115E-7</v>
      </c>
    </row>
    <row r="284" spans="14:17" x14ac:dyDescent="0.25">
      <c r="N284" s="84" t="str">
        <f>IF('asset_&amp;_open_positions'!$C284="","",'asset_&amp;_open_positions'!$E284)</f>
        <v>LTC</v>
      </c>
      <c r="O284" s="43">
        <f>IF('asset_&amp;_open_positions'!$C284="","",'asset_&amp;_open_positions'!$H284)</f>
        <v>75.475863646134997</v>
      </c>
      <c r="P284" s="84" t="str">
        <f>IF(OR('asset_&amp;_open_positions'!$C284="",'asset_&amp;_open_positions'!$J284="SWAP",'asset_&amp;_open_positions'!$J284="FUTURE",'asset_&amp;_open_positions'!$J284="CME FUTURE"),"",'asset_&amp;_open_positions'!$M284)</f>
        <v>LTC</v>
      </c>
      <c r="Q284" s="43">
        <f>IF(OR('asset_&amp;_open_positions'!$C284="",'asset_&amp;_open_positions'!$J284="SWAP",'asset_&amp;_open_positions'!$J284="FUTURE",'asset_&amp;_open_positions'!$J284="CME FUTURE"),"",'asset_&amp;_open_positions'!$H284)</f>
        <v>75.475863646134997</v>
      </c>
    </row>
    <row r="285" spans="14:17" x14ac:dyDescent="0.25">
      <c r="N285" s="84" t="str">
        <f>IF('asset_&amp;_open_positions'!$C285="","",'asset_&amp;_open_positions'!$E285)</f>
        <v>LXT</v>
      </c>
      <c r="O285" s="43">
        <f>IF('asset_&amp;_open_positions'!$C285="","",'asset_&amp;_open_positions'!$H285)</f>
        <v>2.1402255780945099E-4</v>
      </c>
      <c r="P285" s="84" t="str">
        <f>IF(OR('asset_&amp;_open_positions'!$C285="",'asset_&amp;_open_positions'!$J285="SWAP",'asset_&amp;_open_positions'!$J285="FUTURE",'asset_&amp;_open_positions'!$J285="CME FUTURE"),"",'asset_&amp;_open_positions'!$M285)</f>
        <v>LXT</v>
      </c>
      <c r="Q285" s="43">
        <f>IF(OR('asset_&amp;_open_positions'!$C285="",'asset_&amp;_open_positions'!$J285="SWAP",'asset_&amp;_open_positions'!$J285="FUTURE",'asset_&amp;_open_positions'!$J285="CME FUTURE"),"",'asset_&amp;_open_positions'!$H285)</f>
        <v>2.1402255780945099E-4</v>
      </c>
    </row>
    <row r="286" spans="14:17" x14ac:dyDescent="0.25">
      <c r="N286" s="84" t="str">
        <f>IF('asset_&amp;_open_positions'!$C286="","",'asset_&amp;_open_positions'!$E286)</f>
        <v>MANA</v>
      </c>
      <c r="O286" s="43">
        <f>IF('asset_&amp;_open_positions'!$C286="","",'asset_&amp;_open_positions'!$H286)</f>
        <v>0.38186039560085799</v>
      </c>
      <c r="P286" s="84" t="str">
        <f>IF(OR('asset_&amp;_open_positions'!$C286="",'asset_&amp;_open_positions'!$J286="SWAP",'asset_&amp;_open_positions'!$J286="FUTURE",'asset_&amp;_open_positions'!$J286="CME FUTURE"),"",'asset_&amp;_open_positions'!$M286)</f>
        <v>MANA</v>
      </c>
      <c r="Q286" s="43">
        <f>IF(OR('asset_&amp;_open_positions'!$C286="",'asset_&amp;_open_positions'!$J286="SWAP",'asset_&amp;_open_positions'!$J286="FUTURE",'asset_&amp;_open_positions'!$J286="CME FUTURE"),"",'asset_&amp;_open_positions'!$H286)</f>
        <v>0.38186039560085799</v>
      </c>
    </row>
    <row r="287" spans="14:17" x14ac:dyDescent="0.25">
      <c r="N287" s="84" t="str">
        <f>IF('asset_&amp;_open_positions'!$C287="","",'asset_&amp;_open_positions'!$E287)</f>
        <v>NEO</v>
      </c>
      <c r="O287" s="43">
        <f>IF('asset_&amp;_open_positions'!$C287="","",'asset_&amp;_open_positions'!$H287)</f>
        <v>7.1753521349037896</v>
      </c>
      <c r="P287" s="84" t="str">
        <f>IF(OR('asset_&amp;_open_positions'!$C287="",'asset_&amp;_open_positions'!$J287="SWAP",'asset_&amp;_open_positions'!$J287="FUTURE",'asset_&amp;_open_positions'!$J287="CME FUTURE"),"",'asset_&amp;_open_positions'!$M287)</f>
        <v>NEO</v>
      </c>
      <c r="Q287" s="43">
        <f>IF(OR('asset_&amp;_open_positions'!$C287="",'asset_&amp;_open_positions'!$J287="SWAP",'asset_&amp;_open_positions'!$J287="FUTURE",'asset_&amp;_open_positions'!$J287="CME FUTURE"),"",'asset_&amp;_open_positions'!$H287)</f>
        <v>7.1753521349037896</v>
      </c>
    </row>
    <row r="288" spans="14:17" x14ac:dyDescent="0.25">
      <c r="N288" s="84" t="str">
        <f>IF('asset_&amp;_open_positions'!$C288="","",'asset_&amp;_open_positions'!$E288)</f>
        <v>NEW</v>
      </c>
      <c r="O288" s="43">
        <f>IF('asset_&amp;_open_positions'!$C288="","",'asset_&amp;_open_positions'!$H288)</f>
        <v>1.7081777991654199E-4</v>
      </c>
      <c r="P288" s="84" t="str">
        <f>IF(OR('asset_&amp;_open_positions'!$C288="",'asset_&amp;_open_positions'!$J288="SWAP",'asset_&amp;_open_positions'!$J288="FUTURE",'asset_&amp;_open_positions'!$J288="CME FUTURE"),"",'asset_&amp;_open_positions'!$M288)</f>
        <v>NEW</v>
      </c>
      <c r="Q288" s="43">
        <f>IF(OR('asset_&amp;_open_positions'!$C288="",'asset_&amp;_open_positions'!$J288="SWAP",'asset_&amp;_open_positions'!$J288="FUTURE",'asset_&amp;_open_positions'!$J288="CME FUTURE"),"",'asset_&amp;_open_positions'!$H288)</f>
        <v>1.7081777991654199E-4</v>
      </c>
    </row>
    <row r="289" spans="14:17" x14ac:dyDescent="0.25">
      <c r="N289" s="84" t="str">
        <f>IF('asset_&amp;_open_positions'!$C289="","",'asset_&amp;_open_positions'!$E289)</f>
        <v>NFT</v>
      </c>
      <c r="O289" s="43">
        <f>IF('asset_&amp;_open_positions'!$C289="","",'asset_&amp;_open_positions'!$H289)</f>
        <v>4.7345850591062001E-7</v>
      </c>
      <c r="P289" s="84" t="str">
        <f>IF(OR('asset_&amp;_open_positions'!$C289="",'asset_&amp;_open_positions'!$J289="SWAP",'asset_&amp;_open_positions'!$J289="FUTURE",'asset_&amp;_open_positions'!$J289="CME FUTURE"),"",'asset_&amp;_open_positions'!$M289)</f>
        <v>NFT</v>
      </c>
      <c r="Q289" s="43">
        <f>IF(OR('asset_&amp;_open_positions'!$C289="",'asset_&amp;_open_positions'!$J289="SWAP",'asset_&amp;_open_positions'!$J289="FUTURE",'asset_&amp;_open_positions'!$J289="CME FUTURE"),"",'asset_&amp;_open_positions'!$H289)</f>
        <v>4.7345850591062001E-7</v>
      </c>
    </row>
    <row r="290" spans="14:17" x14ac:dyDescent="0.25">
      <c r="N290" s="84" t="str">
        <f>IF('asset_&amp;_open_positions'!$C290="","",'asset_&amp;_open_positions'!$E290)</f>
        <v>NULS</v>
      </c>
      <c r="O290" s="43">
        <f>IF('asset_&amp;_open_positions'!$C290="","",'asset_&amp;_open_positions'!$H290)</f>
        <v>0.213287488916097</v>
      </c>
      <c r="P290" s="84" t="str">
        <f>IF(OR('asset_&amp;_open_positions'!$C290="",'asset_&amp;_open_positions'!$J290="SWAP",'asset_&amp;_open_positions'!$J290="FUTURE",'asset_&amp;_open_positions'!$J290="CME FUTURE"),"",'asset_&amp;_open_positions'!$M290)</f>
        <v>NULS</v>
      </c>
      <c r="Q290" s="43">
        <f>IF(OR('asset_&amp;_open_positions'!$C290="",'asset_&amp;_open_positions'!$J290="SWAP",'asset_&amp;_open_positions'!$J290="FUTURE",'asset_&amp;_open_positions'!$J290="CME FUTURE"),"",'asset_&amp;_open_positions'!$H290)</f>
        <v>0.213287488916097</v>
      </c>
    </row>
    <row r="291" spans="14:17" x14ac:dyDescent="0.25">
      <c r="N291" s="84" t="str">
        <f>IF('asset_&amp;_open_positions'!$C291="","",'asset_&amp;_open_positions'!$E291)</f>
        <v>ONG</v>
      </c>
      <c r="O291" s="43">
        <f>IF('asset_&amp;_open_positions'!$C291="","",'asset_&amp;_open_positions'!$H291)</f>
        <v>0.26620617653859602</v>
      </c>
      <c r="P291" s="84" t="str">
        <f>IF(OR('asset_&amp;_open_positions'!$C291="",'asset_&amp;_open_positions'!$J291="SWAP",'asset_&amp;_open_positions'!$J291="FUTURE",'asset_&amp;_open_positions'!$J291="CME FUTURE"),"",'asset_&amp;_open_positions'!$M291)</f>
        <v>ONG</v>
      </c>
      <c r="Q291" s="43">
        <f>IF(OR('asset_&amp;_open_positions'!$C291="",'asset_&amp;_open_positions'!$J291="SWAP",'asset_&amp;_open_positions'!$J291="FUTURE",'asset_&amp;_open_positions'!$J291="CME FUTURE"),"",'asset_&amp;_open_positions'!$H291)</f>
        <v>0.26620617653859602</v>
      </c>
    </row>
    <row r="292" spans="14:17" x14ac:dyDescent="0.25">
      <c r="N292" s="84" t="str">
        <f>IF('asset_&amp;_open_positions'!$C292="","",'asset_&amp;_open_positions'!$E292)</f>
        <v>OXT</v>
      </c>
      <c r="O292" s="43">
        <f>IF('asset_&amp;_open_positions'!$C292="","",'asset_&amp;_open_positions'!$H292)</f>
        <v>8.1177871372945895E-2</v>
      </c>
      <c r="P292" s="84" t="str">
        <f>IF(OR('asset_&amp;_open_positions'!$C292="",'asset_&amp;_open_positions'!$J292="SWAP",'asset_&amp;_open_positions'!$J292="FUTURE",'asset_&amp;_open_positions'!$J292="CME FUTURE"),"",'asset_&amp;_open_positions'!$M292)</f>
        <v>OXT</v>
      </c>
      <c r="Q292" s="43">
        <f>IF(OR('asset_&amp;_open_positions'!$C292="",'asset_&amp;_open_positions'!$J292="SWAP",'asset_&amp;_open_positions'!$J292="FUTURE",'asset_&amp;_open_positions'!$J292="CME FUTURE"),"",'asset_&amp;_open_positions'!$H292)</f>
        <v>8.1177871372945895E-2</v>
      </c>
    </row>
    <row r="293" spans="14:17" x14ac:dyDescent="0.25">
      <c r="N293" s="84" t="str">
        <f>IF('asset_&amp;_open_positions'!$C293="","",'asset_&amp;_open_positions'!$E293)</f>
        <v>QTUM</v>
      </c>
      <c r="O293" s="43">
        <f>IF('asset_&amp;_open_positions'!$C293="","",'asset_&amp;_open_positions'!$H293)</f>
        <v>2.3595660779527998</v>
      </c>
      <c r="P293" s="84" t="str">
        <f>IF(OR('asset_&amp;_open_positions'!$C293="",'asset_&amp;_open_positions'!$J293="SWAP",'asset_&amp;_open_positions'!$J293="FUTURE",'asset_&amp;_open_positions'!$J293="CME FUTURE"),"",'asset_&amp;_open_positions'!$M293)</f>
        <v>QTUM</v>
      </c>
      <c r="Q293" s="43">
        <f>IF(OR('asset_&amp;_open_positions'!$C293="",'asset_&amp;_open_positions'!$J293="SWAP",'asset_&amp;_open_positions'!$J293="FUTURE",'asset_&amp;_open_positions'!$J293="CME FUTURE"),"",'asset_&amp;_open_positions'!$H293)</f>
        <v>2.3595660779527998</v>
      </c>
    </row>
    <row r="294" spans="14:17" x14ac:dyDescent="0.25">
      <c r="N294" s="84" t="str">
        <f>IF('asset_&amp;_open_positions'!$C294="","",'asset_&amp;_open_positions'!$E294)</f>
        <v>REI</v>
      </c>
      <c r="O294" s="43">
        <f>IF('asset_&amp;_open_positions'!$C294="","",'asset_&amp;_open_positions'!$H294)</f>
        <v>2.4860450230470399E-2</v>
      </c>
      <c r="P294" s="84" t="str">
        <f>IF(OR('asset_&amp;_open_positions'!$C294="",'asset_&amp;_open_positions'!$J294="SWAP",'asset_&amp;_open_positions'!$J294="FUTURE",'asset_&amp;_open_positions'!$J294="CME FUTURE"),"",'asset_&amp;_open_positions'!$M294)</f>
        <v>REI</v>
      </c>
      <c r="Q294" s="43">
        <f>IF(OR('asset_&amp;_open_positions'!$C294="",'asset_&amp;_open_positions'!$J294="SWAP",'asset_&amp;_open_positions'!$J294="FUTURE",'asset_&amp;_open_positions'!$J294="CME FUTURE"),"",'asset_&amp;_open_positions'!$H294)</f>
        <v>2.4860450230470399E-2</v>
      </c>
    </row>
    <row r="295" spans="14:17" x14ac:dyDescent="0.25">
      <c r="N295" s="84" t="str">
        <f>IF('asset_&amp;_open_positions'!$C295="","",'asset_&amp;_open_positions'!$E295)</f>
        <v>SGB</v>
      </c>
      <c r="O295" s="43">
        <f>IF('asset_&amp;_open_positions'!$C295="","",'asset_&amp;_open_positions'!$H295)</f>
        <v>1.1899667914311201E-2</v>
      </c>
      <c r="P295" s="84" t="str">
        <f>IF(OR('asset_&amp;_open_positions'!$C295="",'asset_&amp;_open_positions'!$J295="SWAP",'asset_&amp;_open_positions'!$J295="FUTURE",'asset_&amp;_open_positions'!$J295="CME FUTURE"),"",'asset_&amp;_open_positions'!$M295)</f>
        <v>SGB</v>
      </c>
      <c r="Q295" s="43">
        <f>IF(OR('asset_&amp;_open_positions'!$C295="",'asset_&amp;_open_positions'!$J295="SWAP",'asset_&amp;_open_positions'!$J295="FUTURE",'asset_&amp;_open_positions'!$J295="CME FUTURE"),"",'asset_&amp;_open_positions'!$H295)</f>
        <v>1.1899667914311201E-2</v>
      </c>
    </row>
    <row r="296" spans="14:17" x14ac:dyDescent="0.25">
      <c r="N296" s="84" t="str">
        <f>IF('asset_&amp;_open_positions'!$C296="","",'asset_&amp;_open_positions'!$E296)</f>
        <v>SHIB</v>
      </c>
      <c r="O296" s="43">
        <f>IF('asset_&amp;_open_positions'!$C296="","",'asset_&amp;_open_positions'!$H296)</f>
        <v>8.9727561705582505E-6</v>
      </c>
      <c r="P296" s="84" t="str">
        <f>IF(OR('asset_&amp;_open_positions'!$C296="",'asset_&amp;_open_positions'!$J296="SWAP",'asset_&amp;_open_positions'!$J296="FUTURE",'asset_&amp;_open_positions'!$J296="CME FUTURE"),"",'asset_&amp;_open_positions'!$M296)</f>
        <v>SHIB</v>
      </c>
      <c r="Q296" s="43">
        <f>IF(OR('asset_&amp;_open_positions'!$C296="",'asset_&amp;_open_positions'!$J296="SWAP",'asset_&amp;_open_positions'!$J296="FUTURE",'asset_&amp;_open_positions'!$J296="CME FUTURE"),"",'asset_&amp;_open_positions'!$H296)</f>
        <v>8.9727561705582505E-6</v>
      </c>
    </row>
    <row r="297" spans="14:17" x14ac:dyDescent="0.25">
      <c r="N297" s="84" t="str">
        <f>IF('asset_&amp;_open_positions'!$C297="","",'asset_&amp;_open_positions'!$E297)</f>
        <v>SOL</v>
      </c>
      <c r="O297" s="43">
        <f>IF('asset_&amp;_open_positions'!$C297="","",'asset_&amp;_open_positions'!$H297)</f>
        <v>14.1405261987448</v>
      </c>
      <c r="P297" s="84" t="str">
        <f>IF(OR('asset_&amp;_open_positions'!$C297="",'asset_&amp;_open_positions'!$J297="SWAP",'asset_&amp;_open_positions'!$J297="FUTURE",'asset_&amp;_open_positions'!$J297="CME FUTURE"),"",'asset_&amp;_open_positions'!$M297)</f>
        <v>SOL</v>
      </c>
      <c r="Q297" s="43">
        <f>IF(OR('asset_&amp;_open_positions'!$C297="",'asset_&amp;_open_positions'!$J297="SWAP",'asset_&amp;_open_positions'!$J297="FUTURE",'asset_&amp;_open_positions'!$J297="CME FUTURE"),"",'asset_&amp;_open_positions'!$H297)</f>
        <v>14.1405261987448</v>
      </c>
    </row>
    <row r="298" spans="14:17" x14ac:dyDescent="0.25">
      <c r="N298" s="84" t="str">
        <f>IF('asset_&amp;_open_positions'!$C298="","",'asset_&amp;_open_positions'!$E298)</f>
        <v>SOLO</v>
      </c>
      <c r="O298" s="43">
        <f>IF('asset_&amp;_open_positions'!$C298="","",'asset_&amp;_open_positions'!$H298)</f>
        <v>0.15157867295319399</v>
      </c>
      <c r="P298" s="84" t="str">
        <f>IF(OR('asset_&amp;_open_positions'!$C298="",'asset_&amp;_open_positions'!$J298="SWAP",'asset_&amp;_open_positions'!$J298="FUTURE",'asset_&amp;_open_positions'!$J298="CME FUTURE"),"",'asset_&amp;_open_positions'!$M298)</f>
        <v>SOLO</v>
      </c>
      <c r="Q298" s="43">
        <f>IF(OR('asset_&amp;_open_positions'!$C298="",'asset_&amp;_open_positions'!$J298="SWAP",'asset_&amp;_open_positions'!$J298="FUTURE",'asset_&amp;_open_positions'!$J298="CME FUTURE"),"",'asset_&amp;_open_positions'!$H298)</f>
        <v>0.15157867295319399</v>
      </c>
    </row>
    <row r="299" spans="14:17" x14ac:dyDescent="0.25">
      <c r="N299" s="84" t="str">
        <f>IF('asset_&amp;_open_positions'!$C299="","",'asset_&amp;_open_positions'!$E299)</f>
        <v>STORJ</v>
      </c>
      <c r="O299" s="43">
        <f>IF('asset_&amp;_open_positions'!$C299="","",'asset_&amp;_open_positions'!$H299)</f>
        <v>0.33486421949080297</v>
      </c>
      <c r="P299" s="84" t="str">
        <f>IF(OR('asset_&amp;_open_positions'!$C299="",'asset_&amp;_open_positions'!$J299="SWAP",'asset_&amp;_open_positions'!$J299="FUTURE",'asset_&amp;_open_positions'!$J299="CME FUTURE"),"",'asset_&amp;_open_positions'!$M299)</f>
        <v>STORJ</v>
      </c>
      <c r="Q299" s="43">
        <f>IF(OR('asset_&amp;_open_positions'!$C299="",'asset_&amp;_open_positions'!$J299="SWAP",'asset_&amp;_open_positions'!$J299="FUTURE",'asset_&amp;_open_positions'!$J299="CME FUTURE"),"",'asset_&amp;_open_positions'!$H299)</f>
        <v>0.33486421949080297</v>
      </c>
    </row>
    <row r="300" spans="14:17" x14ac:dyDescent="0.25">
      <c r="N300" s="84" t="str">
        <f>IF('asset_&amp;_open_positions'!$C300="","",'asset_&amp;_open_positions'!$E300)</f>
        <v>TRX</v>
      </c>
      <c r="O300" s="43">
        <f>IF('asset_&amp;_open_positions'!$C300="","",'asset_&amp;_open_positions'!$H300)</f>
        <v>5.5666357131219001E-2</v>
      </c>
      <c r="P300" s="84" t="str">
        <f>IF(OR('asset_&amp;_open_positions'!$C300="",'asset_&amp;_open_positions'!$J300="SWAP",'asset_&amp;_open_positions'!$J300="FUTURE",'asset_&amp;_open_positions'!$J300="CME FUTURE"),"",'asset_&amp;_open_positions'!$M300)</f>
        <v>TRX</v>
      </c>
      <c r="Q300" s="43">
        <f>IF(OR('asset_&amp;_open_positions'!$C300="",'asset_&amp;_open_positions'!$J300="SWAP",'asset_&amp;_open_positions'!$J300="FUTURE",'asset_&amp;_open_positions'!$J300="CME FUTURE"),"",'asset_&amp;_open_positions'!$H300)</f>
        <v>5.5666357131219001E-2</v>
      </c>
    </row>
    <row r="301" spans="14:17" x14ac:dyDescent="0.25">
      <c r="N301" s="84" t="str">
        <f>IF('asset_&amp;_open_positions'!$C301="","",'asset_&amp;_open_positions'!$E301)</f>
        <v>TT</v>
      </c>
      <c r="O301" s="43">
        <f>IF('asset_&amp;_open_positions'!$C301="","",'asset_&amp;_open_positions'!$H301)</f>
        <v>3.8123130368009801E-3</v>
      </c>
      <c r="P301" s="84" t="str">
        <f>IF(OR('asset_&amp;_open_positions'!$C301="",'asset_&amp;_open_positions'!$J301="SWAP",'asset_&amp;_open_positions'!$J301="FUTURE",'asset_&amp;_open_positions'!$J301="CME FUTURE"),"",'asset_&amp;_open_positions'!$M301)</f>
        <v>TT</v>
      </c>
      <c r="Q301" s="43">
        <f>IF(OR('asset_&amp;_open_positions'!$C301="",'asset_&amp;_open_positions'!$J301="SWAP",'asset_&amp;_open_positions'!$J301="FUTURE",'asset_&amp;_open_positions'!$J301="CME FUTURE"),"",'asset_&amp;_open_positions'!$H301)</f>
        <v>3.8123130368009801E-3</v>
      </c>
    </row>
    <row r="302" spans="14:17" x14ac:dyDescent="0.25">
      <c r="N302" s="84" t="str">
        <f>IF('asset_&amp;_open_positions'!$C302="","",'asset_&amp;_open_positions'!$E302)</f>
        <v>TUSD</v>
      </c>
      <c r="O302" s="43">
        <f>IF('asset_&amp;_open_positions'!$C302="","",'asset_&amp;_open_positions'!$H302)</f>
        <v>0.99998402645992202</v>
      </c>
      <c r="P302" s="84" t="str">
        <f>IF(OR('asset_&amp;_open_positions'!$C302="",'asset_&amp;_open_positions'!$J302="SWAP",'asset_&amp;_open_positions'!$J302="FUTURE",'asset_&amp;_open_positions'!$J302="CME FUTURE"),"",'asset_&amp;_open_positions'!$M302)</f>
        <v>TUSD</v>
      </c>
      <c r="Q302" s="43">
        <f>IF(OR('asset_&amp;_open_positions'!$C302="",'asset_&amp;_open_positions'!$J302="SWAP",'asset_&amp;_open_positions'!$J302="FUTURE",'asset_&amp;_open_positions'!$J302="CME FUTURE"),"",'asset_&amp;_open_positions'!$H302)</f>
        <v>0.99998402645992202</v>
      </c>
    </row>
    <row r="303" spans="14:17" x14ac:dyDescent="0.25">
      <c r="N303" s="84" t="str">
        <f>IF('asset_&amp;_open_positions'!$C303="","",'asset_&amp;_open_positions'!$E303)</f>
        <v>UNI</v>
      </c>
      <c r="O303" s="43">
        <f>IF('asset_&amp;_open_positions'!$C303="","",'asset_&amp;_open_positions'!$H303)</f>
        <v>5.9196374391119297</v>
      </c>
      <c r="P303" s="84" t="str">
        <f>IF(OR('asset_&amp;_open_positions'!$C303="",'asset_&amp;_open_positions'!$J303="SWAP",'asset_&amp;_open_positions'!$J303="FUTURE",'asset_&amp;_open_positions'!$J303="CME FUTURE"),"",'asset_&amp;_open_positions'!$M303)</f>
        <v>UNI</v>
      </c>
      <c r="Q303" s="43">
        <f>IF(OR('asset_&amp;_open_positions'!$C303="",'asset_&amp;_open_positions'!$J303="SWAP",'asset_&amp;_open_positions'!$J303="FUTURE",'asset_&amp;_open_positions'!$J303="CME FUTURE"),"",'asset_&amp;_open_positions'!$H303)</f>
        <v>5.9196374391119297</v>
      </c>
    </row>
    <row r="304" spans="14:17" x14ac:dyDescent="0.25">
      <c r="N304" s="84" t="str">
        <f>IF('asset_&amp;_open_positions'!$C304="","",'asset_&amp;_open_positions'!$E304)</f>
        <v>USDC</v>
      </c>
      <c r="O304" s="43">
        <f>IF('asset_&amp;_open_positions'!$C304="","",'asset_&amp;_open_positions'!$H304)</f>
        <v>0.99997952530443501</v>
      </c>
      <c r="P304" s="84" t="str">
        <f>IF(OR('asset_&amp;_open_positions'!$C304="",'asset_&amp;_open_positions'!$J304="SWAP",'asset_&amp;_open_positions'!$J304="FUTURE",'asset_&amp;_open_positions'!$J304="CME FUTURE"),"",'asset_&amp;_open_positions'!$M304)</f>
        <v>USDC</v>
      </c>
      <c r="Q304" s="43">
        <f>IF(OR('asset_&amp;_open_positions'!$C304="",'asset_&amp;_open_positions'!$J304="SWAP",'asset_&amp;_open_positions'!$J304="FUTURE",'asset_&amp;_open_positions'!$J304="CME FUTURE"),"",'asset_&amp;_open_positions'!$H304)</f>
        <v>0.99997952530443501</v>
      </c>
    </row>
    <row r="305" spans="14:17" x14ac:dyDescent="0.25">
      <c r="N305" s="84" t="str">
        <f>IF('asset_&amp;_open_positions'!$C305="","",'asset_&amp;_open_positions'!$E305)</f>
        <v>USDP</v>
      </c>
      <c r="O305" s="43">
        <f>IF('asset_&amp;_open_positions'!$C305="","",'asset_&amp;_open_positions'!$H305)</f>
        <v>1.0035780118439599</v>
      </c>
      <c r="P305" s="84" t="str">
        <f>IF(OR('asset_&amp;_open_positions'!$C305="",'asset_&amp;_open_positions'!$J305="SWAP",'asset_&amp;_open_positions'!$J305="FUTURE",'asset_&amp;_open_positions'!$J305="CME FUTURE"),"",'asset_&amp;_open_positions'!$M305)</f>
        <v>USDP</v>
      </c>
      <c r="Q305" s="43">
        <f>IF(OR('asset_&amp;_open_positions'!$C305="",'asset_&amp;_open_positions'!$J305="SWAP",'asset_&amp;_open_positions'!$J305="FUTURE",'asset_&amp;_open_positions'!$J305="CME FUTURE"),"",'asset_&amp;_open_positions'!$H305)</f>
        <v>1.0035780118439599</v>
      </c>
    </row>
    <row r="306" spans="14:17" x14ac:dyDescent="0.25">
      <c r="N306" s="84" t="str">
        <f>IF('asset_&amp;_open_positions'!$C306="","",'asset_&amp;_open_positions'!$E306)</f>
        <v>USDT</v>
      </c>
      <c r="O306" s="43">
        <f>IF('asset_&amp;_open_positions'!$C306="","",'asset_&amp;_open_positions'!$H306)</f>
        <v>1.0001054103245299</v>
      </c>
      <c r="P306" s="84" t="str">
        <f>IF(OR('asset_&amp;_open_positions'!$C306="",'asset_&amp;_open_positions'!$J306="SWAP",'asset_&amp;_open_positions'!$J306="FUTURE",'asset_&amp;_open_positions'!$J306="CME FUTURE"),"",'asset_&amp;_open_positions'!$M306)</f>
        <v>USDT</v>
      </c>
      <c r="Q306" s="43">
        <f>IF(OR('asset_&amp;_open_positions'!$C306="",'asset_&amp;_open_positions'!$J306="SWAP",'asset_&amp;_open_positions'!$J306="FUTURE",'asset_&amp;_open_positions'!$J306="CME FUTURE"),"",'asset_&amp;_open_positions'!$H306)</f>
        <v>1.0001054103245299</v>
      </c>
    </row>
    <row r="307" spans="14:17" x14ac:dyDescent="0.25">
      <c r="N307" s="84" t="str">
        <f>IF('asset_&amp;_open_positions'!$C307="","",'asset_&amp;_open_positions'!$E307)</f>
        <v>VET</v>
      </c>
      <c r="O307" s="43">
        <f>IF('asset_&amp;_open_positions'!$C307="","",'asset_&amp;_open_positions'!$H307)</f>
        <v>1.8744578141587899E-2</v>
      </c>
      <c r="P307" s="84" t="str">
        <f>IF(OR('asset_&amp;_open_positions'!$C307="",'asset_&amp;_open_positions'!$J307="SWAP",'asset_&amp;_open_positions'!$J307="FUTURE",'asset_&amp;_open_positions'!$J307="CME FUTURE"),"",'asset_&amp;_open_positions'!$M307)</f>
        <v>VET</v>
      </c>
      <c r="Q307" s="43">
        <f>IF(OR('asset_&amp;_open_positions'!$C307="",'asset_&amp;_open_positions'!$J307="SWAP",'asset_&amp;_open_positions'!$J307="FUTURE",'asset_&amp;_open_positions'!$J307="CME FUTURE"),"",'asset_&amp;_open_positions'!$H307)</f>
        <v>1.8744578141587899E-2</v>
      </c>
    </row>
    <row r="308" spans="14:17" x14ac:dyDescent="0.25">
      <c r="N308" s="84" t="str">
        <f>IF('asset_&amp;_open_positions'!$C308="","",'asset_&amp;_open_positions'!$E308)</f>
        <v>VSYS</v>
      </c>
      <c r="O308" s="43">
        <f>IF('asset_&amp;_open_positions'!$C308="","",'asset_&amp;_open_positions'!$H308)</f>
        <v>1.03725241739701E-3</v>
      </c>
      <c r="P308" s="84" t="str">
        <f>IF(OR('asset_&amp;_open_positions'!$C308="",'asset_&amp;_open_positions'!$J308="SWAP",'asset_&amp;_open_positions'!$J308="FUTURE",'asset_&amp;_open_positions'!$J308="CME FUTURE"),"",'asset_&amp;_open_positions'!$M308)</f>
        <v>VSYS</v>
      </c>
      <c r="Q308" s="43">
        <f>IF(OR('asset_&amp;_open_positions'!$C308="",'asset_&amp;_open_positions'!$J308="SWAP",'asset_&amp;_open_positions'!$J308="FUTURE",'asset_&amp;_open_positions'!$J308="CME FUTURE"),"",'asset_&amp;_open_positions'!$H308)</f>
        <v>1.03725241739701E-3</v>
      </c>
    </row>
    <row r="309" spans="14:17" x14ac:dyDescent="0.25">
      <c r="N309" s="84" t="str">
        <f>IF('asset_&amp;_open_positions'!$C309="","",'asset_&amp;_open_positions'!$E309)</f>
        <v>XEC</v>
      </c>
      <c r="O309" s="43">
        <f>IF('asset_&amp;_open_positions'!$C309="","",'asset_&amp;_open_positions'!$H309)</f>
        <v>2.8860627530583E-5</v>
      </c>
      <c r="P309" s="84" t="str">
        <f>IF(OR('asset_&amp;_open_positions'!$C309="",'asset_&amp;_open_positions'!$J309="SWAP",'asset_&amp;_open_positions'!$J309="FUTURE",'asset_&amp;_open_positions'!$J309="CME FUTURE"),"",'asset_&amp;_open_positions'!$M309)</f>
        <v>XEC</v>
      </c>
      <c r="Q309" s="43">
        <f>IF(OR('asset_&amp;_open_positions'!$C309="",'asset_&amp;_open_positions'!$J309="SWAP",'asset_&amp;_open_positions'!$J309="FUTURE",'asset_&amp;_open_positions'!$J309="CME FUTURE"),"",'asset_&amp;_open_positions'!$H309)</f>
        <v>2.8860627530583E-5</v>
      </c>
    </row>
    <row r="310" spans="14:17" x14ac:dyDescent="0.25">
      <c r="N310" s="84" t="str">
        <f>IF('asset_&amp;_open_positions'!$C310="","",'asset_&amp;_open_positions'!$E310)</f>
        <v>XLM</v>
      </c>
      <c r="O310" s="43">
        <f>IF('asset_&amp;_open_positions'!$C310="","",'asset_&amp;_open_positions'!$H310)</f>
        <v>8.3013789241186201E-2</v>
      </c>
      <c r="P310" s="84" t="str">
        <f>IF(OR('asset_&amp;_open_positions'!$C310="",'asset_&amp;_open_positions'!$J310="SWAP",'asset_&amp;_open_positions'!$J310="FUTURE",'asset_&amp;_open_positions'!$J310="CME FUTURE"),"",'asset_&amp;_open_positions'!$M310)</f>
        <v>XLM</v>
      </c>
      <c r="Q310" s="43">
        <f>IF(OR('asset_&amp;_open_positions'!$C310="",'asset_&amp;_open_positions'!$J310="SWAP",'asset_&amp;_open_positions'!$J310="FUTURE",'asset_&amp;_open_positions'!$J310="CME FUTURE"),"",'asset_&amp;_open_positions'!$H310)</f>
        <v>8.3013789241186201E-2</v>
      </c>
    </row>
    <row r="311" spans="14:17" x14ac:dyDescent="0.25">
      <c r="N311" s="84" t="str">
        <f>IF('asset_&amp;_open_positions'!$C311="","",'asset_&amp;_open_positions'!$E311)</f>
        <v>XRP</v>
      </c>
      <c r="O311" s="43">
        <f>IF('asset_&amp;_open_positions'!$C311="","",'asset_&amp;_open_positions'!$H311)</f>
        <v>0.38641371777866901</v>
      </c>
      <c r="P311" s="84" t="str">
        <f>IF(OR('asset_&amp;_open_positions'!$C311="",'asset_&amp;_open_positions'!$J311="SWAP",'asset_&amp;_open_positions'!$J311="FUTURE",'asset_&amp;_open_positions'!$J311="CME FUTURE"),"",'asset_&amp;_open_positions'!$M311)</f>
        <v>XRP</v>
      </c>
      <c r="Q311" s="43">
        <f>IF(OR('asset_&amp;_open_positions'!$C311="",'asset_&amp;_open_positions'!$J311="SWAP",'asset_&amp;_open_positions'!$J311="FUTURE",'asset_&amp;_open_positions'!$J311="CME FUTURE"),"",'asset_&amp;_open_positions'!$H311)</f>
        <v>0.38641371777866901</v>
      </c>
    </row>
    <row r="312" spans="14:17" x14ac:dyDescent="0.25">
      <c r="N312" s="84" t="str">
        <f>IF('asset_&amp;_open_positions'!$C312="","",'asset_&amp;_open_positions'!$E312)</f>
        <v>XTZ</v>
      </c>
      <c r="O312" s="43">
        <f>IF('asset_&amp;_open_positions'!$C312="","",'asset_&amp;_open_positions'!$H312)</f>
        <v>0.95145134341780602</v>
      </c>
      <c r="P312" s="84" t="str">
        <f>IF(OR('asset_&amp;_open_positions'!$C312="",'asset_&amp;_open_positions'!$J312="SWAP",'asset_&amp;_open_positions'!$J312="FUTURE",'asset_&amp;_open_positions'!$J312="CME FUTURE"),"",'asset_&amp;_open_positions'!$M312)</f>
        <v>XTZ</v>
      </c>
      <c r="Q312" s="43">
        <f>IF(OR('asset_&amp;_open_positions'!$C312="",'asset_&amp;_open_positions'!$J312="SWAP",'asset_&amp;_open_positions'!$J312="FUTURE",'asset_&amp;_open_positions'!$J312="CME FUTURE"),"",'asset_&amp;_open_positions'!$H312)</f>
        <v>0.95145134341780602</v>
      </c>
    </row>
    <row r="313" spans="14:17" x14ac:dyDescent="0.25">
      <c r="N313" s="84" t="str">
        <f>IF('asset_&amp;_open_positions'!$C313="","",'asset_&amp;_open_positions'!$E313)</f>
        <v>YFII</v>
      </c>
      <c r="O313" s="43">
        <f>IF('asset_&amp;_open_positions'!$C313="","",'asset_&amp;_open_positions'!$H313)</f>
        <v>1343.3976264953401</v>
      </c>
      <c r="P313" s="84" t="str">
        <f>IF(OR('asset_&amp;_open_positions'!$C313="",'asset_&amp;_open_positions'!$J313="SWAP",'asset_&amp;_open_positions'!$J313="FUTURE",'asset_&amp;_open_positions'!$J313="CME FUTURE"),"",'asset_&amp;_open_positions'!$M313)</f>
        <v>YFII</v>
      </c>
      <c r="Q313" s="43">
        <f>IF(OR('asset_&amp;_open_positions'!$C313="",'asset_&amp;_open_positions'!$J313="SWAP",'asset_&amp;_open_positions'!$J313="FUTURE",'asset_&amp;_open_positions'!$J313="CME FUTURE"),"",'asset_&amp;_open_positions'!$H313)</f>
        <v>1343.3976264953401</v>
      </c>
    </row>
    <row r="314" spans="14:17" x14ac:dyDescent="0.25">
      <c r="N314" s="84" t="str">
        <f>IF('asset_&amp;_open_positions'!$C314="","",'asset_&amp;_open_positions'!$E314)</f>
        <v>ZEC</v>
      </c>
      <c r="O314" s="43">
        <f>IF('asset_&amp;_open_positions'!$C314="","",'asset_&amp;_open_positions'!$H314)</f>
        <v>46.382228084180497</v>
      </c>
      <c r="P314" s="84" t="str">
        <f>IF(OR('asset_&amp;_open_positions'!$C314="",'asset_&amp;_open_positions'!$J314="SWAP",'asset_&amp;_open_positions'!$J314="FUTURE",'asset_&amp;_open_positions'!$J314="CME FUTURE"),"",'asset_&amp;_open_positions'!$M314)</f>
        <v>ZEC</v>
      </c>
      <c r="Q314" s="43">
        <f>IF(OR('asset_&amp;_open_positions'!$C314="",'asset_&amp;_open_positions'!$J314="SWAP",'asset_&amp;_open_positions'!$J314="FUTURE",'asset_&amp;_open_positions'!$J314="CME FUTURE"),"",'asset_&amp;_open_positions'!$H314)</f>
        <v>46.382228084180497</v>
      </c>
    </row>
    <row r="315" spans="14:17" x14ac:dyDescent="0.25">
      <c r="N315" s="84" t="str">
        <f>IF('asset_&amp;_open_positions'!$C315="","",'asset_&amp;_open_positions'!$E315)</f>
        <v>ZIL</v>
      </c>
      <c r="O315" s="43">
        <f>IF('asset_&amp;_open_positions'!$C315="","",'asset_&amp;_open_positions'!$H315)</f>
        <v>2.1790372914806299E-2</v>
      </c>
      <c r="P315" s="84" t="str">
        <f>IF(OR('asset_&amp;_open_positions'!$C315="",'asset_&amp;_open_positions'!$J315="SWAP",'asset_&amp;_open_positions'!$J315="FUTURE",'asset_&amp;_open_positions'!$J315="CME FUTURE"),"",'asset_&amp;_open_positions'!$M315)</f>
        <v>ZIL</v>
      </c>
      <c r="Q315" s="43">
        <f>IF(OR('asset_&amp;_open_positions'!$C315="",'asset_&amp;_open_positions'!$J315="SWAP",'asset_&amp;_open_positions'!$J315="FUTURE",'asset_&amp;_open_positions'!$J315="CME FUTURE"),"",'asset_&amp;_open_positions'!$H315)</f>
        <v>2.1790372914806299E-2</v>
      </c>
    </row>
    <row r="316" spans="14:17" x14ac:dyDescent="0.25">
      <c r="N316" s="84" t="str">
        <f>IF('asset_&amp;_open_positions'!$C316="","",'asset_&amp;_open_positions'!$E316)</f>
        <v>BCH</v>
      </c>
      <c r="O316" s="43">
        <f>IF('asset_&amp;_open_positions'!$C316="","",'asset_&amp;_open_positions'!$H316)</f>
        <v>109.10849595307199</v>
      </c>
      <c r="P316" s="84" t="str">
        <f>IF(OR('asset_&amp;_open_positions'!$C316="",'asset_&amp;_open_positions'!$J316="SWAP",'asset_&amp;_open_positions'!$J316="FUTURE",'asset_&amp;_open_positions'!$J316="CME FUTURE"),"",'asset_&amp;_open_positions'!$M316)</f>
        <v>BCH</v>
      </c>
      <c r="Q316" s="43">
        <f>IF(OR('asset_&amp;_open_positions'!$C316="",'asset_&amp;_open_positions'!$J316="SWAP",'asset_&amp;_open_positions'!$J316="FUTURE",'asset_&amp;_open_positions'!$J316="CME FUTURE"),"",'asset_&amp;_open_positions'!$H316)</f>
        <v>109.10849595307199</v>
      </c>
    </row>
    <row r="317" spans="14:17" x14ac:dyDescent="0.25">
      <c r="N317" s="84" t="str">
        <f>IF('asset_&amp;_open_positions'!$C317="","",'asset_&amp;_open_positions'!$E317)</f>
        <v>EOS</v>
      </c>
      <c r="O317" s="43">
        <f>IF('asset_&amp;_open_positions'!$C317="","",'asset_&amp;_open_positions'!$H317)</f>
        <v>0.97802133669101299</v>
      </c>
      <c r="P317" s="84" t="str">
        <f>IF(OR('asset_&amp;_open_positions'!$C317="",'asset_&amp;_open_positions'!$J317="SWAP",'asset_&amp;_open_positions'!$J317="FUTURE",'asset_&amp;_open_positions'!$J317="CME FUTURE"),"",'asset_&amp;_open_positions'!$M317)</f>
        <v>EOS</v>
      </c>
      <c r="Q317" s="43">
        <f>IF(OR('asset_&amp;_open_positions'!$C317="",'asset_&amp;_open_positions'!$J317="SWAP",'asset_&amp;_open_positions'!$J317="FUTURE",'asset_&amp;_open_positions'!$J317="CME FUTURE"),"",'asset_&amp;_open_positions'!$H317)</f>
        <v>0.97802133669101299</v>
      </c>
    </row>
    <row r="318" spans="14:17" x14ac:dyDescent="0.25">
      <c r="N318" s="84" t="str">
        <f>IF('asset_&amp;_open_positions'!$C318="","",'asset_&amp;_open_positions'!$E318)</f>
        <v>ETC</v>
      </c>
      <c r="O318" s="43">
        <f>IF('asset_&amp;_open_positions'!$C318="","",'asset_&amp;_open_positions'!$H318)</f>
        <v>18.787687228417099</v>
      </c>
      <c r="P318" s="84" t="str">
        <f>IF(OR('asset_&amp;_open_positions'!$C318="",'asset_&amp;_open_positions'!$J318="SWAP",'asset_&amp;_open_positions'!$J318="FUTURE",'asset_&amp;_open_positions'!$J318="CME FUTURE"),"",'asset_&amp;_open_positions'!$M318)</f>
        <v>ETC</v>
      </c>
      <c r="Q318" s="43">
        <f>IF(OR('asset_&amp;_open_positions'!$C318="",'asset_&amp;_open_positions'!$J318="SWAP",'asset_&amp;_open_positions'!$J318="FUTURE",'asset_&amp;_open_positions'!$J318="CME FUTURE"),"",'asset_&amp;_open_positions'!$H318)</f>
        <v>18.787687228417099</v>
      </c>
    </row>
    <row r="319" spans="14:17" x14ac:dyDescent="0.25">
      <c r="N319" s="84" t="str">
        <f>IF('asset_&amp;_open_positions'!$C319="","",'asset_&amp;_open_positions'!$E319)</f>
        <v>LTC</v>
      </c>
      <c r="O319" s="43">
        <f>IF('asset_&amp;_open_positions'!$C319="","",'asset_&amp;_open_positions'!$H319)</f>
        <v>75.475863646134997</v>
      </c>
      <c r="P319" s="84" t="str">
        <f>IF(OR('asset_&amp;_open_positions'!$C319="",'asset_&amp;_open_positions'!$J319="SWAP",'asset_&amp;_open_positions'!$J319="FUTURE",'asset_&amp;_open_positions'!$J319="CME FUTURE"),"",'asset_&amp;_open_positions'!$M319)</f>
        <v>LTC</v>
      </c>
      <c r="Q319" s="43">
        <f>IF(OR('asset_&amp;_open_positions'!$C319="",'asset_&amp;_open_positions'!$J319="SWAP",'asset_&amp;_open_positions'!$J319="FUTURE",'asset_&amp;_open_positions'!$J319="CME FUTURE"),"",'asset_&amp;_open_positions'!$H319)</f>
        <v>75.475863646134997</v>
      </c>
    </row>
    <row r="320" spans="14:17" x14ac:dyDescent="0.25">
      <c r="N320" s="84" t="str">
        <f>IF('asset_&amp;_open_positions'!$C320="","",'asset_&amp;_open_positions'!$E320)</f>
        <v>TRX</v>
      </c>
      <c r="O320" s="43">
        <f>IF('asset_&amp;_open_positions'!$C320="","",'asset_&amp;_open_positions'!$H320)</f>
        <v>5.5666357131219001E-2</v>
      </c>
      <c r="P320" s="84" t="str">
        <f>IF(OR('asset_&amp;_open_positions'!$C320="",'asset_&amp;_open_positions'!$J320="SWAP",'asset_&amp;_open_positions'!$J320="FUTURE",'asset_&amp;_open_positions'!$J320="CME FUTURE"),"",'asset_&amp;_open_positions'!$M320)</f>
        <v>TRX</v>
      </c>
      <c r="Q320" s="43">
        <f>IF(OR('asset_&amp;_open_positions'!$C320="",'asset_&amp;_open_positions'!$J320="SWAP",'asset_&amp;_open_positions'!$J320="FUTURE",'asset_&amp;_open_positions'!$J320="CME FUTURE"),"",'asset_&amp;_open_positions'!$H320)</f>
        <v>5.5666357131219001E-2</v>
      </c>
    </row>
    <row r="321" spans="14:17" x14ac:dyDescent="0.25">
      <c r="N321" s="84" t="str">
        <f>IF('asset_&amp;_open_positions'!$C321="","",'asset_&amp;_open_positions'!$E321)</f>
        <v>USDT</v>
      </c>
      <c r="O321" s="43">
        <f>IF('asset_&amp;_open_positions'!$C321="","",'asset_&amp;_open_positions'!$H321)</f>
        <v>1.0001054103245299</v>
      </c>
      <c r="P321" s="84" t="str">
        <f>IF(OR('asset_&amp;_open_positions'!$C321="",'asset_&amp;_open_positions'!$J321="SWAP",'asset_&amp;_open_positions'!$J321="FUTURE",'asset_&amp;_open_positions'!$J321="CME FUTURE"),"",'asset_&amp;_open_positions'!$M321)</f>
        <v>USDT</v>
      </c>
      <c r="Q321" s="43">
        <f>IF(OR('asset_&amp;_open_positions'!$C321="",'asset_&amp;_open_positions'!$J321="SWAP",'asset_&amp;_open_positions'!$J321="FUTURE",'asset_&amp;_open_positions'!$J321="CME FUTURE"),"",'asset_&amp;_open_positions'!$H321)</f>
        <v>1.0001054103245299</v>
      </c>
    </row>
    <row r="322" spans="14:17" x14ac:dyDescent="0.25">
      <c r="N322" s="84" t="str">
        <f>IF('asset_&amp;_open_positions'!$C322="","",'asset_&amp;_open_positions'!$E322)</f>
        <v>XRP</v>
      </c>
      <c r="O322" s="43">
        <f>IF('asset_&amp;_open_positions'!$C322="","",'asset_&amp;_open_positions'!$H322)</f>
        <v>0.38641371777866901</v>
      </c>
      <c r="P322" s="84" t="str">
        <f>IF(OR('asset_&amp;_open_positions'!$C322="",'asset_&amp;_open_positions'!$J322="SWAP",'asset_&amp;_open_positions'!$J322="FUTURE",'asset_&amp;_open_positions'!$J322="CME FUTURE"),"",'asset_&amp;_open_positions'!$M322)</f>
        <v>XRP</v>
      </c>
      <c r="Q322" s="43">
        <f>IF(OR('asset_&amp;_open_positions'!$C322="",'asset_&amp;_open_positions'!$J322="SWAP",'asset_&amp;_open_positions'!$J322="FUTURE",'asset_&amp;_open_positions'!$J322="CME FUTURE"),"",'asset_&amp;_open_positions'!$H322)</f>
        <v>0.38641371777866901</v>
      </c>
    </row>
    <row r="323" spans="14:17" x14ac:dyDescent="0.25">
      <c r="N323" s="84" t="str">
        <f>IF('asset_&amp;_open_positions'!$C323="","",'asset_&amp;_open_positions'!$E323)</f>
        <v>ATOM</v>
      </c>
      <c r="O323" s="43">
        <f>IF('asset_&amp;_open_positions'!$C323="","",'asset_&amp;_open_positions'!$H323)</f>
        <v>9.6091387789809204</v>
      </c>
      <c r="P323" s="84" t="str">
        <f>IF(OR('asset_&amp;_open_positions'!$C323="",'asset_&amp;_open_positions'!$J323="SWAP",'asset_&amp;_open_positions'!$J323="FUTURE",'asset_&amp;_open_positions'!$J323="CME FUTURE"),"",'asset_&amp;_open_positions'!$M323)</f>
        <v>ATOM</v>
      </c>
      <c r="Q323" s="43">
        <f>IF(OR('asset_&amp;_open_positions'!$C323="",'asset_&amp;_open_positions'!$J323="SWAP",'asset_&amp;_open_positions'!$J323="FUTURE",'asset_&amp;_open_positions'!$J323="CME FUTURE"),"",'asset_&amp;_open_positions'!$H323)</f>
        <v>9.6091387789809204</v>
      </c>
    </row>
    <row r="324" spans="14:17" x14ac:dyDescent="0.25">
      <c r="N324" s="84" t="str">
        <f>IF('asset_&amp;_open_positions'!$C324="","",'asset_&amp;_open_positions'!$E324)</f>
        <v>BCH</v>
      </c>
      <c r="O324" s="43">
        <f>IF('asset_&amp;_open_positions'!$C324="","",'asset_&amp;_open_positions'!$H324)</f>
        <v>109.10849595307199</v>
      </c>
      <c r="P324" s="84" t="str">
        <f>IF(OR('asset_&amp;_open_positions'!$C324="",'asset_&amp;_open_positions'!$J324="SWAP",'asset_&amp;_open_positions'!$J324="FUTURE",'asset_&amp;_open_positions'!$J324="CME FUTURE"),"",'asset_&amp;_open_positions'!$M324)</f>
        <v>BCH</v>
      </c>
      <c r="Q324" s="43">
        <f>IF(OR('asset_&amp;_open_positions'!$C324="",'asset_&amp;_open_positions'!$J324="SWAP",'asset_&amp;_open_positions'!$J324="FUTURE",'asset_&amp;_open_positions'!$J324="CME FUTURE"),"",'asset_&amp;_open_positions'!$H324)</f>
        <v>109.10849595307199</v>
      </c>
    </row>
    <row r="325" spans="14:17" x14ac:dyDescent="0.25">
      <c r="N325" s="84" t="str">
        <f>IF('asset_&amp;_open_positions'!$C325="","",'asset_&amp;_open_positions'!$E325)</f>
        <v>BTC</v>
      </c>
      <c r="O325" s="43">
        <f>IF('asset_&amp;_open_positions'!$C325="","",'asset_&amp;_open_positions'!$H325)</f>
        <v>17815.649854650899</v>
      </c>
      <c r="P325" s="84" t="str">
        <f>IF(OR('asset_&amp;_open_positions'!$C325="",'asset_&amp;_open_positions'!$J325="SWAP",'asset_&amp;_open_positions'!$J325="FUTURE",'asset_&amp;_open_positions'!$J325="CME FUTURE"),"",'asset_&amp;_open_positions'!$M325)</f>
        <v>BTC</v>
      </c>
      <c r="Q325" s="43">
        <f>IF(OR('asset_&amp;_open_positions'!$C325="",'asset_&amp;_open_positions'!$J325="SWAP",'asset_&amp;_open_positions'!$J325="FUTURE",'asset_&amp;_open_positions'!$J325="CME FUTURE"),"",'asset_&amp;_open_positions'!$H325)</f>
        <v>17815.649854650899</v>
      </c>
    </row>
    <row r="326" spans="14:17" x14ac:dyDescent="0.25">
      <c r="N326" s="84" t="str">
        <f>IF('asset_&amp;_open_positions'!$C326="","",'asset_&amp;_open_positions'!$E326)</f>
        <v>EOS</v>
      </c>
      <c r="O326" s="43">
        <f>IF('asset_&amp;_open_positions'!$C326="","",'asset_&amp;_open_positions'!$H326)</f>
        <v>0.97802133669101299</v>
      </c>
      <c r="P326" s="84" t="str">
        <f>IF(OR('asset_&amp;_open_positions'!$C326="",'asset_&amp;_open_positions'!$J326="SWAP",'asset_&amp;_open_positions'!$J326="FUTURE",'asset_&amp;_open_positions'!$J326="CME FUTURE"),"",'asset_&amp;_open_positions'!$M326)</f>
        <v>EOS</v>
      </c>
      <c r="Q326" s="43">
        <f>IF(OR('asset_&amp;_open_positions'!$C326="",'asset_&amp;_open_positions'!$J326="SWAP",'asset_&amp;_open_positions'!$J326="FUTURE",'asset_&amp;_open_positions'!$J326="CME FUTURE"),"",'asset_&amp;_open_positions'!$H326)</f>
        <v>0.97802133669101299</v>
      </c>
    </row>
    <row r="327" spans="14:17" x14ac:dyDescent="0.25">
      <c r="N327" s="84" t="str">
        <f>IF('asset_&amp;_open_positions'!$C327="","",'asset_&amp;_open_positions'!$E327)</f>
        <v>ETHW</v>
      </c>
      <c r="O327" s="43">
        <f>IF('asset_&amp;_open_positions'!$C327="","",'asset_&amp;_open_positions'!$H327)</f>
        <v>3.5405121692480601</v>
      </c>
      <c r="P327" s="84" t="str">
        <f>IF(OR('asset_&amp;_open_positions'!$C327="",'asset_&amp;_open_positions'!$J327="SWAP",'asset_&amp;_open_positions'!$J327="FUTURE",'asset_&amp;_open_positions'!$J327="CME FUTURE"),"",'asset_&amp;_open_positions'!$M327)</f>
        <v>ETHW</v>
      </c>
      <c r="Q327" s="43">
        <f>IF(OR('asset_&amp;_open_positions'!$C327="",'asset_&amp;_open_positions'!$J327="SWAP",'asset_&amp;_open_positions'!$J327="FUTURE",'asset_&amp;_open_positions'!$J327="CME FUTURE"),"",'asset_&amp;_open_positions'!$H327)</f>
        <v>3.5405121692480601</v>
      </c>
    </row>
    <row r="328" spans="14:17" x14ac:dyDescent="0.25">
      <c r="N328" s="84" t="str">
        <f>IF('asset_&amp;_open_positions'!$C328="","",'asset_&amp;_open_positions'!$E328)</f>
        <v>LTC</v>
      </c>
      <c r="O328" s="43">
        <f>IF('asset_&amp;_open_positions'!$C328="","",'asset_&amp;_open_positions'!$H328)</f>
        <v>75.475863646134997</v>
      </c>
      <c r="P328" s="84" t="str">
        <f>IF(OR('asset_&amp;_open_positions'!$C328="",'asset_&amp;_open_positions'!$J328="SWAP",'asset_&amp;_open_positions'!$J328="FUTURE",'asset_&amp;_open_positions'!$J328="CME FUTURE"),"",'asset_&amp;_open_positions'!$M328)</f>
        <v>LTC</v>
      </c>
      <c r="Q328" s="43">
        <f>IF(OR('asset_&amp;_open_positions'!$C328="",'asset_&amp;_open_positions'!$J328="SWAP",'asset_&amp;_open_positions'!$J328="FUTURE",'asset_&amp;_open_positions'!$J328="CME FUTURE"),"",'asset_&amp;_open_positions'!$H328)</f>
        <v>75.475863646134997</v>
      </c>
    </row>
    <row r="329" spans="14:17" x14ac:dyDescent="0.25">
      <c r="N329" s="84" t="str">
        <f>IF('asset_&amp;_open_positions'!$C329="","",'asset_&amp;_open_positions'!$E329)</f>
        <v>OXT</v>
      </c>
      <c r="O329" s="43">
        <f>IF('asset_&amp;_open_positions'!$C329="","",'asset_&amp;_open_positions'!$H329)</f>
        <v>8.1177871372945895E-2</v>
      </c>
      <c r="P329" s="84" t="str">
        <f>IF(OR('asset_&amp;_open_positions'!$C329="",'asset_&amp;_open_positions'!$J329="SWAP",'asset_&amp;_open_positions'!$J329="FUTURE",'asset_&amp;_open_positions'!$J329="CME FUTURE"),"",'asset_&amp;_open_positions'!$M329)</f>
        <v>OXT</v>
      </c>
      <c r="Q329" s="43">
        <f>IF(OR('asset_&amp;_open_positions'!$C329="",'asset_&amp;_open_positions'!$J329="SWAP",'asset_&amp;_open_positions'!$J329="FUTURE",'asset_&amp;_open_positions'!$J329="CME FUTURE"),"",'asset_&amp;_open_positions'!$H329)</f>
        <v>8.1177871372945895E-2</v>
      </c>
    </row>
    <row r="330" spans="14:17" x14ac:dyDescent="0.25">
      <c r="N330" s="84" t="str">
        <f>IF('asset_&amp;_open_positions'!$C330="","",'asset_&amp;_open_positions'!$E330)</f>
        <v>SGB</v>
      </c>
      <c r="O330" s="43">
        <f>IF('asset_&amp;_open_positions'!$C330="","",'asset_&amp;_open_positions'!$H330)</f>
        <v>1.1899667914311201E-2</v>
      </c>
      <c r="P330" s="84" t="str">
        <f>IF(OR('asset_&amp;_open_positions'!$C330="",'asset_&amp;_open_positions'!$J330="SWAP",'asset_&amp;_open_positions'!$J330="FUTURE",'asset_&amp;_open_positions'!$J330="CME FUTURE"),"",'asset_&amp;_open_positions'!$M330)</f>
        <v>SGB</v>
      </c>
      <c r="Q330" s="43">
        <f>IF(OR('asset_&amp;_open_positions'!$C330="",'asset_&amp;_open_positions'!$J330="SWAP",'asset_&amp;_open_positions'!$J330="FUTURE",'asset_&amp;_open_positions'!$J330="CME FUTURE"),"",'asset_&amp;_open_positions'!$H330)</f>
        <v>1.1899667914311201E-2</v>
      </c>
    </row>
    <row r="331" spans="14:17" x14ac:dyDescent="0.25">
      <c r="N331" s="84" t="str">
        <f>IF('asset_&amp;_open_positions'!$C331="","",'asset_&amp;_open_positions'!$E331)</f>
        <v>USD</v>
      </c>
      <c r="O331" s="43">
        <f>IF('asset_&amp;_open_positions'!$C331="","",'asset_&amp;_open_positions'!$H331)</f>
        <v>1</v>
      </c>
      <c r="P331" s="84" t="str">
        <f>IF(OR('asset_&amp;_open_positions'!$C331="",'asset_&amp;_open_positions'!$J331="SWAP",'asset_&amp;_open_positions'!$J331="FUTURE",'asset_&amp;_open_positions'!$J331="CME FUTURE"),"",'asset_&amp;_open_positions'!$M331)</f>
        <v>USD</v>
      </c>
      <c r="Q331" s="43">
        <f>IF(OR('asset_&amp;_open_positions'!$C331="",'asset_&amp;_open_positions'!$J331="SWAP",'asset_&amp;_open_positions'!$J331="FUTURE",'asset_&amp;_open_positions'!$J331="CME FUTURE"),"",'asset_&amp;_open_positions'!$H331)</f>
        <v>1</v>
      </c>
    </row>
    <row r="332" spans="14:17" x14ac:dyDescent="0.25">
      <c r="N332" s="84" t="str">
        <f>IF('asset_&amp;_open_positions'!$C332="","",'asset_&amp;_open_positions'!$E332)</f>
        <v>USDT</v>
      </c>
      <c r="O332" s="43">
        <f>IF('asset_&amp;_open_positions'!$C332="","",'asset_&amp;_open_positions'!$H332)</f>
        <v>1.0001054103245299</v>
      </c>
      <c r="P332" s="84" t="str">
        <f>IF(OR('asset_&amp;_open_positions'!$C332="",'asset_&amp;_open_positions'!$J332="SWAP",'asset_&amp;_open_positions'!$J332="FUTURE",'asset_&amp;_open_positions'!$J332="CME FUTURE"),"",'asset_&amp;_open_positions'!$M332)</f>
        <v>USDT</v>
      </c>
      <c r="Q332" s="43">
        <f>IF(OR('asset_&amp;_open_positions'!$C332="",'asset_&amp;_open_positions'!$J332="SWAP",'asset_&amp;_open_positions'!$J332="FUTURE",'asset_&amp;_open_positions'!$J332="CME FUTURE"),"",'asset_&amp;_open_positions'!$H332)</f>
        <v>1.0001054103245299</v>
      </c>
    </row>
    <row r="333" spans="14:17" x14ac:dyDescent="0.25">
      <c r="N333" s="84" t="str">
        <f>IF('asset_&amp;_open_positions'!$C333="","",'asset_&amp;_open_positions'!$E333)</f>
        <v>XLM</v>
      </c>
      <c r="O333" s="43">
        <f>IF('asset_&amp;_open_positions'!$C333="","",'asset_&amp;_open_positions'!$H333)</f>
        <v>8.3013789241186201E-2</v>
      </c>
      <c r="P333" s="84" t="str">
        <f>IF(OR('asset_&amp;_open_positions'!$C333="",'asset_&amp;_open_positions'!$J333="SWAP",'asset_&amp;_open_positions'!$J333="FUTURE",'asset_&amp;_open_positions'!$J333="CME FUTURE"),"",'asset_&amp;_open_positions'!$M333)</f>
        <v>XLM</v>
      </c>
      <c r="Q333" s="43">
        <f>IF(OR('asset_&amp;_open_positions'!$C333="",'asset_&amp;_open_positions'!$J333="SWAP",'asset_&amp;_open_positions'!$J333="FUTURE",'asset_&amp;_open_positions'!$J333="CME FUTURE"),"",'asset_&amp;_open_positions'!$H333)</f>
        <v>8.3013789241186201E-2</v>
      </c>
    </row>
    <row r="334" spans="14:17" x14ac:dyDescent="0.25">
      <c r="N334" s="84" t="str">
        <f>IF('asset_&amp;_open_positions'!$C334="","",'asset_&amp;_open_positions'!$E334)</f>
        <v>XRP</v>
      </c>
      <c r="O334" s="43">
        <f>IF('asset_&amp;_open_positions'!$C334="","",'asset_&amp;_open_positions'!$H334)</f>
        <v>0.38641371777866901</v>
      </c>
      <c r="P334" s="84" t="str">
        <f>IF(OR('asset_&amp;_open_positions'!$C334="",'asset_&amp;_open_positions'!$J334="SWAP",'asset_&amp;_open_positions'!$J334="FUTURE",'asset_&amp;_open_positions'!$J334="CME FUTURE"),"",'asset_&amp;_open_positions'!$M334)</f>
        <v>XRP</v>
      </c>
      <c r="Q334" s="43">
        <f>IF(OR('asset_&amp;_open_positions'!$C334="",'asset_&amp;_open_positions'!$J334="SWAP",'asset_&amp;_open_positions'!$J334="FUTURE",'asset_&amp;_open_positions'!$J334="CME FUTURE"),"",'asset_&amp;_open_positions'!$H334)</f>
        <v>0.38641371777866901</v>
      </c>
    </row>
    <row r="335" spans="14:17" x14ac:dyDescent="0.25">
      <c r="N335" s="84" t="str">
        <f>IF('asset_&amp;_open_positions'!$C335="","",'asset_&amp;_open_positions'!$E335)</f>
        <v>BCH</v>
      </c>
      <c r="O335" s="43">
        <f>IF('asset_&amp;_open_positions'!$C335="","",'asset_&amp;_open_positions'!$H335)</f>
        <v>109.10849595307199</v>
      </c>
      <c r="P335" s="84" t="str">
        <f>IF(OR('asset_&amp;_open_positions'!$C335="",'asset_&amp;_open_positions'!$J335="SWAP",'asset_&amp;_open_positions'!$J335="FUTURE",'asset_&amp;_open_positions'!$J335="CME FUTURE"),"",'asset_&amp;_open_positions'!$M335)</f>
        <v>BCH</v>
      </c>
      <c r="Q335" s="43">
        <f>IF(OR('asset_&amp;_open_positions'!$C335="",'asset_&amp;_open_positions'!$J335="SWAP",'asset_&amp;_open_positions'!$J335="FUTURE",'asset_&amp;_open_positions'!$J335="CME FUTURE"),"",'asset_&amp;_open_positions'!$H335)</f>
        <v>109.10849595307199</v>
      </c>
    </row>
    <row r="336" spans="14:17" x14ac:dyDescent="0.25">
      <c r="N336" s="84" t="str">
        <f>IF('asset_&amp;_open_positions'!$C336="","",'asset_&amp;_open_positions'!$E336)</f>
        <v>COMP</v>
      </c>
      <c r="O336" s="43">
        <f>IF('asset_&amp;_open_positions'!$C336="","",'asset_&amp;_open_positions'!$H336)</f>
        <v>39.353239129333097</v>
      </c>
      <c r="P336" s="84" t="str">
        <f>IF(OR('asset_&amp;_open_positions'!$C336="",'asset_&amp;_open_positions'!$J336="SWAP",'asset_&amp;_open_positions'!$J336="FUTURE",'asset_&amp;_open_positions'!$J336="CME FUTURE"),"",'asset_&amp;_open_positions'!$M336)</f>
        <v>COMP</v>
      </c>
      <c r="Q336" s="43">
        <f>IF(OR('asset_&amp;_open_positions'!$C336="",'asset_&amp;_open_positions'!$J336="SWAP",'asset_&amp;_open_positions'!$J336="FUTURE",'asset_&amp;_open_positions'!$J336="CME FUTURE"),"",'asset_&amp;_open_positions'!$H336)</f>
        <v>39.353239129333097</v>
      </c>
    </row>
    <row r="337" spans="14:17" x14ac:dyDescent="0.25">
      <c r="N337" s="84" t="str">
        <f>IF('asset_&amp;_open_positions'!$C337="","",'asset_&amp;_open_positions'!$E337)</f>
        <v>ETC</v>
      </c>
      <c r="O337" s="43">
        <f>IF('asset_&amp;_open_positions'!$C337="","",'asset_&amp;_open_positions'!$H337)</f>
        <v>18.787687228417099</v>
      </c>
      <c r="P337" s="84" t="str">
        <f>IF(OR('asset_&amp;_open_positions'!$C337="",'asset_&amp;_open_positions'!$J337="SWAP",'asset_&amp;_open_positions'!$J337="FUTURE",'asset_&amp;_open_positions'!$J337="CME FUTURE"),"",'asset_&amp;_open_positions'!$M337)</f>
        <v>ETC</v>
      </c>
      <c r="Q337" s="43">
        <f>IF(OR('asset_&amp;_open_positions'!$C337="",'asset_&amp;_open_positions'!$J337="SWAP",'asset_&amp;_open_positions'!$J337="FUTURE",'asset_&amp;_open_positions'!$J337="CME FUTURE"),"",'asset_&amp;_open_positions'!$H337)</f>
        <v>18.787687228417099</v>
      </c>
    </row>
    <row r="338" spans="14:17" x14ac:dyDescent="0.25">
      <c r="N338" s="84" t="str">
        <f>IF('asset_&amp;_open_positions'!$C338="","",'asset_&amp;_open_positions'!$E338)</f>
        <v>SHIB</v>
      </c>
      <c r="O338" s="43">
        <f>IF('asset_&amp;_open_positions'!$C338="","",'asset_&amp;_open_positions'!$H338)</f>
        <v>8.9727561705582505E-6</v>
      </c>
      <c r="P338" s="84" t="str">
        <f>IF(OR('asset_&amp;_open_positions'!$C338="",'asset_&amp;_open_positions'!$J338="SWAP",'asset_&amp;_open_positions'!$J338="FUTURE",'asset_&amp;_open_positions'!$J338="CME FUTURE"),"",'asset_&amp;_open_positions'!$M338)</f>
        <v>SHIB</v>
      </c>
      <c r="Q338" s="43">
        <f>IF(OR('asset_&amp;_open_positions'!$C338="",'asset_&amp;_open_positions'!$J338="SWAP",'asset_&amp;_open_positions'!$J338="FUTURE",'asset_&amp;_open_positions'!$J338="CME FUTURE"),"",'asset_&amp;_open_positions'!$H338)</f>
        <v>8.9727561705582505E-6</v>
      </c>
    </row>
    <row r="339" spans="14:17" x14ac:dyDescent="0.25">
      <c r="N339" s="84" t="str">
        <f>IF('asset_&amp;_open_positions'!$C339="","",'asset_&amp;_open_positions'!$E339)</f>
        <v>YFI</v>
      </c>
      <c r="O339" s="43">
        <f>IF('asset_&amp;_open_positions'!$C339="","",'asset_&amp;_open_positions'!$H339)</f>
        <v>6452.7811531384496</v>
      </c>
      <c r="P339" s="84" t="str">
        <f>IF(OR('asset_&amp;_open_positions'!$C339="",'asset_&amp;_open_positions'!$J339="SWAP",'asset_&amp;_open_positions'!$J339="FUTURE",'asset_&amp;_open_positions'!$J339="CME FUTURE"),"",'asset_&amp;_open_positions'!$M339)</f>
        <v>YFI</v>
      </c>
      <c r="Q339" s="43">
        <f>IF(OR('asset_&amp;_open_positions'!$C339="",'asset_&amp;_open_positions'!$J339="SWAP",'asset_&amp;_open_positions'!$J339="FUTURE",'asset_&amp;_open_positions'!$J339="CME FUTURE"),"",'asset_&amp;_open_positions'!$H339)</f>
        <v>6452.7811531384496</v>
      </c>
    </row>
    <row r="340" spans="14:17" x14ac:dyDescent="0.25">
      <c r="N340" s="84" t="str">
        <f>IF('asset_&amp;_open_positions'!$C340="","",'asset_&amp;_open_positions'!$E340)</f>
        <v>ETH</v>
      </c>
      <c r="O340" s="43">
        <f>IF('asset_&amp;_open_positions'!$C340="","",'asset_&amp;_open_positions'!$H340)</f>
        <v>1309.32867693296</v>
      </c>
      <c r="P340" s="84" t="str">
        <f>IF(OR('asset_&amp;_open_positions'!$C340="",'asset_&amp;_open_positions'!$J340="SWAP",'asset_&amp;_open_positions'!$J340="FUTURE",'asset_&amp;_open_positions'!$J340="CME FUTURE"),"",'asset_&amp;_open_positions'!$M340)</f>
        <v>ETH</v>
      </c>
      <c r="Q340" s="43">
        <f>IF(OR('asset_&amp;_open_positions'!$C340="",'asset_&amp;_open_positions'!$J340="SWAP",'asset_&amp;_open_positions'!$J340="FUTURE",'asset_&amp;_open_positions'!$J340="CME FUTURE"),"",'asset_&amp;_open_positions'!$H340)</f>
        <v>1309.32867693296</v>
      </c>
    </row>
    <row r="341" spans="14:17" x14ac:dyDescent="0.25">
      <c r="N341" s="84" t="str">
        <f>IF('asset_&amp;_open_positions'!$C341="","",'asset_&amp;_open_positions'!$E341)</f>
        <v>USD</v>
      </c>
      <c r="O341" s="43">
        <f>IF('asset_&amp;_open_positions'!$C341="","",'asset_&amp;_open_positions'!$H341)</f>
        <v>1</v>
      </c>
      <c r="P341" s="84" t="str">
        <f>IF(OR('asset_&amp;_open_positions'!$C341="",'asset_&amp;_open_positions'!$J341="SWAP",'asset_&amp;_open_positions'!$J341="FUTURE",'asset_&amp;_open_positions'!$J341="CME FUTURE"),"",'asset_&amp;_open_positions'!$M341)</f>
        <v>USD</v>
      </c>
      <c r="Q341" s="43">
        <f>IF(OR('asset_&amp;_open_positions'!$C341="",'asset_&amp;_open_positions'!$J341="SWAP",'asset_&amp;_open_positions'!$J341="FUTURE",'asset_&amp;_open_positions'!$J341="CME FUTURE"),"",'asset_&amp;_open_positions'!$H341)</f>
        <v>1</v>
      </c>
    </row>
    <row r="342" spans="14:17" x14ac:dyDescent="0.25">
      <c r="N342" s="84" t="str">
        <f>IF('asset_&amp;_open_positions'!$C342="","",'asset_&amp;_open_positions'!$E342)</f>
        <v>USD</v>
      </c>
      <c r="O342" s="43">
        <f>IF('asset_&amp;_open_positions'!$C342="","",'asset_&amp;_open_positions'!$H342)</f>
        <v>1</v>
      </c>
      <c r="P342" s="84" t="str">
        <f>IF(OR('asset_&amp;_open_positions'!$C342="",'asset_&amp;_open_positions'!$J342="SWAP",'asset_&amp;_open_positions'!$J342="FUTURE",'asset_&amp;_open_positions'!$J342="CME FUTURE"),"",'asset_&amp;_open_positions'!$M342)</f>
        <v>USD</v>
      </c>
      <c r="Q342" s="43">
        <f>IF(OR('asset_&amp;_open_positions'!$C342="",'asset_&amp;_open_positions'!$J342="SWAP",'asset_&amp;_open_positions'!$J342="FUTURE",'asset_&amp;_open_positions'!$J342="CME FUTURE"),"",'asset_&amp;_open_positions'!$H342)</f>
        <v>1</v>
      </c>
    </row>
    <row r="343" spans="14:17" x14ac:dyDescent="0.25">
      <c r="N343" s="84" t="str">
        <f>IF('asset_&amp;_open_positions'!$C343="","",'asset_&amp;_open_positions'!$E343)</f>
        <v>BTC</v>
      </c>
      <c r="O343" s="43">
        <f>IF('asset_&amp;_open_positions'!$C343="","",'asset_&amp;_open_positions'!$H343)</f>
        <v>17815.649854650899</v>
      </c>
      <c r="P343" s="84" t="str">
        <f>IF(OR('asset_&amp;_open_positions'!$C343="",'asset_&amp;_open_positions'!$J343="SWAP",'asset_&amp;_open_positions'!$J343="FUTURE",'asset_&amp;_open_positions'!$J343="CME FUTURE"),"",'asset_&amp;_open_positions'!$M343)</f>
        <v>BTC</v>
      </c>
      <c r="Q343" s="43">
        <f>IF(OR('asset_&amp;_open_positions'!$C343="",'asset_&amp;_open_positions'!$J343="SWAP",'asset_&amp;_open_positions'!$J343="FUTURE",'asset_&amp;_open_positions'!$J343="CME FUTURE"),"",'asset_&amp;_open_positions'!$H343)</f>
        <v>17815.649854650899</v>
      </c>
    </row>
    <row r="344" spans="14:17" x14ac:dyDescent="0.25">
      <c r="N344" s="84" t="str">
        <f>IF('asset_&amp;_open_positions'!$C344="","",'asset_&amp;_open_positions'!$E344)</f>
        <v>BTC</v>
      </c>
      <c r="O344" s="43">
        <f>IF('asset_&amp;_open_positions'!$C344="","",'asset_&amp;_open_positions'!$H344)</f>
        <v>17815.649854650899</v>
      </c>
      <c r="P344" s="84" t="str">
        <f>IF(OR('asset_&amp;_open_positions'!$C344="",'asset_&amp;_open_positions'!$J344="SWAP",'asset_&amp;_open_positions'!$J344="FUTURE",'asset_&amp;_open_positions'!$J344="CME FUTURE"),"",'asset_&amp;_open_positions'!$M344)</f>
        <v>BTC</v>
      </c>
      <c r="Q344" s="43">
        <f>IF(OR('asset_&amp;_open_positions'!$C344="",'asset_&amp;_open_positions'!$J344="SWAP",'asset_&amp;_open_positions'!$J344="FUTURE",'asset_&amp;_open_positions'!$J344="CME FUTURE"),"",'asset_&amp;_open_positions'!$H344)</f>
        <v>17815.649854650899</v>
      </c>
    </row>
    <row r="345" spans="14:17" x14ac:dyDescent="0.25">
      <c r="N345" s="84" t="str">
        <f>IF('asset_&amp;_open_positions'!$C345="","",'asset_&amp;_open_positions'!$E345)</f>
        <v>ETH</v>
      </c>
      <c r="O345" s="43">
        <f>IF('asset_&amp;_open_positions'!$C345="","",'asset_&amp;_open_positions'!$H345)</f>
        <v>1309.32867693296</v>
      </c>
      <c r="P345" s="84" t="str">
        <f>IF(OR('asset_&amp;_open_positions'!$C345="",'asset_&amp;_open_positions'!$J345="SWAP",'asset_&amp;_open_positions'!$J345="FUTURE",'asset_&amp;_open_positions'!$J345="CME FUTURE"),"",'asset_&amp;_open_positions'!$M345)</f>
        <v>ETH</v>
      </c>
      <c r="Q345" s="43">
        <f>IF(OR('asset_&amp;_open_positions'!$C345="",'asset_&amp;_open_positions'!$J345="SWAP",'asset_&amp;_open_positions'!$J345="FUTURE",'asset_&amp;_open_positions'!$J345="CME FUTURE"),"",'asset_&amp;_open_positions'!$H345)</f>
        <v>1309.32867693296</v>
      </c>
    </row>
    <row r="346" spans="14:17" x14ac:dyDescent="0.25">
      <c r="N346" s="84" t="str">
        <f>IF('asset_&amp;_open_positions'!$C346="","",'asset_&amp;_open_positions'!$E346)</f>
        <v>ETH</v>
      </c>
      <c r="O346" s="43">
        <f>IF('asset_&amp;_open_positions'!$C346="","",'asset_&amp;_open_positions'!$H346)</f>
        <v>1309.32867693296</v>
      </c>
      <c r="P346" s="84" t="str">
        <f>IF(OR('asset_&amp;_open_positions'!$C346="",'asset_&amp;_open_positions'!$J346="SWAP",'asset_&amp;_open_positions'!$J346="FUTURE",'asset_&amp;_open_positions'!$J346="CME FUTURE"),"",'asset_&amp;_open_positions'!$M346)</f>
        <v>ETH</v>
      </c>
      <c r="Q346" s="43">
        <f>IF(OR('asset_&amp;_open_positions'!$C346="",'asset_&amp;_open_positions'!$J346="SWAP",'asset_&amp;_open_positions'!$J346="FUTURE",'asset_&amp;_open_positions'!$J346="CME FUTURE"),"",'asset_&amp;_open_positions'!$H346)</f>
        <v>1309.32867693296</v>
      </c>
    </row>
    <row r="347" spans="14:17" x14ac:dyDescent="0.25">
      <c r="N347" s="84" t="str">
        <f>IF('asset_&amp;_open_positions'!$C347="","",'asset_&amp;_open_positions'!$E347)</f>
        <v>XRP</v>
      </c>
      <c r="O347" s="43">
        <f>IF('asset_&amp;_open_positions'!$C347="","",'asset_&amp;_open_positions'!$H347)</f>
        <v>0.38641371777866901</v>
      </c>
      <c r="P347" s="84" t="str">
        <f>IF(OR('asset_&amp;_open_positions'!$C347="",'asset_&amp;_open_positions'!$J347="SWAP",'asset_&amp;_open_positions'!$J347="FUTURE",'asset_&amp;_open_positions'!$J347="CME FUTURE"),"",'asset_&amp;_open_positions'!$M347)</f>
        <v>XRP</v>
      </c>
      <c r="Q347" s="43">
        <f>IF(OR('asset_&amp;_open_positions'!$C347="",'asset_&amp;_open_positions'!$J347="SWAP",'asset_&amp;_open_positions'!$J347="FUTURE",'asset_&amp;_open_positions'!$J347="CME FUTURE"),"",'asset_&amp;_open_positions'!$H347)</f>
        <v>0.38641371777866901</v>
      </c>
    </row>
    <row r="348" spans="14:17" x14ac:dyDescent="0.25">
      <c r="N348" s="84" t="str">
        <f>IF('asset_&amp;_open_positions'!$C348="","",'asset_&amp;_open_positions'!$E348)</f>
        <v>BTC</v>
      </c>
      <c r="O348" s="43">
        <f>IF('asset_&amp;_open_positions'!$C348="","",'asset_&amp;_open_positions'!$H348)</f>
        <v>17815.649854650899</v>
      </c>
      <c r="P348" s="84" t="str">
        <f>IF(OR('asset_&amp;_open_positions'!$C348="",'asset_&amp;_open_positions'!$J348="SWAP",'asset_&amp;_open_positions'!$J348="FUTURE",'asset_&amp;_open_positions'!$J348="CME FUTURE"),"",'asset_&amp;_open_positions'!$M348)</f>
        <v>BTC</v>
      </c>
      <c r="Q348" s="43">
        <f>IF(OR('asset_&amp;_open_positions'!$C348="",'asset_&amp;_open_positions'!$J348="SWAP",'asset_&amp;_open_positions'!$J348="FUTURE",'asset_&amp;_open_positions'!$J348="CME FUTURE"),"",'asset_&amp;_open_positions'!$H348)</f>
        <v>17815.649854650899</v>
      </c>
    </row>
    <row r="349" spans="14:17" x14ac:dyDescent="0.25">
      <c r="N349" s="84" t="str">
        <f>IF('asset_&amp;_open_positions'!$C349="","",'asset_&amp;_open_positions'!$E349)</f>
        <v>BTC</v>
      </c>
      <c r="O349" s="43">
        <f>IF('asset_&amp;_open_positions'!$C349="","",'asset_&amp;_open_positions'!$H349)</f>
        <v>17815.649854650899</v>
      </c>
      <c r="P349" s="84" t="str">
        <f>IF(OR('asset_&amp;_open_positions'!$C349="",'asset_&amp;_open_positions'!$J349="SWAP",'asset_&amp;_open_positions'!$J349="FUTURE",'asset_&amp;_open_positions'!$J349="CME FUTURE"),"",'asset_&amp;_open_positions'!$M349)</f>
        <v>BTC</v>
      </c>
      <c r="Q349" s="43">
        <f>IF(OR('asset_&amp;_open_positions'!$C349="",'asset_&amp;_open_positions'!$J349="SWAP",'asset_&amp;_open_positions'!$J349="FUTURE",'asset_&amp;_open_positions'!$J349="CME FUTURE"),"",'asset_&amp;_open_positions'!$H349)</f>
        <v>17815.649854650899</v>
      </c>
    </row>
    <row r="350" spans="14:17" x14ac:dyDescent="0.25">
      <c r="N350" s="84" t="str">
        <f>IF('asset_&amp;_open_positions'!$C350="","",'asset_&amp;_open_positions'!$E350)</f>
        <v>ETH</v>
      </c>
      <c r="O350" s="43">
        <f>IF('asset_&amp;_open_positions'!$C350="","",'asset_&amp;_open_positions'!$H350)</f>
        <v>1309.32867693296</v>
      </c>
      <c r="P350" s="84" t="str">
        <f>IF(OR('asset_&amp;_open_positions'!$C350="",'asset_&amp;_open_positions'!$J350="SWAP",'asset_&amp;_open_positions'!$J350="FUTURE",'asset_&amp;_open_positions'!$J350="CME FUTURE"),"",'asset_&amp;_open_positions'!$M350)</f>
        <v>ETH</v>
      </c>
      <c r="Q350" s="43">
        <f>IF(OR('asset_&amp;_open_positions'!$C350="",'asset_&amp;_open_positions'!$J350="SWAP",'asset_&amp;_open_positions'!$J350="FUTURE",'asset_&amp;_open_positions'!$J350="CME FUTURE"),"",'asset_&amp;_open_positions'!$H350)</f>
        <v>1309.32867693296</v>
      </c>
    </row>
    <row r="351" spans="14:17" x14ac:dyDescent="0.25">
      <c r="N351" s="84" t="str">
        <f>IF('asset_&amp;_open_positions'!$C351="","",'asset_&amp;_open_positions'!$E351)</f>
        <v>USDT</v>
      </c>
      <c r="O351" s="43">
        <f>IF('asset_&amp;_open_positions'!$C351="","",'asset_&amp;_open_positions'!$H351)</f>
        <v>1.0001054103245299</v>
      </c>
      <c r="P351" s="84" t="str">
        <f>IF(OR('asset_&amp;_open_positions'!$C351="",'asset_&amp;_open_positions'!$J351="SWAP",'asset_&amp;_open_positions'!$J351="FUTURE",'asset_&amp;_open_positions'!$J351="CME FUTURE"),"",'asset_&amp;_open_positions'!$M351)</f>
        <v>USDT</v>
      </c>
      <c r="Q351" s="43">
        <f>IF(OR('asset_&amp;_open_positions'!$C351="",'asset_&amp;_open_positions'!$J351="SWAP",'asset_&amp;_open_positions'!$J351="FUTURE",'asset_&amp;_open_positions'!$J351="CME FUTURE"),"",'asset_&amp;_open_positions'!$H351)</f>
        <v>1.0001054103245299</v>
      </c>
    </row>
    <row r="352" spans="14:17" x14ac:dyDescent="0.25">
      <c r="N352" s="84" t="str">
        <f>IF('asset_&amp;_open_positions'!$C352="","",'asset_&amp;_open_positions'!$E352)</f>
        <v>USDT</v>
      </c>
      <c r="O352" s="43">
        <f>IF('asset_&amp;_open_positions'!$C352="","",'asset_&amp;_open_positions'!$H352)</f>
        <v>1.0001054103245299</v>
      </c>
      <c r="P352" s="84" t="str">
        <f>IF(OR('asset_&amp;_open_positions'!$C352="",'asset_&amp;_open_positions'!$J352="SWAP",'asset_&amp;_open_positions'!$J352="FUTURE",'asset_&amp;_open_positions'!$J352="CME FUTURE"),"",'asset_&amp;_open_positions'!$M352)</f>
        <v>USDT</v>
      </c>
      <c r="Q352" s="43">
        <f>IF(OR('asset_&amp;_open_positions'!$C352="",'asset_&amp;_open_positions'!$J352="SWAP",'asset_&amp;_open_positions'!$J352="FUTURE",'asset_&amp;_open_positions'!$J352="CME FUTURE"),"",'asset_&amp;_open_positions'!$H352)</f>
        <v>1.0001054103245299</v>
      </c>
    </row>
    <row r="353" spans="14:17" x14ac:dyDescent="0.25">
      <c r="N353" s="84" t="str">
        <f>IF('asset_&amp;_open_positions'!$C353="","",'asset_&amp;_open_positions'!$E353)</f>
        <v>BTC</v>
      </c>
      <c r="O353" s="43">
        <f>IF('asset_&amp;_open_positions'!$C353="","",'asset_&amp;_open_positions'!$H353)</f>
        <v>17815.649854650899</v>
      </c>
      <c r="P353" s="84" t="str">
        <f>IF(OR('asset_&amp;_open_positions'!$C353="",'asset_&amp;_open_positions'!$J353="SWAP",'asset_&amp;_open_positions'!$J353="FUTURE",'asset_&amp;_open_positions'!$J353="CME FUTURE"),"",'asset_&amp;_open_positions'!$M353)</f>
        <v>BTC</v>
      </c>
      <c r="Q353" s="43">
        <f>IF(OR('asset_&amp;_open_positions'!$C353="",'asset_&amp;_open_positions'!$J353="SWAP",'asset_&amp;_open_positions'!$J353="FUTURE",'asset_&amp;_open_positions'!$J353="CME FUTURE"),"",'asset_&amp;_open_positions'!$H353)</f>
        <v>17815.649854650899</v>
      </c>
    </row>
    <row r="354" spans="14:17" x14ac:dyDescent="0.25">
      <c r="N354" s="84" t="str">
        <f>IF('asset_&amp;_open_positions'!$C354="","",'asset_&amp;_open_positions'!$E354)</f>
        <v>USDT</v>
      </c>
      <c r="O354" s="43">
        <f>IF('asset_&amp;_open_positions'!$C354="","",'asset_&amp;_open_positions'!$H354)</f>
        <v>1.0001054103245299</v>
      </c>
      <c r="P354" s="84" t="str">
        <f>IF(OR('asset_&amp;_open_positions'!$C354="",'asset_&amp;_open_positions'!$J354="SWAP",'asset_&amp;_open_positions'!$J354="FUTURE",'asset_&amp;_open_positions'!$J354="CME FUTURE"),"",'asset_&amp;_open_positions'!$M354)</f>
        <v>USDT</v>
      </c>
      <c r="Q354" s="43">
        <f>IF(OR('asset_&amp;_open_positions'!$C354="",'asset_&amp;_open_positions'!$J354="SWAP",'asset_&amp;_open_positions'!$J354="FUTURE",'asset_&amp;_open_positions'!$J354="CME FUTURE"),"",'asset_&amp;_open_positions'!$H354)</f>
        <v>1.0001054103245299</v>
      </c>
    </row>
    <row r="355" spans="14:17" x14ac:dyDescent="0.25">
      <c r="N355" s="84" t="str">
        <f>IF('asset_&amp;_open_positions'!$C355="","",'asset_&amp;_open_positions'!$E355)</f>
        <v>BTC</v>
      </c>
      <c r="O355" s="43">
        <f>IF('asset_&amp;_open_positions'!$C355="","",'asset_&amp;_open_positions'!$H355)</f>
        <v>17815.649854650899</v>
      </c>
      <c r="P355" s="84" t="str">
        <f>IF(OR('asset_&amp;_open_positions'!$C355="",'asset_&amp;_open_positions'!$J355="SWAP",'asset_&amp;_open_positions'!$J355="FUTURE",'asset_&amp;_open_positions'!$J355="CME FUTURE"),"",'asset_&amp;_open_positions'!$M355)</f>
        <v>BTC</v>
      </c>
      <c r="Q355" s="43">
        <f>IF(OR('asset_&amp;_open_positions'!$C355="",'asset_&amp;_open_positions'!$J355="SWAP",'asset_&amp;_open_positions'!$J355="FUTURE",'asset_&amp;_open_positions'!$J355="CME FUTURE"),"",'asset_&amp;_open_positions'!$H355)</f>
        <v>17815.649854650899</v>
      </c>
    </row>
    <row r="356" spans="14:17" x14ac:dyDescent="0.25">
      <c r="N356" s="84" t="str">
        <f>IF('asset_&amp;_open_positions'!$C356="","",'asset_&amp;_open_positions'!$E356)</f>
        <v>BTC</v>
      </c>
      <c r="O356" s="43">
        <f>IF('asset_&amp;_open_positions'!$C356="","",'asset_&amp;_open_positions'!$H356)</f>
        <v>17815.649854650899</v>
      </c>
      <c r="P356" s="84" t="str">
        <f>IF(OR('asset_&amp;_open_positions'!$C356="",'asset_&amp;_open_positions'!$J356="SWAP",'asset_&amp;_open_positions'!$J356="FUTURE",'asset_&amp;_open_positions'!$J356="CME FUTURE"),"",'asset_&amp;_open_positions'!$M356)</f>
        <v>BTC</v>
      </c>
      <c r="Q356" s="43">
        <f>IF(OR('asset_&amp;_open_positions'!$C356="",'asset_&amp;_open_positions'!$J356="SWAP",'asset_&amp;_open_positions'!$J356="FUTURE",'asset_&amp;_open_positions'!$J356="CME FUTURE"),"",'asset_&amp;_open_positions'!$H356)</f>
        <v>17815.649854650899</v>
      </c>
    </row>
    <row r="357" spans="14:17" x14ac:dyDescent="0.25">
      <c r="N357" s="84" t="str">
        <f>IF('asset_&amp;_open_positions'!$C357="","",'asset_&amp;_open_positions'!$E357)</f>
        <v>EOS</v>
      </c>
      <c r="O357" s="43">
        <f>IF('asset_&amp;_open_positions'!$C357="","",'asset_&amp;_open_positions'!$H357)</f>
        <v>0.97802133669101299</v>
      </c>
      <c r="P357" s="84" t="str">
        <f>IF(OR('asset_&amp;_open_positions'!$C357="",'asset_&amp;_open_positions'!$J357="SWAP",'asset_&amp;_open_positions'!$J357="FUTURE",'asset_&amp;_open_positions'!$J357="CME FUTURE"),"",'asset_&amp;_open_positions'!$M357)</f>
        <v>EOS</v>
      </c>
      <c r="Q357" s="43">
        <f>IF(OR('asset_&amp;_open_positions'!$C357="",'asset_&amp;_open_positions'!$J357="SWAP",'asset_&amp;_open_positions'!$J357="FUTURE",'asset_&amp;_open_positions'!$J357="CME FUTURE"),"",'asset_&amp;_open_positions'!$H357)</f>
        <v>0.97802133669101299</v>
      </c>
    </row>
    <row r="358" spans="14:17" x14ac:dyDescent="0.25">
      <c r="N358" s="84" t="str">
        <f>IF('asset_&amp;_open_positions'!$C358="","",'asset_&amp;_open_positions'!$E358)</f>
        <v>ETH</v>
      </c>
      <c r="O358" s="43">
        <f>IF('asset_&amp;_open_positions'!$C358="","",'asset_&amp;_open_positions'!$H358)</f>
        <v>1309.32867693296</v>
      </c>
      <c r="P358" s="84" t="str">
        <f>IF(OR('asset_&amp;_open_positions'!$C358="",'asset_&amp;_open_positions'!$J358="SWAP",'asset_&amp;_open_positions'!$J358="FUTURE",'asset_&amp;_open_positions'!$J358="CME FUTURE"),"",'asset_&amp;_open_positions'!$M358)</f>
        <v>ETH</v>
      </c>
      <c r="Q358" s="43">
        <f>IF(OR('asset_&amp;_open_positions'!$C358="",'asset_&amp;_open_positions'!$J358="SWAP",'asset_&amp;_open_positions'!$J358="FUTURE",'asset_&amp;_open_positions'!$J358="CME FUTURE"),"",'asset_&amp;_open_positions'!$H358)</f>
        <v>1309.32867693296</v>
      </c>
    </row>
    <row r="359" spans="14:17" x14ac:dyDescent="0.25">
      <c r="N359" s="84" t="str">
        <f>IF('asset_&amp;_open_positions'!$C359="","",'asset_&amp;_open_positions'!$E359)</f>
        <v>ETH</v>
      </c>
      <c r="O359" s="43">
        <f>IF('asset_&amp;_open_positions'!$C359="","",'asset_&amp;_open_positions'!$H359)</f>
        <v>1309.32867693296</v>
      </c>
      <c r="P359" s="84" t="str">
        <f>IF(OR('asset_&amp;_open_positions'!$C359="",'asset_&amp;_open_positions'!$J359="SWAP",'asset_&amp;_open_positions'!$J359="FUTURE",'asset_&amp;_open_positions'!$J359="CME FUTURE"),"",'asset_&amp;_open_positions'!$M359)</f>
        <v>ETH</v>
      </c>
      <c r="Q359" s="43">
        <f>IF(OR('asset_&amp;_open_positions'!$C359="",'asset_&amp;_open_positions'!$J359="SWAP",'asset_&amp;_open_positions'!$J359="FUTURE",'asset_&amp;_open_positions'!$J359="CME FUTURE"),"",'asset_&amp;_open_positions'!$H359)</f>
        <v>1309.32867693296</v>
      </c>
    </row>
    <row r="360" spans="14:17" x14ac:dyDescent="0.25">
      <c r="N360" s="84" t="str">
        <f>IF('asset_&amp;_open_positions'!$C360="","",'asset_&amp;_open_positions'!$E360)</f>
        <v>LTC</v>
      </c>
      <c r="O360" s="43">
        <f>IF('asset_&amp;_open_positions'!$C360="","",'asset_&amp;_open_positions'!$H360)</f>
        <v>75.475863646134997</v>
      </c>
      <c r="P360" s="84" t="str">
        <f>IF(OR('asset_&amp;_open_positions'!$C360="",'asset_&amp;_open_positions'!$J360="SWAP",'asset_&amp;_open_positions'!$J360="FUTURE",'asset_&amp;_open_positions'!$J360="CME FUTURE"),"",'asset_&amp;_open_positions'!$M360)</f>
        <v>LTC</v>
      </c>
      <c r="Q360" s="43">
        <f>IF(OR('asset_&amp;_open_positions'!$C360="",'asset_&amp;_open_positions'!$J360="SWAP",'asset_&amp;_open_positions'!$J360="FUTURE",'asset_&amp;_open_positions'!$J360="CME FUTURE"),"",'asset_&amp;_open_positions'!$H360)</f>
        <v>75.475863646134997</v>
      </c>
    </row>
    <row r="361" spans="14:17" x14ac:dyDescent="0.25">
      <c r="N361" s="84" t="str">
        <f>IF('asset_&amp;_open_positions'!$C361="","",'asset_&amp;_open_positions'!$E361)</f>
        <v>OXT</v>
      </c>
      <c r="O361" s="43">
        <f>IF('asset_&amp;_open_positions'!$C361="","",'asset_&amp;_open_positions'!$H361)</f>
        <v>8.1177871372945895E-2</v>
      </c>
      <c r="P361" s="84" t="str">
        <f>IF(OR('asset_&amp;_open_positions'!$C361="",'asset_&amp;_open_positions'!$J361="SWAP",'asset_&amp;_open_positions'!$J361="FUTURE",'asset_&amp;_open_positions'!$J361="CME FUTURE"),"",'asset_&amp;_open_positions'!$M361)</f>
        <v>OXT</v>
      </c>
      <c r="Q361" s="43">
        <f>IF(OR('asset_&amp;_open_positions'!$C361="",'asset_&amp;_open_positions'!$J361="SWAP",'asset_&amp;_open_positions'!$J361="FUTURE",'asset_&amp;_open_positions'!$J361="CME FUTURE"),"",'asset_&amp;_open_positions'!$H361)</f>
        <v>8.1177871372945895E-2</v>
      </c>
    </row>
    <row r="362" spans="14:17" x14ac:dyDescent="0.25">
      <c r="N362" s="84" t="str">
        <f>IF('asset_&amp;_open_positions'!$C362="","",'asset_&amp;_open_positions'!$E362)</f>
        <v>USDT</v>
      </c>
      <c r="O362" s="43">
        <f>IF('asset_&amp;_open_positions'!$C362="","",'asset_&amp;_open_positions'!$H362)</f>
        <v>1.0001054103245299</v>
      </c>
      <c r="P362" s="84" t="str">
        <f>IF(OR('asset_&amp;_open_positions'!$C362="",'asset_&amp;_open_positions'!$J362="SWAP",'asset_&amp;_open_positions'!$J362="FUTURE",'asset_&amp;_open_positions'!$J362="CME FUTURE"),"",'asset_&amp;_open_positions'!$M362)</f>
        <v>USDT</v>
      </c>
      <c r="Q362" s="43">
        <f>IF(OR('asset_&amp;_open_positions'!$C362="",'asset_&amp;_open_positions'!$J362="SWAP",'asset_&amp;_open_positions'!$J362="FUTURE",'asset_&amp;_open_positions'!$J362="CME FUTURE"),"",'asset_&amp;_open_positions'!$H362)</f>
        <v>1.0001054103245299</v>
      </c>
    </row>
    <row r="363" spans="14:17" x14ac:dyDescent="0.25">
      <c r="N363" s="84" t="str">
        <f>IF('asset_&amp;_open_positions'!$C363="","",'asset_&amp;_open_positions'!$E363)</f>
        <v>XRP</v>
      </c>
      <c r="O363" s="43">
        <f>IF('asset_&amp;_open_positions'!$C363="","",'asset_&amp;_open_positions'!$H363)</f>
        <v>0.38641371777866901</v>
      </c>
      <c r="P363" s="84" t="str">
        <f>IF(OR('asset_&amp;_open_positions'!$C363="",'asset_&amp;_open_positions'!$J363="SWAP",'asset_&amp;_open_positions'!$J363="FUTURE",'asset_&amp;_open_positions'!$J363="CME FUTURE"),"",'asset_&amp;_open_positions'!$M363)</f>
        <v>XRP</v>
      </c>
      <c r="Q363" s="43">
        <f>IF(OR('asset_&amp;_open_positions'!$C363="",'asset_&amp;_open_positions'!$J363="SWAP",'asset_&amp;_open_positions'!$J363="FUTURE",'asset_&amp;_open_positions'!$J363="CME FUTURE"),"",'asset_&amp;_open_positions'!$H363)</f>
        <v>0.38641371777866901</v>
      </c>
    </row>
    <row r="364" spans="14:17" x14ac:dyDescent="0.25">
      <c r="N364" s="84" t="str">
        <f>IF('asset_&amp;_open_positions'!$C364="","",'asset_&amp;_open_positions'!$E364)</f>
        <v>ZIL</v>
      </c>
      <c r="O364" s="43">
        <f>IF('asset_&amp;_open_positions'!$C364="","",'asset_&amp;_open_positions'!$H364)</f>
        <v>2.1790372914806299E-2</v>
      </c>
      <c r="P364" s="84" t="str">
        <f>IF(OR('asset_&amp;_open_positions'!$C364="",'asset_&amp;_open_positions'!$J364="SWAP",'asset_&amp;_open_positions'!$J364="FUTURE",'asset_&amp;_open_positions'!$J364="CME FUTURE"),"",'asset_&amp;_open_positions'!$M364)</f>
        <v>ZIL</v>
      </c>
      <c r="Q364" s="43">
        <f>IF(OR('asset_&amp;_open_positions'!$C364="",'asset_&amp;_open_positions'!$J364="SWAP",'asset_&amp;_open_positions'!$J364="FUTURE",'asset_&amp;_open_positions'!$J364="CME FUTURE"),"",'asset_&amp;_open_positions'!$H364)</f>
        <v>2.1790372914806299E-2</v>
      </c>
    </row>
    <row r="365" spans="14:17" x14ac:dyDescent="0.25">
      <c r="N365" s="84" t="str">
        <f>IF('asset_&amp;_open_positions'!$C365="","",'asset_&amp;_open_positions'!$E365)</f>
        <v>BCH</v>
      </c>
      <c r="O365" s="43">
        <f>IF('asset_&amp;_open_positions'!$C365="","",'asset_&amp;_open_positions'!$H365)</f>
        <v>109.10849595307199</v>
      </c>
      <c r="P365" s="84" t="str">
        <f>IF(OR('asset_&amp;_open_positions'!$C365="",'asset_&amp;_open_positions'!$J365="SWAP",'asset_&amp;_open_positions'!$J365="FUTURE",'asset_&amp;_open_positions'!$J365="CME FUTURE"),"",'asset_&amp;_open_positions'!$M365)</f>
        <v>BCH</v>
      </c>
      <c r="Q365" s="43">
        <f>IF(OR('asset_&amp;_open_positions'!$C365="",'asset_&amp;_open_positions'!$J365="SWAP",'asset_&amp;_open_positions'!$J365="FUTURE",'asset_&amp;_open_positions'!$J365="CME FUTURE"),"",'asset_&amp;_open_positions'!$H365)</f>
        <v>109.10849595307199</v>
      </c>
    </row>
    <row r="366" spans="14:17" x14ac:dyDescent="0.25">
      <c r="N366" s="84" t="str">
        <f>IF('asset_&amp;_open_positions'!$C366="","",'asset_&amp;_open_positions'!$E366)</f>
        <v>BSV</v>
      </c>
      <c r="O366" s="43">
        <f>IF('asset_&amp;_open_positions'!$C366="","",'asset_&amp;_open_positions'!$H366)</f>
        <v>45.311618722574998</v>
      </c>
      <c r="P366" s="84" t="str">
        <f>IF(OR('asset_&amp;_open_positions'!$C366="",'asset_&amp;_open_positions'!$J366="SWAP",'asset_&amp;_open_positions'!$J366="FUTURE",'asset_&amp;_open_positions'!$J366="CME FUTURE"),"",'asset_&amp;_open_positions'!$M366)</f>
        <v>BSV</v>
      </c>
      <c r="Q366" s="43">
        <f>IF(OR('asset_&amp;_open_positions'!$C366="",'asset_&amp;_open_positions'!$J366="SWAP",'asset_&amp;_open_positions'!$J366="FUTURE",'asset_&amp;_open_positions'!$J366="CME FUTURE"),"",'asset_&amp;_open_positions'!$H366)</f>
        <v>45.311618722574998</v>
      </c>
    </row>
    <row r="367" spans="14:17" x14ac:dyDescent="0.25">
      <c r="N367" s="84" t="str">
        <f>IF('asset_&amp;_open_positions'!$C367="","",'asset_&amp;_open_positions'!$E367)</f>
        <v>DOT</v>
      </c>
      <c r="O367" s="43">
        <f>IF('asset_&amp;_open_positions'!$C367="","",'asset_&amp;_open_positions'!$H367)</f>
        <v>5.21520975096543</v>
      </c>
      <c r="P367" s="84" t="str">
        <f>IF(OR('asset_&amp;_open_positions'!$C367="",'asset_&amp;_open_positions'!$J367="SWAP",'asset_&amp;_open_positions'!$J367="FUTURE",'asset_&amp;_open_positions'!$J367="CME FUTURE"),"",'asset_&amp;_open_positions'!$M367)</f>
        <v>DOT</v>
      </c>
      <c r="Q367" s="43">
        <f>IF(OR('asset_&amp;_open_positions'!$C367="",'asset_&amp;_open_positions'!$J367="SWAP",'asset_&amp;_open_positions'!$J367="FUTURE",'asset_&amp;_open_positions'!$J367="CME FUTURE"),"",'asset_&amp;_open_positions'!$H367)</f>
        <v>5.21520975096543</v>
      </c>
    </row>
    <row r="368" spans="14:17" x14ac:dyDescent="0.25">
      <c r="N368" s="84" t="str">
        <f>IF('asset_&amp;_open_positions'!$C368="","",'asset_&amp;_open_positions'!$E368)</f>
        <v>ETHW</v>
      </c>
      <c r="O368" s="43">
        <f>IF('asset_&amp;_open_positions'!$C368="","",'asset_&amp;_open_positions'!$H368)</f>
        <v>3.5405121692480601</v>
      </c>
      <c r="P368" s="84" t="str">
        <f>IF(OR('asset_&amp;_open_positions'!$C368="",'asset_&amp;_open_positions'!$J368="SWAP",'asset_&amp;_open_positions'!$J368="FUTURE",'asset_&amp;_open_positions'!$J368="CME FUTURE"),"",'asset_&amp;_open_positions'!$M368)</f>
        <v>ETHW</v>
      </c>
      <c r="Q368" s="43">
        <f>IF(OR('asset_&amp;_open_positions'!$C368="",'asset_&amp;_open_positions'!$J368="SWAP",'asset_&amp;_open_positions'!$J368="FUTURE",'asset_&amp;_open_positions'!$J368="CME FUTURE"),"",'asset_&amp;_open_positions'!$H368)</f>
        <v>3.5405121692480601</v>
      </c>
    </row>
    <row r="369" spans="14:17" x14ac:dyDescent="0.25">
      <c r="N369" s="84" t="str">
        <f>IF('asset_&amp;_open_positions'!$C369="","",'asset_&amp;_open_positions'!$E369)</f>
        <v>LINK</v>
      </c>
      <c r="O369" s="43">
        <f>IF('asset_&amp;_open_positions'!$C369="","",'asset_&amp;_open_positions'!$H369)</f>
        <v>6.72882805759214</v>
      </c>
      <c r="P369" s="84" t="str">
        <f>IF(OR('asset_&amp;_open_positions'!$C369="",'asset_&amp;_open_positions'!$J369="SWAP",'asset_&amp;_open_positions'!$J369="FUTURE",'asset_&amp;_open_positions'!$J369="CME FUTURE"),"",'asset_&amp;_open_positions'!$M369)</f>
        <v>LINK</v>
      </c>
      <c r="Q369" s="43">
        <f>IF(OR('asset_&amp;_open_positions'!$C369="",'asset_&amp;_open_positions'!$J369="SWAP",'asset_&amp;_open_positions'!$J369="FUTURE",'asset_&amp;_open_positions'!$J369="CME FUTURE"),"",'asset_&amp;_open_positions'!$H369)</f>
        <v>6.72882805759214</v>
      </c>
    </row>
    <row r="370" spans="14:17" x14ac:dyDescent="0.25">
      <c r="N370" s="84" t="str">
        <f>IF('asset_&amp;_open_positions'!$C370="","",'asset_&amp;_open_positions'!$E370)</f>
        <v>LTC</v>
      </c>
      <c r="O370" s="43">
        <f>IF('asset_&amp;_open_positions'!$C370="","",'asset_&amp;_open_positions'!$H370)</f>
        <v>75.475863646134997</v>
      </c>
      <c r="P370" s="84" t="str">
        <f>IF(OR('asset_&amp;_open_positions'!$C370="",'asset_&amp;_open_positions'!$J370="SWAP",'asset_&amp;_open_positions'!$J370="FUTURE",'asset_&amp;_open_positions'!$J370="CME FUTURE"),"",'asset_&amp;_open_positions'!$M370)</f>
        <v>LTC</v>
      </c>
      <c r="Q370" s="43">
        <f>IF(OR('asset_&amp;_open_positions'!$C370="",'asset_&amp;_open_positions'!$J370="SWAP",'asset_&amp;_open_positions'!$J370="FUTURE",'asset_&amp;_open_positions'!$J370="CME FUTURE"),"",'asset_&amp;_open_positions'!$H370)</f>
        <v>75.475863646134997</v>
      </c>
    </row>
    <row r="371" spans="14:17" x14ac:dyDescent="0.25">
      <c r="N371" s="84" t="str">
        <f>IF('asset_&amp;_open_positions'!$C371="","",'asset_&amp;_open_positions'!$E371)</f>
        <v>SHIB</v>
      </c>
      <c r="O371" s="43">
        <f>IF('asset_&amp;_open_positions'!$C371="","",'asset_&amp;_open_positions'!$H371)</f>
        <v>8.9727561705582505E-6</v>
      </c>
      <c r="P371" s="84" t="str">
        <f>IF(OR('asset_&amp;_open_positions'!$C371="",'asset_&amp;_open_positions'!$J371="SWAP",'asset_&amp;_open_positions'!$J371="FUTURE",'asset_&amp;_open_positions'!$J371="CME FUTURE"),"",'asset_&amp;_open_positions'!$M371)</f>
        <v>SHIB</v>
      </c>
      <c r="Q371" s="43">
        <f>IF(OR('asset_&amp;_open_positions'!$C371="",'asset_&amp;_open_positions'!$J371="SWAP",'asset_&amp;_open_positions'!$J371="FUTURE",'asset_&amp;_open_positions'!$J371="CME FUTURE"),"",'asset_&amp;_open_positions'!$H371)</f>
        <v>8.9727561705582505E-6</v>
      </c>
    </row>
    <row r="372" spans="14:17" x14ac:dyDescent="0.25">
      <c r="N372" s="84" t="str">
        <f>IF('asset_&amp;_open_positions'!$C372="","",'asset_&amp;_open_positions'!$E372)</f>
        <v>XEC</v>
      </c>
      <c r="O372" s="43">
        <f>IF('asset_&amp;_open_positions'!$C372="","",'asset_&amp;_open_positions'!$H372)</f>
        <v>2.8860627530583E-5</v>
      </c>
      <c r="P372" s="84" t="str">
        <f>IF(OR('asset_&amp;_open_positions'!$C372="",'asset_&amp;_open_positions'!$J372="SWAP",'asset_&amp;_open_positions'!$J372="FUTURE",'asset_&amp;_open_positions'!$J372="CME FUTURE"),"",'asset_&amp;_open_positions'!$M372)</f>
        <v>XEC</v>
      </c>
      <c r="Q372" s="43">
        <f>IF(OR('asset_&amp;_open_positions'!$C372="",'asset_&amp;_open_positions'!$J372="SWAP",'asset_&amp;_open_positions'!$J372="FUTURE",'asset_&amp;_open_positions'!$J372="CME FUTURE"),"",'asset_&amp;_open_positions'!$H372)</f>
        <v>2.8860627530583E-5</v>
      </c>
    </row>
    <row r="373" spans="14:17" x14ac:dyDescent="0.25">
      <c r="N373" s="84" t="str">
        <f>IF('asset_&amp;_open_positions'!$C373="","",'asset_&amp;_open_positions'!$E373)</f>
        <v>XRP</v>
      </c>
      <c r="O373" s="43">
        <f>IF('asset_&amp;_open_positions'!$C373="","",'asset_&amp;_open_positions'!$H373)</f>
        <v>0.38641371777866901</v>
      </c>
      <c r="P373" s="84" t="str">
        <f>IF(OR('asset_&amp;_open_positions'!$C373="",'asset_&amp;_open_positions'!$J373="SWAP",'asset_&amp;_open_positions'!$J373="FUTURE",'asset_&amp;_open_positions'!$J373="CME FUTURE"),"",'asset_&amp;_open_positions'!$M373)</f>
        <v>XRP</v>
      </c>
      <c r="Q373" s="43">
        <f>IF(OR('asset_&amp;_open_positions'!$C373="",'asset_&amp;_open_positions'!$J373="SWAP",'asset_&amp;_open_positions'!$J373="FUTURE",'asset_&amp;_open_positions'!$J373="CME FUTURE"),"",'asset_&amp;_open_positions'!$H373)</f>
        <v>0.38641371777866901</v>
      </c>
    </row>
    <row r="374" spans="14:17" x14ac:dyDescent="0.25">
      <c r="N374" s="84" t="str">
        <f>IF('asset_&amp;_open_positions'!$C374="","",'asset_&amp;_open_positions'!$E374)</f>
        <v>ETH</v>
      </c>
      <c r="O374" s="43">
        <f>IF('asset_&amp;_open_positions'!$C374="","",'asset_&amp;_open_positions'!$H374)</f>
        <v>1309.32867693296</v>
      </c>
      <c r="P374" s="84" t="str">
        <f>IF(OR('asset_&amp;_open_positions'!$C374="",'asset_&amp;_open_positions'!$J374="SWAP",'asset_&amp;_open_positions'!$J374="FUTURE",'asset_&amp;_open_positions'!$J374="CME FUTURE"),"",'asset_&amp;_open_positions'!$M374)</f>
        <v>ETH</v>
      </c>
      <c r="Q374" s="43">
        <f>IF(OR('asset_&amp;_open_positions'!$C374="",'asset_&amp;_open_positions'!$J374="SWAP",'asset_&amp;_open_positions'!$J374="FUTURE",'asset_&amp;_open_positions'!$J374="CME FUTURE"),"",'asset_&amp;_open_positions'!$H374)</f>
        <v>1309.32867693296</v>
      </c>
    </row>
    <row r="375" spans="14:17" x14ac:dyDescent="0.25">
      <c r="N375" s="84" t="str">
        <f>IF('asset_&amp;_open_positions'!$C375="","",'asset_&amp;_open_positions'!$E375)</f>
        <v>EUR</v>
      </c>
      <c r="O375" s="43">
        <f>IF('asset_&amp;_open_positions'!$C375="","",'asset_&amp;_open_positions'!$H375)</f>
        <v>1.0682700000000001</v>
      </c>
      <c r="P375" s="84" t="str">
        <f>IF(OR('asset_&amp;_open_positions'!$C375="",'asset_&amp;_open_positions'!$J375="SWAP",'asset_&amp;_open_positions'!$J375="FUTURE",'asset_&amp;_open_positions'!$J375="CME FUTURE"),"",'asset_&amp;_open_positions'!$M375)</f>
        <v>EUR</v>
      </c>
      <c r="Q375" s="43">
        <f>IF(OR('asset_&amp;_open_positions'!$C375="",'asset_&amp;_open_positions'!$J375="SWAP",'asset_&amp;_open_positions'!$J375="FUTURE",'asset_&amp;_open_positions'!$J375="CME FUTURE"),"",'asset_&amp;_open_positions'!$H375)</f>
        <v>1.0682700000000001</v>
      </c>
    </row>
    <row r="376" spans="14:17" x14ac:dyDescent="0.25">
      <c r="N376" s="84" t="str">
        <f>IF('asset_&amp;_open_positions'!$C376="","",'asset_&amp;_open_positions'!$E376)</f>
        <v>GBP</v>
      </c>
      <c r="O376" s="43">
        <f>IF('asset_&amp;_open_positions'!$C376="","",'asset_&amp;_open_positions'!$H376)</f>
        <v>1.2427649999999999</v>
      </c>
      <c r="P376" s="84" t="str">
        <f>IF(OR('asset_&amp;_open_positions'!$C376="",'asset_&amp;_open_positions'!$J376="SWAP",'asset_&amp;_open_positions'!$J376="FUTURE",'asset_&amp;_open_positions'!$J376="CME FUTURE"),"",'asset_&amp;_open_positions'!$M376)</f>
        <v>GBP</v>
      </c>
      <c r="Q376" s="43">
        <f>IF(OR('asset_&amp;_open_positions'!$C376="",'asset_&amp;_open_positions'!$J376="SWAP",'asset_&amp;_open_positions'!$J376="FUTURE",'asset_&amp;_open_positions'!$J376="CME FUTURE"),"",'asset_&amp;_open_positions'!$H376)</f>
        <v>1.2427649999999999</v>
      </c>
    </row>
    <row r="377" spans="14:17" x14ac:dyDescent="0.25">
      <c r="N377" s="84" t="str">
        <f>IF('asset_&amp;_open_positions'!$C377="","",'asset_&amp;_open_positions'!$E377)</f>
        <v>TRY</v>
      </c>
      <c r="O377" s="43">
        <f>IF('asset_&amp;_open_positions'!$C377="","",'asset_&amp;_open_positions'!$H377)</f>
        <v>5.3134253253703599E-2</v>
      </c>
      <c r="P377" s="84" t="str">
        <f>IF(OR('asset_&amp;_open_positions'!$C377="",'asset_&amp;_open_positions'!$J377="SWAP",'asset_&amp;_open_positions'!$J377="FUTURE",'asset_&amp;_open_positions'!$J377="CME FUTURE"),"",'asset_&amp;_open_positions'!$M377)</f>
        <v>TRY</v>
      </c>
      <c r="Q377" s="43">
        <f>IF(OR('asset_&amp;_open_positions'!$C377="",'asset_&amp;_open_positions'!$J377="SWAP",'asset_&amp;_open_positions'!$J377="FUTURE",'asset_&amp;_open_positions'!$J377="CME FUTURE"),"",'asset_&amp;_open_positions'!$H377)</f>
        <v>5.3134253253703599E-2</v>
      </c>
    </row>
    <row r="378" spans="14:17" x14ac:dyDescent="0.25">
      <c r="N378" s="84" t="str">
        <f>IF('asset_&amp;_open_positions'!$C378="","",'asset_&amp;_open_positions'!$E378)</f>
        <v>USD</v>
      </c>
      <c r="O378" s="43">
        <f>IF('asset_&amp;_open_positions'!$C378="","",'asset_&amp;_open_positions'!$H378)</f>
        <v>1</v>
      </c>
      <c r="P378" s="84" t="str">
        <f>IF(OR('asset_&amp;_open_positions'!$C378="",'asset_&amp;_open_positions'!$J378="SWAP",'asset_&amp;_open_positions'!$J378="FUTURE",'asset_&amp;_open_positions'!$J378="CME FUTURE"),"",'asset_&amp;_open_positions'!$M378)</f>
        <v>USD</v>
      </c>
      <c r="Q378" s="43">
        <f>IF(OR('asset_&amp;_open_positions'!$C378="",'asset_&amp;_open_positions'!$J378="SWAP",'asset_&amp;_open_positions'!$J378="FUTURE",'asset_&amp;_open_positions'!$J378="CME FUTURE"),"",'asset_&amp;_open_positions'!$H378)</f>
        <v>1</v>
      </c>
    </row>
    <row r="379" spans="14:17" x14ac:dyDescent="0.25">
      <c r="N379" s="84" t="str">
        <f>IF('asset_&amp;_open_positions'!$C379="","",'asset_&amp;_open_positions'!$E379)</f>
        <v>USDT</v>
      </c>
      <c r="O379" s="43">
        <f>IF('asset_&amp;_open_positions'!$C379="","",'asset_&amp;_open_positions'!$H379)</f>
        <v>1.0001054103245299</v>
      </c>
      <c r="P379" s="84" t="str">
        <f>IF(OR('asset_&amp;_open_positions'!$C379="",'asset_&amp;_open_positions'!$J379="SWAP",'asset_&amp;_open_positions'!$J379="FUTURE",'asset_&amp;_open_positions'!$J379="CME FUTURE"),"",'asset_&amp;_open_positions'!$M379)</f>
        <v>USDT</v>
      </c>
      <c r="Q379" s="43">
        <f>IF(OR('asset_&amp;_open_positions'!$C379="",'asset_&amp;_open_positions'!$J379="SWAP",'asset_&amp;_open_positions'!$J379="FUTURE",'asset_&amp;_open_positions'!$J379="CME FUTURE"),"",'asset_&amp;_open_positions'!$H379)</f>
        <v>1.0001054103245299</v>
      </c>
    </row>
    <row r="380" spans="14:17" x14ac:dyDescent="0.25">
      <c r="N380" s="84" t="str">
        <f>IF('asset_&amp;_open_positions'!$C380="","",'asset_&amp;_open_positions'!$E380)</f>
        <v>XLM</v>
      </c>
      <c r="O380" s="43">
        <f>IF('asset_&amp;_open_positions'!$C380="","",'asset_&amp;_open_positions'!$H380)</f>
        <v>8.3013789241186201E-2</v>
      </c>
      <c r="P380" s="84" t="str">
        <f>IF(OR('asset_&amp;_open_positions'!$C380="",'asset_&amp;_open_positions'!$J380="SWAP",'asset_&amp;_open_positions'!$J380="FUTURE",'asset_&amp;_open_positions'!$J380="CME FUTURE"),"",'asset_&amp;_open_positions'!$M380)</f>
        <v>XLM</v>
      </c>
      <c r="Q380" s="43">
        <f>IF(OR('asset_&amp;_open_positions'!$C380="",'asset_&amp;_open_positions'!$J380="SWAP",'asset_&amp;_open_positions'!$J380="FUTURE",'asset_&amp;_open_positions'!$J380="CME FUTURE"),"",'asset_&amp;_open_positions'!$H380)</f>
        <v>8.3013789241186201E-2</v>
      </c>
    </row>
    <row r="381" spans="14:17" x14ac:dyDescent="0.25">
      <c r="N381" s="84" t="str">
        <f>IF('asset_&amp;_open_positions'!$C381="","",'asset_&amp;_open_positions'!$E381)</f>
        <v>SHFT</v>
      </c>
      <c r="O381" s="43">
        <f>IF('asset_&amp;_open_positions'!$C381="","",'asset_&amp;_open_positions'!$H381)</f>
        <v>9.2566564793401199E-3</v>
      </c>
      <c r="P381" s="84" t="str">
        <f>IF(OR('asset_&amp;_open_positions'!$C381="",'asset_&amp;_open_positions'!$J381="SWAP",'asset_&amp;_open_positions'!$J381="FUTURE",'asset_&amp;_open_positions'!$J381="CME FUTURE"),"",'asset_&amp;_open_positions'!$M381)</f>
        <v>SHFT</v>
      </c>
      <c r="Q381" s="43">
        <f>IF(OR('asset_&amp;_open_positions'!$C381="",'asset_&amp;_open_positions'!$J381="SWAP",'asset_&amp;_open_positions'!$J381="FUTURE",'asset_&amp;_open_positions'!$J381="CME FUTURE"),"",'asset_&amp;_open_positions'!$H381)</f>
        <v>9.2566564793401199E-3</v>
      </c>
    </row>
    <row r="382" spans="14:17" x14ac:dyDescent="0.25">
      <c r="N382" s="84" t="str">
        <f>IF('asset_&amp;_open_positions'!$C382="","",'asset_&amp;_open_positions'!$E382)</f>
        <v>ADA</v>
      </c>
      <c r="O382" s="43">
        <f>IF('asset_&amp;_open_positions'!$C382="","",'asset_&amp;_open_positions'!$H382)</f>
        <v>0.308134251946941</v>
      </c>
      <c r="P382" s="84" t="str">
        <f>IF(OR('asset_&amp;_open_positions'!$C382="",'asset_&amp;_open_positions'!$J382="SWAP",'asset_&amp;_open_positions'!$J382="FUTURE",'asset_&amp;_open_positions'!$J382="CME FUTURE"),"",'asset_&amp;_open_positions'!$M382)</f>
        <v>ADA</v>
      </c>
      <c r="Q382" s="43">
        <f>IF(OR('asset_&amp;_open_positions'!$C382="",'asset_&amp;_open_positions'!$J382="SWAP",'asset_&amp;_open_positions'!$J382="FUTURE",'asset_&amp;_open_positions'!$J382="CME FUTURE"),"",'asset_&amp;_open_positions'!$H382)</f>
        <v>0.308134251946941</v>
      </c>
    </row>
    <row r="383" spans="14:17" x14ac:dyDescent="0.25">
      <c r="N383" s="84" t="str">
        <f>IF('asset_&amp;_open_positions'!$C383="","",'asset_&amp;_open_positions'!$E383)</f>
        <v>BTC</v>
      </c>
      <c r="O383" s="43">
        <f>IF('asset_&amp;_open_positions'!$C383="","",'asset_&amp;_open_positions'!$H383)</f>
        <v>17815.649854650899</v>
      </c>
      <c r="P383" s="84" t="str">
        <f>IF(OR('asset_&amp;_open_positions'!$C383="",'asset_&amp;_open_positions'!$J383="SWAP",'asset_&amp;_open_positions'!$J383="FUTURE",'asset_&amp;_open_positions'!$J383="CME FUTURE"),"",'asset_&amp;_open_positions'!$M383)</f>
        <v>BTC</v>
      </c>
      <c r="Q383" s="43">
        <f>IF(OR('asset_&amp;_open_positions'!$C383="",'asset_&amp;_open_positions'!$J383="SWAP",'asset_&amp;_open_positions'!$J383="FUTURE",'asset_&amp;_open_positions'!$J383="CME FUTURE"),"",'asset_&amp;_open_positions'!$H383)</f>
        <v>17815.649854650899</v>
      </c>
    </row>
    <row r="384" spans="14:17" x14ac:dyDescent="0.25">
      <c r="N384" s="84" t="str">
        <f>IF('asset_&amp;_open_positions'!$C384="","",'asset_&amp;_open_positions'!$E384)</f>
        <v>ETH</v>
      </c>
      <c r="O384" s="43">
        <f>IF('asset_&amp;_open_positions'!$C384="","",'asset_&amp;_open_positions'!$H384)</f>
        <v>1309.32867693296</v>
      </c>
      <c r="P384" s="84" t="str">
        <f>IF(OR('asset_&amp;_open_positions'!$C384="",'asset_&amp;_open_positions'!$J384="SWAP",'asset_&amp;_open_positions'!$J384="FUTURE",'asset_&amp;_open_positions'!$J384="CME FUTURE"),"",'asset_&amp;_open_positions'!$M384)</f>
        <v>ETH</v>
      </c>
      <c r="Q384" s="43">
        <f>IF(OR('asset_&amp;_open_positions'!$C384="",'asset_&amp;_open_positions'!$J384="SWAP",'asset_&amp;_open_positions'!$J384="FUTURE",'asset_&amp;_open_positions'!$J384="CME FUTURE"),"",'asset_&amp;_open_positions'!$H384)</f>
        <v>1309.32867693296</v>
      </c>
    </row>
    <row r="385" spans="14:17" x14ac:dyDescent="0.25">
      <c r="N385" s="84" t="str">
        <f>IF('asset_&amp;_open_positions'!$C385="","",'asset_&amp;_open_positions'!$E385)</f>
        <v>ETHW</v>
      </c>
      <c r="O385" s="43">
        <f>IF('asset_&amp;_open_positions'!$C385="","",'asset_&amp;_open_positions'!$H385)</f>
        <v>3.5405121692480601</v>
      </c>
      <c r="P385" s="84" t="str">
        <f>IF(OR('asset_&amp;_open_positions'!$C385="",'asset_&amp;_open_positions'!$J385="SWAP",'asset_&amp;_open_positions'!$J385="FUTURE",'asset_&amp;_open_positions'!$J385="CME FUTURE"),"",'asset_&amp;_open_positions'!$M385)</f>
        <v>ETHW</v>
      </c>
      <c r="Q385" s="43">
        <f>IF(OR('asset_&amp;_open_positions'!$C385="",'asset_&amp;_open_positions'!$J385="SWAP",'asset_&amp;_open_positions'!$J385="FUTURE",'asset_&amp;_open_positions'!$J385="CME FUTURE"),"",'asset_&amp;_open_positions'!$H385)</f>
        <v>3.5405121692480601</v>
      </c>
    </row>
    <row r="386" spans="14:17" x14ac:dyDescent="0.25">
      <c r="N386" s="84" t="str">
        <f>IF('asset_&amp;_open_positions'!$C386="","",'asset_&amp;_open_positions'!$E386)</f>
        <v>WOO</v>
      </c>
      <c r="O386" s="43">
        <f>IF('asset_&amp;_open_positions'!$C386="","",'asset_&amp;_open_positions'!$H386)</f>
        <v>0.135103186019574</v>
      </c>
      <c r="P386" s="84" t="str">
        <f>IF(OR('asset_&amp;_open_positions'!$C386="",'asset_&amp;_open_positions'!$J386="SWAP",'asset_&amp;_open_positions'!$J386="FUTURE",'asset_&amp;_open_positions'!$J386="CME FUTURE"),"",'asset_&amp;_open_positions'!$M386)</f>
        <v>WOO</v>
      </c>
      <c r="Q386" s="43">
        <f>IF(OR('asset_&amp;_open_positions'!$C386="",'asset_&amp;_open_positions'!$J386="SWAP",'asset_&amp;_open_positions'!$J386="FUTURE",'asset_&amp;_open_positions'!$J386="CME FUTURE"),"",'asset_&amp;_open_positions'!$H386)</f>
        <v>0.135103186019574</v>
      </c>
    </row>
    <row r="387" spans="14:17" x14ac:dyDescent="0.25">
      <c r="N387" s="84" t="str">
        <f>IF('asset_&amp;_open_positions'!$C387="","",'asset_&amp;_open_positions'!$E387)</f>
        <v>AAVE</v>
      </c>
      <c r="O387" s="43">
        <f>IF('asset_&amp;_open_positions'!$C387="","",'asset_&amp;_open_positions'!$H387)</f>
        <v>62.562890626420497</v>
      </c>
      <c r="P387" s="84" t="str">
        <f>IF(OR('asset_&amp;_open_positions'!$C387="",'asset_&amp;_open_positions'!$J387="SWAP",'asset_&amp;_open_positions'!$J387="FUTURE",'asset_&amp;_open_positions'!$J387="CME FUTURE"),"",'asset_&amp;_open_positions'!$M387)</f>
        <v>AAVE</v>
      </c>
      <c r="Q387" s="43">
        <f>IF(OR('asset_&amp;_open_positions'!$C387="",'asset_&amp;_open_positions'!$J387="SWAP",'asset_&amp;_open_positions'!$J387="FUTURE",'asset_&amp;_open_positions'!$J387="CME FUTURE"),"",'asset_&amp;_open_positions'!$H387)</f>
        <v>62.562890626420497</v>
      </c>
    </row>
    <row r="388" spans="14:17" x14ac:dyDescent="0.25">
      <c r="N388" s="84" t="str">
        <f>IF('asset_&amp;_open_positions'!$C388="","",'asset_&amp;_open_positions'!$E388)</f>
        <v>ADA</v>
      </c>
      <c r="O388" s="43">
        <f>IF('asset_&amp;_open_positions'!$C388="","",'asset_&amp;_open_positions'!$H388)</f>
        <v>0.308134251946941</v>
      </c>
      <c r="P388" s="84" t="str">
        <f>IF(OR('asset_&amp;_open_positions'!$C388="",'asset_&amp;_open_positions'!$J388="SWAP",'asset_&amp;_open_positions'!$J388="FUTURE",'asset_&amp;_open_positions'!$J388="CME FUTURE"),"",'asset_&amp;_open_positions'!$M388)</f>
        <v>ADA</v>
      </c>
      <c r="Q388" s="43">
        <f>IF(OR('asset_&amp;_open_positions'!$C388="",'asset_&amp;_open_positions'!$J388="SWAP",'asset_&amp;_open_positions'!$J388="FUTURE",'asset_&amp;_open_positions'!$J388="CME FUTURE"),"",'asset_&amp;_open_positions'!$H388)</f>
        <v>0.308134251946941</v>
      </c>
    </row>
    <row r="389" spans="14:17" x14ac:dyDescent="0.25">
      <c r="N389" s="84" t="str">
        <f>IF('asset_&amp;_open_positions'!$C389="","",'asset_&amp;_open_positions'!$E389)</f>
        <v>ALGO</v>
      </c>
      <c r="O389" s="43">
        <f>IF('asset_&amp;_open_positions'!$C389="","",'asset_&amp;_open_positions'!$H389)</f>
        <v>0.220915807052601</v>
      </c>
      <c r="P389" s="84" t="str">
        <f>IF(OR('asset_&amp;_open_positions'!$C389="",'asset_&amp;_open_positions'!$J389="SWAP",'asset_&amp;_open_positions'!$J389="FUTURE",'asset_&amp;_open_positions'!$J389="CME FUTURE"),"",'asset_&amp;_open_positions'!$M389)</f>
        <v>ALGO</v>
      </c>
      <c r="Q389" s="43">
        <f>IF(OR('asset_&amp;_open_positions'!$C389="",'asset_&amp;_open_positions'!$J389="SWAP",'asset_&amp;_open_positions'!$J389="FUTURE",'asset_&amp;_open_positions'!$J389="CME FUTURE"),"",'asset_&amp;_open_positions'!$H389)</f>
        <v>0.220915807052601</v>
      </c>
    </row>
    <row r="390" spans="14:17" x14ac:dyDescent="0.25">
      <c r="N390" s="84" t="str">
        <f>IF('asset_&amp;_open_positions'!$C390="","",'asset_&amp;_open_positions'!$E390)</f>
        <v>AVAX</v>
      </c>
      <c r="O390" s="43">
        <f>IF('asset_&amp;_open_positions'!$C390="","",'asset_&amp;_open_positions'!$H390)</f>
        <v>13.7275595789196</v>
      </c>
      <c r="P390" s="84" t="str">
        <f>IF(OR('asset_&amp;_open_positions'!$C390="",'asset_&amp;_open_positions'!$J390="SWAP",'asset_&amp;_open_positions'!$J390="FUTURE",'asset_&amp;_open_positions'!$J390="CME FUTURE"),"",'asset_&amp;_open_positions'!$M390)</f>
        <v>AVAX</v>
      </c>
      <c r="Q390" s="43">
        <f>IF(OR('asset_&amp;_open_positions'!$C390="",'asset_&amp;_open_positions'!$J390="SWAP",'asset_&amp;_open_positions'!$J390="FUTURE",'asset_&amp;_open_positions'!$J390="CME FUTURE"),"",'asset_&amp;_open_positions'!$H390)</f>
        <v>13.7275595789196</v>
      </c>
    </row>
    <row r="391" spans="14:17" x14ac:dyDescent="0.25">
      <c r="N391" s="84" t="str">
        <f>IF('asset_&amp;_open_positions'!$C391="","",'asset_&amp;_open_positions'!$E391)</f>
        <v>BAT</v>
      </c>
      <c r="O391" s="43">
        <f>IF('asset_&amp;_open_positions'!$C391="","",'asset_&amp;_open_positions'!$H391)</f>
        <v>0.223961356159531</v>
      </c>
      <c r="P391" s="84" t="str">
        <f>IF(OR('asset_&amp;_open_positions'!$C391="",'asset_&amp;_open_positions'!$J391="SWAP",'asset_&amp;_open_positions'!$J391="FUTURE",'asset_&amp;_open_positions'!$J391="CME FUTURE"),"",'asset_&amp;_open_positions'!$M391)</f>
        <v>BAT</v>
      </c>
      <c r="Q391" s="43">
        <f>IF(OR('asset_&amp;_open_positions'!$C391="",'asset_&amp;_open_positions'!$J391="SWAP",'asset_&amp;_open_positions'!$J391="FUTURE",'asset_&amp;_open_positions'!$J391="CME FUTURE"),"",'asset_&amp;_open_positions'!$H391)</f>
        <v>0.223961356159531</v>
      </c>
    </row>
    <row r="392" spans="14:17" x14ac:dyDescent="0.25">
      <c r="N392" s="84" t="str">
        <f>IF('asset_&amp;_open_positions'!$C392="","",'asset_&amp;_open_positions'!$E392)</f>
        <v>BCH</v>
      </c>
      <c r="O392" s="43">
        <f>IF('asset_&amp;_open_positions'!$C392="","",'asset_&amp;_open_positions'!$H392)</f>
        <v>109.10849595307199</v>
      </c>
      <c r="P392" s="84" t="str">
        <f>IF(OR('asset_&amp;_open_positions'!$C392="",'asset_&amp;_open_positions'!$J392="SWAP",'asset_&amp;_open_positions'!$J392="FUTURE",'asset_&amp;_open_positions'!$J392="CME FUTURE"),"",'asset_&amp;_open_positions'!$M392)</f>
        <v>BCH</v>
      </c>
      <c r="Q392" s="43">
        <f>IF(OR('asset_&amp;_open_positions'!$C392="",'asset_&amp;_open_positions'!$J392="SWAP",'asset_&amp;_open_positions'!$J392="FUTURE",'asset_&amp;_open_positions'!$J392="CME FUTURE"),"",'asset_&amp;_open_positions'!$H392)</f>
        <v>109.10849595307199</v>
      </c>
    </row>
    <row r="393" spans="14:17" x14ac:dyDescent="0.25">
      <c r="N393" s="84" t="str">
        <f>IF('asset_&amp;_open_positions'!$C393="","",'asset_&amp;_open_positions'!$E393)</f>
        <v>BTC</v>
      </c>
      <c r="O393" s="43">
        <f>IF('asset_&amp;_open_positions'!$C393="","",'asset_&amp;_open_positions'!$H393)</f>
        <v>17815.649854650899</v>
      </c>
      <c r="P393" s="84" t="str">
        <f>IF(OR('asset_&amp;_open_positions'!$C393="",'asset_&amp;_open_positions'!$J393="SWAP",'asset_&amp;_open_positions'!$J393="FUTURE",'asset_&amp;_open_positions'!$J393="CME FUTURE"),"",'asset_&amp;_open_positions'!$M393)</f>
        <v>BTC</v>
      </c>
      <c r="Q393" s="43">
        <f>IF(OR('asset_&amp;_open_positions'!$C393="",'asset_&amp;_open_positions'!$J393="SWAP",'asset_&amp;_open_positions'!$J393="FUTURE",'asset_&amp;_open_positions'!$J393="CME FUTURE"),"",'asset_&amp;_open_positions'!$H393)</f>
        <v>17815.649854650899</v>
      </c>
    </row>
    <row r="394" spans="14:17" x14ac:dyDescent="0.25">
      <c r="N394" s="84" t="str">
        <f>IF('asset_&amp;_open_positions'!$C394="","",'asset_&amp;_open_positions'!$E394)</f>
        <v>COMP</v>
      </c>
      <c r="O394" s="43">
        <f>IF('asset_&amp;_open_positions'!$C394="","",'asset_&amp;_open_positions'!$H394)</f>
        <v>39.353239129333097</v>
      </c>
      <c r="P394" s="84" t="str">
        <f>IF(OR('asset_&amp;_open_positions'!$C394="",'asset_&amp;_open_positions'!$J394="SWAP",'asset_&amp;_open_positions'!$J394="FUTURE",'asset_&amp;_open_positions'!$J394="CME FUTURE"),"",'asset_&amp;_open_positions'!$M394)</f>
        <v>COMP</v>
      </c>
      <c r="Q394" s="43">
        <f>IF(OR('asset_&amp;_open_positions'!$C394="",'asset_&amp;_open_positions'!$J394="SWAP",'asset_&amp;_open_positions'!$J394="FUTURE",'asset_&amp;_open_positions'!$J394="CME FUTURE"),"",'asset_&amp;_open_positions'!$H394)</f>
        <v>39.353239129333097</v>
      </c>
    </row>
    <row r="395" spans="14:17" x14ac:dyDescent="0.25">
      <c r="N395" s="84" t="str">
        <f>IF('asset_&amp;_open_positions'!$C395="","",'asset_&amp;_open_positions'!$E395)</f>
        <v>DASH</v>
      </c>
      <c r="O395" s="43">
        <f>IF('asset_&amp;_open_positions'!$C395="","",'asset_&amp;_open_positions'!$H395)</f>
        <v>48.843587166773403</v>
      </c>
      <c r="P395" s="84" t="str">
        <f>IF(OR('asset_&amp;_open_positions'!$C395="",'asset_&amp;_open_positions'!$J395="SWAP",'asset_&amp;_open_positions'!$J395="FUTURE",'asset_&amp;_open_positions'!$J395="CME FUTURE"),"",'asset_&amp;_open_positions'!$M395)</f>
        <v>DASH</v>
      </c>
      <c r="Q395" s="43">
        <f>IF(OR('asset_&amp;_open_positions'!$C395="",'asset_&amp;_open_positions'!$J395="SWAP",'asset_&amp;_open_positions'!$J395="FUTURE",'asset_&amp;_open_positions'!$J395="CME FUTURE"),"",'asset_&amp;_open_positions'!$H395)</f>
        <v>48.843587166773403</v>
      </c>
    </row>
    <row r="396" spans="14:17" x14ac:dyDescent="0.25">
      <c r="N396" s="84" t="str">
        <f>IF('asset_&amp;_open_positions'!$C396="","",'asset_&amp;_open_positions'!$E396)</f>
        <v>DOGE</v>
      </c>
      <c r="O396" s="43">
        <f>IF('asset_&amp;_open_positions'!$C396="","",'asset_&amp;_open_positions'!$H396)</f>
        <v>8.8514392712015305E-2</v>
      </c>
      <c r="P396" s="84" t="str">
        <f>IF(OR('asset_&amp;_open_positions'!$C396="",'asset_&amp;_open_positions'!$J396="SWAP",'asset_&amp;_open_positions'!$J396="FUTURE",'asset_&amp;_open_positions'!$J396="CME FUTURE"),"",'asset_&amp;_open_positions'!$M396)</f>
        <v>DOGE</v>
      </c>
      <c r="Q396" s="43">
        <f>IF(OR('asset_&amp;_open_positions'!$C396="",'asset_&amp;_open_positions'!$J396="SWAP",'asset_&amp;_open_positions'!$J396="FUTURE",'asset_&amp;_open_positions'!$J396="CME FUTURE"),"",'asset_&amp;_open_positions'!$H396)</f>
        <v>8.8514392712015305E-2</v>
      </c>
    </row>
    <row r="397" spans="14:17" x14ac:dyDescent="0.25">
      <c r="N397" s="84" t="str">
        <f>IF('asset_&amp;_open_positions'!$C397="","",'asset_&amp;_open_positions'!$E397)</f>
        <v>DOT</v>
      </c>
      <c r="O397" s="43">
        <f>IF('asset_&amp;_open_positions'!$C397="","",'asset_&amp;_open_positions'!$H397)</f>
        <v>5.21520975096543</v>
      </c>
      <c r="P397" s="84" t="str">
        <f>IF(OR('asset_&amp;_open_positions'!$C397="",'asset_&amp;_open_positions'!$J397="SWAP",'asset_&amp;_open_positions'!$J397="FUTURE",'asset_&amp;_open_positions'!$J397="CME FUTURE"),"",'asset_&amp;_open_positions'!$M397)</f>
        <v>DOT</v>
      </c>
      <c r="Q397" s="43">
        <f>IF(OR('asset_&amp;_open_positions'!$C397="",'asset_&amp;_open_positions'!$J397="SWAP",'asset_&amp;_open_positions'!$J397="FUTURE",'asset_&amp;_open_positions'!$J397="CME FUTURE"),"",'asset_&amp;_open_positions'!$H397)</f>
        <v>5.21520975096543</v>
      </c>
    </row>
    <row r="398" spans="14:17" x14ac:dyDescent="0.25">
      <c r="N398" s="84" t="str">
        <f>IF('asset_&amp;_open_positions'!$C398="","",'asset_&amp;_open_positions'!$E398)</f>
        <v>ENJ</v>
      </c>
      <c r="O398" s="43">
        <f>IF('asset_&amp;_open_positions'!$C398="","",'asset_&amp;_open_positions'!$H398)</f>
        <v>0.30026402054434098</v>
      </c>
      <c r="P398" s="84" t="str">
        <f>IF(OR('asset_&amp;_open_positions'!$C398="",'asset_&amp;_open_positions'!$J398="SWAP",'asset_&amp;_open_positions'!$J398="FUTURE",'asset_&amp;_open_positions'!$J398="CME FUTURE"),"",'asset_&amp;_open_positions'!$M398)</f>
        <v>ENJ</v>
      </c>
      <c r="Q398" s="43">
        <f>IF(OR('asset_&amp;_open_positions'!$C398="",'asset_&amp;_open_positions'!$J398="SWAP",'asset_&amp;_open_positions'!$J398="FUTURE",'asset_&amp;_open_positions'!$J398="CME FUTURE"),"",'asset_&amp;_open_positions'!$H398)</f>
        <v>0.30026402054434098</v>
      </c>
    </row>
    <row r="399" spans="14:17" x14ac:dyDescent="0.25">
      <c r="N399" s="84" t="str">
        <f>IF('asset_&amp;_open_positions'!$C399="","",'asset_&amp;_open_positions'!$E399)</f>
        <v>EOS</v>
      </c>
      <c r="O399" s="43">
        <f>IF('asset_&amp;_open_positions'!$C399="","",'asset_&amp;_open_positions'!$H399)</f>
        <v>0.97802133669101299</v>
      </c>
      <c r="P399" s="84" t="str">
        <f>IF(OR('asset_&amp;_open_positions'!$C399="",'asset_&amp;_open_positions'!$J399="SWAP",'asset_&amp;_open_positions'!$J399="FUTURE",'asset_&amp;_open_positions'!$J399="CME FUTURE"),"",'asset_&amp;_open_positions'!$M399)</f>
        <v>EOS</v>
      </c>
      <c r="Q399" s="43">
        <f>IF(OR('asset_&amp;_open_positions'!$C399="",'asset_&amp;_open_positions'!$J399="SWAP",'asset_&amp;_open_positions'!$J399="FUTURE",'asset_&amp;_open_positions'!$J399="CME FUTURE"),"",'asset_&amp;_open_positions'!$H399)</f>
        <v>0.97802133669101299</v>
      </c>
    </row>
    <row r="400" spans="14:17" x14ac:dyDescent="0.25">
      <c r="N400" s="84" t="str">
        <f>IF('asset_&amp;_open_positions'!$C400="","",'asset_&amp;_open_positions'!$E400)</f>
        <v>ETC</v>
      </c>
      <c r="O400" s="43">
        <f>IF('asset_&amp;_open_positions'!$C400="","",'asset_&amp;_open_positions'!$H400)</f>
        <v>18.787687228417099</v>
      </c>
      <c r="P400" s="84" t="str">
        <f>IF(OR('asset_&amp;_open_positions'!$C400="",'asset_&amp;_open_positions'!$J400="SWAP",'asset_&amp;_open_positions'!$J400="FUTURE",'asset_&amp;_open_positions'!$J400="CME FUTURE"),"",'asset_&amp;_open_positions'!$M400)</f>
        <v>ETC</v>
      </c>
      <c r="Q400" s="43">
        <f>IF(OR('asset_&amp;_open_positions'!$C400="",'asset_&amp;_open_positions'!$J400="SWAP",'asset_&amp;_open_positions'!$J400="FUTURE",'asset_&amp;_open_positions'!$J400="CME FUTURE"),"",'asset_&amp;_open_positions'!$H400)</f>
        <v>18.787687228417099</v>
      </c>
    </row>
    <row r="401" spans="14:17" x14ac:dyDescent="0.25">
      <c r="N401" s="84" t="str">
        <f>IF('asset_&amp;_open_positions'!$C401="","",'asset_&amp;_open_positions'!$E401)</f>
        <v>ETH</v>
      </c>
      <c r="O401" s="43">
        <f>IF('asset_&amp;_open_positions'!$C401="","",'asset_&amp;_open_positions'!$H401)</f>
        <v>1309.32867693296</v>
      </c>
      <c r="P401" s="84" t="str">
        <f>IF(OR('asset_&amp;_open_positions'!$C401="",'asset_&amp;_open_positions'!$J401="SWAP",'asset_&amp;_open_positions'!$J401="FUTURE",'asset_&amp;_open_positions'!$J401="CME FUTURE"),"",'asset_&amp;_open_positions'!$M401)</f>
        <v>ETH</v>
      </c>
      <c r="Q401" s="43">
        <f>IF(OR('asset_&amp;_open_positions'!$C401="",'asset_&amp;_open_positions'!$J401="SWAP",'asset_&amp;_open_positions'!$J401="FUTURE",'asset_&amp;_open_positions'!$J401="CME FUTURE"),"",'asset_&amp;_open_positions'!$H401)</f>
        <v>1309.32867693296</v>
      </c>
    </row>
    <row r="402" spans="14:17" x14ac:dyDescent="0.25">
      <c r="N402" s="84" t="str">
        <f>IF('asset_&amp;_open_positions'!$C402="","",'asset_&amp;_open_positions'!$E402)</f>
        <v>ETHW</v>
      </c>
      <c r="O402" s="43">
        <f>IF('asset_&amp;_open_positions'!$C402="","",'asset_&amp;_open_positions'!$H402)</f>
        <v>3.5405121692480601</v>
      </c>
      <c r="P402" s="84" t="str">
        <f>IF(OR('asset_&amp;_open_positions'!$C402="",'asset_&amp;_open_positions'!$J402="SWAP",'asset_&amp;_open_positions'!$J402="FUTURE",'asset_&amp;_open_positions'!$J402="CME FUTURE"),"",'asset_&amp;_open_positions'!$M402)</f>
        <v>ETHW</v>
      </c>
      <c r="Q402" s="43">
        <f>IF(OR('asset_&amp;_open_positions'!$C402="",'asset_&amp;_open_positions'!$J402="SWAP",'asset_&amp;_open_positions'!$J402="FUTURE",'asset_&amp;_open_positions'!$J402="CME FUTURE"),"",'asset_&amp;_open_positions'!$H402)</f>
        <v>3.5405121692480601</v>
      </c>
    </row>
    <row r="403" spans="14:17" x14ac:dyDescent="0.25">
      <c r="N403" s="84" t="str">
        <f>IF('asset_&amp;_open_positions'!$C403="","",'asset_&amp;_open_positions'!$E403)</f>
        <v>EUROC</v>
      </c>
      <c r="O403" s="43">
        <f>IF('asset_&amp;_open_positions'!$C403="","",'asset_&amp;_open_positions'!$H403)</f>
        <v>1.0683314432701201</v>
      </c>
      <c r="P403" s="84" t="str">
        <f>IF(OR('asset_&amp;_open_positions'!$C403="",'asset_&amp;_open_positions'!$J403="SWAP",'asset_&amp;_open_positions'!$J403="FUTURE",'asset_&amp;_open_positions'!$J403="CME FUTURE"),"",'asset_&amp;_open_positions'!$M403)</f>
        <v>EUROC</v>
      </c>
      <c r="Q403" s="43">
        <f>IF(OR('asset_&amp;_open_positions'!$C403="",'asset_&amp;_open_positions'!$J403="SWAP",'asset_&amp;_open_positions'!$J403="FUTURE",'asset_&amp;_open_positions'!$J403="CME FUTURE"),"",'asset_&amp;_open_positions'!$H403)</f>
        <v>1.0683314432701201</v>
      </c>
    </row>
    <row r="404" spans="14:17" x14ac:dyDescent="0.25">
      <c r="N404" s="84" t="str">
        <f>IF('asset_&amp;_open_positions'!$C404="","",'asset_&amp;_open_positions'!$E404)</f>
        <v>FTM</v>
      </c>
      <c r="O404" s="43">
        <f>IF('asset_&amp;_open_positions'!$C404="","",'asset_&amp;_open_positions'!$H404)</f>
        <v>0.24061937177408299</v>
      </c>
      <c r="P404" s="84" t="str">
        <f>IF(OR('asset_&amp;_open_positions'!$C404="",'asset_&amp;_open_positions'!$J404="SWAP",'asset_&amp;_open_positions'!$J404="FUTURE",'asset_&amp;_open_positions'!$J404="CME FUTURE"),"",'asset_&amp;_open_positions'!$M404)</f>
        <v>FTM</v>
      </c>
      <c r="Q404" s="43">
        <f>IF(OR('asset_&amp;_open_positions'!$C404="",'asset_&amp;_open_positions'!$J404="SWAP",'asset_&amp;_open_positions'!$J404="FUTURE",'asset_&amp;_open_positions'!$J404="CME FUTURE"),"",'asset_&amp;_open_positions'!$H404)</f>
        <v>0.24061937177408299</v>
      </c>
    </row>
    <row r="405" spans="14:17" x14ac:dyDescent="0.25">
      <c r="N405" s="84" t="str">
        <f>IF('asset_&amp;_open_positions'!$C405="","",'asset_&amp;_open_positions'!$E405)</f>
        <v>FTT</v>
      </c>
      <c r="O405" s="43">
        <f>IF('asset_&amp;_open_positions'!$C405="","",'asset_&amp;_open_positions'!$H405)</f>
        <v>1.37125509905009</v>
      </c>
      <c r="P405" s="84" t="str">
        <f>IF(OR('asset_&amp;_open_positions'!$C405="",'asset_&amp;_open_positions'!$J405="SWAP",'asset_&amp;_open_positions'!$J405="FUTURE",'asset_&amp;_open_positions'!$J405="CME FUTURE"),"",'asset_&amp;_open_positions'!$M405)</f>
        <v>FTT</v>
      </c>
      <c r="Q405" s="43">
        <f>IF(OR('asset_&amp;_open_positions'!$C405="",'asset_&amp;_open_positions'!$J405="SWAP",'asset_&amp;_open_positions'!$J405="FUTURE",'asset_&amp;_open_positions'!$J405="CME FUTURE"),"",'asset_&amp;_open_positions'!$H405)</f>
        <v>1.37125509905009</v>
      </c>
    </row>
    <row r="406" spans="14:17" x14ac:dyDescent="0.25">
      <c r="N406" s="84" t="str">
        <f>IF('asset_&amp;_open_positions'!$C406="","",'asset_&amp;_open_positions'!$E406)</f>
        <v>GRT</v>
      </c>
      <c r="O406" s="43">
        <f>IF('asset_&amp;_open_positions'!$C406="","",'asset_&amp;_open_positions'!$H406)</f>
        <v>6.5711922900504302E-2</v>
      </c>
      <c r="P406" s="84" t="str">
        <f>IF(OR('asset_&amp;_open_positions'!$C406="",'asset_&amp;_open_positions'!$J406="SWAP",'asset_&amp;_open_positions'!$J406="FUTURE",'asset_&amp;_open_positions'!$J406="CME FUTURE"),"",'asset_&amp;_open_positions'!$M406)</f>
        <v>GRT</v>
      </c>
      <c r="Q406" s="43">
        <f>IF(OR('asset_&amp;_open_positions'!$C406="",'asset_&amp;_open_positions'!$J406="SWAP",'asset_&amp;_open_positions'!$J406="FUTURE",'asset_&amp;_open_positions'!$J406="CME FUTURE"),"",'asset_&amp;_open_positions'!$H406)</f>
        <v>6.5711922900504302E-2</v>
      </c>
    </row>
    <row r="407" spans="14:17" x14ac:dyDescent="0.25">
      <c r="N407" s="84" t="str">
        <f>IF('asset_&amp;_open_positions'!$C407="","",'asset_&amp;_open_positions'!$E407)</f>
        <v>HBAR</v>
      </c>
      <c r="O407" s="43">
        <f>IF('asset_&amp;_open_positions'!$C407="","",'asset_&amp;_open_positions'!$H407)</f>
        <v>4.6678870005249097E-2</v>
      </c>
      <c r="P407" s="84" t="str">
        <f>IF(OR('asset_&amp;_open_positions'!$C407="",'asset_&amp;_open_positions'!$J407="SWAP",'asset_&amp;_open_positions'!$J407="FUTURE",'asset_&amp;_open_positions'!$J407="CME FUTURE"),"",'asset_&amp;_open_positions'!$M407)</f>
        <v>HBAR</v>
      </c>
      <c r="Q407" s="43">
        <f>IF(OR('asset_&amp;_open_positions'!$C407="",'asset_&amp;_open_positions'!$J407="SWAP",'asset_&amp;_open_positions'!$J407="FUTURE",'asset_&amp;_open_positions'!$J407="CME FUTURE"),"",'asset_&amp;_open_positions'!$H407)</f>
        <v>4.6678870005249097E-2</v>
      </c>
    </row>
    <row r="408" spans="14:17" x14ac:dyDescent="0.25">
      <c r="N408" s="84" t="str">
        <f>IF('asset_&amp;_open_positions'!$C408="","",'asset_&amp;_open_positions'!$E408)</f>
        <v>KSM</v>
      </c>
      <c r="O408" s="43">
        <f>IF('asset_&amp;_open_positions'!$C408="","",'asset_&amp;_open_positions'!$H408)</f>
        <v>27.547323742667501</v>
      </c>
      <c r="P408" s="84" t="str">
        <f>IF(OR('asset_&amp;_open_positions'!$C408="",'asset_&amp;_open_positions'!$J408="SWAP",'asset_&amp;_open_positions'!$J408="FUTURE",'asset_&amp;_open_positions'!$J408="CME FUTURE"),"",'asset_&amp;_open_positions'!$M408)</f>
        <v>KSM</v>
      </c>
      <c r="Q408" s="43">
        <f>IF(OR('asset_&amp;_open_positions'!$C408="",'asset_&amp;_open_positions'!$J408="SWAP",'asset_&amp;_open_positions'!$J408="FUTURE",'asset_&amp;_open_positions'!$J408="CME FUTURE"),"",'asset_&amp;_open_positions'!$H408)</f>
        <v>27.547323742667501</v>
      </c>
    </row>
    <row r="409" spans="14:17" x14ac:dyDescent="0.25">
      <c r="N409" s="84" t="str">
        <f>IF('asset_&amp;_open_positions'!$C409="","",'asset_&amp;_open_positions'!$E409)</f>
        <v>LINK</v>
      </c>
      <c r="O409" s="43">
        <f>IF('asset_&amp;_open_positions'!$C409="","",'asset_&amp;_open_positions'!$H409)</f>
        <v>6.72882805759214</v>
      </c>
      <c r="P409" s="84" t="str">
        <f>IF(OR('asset_&amp;_open_positions'!$C409="",'asset_&amp;_open_positions'!$J409="SWAP",'asset_&amp;_open_positions'!$J409="FUTURE",'asset_&amp;_open_positions'!$J409="CME FUTURE"),"",'asset_&amp;_open_positions'!$M409)</f>
        <v>LINK</v>
      </c>
      <c r="Q409" s="43">
        <f>IF(OR('asset_&amp;_open_positions'!$C409="",'asset_&amp;_open_positions'!$J409="SWAP",'asset_&amp;_open_positions'!$J409="FUTURE",'asset_&amp;_open_positions'!$J409="CME FUTURE"),"",'asset_&amp;_open_positions'!$H409)</f>
        <v>6.72882805759214</v>
      </c>
    </row>
    <row r="410" spans="14:17" x14ac:dyDescent="0.25">
      <c r="N410" s="84" t="str">
        <f>IF('asset_&amp;_open_positions'!$C410="","",'asset_&amp;_open_positions'!$E410)</f>
        <v>LTC</v>
      </c>
      <c r="O410" s="43">
        <f>IF('asset_&amp;_open_positions'!$C410="","",'asset_&amp;_open_positions'!$H410)</f>
        <v>75.475863646134997</v>
      </c>
      <c r="P410" s="84" t="str">
        <f>IF(OR('asset_&amp;_open_positions'!$C410="",'asset_&amp;_open_positions'!$J410="SWAP",'asset_&amp;_open_positions'!$J410="FUTURE",'asset_&amp;_open_positions'!$J410="CME FUTURE"),"",'asset_&amp;_open_positions'!$M410)</f>
        <v>LTC</v>
      </c>
      <c r="Q410" s="43">
        <f>IF(OR('asset_&amp;_open_positions'!$C410="",'asset_&amp;_open_positions'!$J410="SWAP",'asset_&amp;_open_positions'!$J410="FUTURE",'asset_&amp;_open_positions'!$J410="CME FUTURE"),"",'asset_&amp;_open_positions'!$H410)</f>
        <v>75.475863646134997</v>
      </c>
    </row>
    <row r="411" spans="14:17" x14ac:dyDescent="0.25">
      <c r="N411" s="84" t="str">
        <f>IF('asset_&amp;_open_positions'!$C411="","",'asset_&amp;_open_positions'!$E411)</f>
        <v>MANA</v>
      </c>
      <c r="O411" s="43">
        <f>IF('asset_&amp;_open_positions'!$C411="","",'asset_&amp;_open_positions'!$H411)</f>
        <v>0.38186039560085799</v>
      </c>
      <c r="P411" s="84" t="str">
        <f>IF(OR('asset_&amp;_open_positions'!$C411="",'asset_&amp;_open_positions'!$J411="SWAP",'asset_&amp;_open_positions'!$J411="FUTURE",'asset_&amp;_open_positions'!$J411="CME FUTURE"),"",'asset_&amp;_open_positions'!$M411)</f>
        <v>MANA</v>
      </c>
      <c r="Q411" s="43">
        <f>IF(OR('asset_&amp;_open_positions'!$C411="",'asset_&amp;_open_positions'!$J411="SWAP",'asset_&amp;_open_positions'!$J411="FUTURE",'asset_&amp;_open_positions'!$J411="CME FUTURE"),"",'asset_&amp;_open_positions'!$H411)</f>
        <v>0.38186039560085799</v>
      </c>
    </row>
    <row r="412" spans="14:17" x14ac:dyDescent="0.25">
      <c r="N412" s="84" t="str">
        <f>IF('asset_&amp;_open_positions'!$C412="","",'asset_&amp;_open_positions'!$E412)</f>
        <v>MATIC</v>
      </c>
      <c r="O412" s="43">
        <f>IF('asset_&amp;_open_positions'!$C412="","",'asset_&amp;_open_positions'!$H412)</f>
        <v>0.90334735375244002</v>
      </c>
      <c r="P412" s="84" t="str">
        <f>IF(OR('asset_&amp;_open_positions'!$C412="",'asset_&amp;_open_positions'!$J412="SWAP",'asset_&amp;_open_positions'!$J412="FUTURE",'asset_&amp;_open_positions'!$J412="CME FUTURE"),"",'asset_&amp;_open_positions'!$M412)</f>
        <v>MATIC</v>
      </c>
      <c r="Q412" s="43">
        <f>IF(OR('asset_&amp;_open_positions'!$C412="",'asset_&amp;_open_positions'!$J412="SWAP",'asset_&amp;_open_positions'!$J412="FUTURE",'asset_&amp;_open_positions'!$J412="CME FUTURE"),"",'asset_&amp;_open_positions'!$H412)</f>
        <v>0.90334735375244002</v>
      </c>
    </row>
    <row r="413" spans="14:17" x14ac:dyDescent="0.25">
      <c r="N413" s="84" t="str">
        <f>IF('asset_&amp;_open_positions'!$C413="","",'asset_&amp;_open_positions'!$E413)</f>
        <v>MKR</v>
      </c>
      <c r="O413" s="43">
        <f>IF('asset_&amp;_open_positions'!$C413="","",'asset_&amp;_open_positions'!$H413)</f>
        <v>606.15766908594901</v>
      </c>
      <c r="P413" s="84" t="str">
        <f>IF(OR('asset_&amp;_open_positions'!$C413="",'asset_&amp;_open_positions'!$J413="SWAP",'asset_&amp;_open_positions'!$J413="FUTURE",'asset_&amp;_open_positions'!$J413="CME FUTURE"),"",'asset_&amp;_open_positions'!$M413)</f>
        <v>MKR</v>
      </c>
      <c r="Q413" s="43">
        <f>IF(OR('asset_&amp;_open_positions'!$C413="",'asset_&amp;_open_positions'!$J413="SWAP",'asset_&amp;_open_positions'!$J413="FUTURE",'asset_&amp;_open_positions'!$J413="CME FUTURE"),"",'asset_&amp;_open_positions'!$H413)</f>
        <v>606.15766908594901</v>
      </c>
    </row>
    <row r="414" spans="14:17" x14ac:dyDescent="0.25">
      <c r="N414" s="84" t="str">
        <f>IF('asset_&amp;_open_positions'!$C414="","",'asset_&amp;_open_positions'!$E414)</f>
        <v>OMG</v>
      </c>
      <c r="O414" s="43">
        <f>IF('asset_&amp;_open_positions'!$C414="","",'asset_&amp;_open_positions'!$H414)</f>
        <v>1.1778225277242</v>
      </c>
      <c r="P414" s="84" t="str">
        <f>IF(OR('asset_&amp;_open_positions'!$C414="",'asset_&amp;_open_positions'!$J414="SWAP",'asset_&amp;_open_positions'!$J414="FUTURE",'asset_&amp;_open_positions'!$J414="CME FUTURE"),"",'asset_&amp;_open_positions'!$M414)</f>
        <v>OMG</v>
      </c>
      <c r="Q414" s="43">
        <f>IF(OR('asset_&amp;_open_positions'!$C414="",'asset_&amp;_open_positions'!$J414="SWAP",'asset_&amp;_open_positions'!$J414="FUTURE",'asset_&amp;_open_positions'!$J414="CME FUTURE"),"",'asset_&amp;_open_positions'!$H414)</f>
        <v>1.1778225277242</v>
      </c>
    </row>
    <row r="415" spans="14:17" x14ac:dyDescent="0.25">
      <c r="N415" s="84" t="str">
        <f>IF('asset_&amp;_open_positions'!$C415="","",'asset_&amp;_open_positions'!$E415)</f>
        <v>OXT</v>
      </c>
      <c r="O415" s="43">
        <f>IF('asset_&amp;_open_positions'!$C415="","",'asset_&amp;_open_positions'!$H415)</f>
        <v>8.1177871372945895E-2</v>
      </c>
      <c r="P415" s="84" t="str">
        <f>IF(OR('asset_&amp;_open_positions'!$C415="",'asset_&amp;_open_positions'!$J415="SWAP",'asset_&amp;_open_positions'!$J415="FUTURE",'asset_&amp;_open_positions'!$J415="CME FUTURE"),"",'asset_&amp;_open_positions'!$M415)</f>
        <v>OXT</v>
      </c>
      <c r="Q415" s="43">
        <f>IF(OR('asset_&amp;_open_positions'!$C415="",'asset_&amp;_open_positions'!$J415="SWAP",'asset_&amp;_open_positions'!$J415="FUTURE",'asset_&amp;_open_positions'!$J415="CME FUTURE"),"",'asset_&amp;_open_positions'!$H415)</f>
        <v>8.1177871372945895E-2</v>
      </c>
    </row>
    <row r="416" spans="14:17" x14ac:dyDescent="0.25">
      <c r="N416" s="84" t="str">
        <f>IF('asset_&amp;_open_positions'!$C416="","",'asset_&amp;_open_positions'!$E416)</f>
        <v>SHIB</v>
      </c>
      <c r="O416" s="43">
        <f>IF('asset_&amp;_open_positions'!$C416="","",'asset_&amp;_open_positions'!$H416)</f>
        <v>8.9727561705582505E-6</v>
      </c>
      <c r="P416" s="84" t="str">
        <f>IF(OR('asset_&amp;_open_positions'!$C416="",'asset_&amp;_open_positions'!$J416="SWAP",'asset_&amp;_open_positions'!$J416="FUTURE",'asset_&amp;_open_positions'!$J416="CME FUTURE"),"",'asset_&amp;_open_positions'!$M416)</f>
        <v>SHIB</v>
      </c>
      <c r="Q416" s="43">
        <f>IF(OR('asset_&amp;_open_positions'!$C416="",'asset_&amp;_open_positions'!$J416="SWAP",'asset_&amp;_open_positions'!$J416="FUTURE",'asset_&amp;_open_positions'!$J416="CME FUTURE"),"",'asset_&amp;_open_positions'!$H416)</f>
        <v>8.9727561705582505E-6</v>
      </c>
    </row>
    <row r="417" spans="14:17" x14ac:dyDescent="0.25">
      <c r="N417" s="84" t="str">
        <f>IF('asset_&amp;_open_positions'!$C417="","",'asset_&amp;_open_positions'!$E417)</f>
        <v>SOL</v>
      </c>
      <c r="O417" s="43">
        <f>IF('asset_&amp;_open_positions'!$C417="","",'asset_&amp;_open_positions'!$H417)</f>
        <v>14.1405261987448</v>
      </c>
      <c r="P417" s="84" t="str">
        <f>IF(OR('asset_&amp;_open_positions'!$C417="",'asset_&amp;_open_positions'!$J417="SWAP",'asset_&amp;_open_positions'!$J417="FUTURE",'asset_&amp;_open_positions'!$J417="CME FUTURE"),"",'asset_&amp;_open_positions'!$M417)</f>
        <v>SOL</v>
      </c>
      <c r="Q417" s="43">
        <f>IF(OR('asset_&amp;_open_positions'!$C417="",'asset_&amp;_open_positions'!$J417="SWAP",'asset_&amp;_open_positions'!$J417="FUTURE",'asset_&amp;_open_positions'!$J417="CME FUTURE"),"",'asset_&amp;_open_positions'!$H417)</f>
        <v>14.1405261987448</v>
      </c>
    </row>
    <row r="418" spans="14:17" x14ac:dyDescent="0.25">
      <c r="N418" s="84" t="str">
        <f>IF('asset_&amp;_open_positions'!$C418="","",'asset_&amp;_open_positions'!$E418)</f>
        <v>SUSHI</v>
      </c>
      <c r="O418" s="43">
        <f>IF('asset_&amp;_open_positions'!$C418="","",'asset_&amp;_open_positions'!$H418)</f>
        <v>1.1196546929645199</v>
      </c>
      <c r="P418" s="84" t="str">
        <f>IF(OR('asset_&amp;_open_positions'!$C418="",'asset_&amp;_open_positions'!$J418="SWAP",'asset_&amp;_open_positions'!$J418="FUTURE",'asset_&amp;_open_positions'!$J418="CME FUTURE"),"",'asset_&amp;_open_positions'!$M418)</f>
        <v>SUSHI</v>
      </c>
      <c r="Q418" s="43">
        <f>IF(OR('asset_&amp;_open_positions'!$C418="",'asset_&amp;_open_positions'!$J418="SWAP",'asset_&amp;_open_positions'!$J418="FUTURE",'asset_&amp;_open_positions'!$J418="CME FUTURE"),"",'asset_&amp;_open_positions'!$H418)</f>
        <v>1.1196546929645199</v>
      </c>
    </row>
    <row r="419" spans="14:17" x14ac:dyDescent="0.25">
      <c r="N419" s="84" t="str">
        <f>IF('asset_&amp;_open_positions'!$C419="","",'asset_&amp;_open_positions'!$E419)</f>
        <v>UNI</v>
      </c>
      <c r="O419" s="43">
        <f>IF('asset_&amp;_open_positions'!$C419="","",'asset_&amp;_open_positions'!$H419)</f>
        <v>5.9196374391119297</v>
      </c>
      <c r="P419" s="84" t="str">
        <f>IF(OR('asset_&amp;_open_positions'!$C419="",'asset_&amp;_open_positions'!$J419="SWAP",'asset_&amp;_open_positions'!$J419="FUTURE",'asset_&amp;_open_positions'!$J419="CME FUTURE"),"",'asset_&amp;_open_positions'!$M419)</f>
        <v>UNI</v>
      </c>
      <c r="Q419" s="43">
        <f>IF(OR('asset_&amp;_open_positions'!$C419="",'asset_&amp;_open_positions'!$J419="SWAP",'asset_&amp;_open_positions'!$J419="FUTURE",'asset_&amp;_open_positions'!$J419="CME FUTURE"),"",'asset_&amp;_open_positions'!$H419)</f>
        <v>5.9196374391119297</v>
      </c>
    </row>
    <row r="420" spans="14:17" x14ac:dyDescent="0.25">
      <c r="N420" s="84" t="str">
        <f>IF('asset_&amp;_open_positions'!$C420="","",'asset_&amp;_open_positions'!$E420)</f>
        <v>USDC</v>
      </c>
      <c r="O420" s="43">
        <f>IF('asset_&amp;_open_positions'!$C420="","",'asset_&amp;_open_positions'!$H420)</f>
        <v>0.99997952530443501</v>
      </c>
      <c r="P420" s="84" t="str">
        <f>IF(OR('asset_&amp;_open_positions'!$C420="",'asset_&amp;_open_positions'!$J420="SWAP",'asset_&amp;_open_positions'!$J420="FUTURE",'asset_&amp;_open_positions'!$J420="CME FUTURE"),"",'asset_&amp;_open_positions'!$M420)</f>
        <v>USDC</v>
      </c>
      <c r="Q420" s="43">
        <f>IF(OR('asset_&amp;_open_positions'!$C420="",'asset_&amp;_open_positions'!$J420="SWAP",'asset_&amp;_open_positions'!$J420="FUTURE",'asset_&amp;_open_positions'!$J420="CME FUTURE"),"",'asset_&amp;_open_positions'!$H420)</f>
        <v>0.99997952530443501</v>
      </c>
    </row>
    <row r="421" spans="14:17" x14ac:dyDescent="0.25">
      <c r="N421" s="84" t="str">
        <f>IF('asset_&amp;_open_positions'!$C421="","",'asset_&amp;_open_positions'!$E421)</f>
        <v>USDT</v>
      </c>
      <c r="O421" s="43">
        <f>IF('asset_&amp;_open_positions'!$C421="","",'asset_&amp;_open_positions'!$H421)</f>
        <v>1.0001054103245299</v>
      </c>
      <c r="P421" s="84" t="str">
        <f>IF(OR('asset_&amp;_open_positions'!$C421="",'asset_&amp;_open_positions'!$J421="SWAP",'asset_&amp;_open_positions'!$J421="FUTURE",'asset_&amp;_open_positions'!$J421="CME FUTURE"),"",'asset_&amp;_open_positions'!$M421)</f>
        <v>USDT</v>
      </c>
      <c r="Q421" s="43">
        <f>IF(OR('asset_&amp;_open_positions'!$C421="",'asset_&amp;_open_positions'!$J421="SWAP",'asset_&amp;_open_positions'!$J421="FUTURE",'asset_&amp;_open_positions'!$J421="CME FUTURE"),"",'asset_&amp;_open_positions'!$H421)</f>
        <v>1.0001054103245299</v>
      </c>
    </row>
    <row r="422" spans="14:17" x14ac:dyDescent="0.25">
      <c r="N422" s="84" t="str">
        <f>IF('asset_&amp;_open_positions'!$C422="","",'asset_&amp;_open_positions'!$E422)</f>
        <v>XLM</v>
      </c>
      <c r="O422" s="43">
        <f>IF('asset_&amp;_open_positions'!$C422="","",'asset_&amp;_open_positions'!$H422)</f>
        <v>8.3013789241186201E-2</v>
      </c>
      <c r="P422" s="84" t="str">
        <f>IF(OR('asset_&amp;_open_positions'!$C422="",'asset_&amp;_open_positions'!$J422="SWAP",'asset_&amp;_open_positions'!$J422="FUTURE",'asset_&amp;_open_positions'!$J422="CME FUTURE"),"",'asset_&amp;_open_positions'!$M422)</f>
        <v>XLM</v>
      </c>
      <c r="Q422" s="43">
        <f>IF(OR('asset_&amp;_open_positions'!$C422="",'asset_&amp;_open_positions'!$J422="SWAP",'asset_&amp;_open_positions'!$J422="FUTURE",'asset_&amp;_open_positions'!$J422="CME FUTURE"),"",'asset_&amp;_open_positions'!$H422)</f>
        <v>8.3013789241186201E-2</v>
      </c>
    </row>
    <row r="423" spans="14:17" x14ac:dyDescent="0.25">
      <c r="N423" s="84" t="str">
        <f>IF('asset_&amp;_open_positions'!$C423="","",'asset_&amp;_open_positions'!$E423)</f>
        <v>XRP</v>
      </c>
      <c r="O423" s="43">
        <f>IF('asset_&amp;_open_positions'!$C423="","",'asset_&amp;_open_positions'!$H423)</f>
        <v>0.38641371777866901</v>
      </c>
      <c r="P423" s="84" t="str">
        <f>IF(OR('asset_&amp;_open_positions'!$C423="",'asset_&amp;_open_positions'!$J423="SWAP",'asset_&amp;_open_positions'!$J423="FUTURE",'asset_&amp;_open_positions'!$J423="CME FUTURE"),"",'asset_&amp;_open_positions'!$M423)</f>
        <v>XRP</v>
      </c>
      <c r="Q423" s="43">
        <f>IF(OR('asset_&amp;_open_positions'!$C423="",'asset_&amp;_open_positions'!$J423="SWAP",'asset_&amp;_open_positions'!$J423="FUTURE",'asset_&amp;_open_positions'!$J423="CME FUTURE"),"",'asset_&amp;_open_positions'!$H423)</f>
        <v>0.38641371777866901</v>
      </c>
    </row>
    <row r="424" spans="14:17" x14ac:dyDescent="0.25">
      <c r="N424" s="84" t="str">
        <f>IF('asset_&amp;_open_positions'!$C424="","",'asset_&amp;_open_positions'!$E424)</f>
        <v>XTZ</v>
      </c>
      <c r="O424" s="43">
        <f>IF('asset_&amp;_open_positions'!$C424="","",'asset_&amp;_open_positions'!$H424)</f>
        <v>0.95145134341780602</v>
      </c>
      <c r="P424" s="84" t="str">
        <f>IF(OR('asset_&amp;_open_positions'!$C424="",'asset_&amp;_open_positions'!$J424="SWAP",'asset_&amp;_open_positions'!$J424="FUTURE",'asset_&amp;_open_positions'!$J424="CME FUTURE"),"",'asset_&amp;_open_positions'!$M424)</f>
        <v>XTZ</v>
      </c>
      <c r="Q424" s="43">
        <f>IF(OR('asset_&amp;_open_positions'!$C424="",'asset_&amp;_open_positions'!$J424="SWAP",'asset_&amp;_open_positions'!$J424="FUTURE",'asset_&amp;_open_positions'!$J424="CME FUTURE"),"",'asset_&amp;_open_positions'!$H424)</f>
        <v>0.95145134341780602</v>
      </c>
    </row>
    <row r="425" spans="14:17" x14ac:dyDescent="0.25">
      <c r="N425" s="84" t="str">
        <f>IF('asset_&amp;_open_positions'!$C425="","",'asset_&amp;_open_positions'!$E425)</f>
        <v>YFI</v>
      </c>
      <c r="O425" s="43">
        <f>IF('asset_&amp;_open_positions'!$C425="","",'asset_&amp;_open_positions'!$H425)</f>
        <v>6452.7811531384496</v>
      </c>
      <c r="P425" s="84" t="str">
        <f>IF(OR('asset_&amp;_open_positions'!$C425="",'asset_&amp;_open_positions'!$J425="SWAP",'asset_&amp;_open_positions'!$J425="FUTURE",'asset_&amp;_open_positions'!$J425="CME FUTURE"),"",'asset_&amp;_open_positions'!$M425)</f>
        <v>YFI</v>
      </c>
      <c r="Q425" s="43">
        <f>IF(OR('asset_&amp;_open_positions'!$C425="",'asset_&amp;_open_positions'!$J425="SWAP",'asset_&amp;_open_positions'!$J425="FUTURE",'asset_&amp;_open_positions'!$J425="CME FUTURE"),"",'asset_&amp;_open_positions'!$H425)</f>
        <v>6452.7811531384496</v>
      </c>
    </row>
    <row r="426" spans="14:17" x14ac:dyDescent="0.25">
      <c r="N426" s="84" t="str">
        <f>IF('asset_&amp;_open_positions'!$C426="","",'asset_&amp;_open_positions'!$E426)</f>
        <v>AAVE</v>
      </c>
      <c r="O426" s="43">
        <f>IF('asset_&amp;_open_positions'!$C426="","",'asset_&amp;_open_positions'!$H426)</f>
        <v>62.562890626420497</v>
      </c>
      <c r="P426" s="84" t="str">
        <f>IF(OR('asset_&amp;_open_positions'!$C426="",'asset_&amp;_open_positions'!$J426="SWAP",'asset_&amp;_open_positions'!$J426="FUTURE",'asset_&amp;_open_positions'!$J426="CME FUTURE"),"",'asset_&amp;_open_positions'!$M426)</f>
        <v>AAVE</v>
      </c>
      <c r="Q426" s="43">
        <f>IF(OR('asset_&amp;_open_positions'!$C426="",'asset_&amp;_open_positions'!$J426="SWAP",'asset_&amp;_open_positions'!$J426="FUTURE",'asset_&amp;_open_positions'!$J426="CME FUTURE"),"",'asset_&amp;_open_positions'!$H426)</f>
        <v>62.562890626420497</v>
      </c>
    </row>
    <row r="427" spans="14:17" x14ac:dyDescent="0.25">
      <c r="N427" s="84" t="str">
        <f>IF('asset_&amp;_open_positions'!$C427="","",'asset_&amp;_open_positions'!$E427)</f>
        <v>ADA</v>
      </c>
      <c r="O427" s="43">
        <f>IF('asset_&amp;_open_positions'!$C427="","",'asset_&amp;_open_positions'!$H427)</f>
        <v>0.308134251946941</v>
      </c>
      <c r="P427" s="84" t="str">
        <f>IF(OR('asset_&amp;_open_positions'!$C427="",'asset_&amp;_open_positions'!$J427="SWAP",'asset_&amp;_open_positions'!$J427="FUTURE",'asset_&amp;_open_positions'!$J427="CME FUTURE"),"",'asset_&amp;_open_positions'!$M427)</f>
        <v>ADA</v>
      </c>
      <c r="Q427" s="43">
        <f>IF(OR('asset_&amp;_open_positions'!$C427="",'asset_&amp;_open_positions'!$J427="SWAP",'asset_&amp;_open_positions'!$J427="FUTURE",'asset_&amp;_open_positions'!$J427="CME FUTURE"),"",'asset_&amp;_open_positions'!$H427)</f>
        <v>0.308134251946941</v>
      </c>
    </row>
    <row r="428" spans="14:17" x14ac:dyDescent="0.25">
      <c r="N428" s="84" t="str">
        <f>IF('asset_&amp;_open_positions'!$C428="","",'asset_&amp;_open_positions'!$E428)</f>
        <v>ALGO</v>
      </c>
      <c r="O428" s="43">
        <f>IF('asset_&amp;_open_positions'!$C428="","",'asset_&amp;_open_positions'!$H428)</f>
        <v>0.220915807052601</v>
      </c>
      <c r="P428" s="84" t="str">
        <f>IF(OR('asset_&amp;_open_positions'!$C428="",'asset_&amp;_open_positions'!$J428="SWAP",'asset_&amp;_open_positions'!$J428="FUTURE",'asset_&amp;_open_positions'!$J428="CME FUTURE"),"",'asset_&amp;_open_positions'!$M428)</f>
        <v>ALGO</v>
      </c>
      <c r="Q428" s="43">
        <f>IF(OR('asset_&amp;_open_positions'!$C428="",'asset_&amp;_open_positions'!$J428="SWAP",'asset_&amp;_open_positions'!$J428="FUTURE",'asset_&amp;_open_positions'!$J428="CME FUTURE"),"",'asset_&amp;_open_positions'!$H428)</f>
        <v>0.220915807052601</v>
      </c>
    </row>
    <row r="429" spans="14:17" x14ac:dyDescent="0.25">
      <c r="N429" s="84" t="str">
        <f>IF('asset_&amp;_open_positions'!$C429="","",'asset_&amp;_open_positions'!$E429)</f>
        <v>AVAX</v>
      </c>
      <c r="O429" s="43">
        <f>IF('asset_&amp;_open_positions'!$C429="","",'asset_&amp;_open_positions'!$H429)</f>
        <v>13.7275595789196</v>
      </c>
      <c r="P429" s="84" t="str">
        <f>IF(OR('asset_&amp;_open_positions'!$C429="",'asset_&amp;_open_positions'!$J429="SWAP",'asset_&amp;_open_positions'!$J429="FUTURE",'asset_&amp;_open_positions'!$J429="CME FUTURE"),"",'asset_&amp;_open_positions'!$M429)</f>
        <v>AVAX</v>
      </c>
      <c r="Q429" s="43">
        <f>IF(OR('asset_&amp;_open_positions'!$C429="",'asset_&amp;_open_positions'!$J429="SWAP",'asset_&amp;_open_positions'!$J429="FUTURE",'asset_&amp;_open_positions'!$J429="CME FUTURE"),"",'asset_&amp;_open_positions'!$H429)</f>
        <v>13.7275595789196</v>
      </c>
    </row>
    <row r="430" spans="14:17" x14ac:dyDescent="0.25">
      <c r="N430" s="84" t="str">
        <f>IF('asset_&amp;_open_positions'!$C430="","",'asset_&amp;_open_positions'!$E430)</f>
        <v>BAT</v>
      </c>
      <c r="O430" s="43">
        <f>IF('asset_&amp;_open_positions'!$C430="","",'asset_&amp;_open_positions'!$H430)</f>
        <v>0.223961356159531</v>
      </c>
      <c r="P430" s="84" t="str">
        <f>IF(OR('asset_&amp;_open_positions'!$C430="",'asset_&amp;_open_positions'!$J430="SWAP",'asset_&amp;_open_positions'!$J430="FUTURE",'asset_&amp;_open_positions'!$J430="CME FUTURE"),"",'asset_&amp;_open_positions'!$M430)</f>
        <v>BAT</v>
      </c>
      <c r="Q430" s="43">
        <f>IF(OR('asset_&amp;_open_positions'!$C430="",'asset_&amp;_open_positions'!$J430="SWAP",'asset_&amp;_open_positions'!$J430="FUTURE",'asset_&amp;_open_positions'!$J430="CME FUTURE"),"",'asset_&amp;_open_positions'!$H430)</f>
        <v>0.223961356159531</v>
      </c>
    </row>
    <row r="431" spans="14:17" x14ac:dyDescent="0.25">
      <c r="N431" s="84" t="str">
        <f>IF('asset_&amp;_open_positions'!$C431="","",'asset_&amp;_open_positions'!$E431)</f>
        <v>BCH</v>
      </c>
      <c r="O431" s="43">
        <f>IF('asset_&amp;_open_positions'!$C431="","",'asset_&amp;_open_positions'!$H431)</f>
        <v>109.10849595307199</v>
      </c>
      <c r="P431" s="84" t="str">
        <f>IF(OR('asset_&amp;_open_positions'!$C431="",'asset_&amp;_open_positions'!$J431="SWAP",'asset_&amp;_open_positions'!$J431="FUTURE",'asset_&amp;_open_positions'!$J431="CME FUTURE"),"",'asset_&amp;_open_positions'!$M431)</f>
        <v>BCH</v>
      </c>
      <c r="Q431" s="43">
        <f>IF(OR('asset_&amp;_open_positions'!$C431="",'asset_&amp;_open_positions'!$J431="SWAP",'asset_&amp;_open_positions'!$J431="FUTURE",'asset_&amp;_open_positions'!$J431="CME FUTURE"),"",'asset_&amp;_open_positions'!$H431)</f>
        <v>109.10849595307199</v>
      </c>
    </row>
    <row r="432" spans="14:17" x14ac:dyDescent="0.25">
      <c r="N432" s="84" t="str">
        <f>IF('asset_&amp;_open_positions'!$C432="","",'asset_&amp;_open_positions'!$E432)</f>
        <v>BUSD</v>
      </c>
      <c r="O432" s="43">
        <f>IF('asset_&amp;_open_positions'!$C432="","",'asset_&amp;_open_positions'!$H432)</f>
        <v>1.0002520042927801</v>
      </c>
      <c r="P432" s="84" t="str">
        <f>IF(OR('asset_&amp;_open_positions'!$C432="",'asset_&amp;_open_positions'!$J432="SWAP",'asset_&amp;_open_positions'!$J432="FUTURE",'asset_&amp;_open_positions'!$J432="CME FUTURE"),"",'asset_&amp;_open_positions'!$M432)</f>
        <v>BUSD</v>
      </c>
      <c r="Q432" s="43">
        <f>IF(OR('asset_&amp;_open_positions'!$C432="",'asset_&amp;_open_positions'!$J432="SWAP",'asset_&amp;_open_positions'!$J432="FUTURE",'asset_&amp;_open_positions'!$J432="CME FUTURE"),"",'asset_&amp;_open_positions'!$H432)</f>
        <v>1.0002520042927801</v>
      </c>
    </row>
    <row r="433" spans="14:17" x14ac:dyDescent="0.25">
      <c r="N433" s="84" t="str">
        <f>IF('asset_&amp;_open_positions'!$C433="","",'asset_&amp;_open_positions'!$E433)</f>
        <v>COMP</v>
      </c>
      <c r="O433" s="43">
        <f>IF('asset_&amp;_open_positions'!$C433="","",'asset_&amp;_open_positions'!$H433)</f>
        <v>39.353239129333097</v>
      </c>
      <c r="P433" s="84" t="str">
        <f>IF(OR('asset_&amp;_open_positions'!$C433="",'asset_&amp;_open_positions'!$J433="SWAP",'asset_&amp;_open_positions'!$J433="FUTURE",'asset_&amp;_open_positions'!$J433="CME FUTURE"),"",'asset_&amp;_open_positions'!$M433)</f>
        <v>COMP</v>
      </c>
      <c r="Q433" s="43">
        <f>IF(OR('asset_&amp;_open_positions'!$C433="",'asset_&amp;_open_positions'!$J433="SWAP",'asset_&amp;_open_positions'!$J433="FUTURE",'asset_&amp;_open_positions'!$J433="CME FUTURE"),"",'asset_&amp;_open_positions'!$H433)</f>
        <v>39.353239129333097</v>
      </c>
    </row>
    <row r="434" spans="14:17" x14ac:dyDescent="0.25">
      <c r="N434" s="84" t="str">
        <f>IF('asset_&amp;_open_positions'!$C434="","",'asset_&amp;_open_positions'!$E434)</f>
        <v>DASH</v>
      </c>
      <c r="O434" s="43">
        <f>IF('asset_&amp;_open_positions'!$C434="","",'asset_&amp;_open_positions'!$H434)</f>
        <v>48.843587166773403</v>
      </c>
      <c r="P434" s="84" t="str">
        <f>IF(OR('asset_&amp;_open_positions'!$C434="",'asset_&amp;_open_positions'!$J434="SWAP",'asset_&amp;_open_positions'!$J434="FUTURE",'asset_&amp;_open_positions'!$J434="CME FUTURE"),"",'asset_&amp;_open_positions'!$M434)</f>
        <v>DASH</v>
      </c>
      <c r="Q434" s="43">
        <f>IF(OR('asset_&amp;_open_positions'!$C434="",'asset_&amp;_open_positions'!$J434="SWAP",'asset_&amp;_open_positions'!$J434="FUTURE",'asset_&amp;_open_positions'!$J434="CME FUTURE"),"",'asset_&amp;_open_positions'!$H434)</f>
        <v>48.843587166773403</v>
      </c>
    </row>
    <row r="435" spans="14:17" x14ac:dyDescent="0.25">
      <c r="N435" s="84" t="str">
        <f>IF('asset_&amp;_open_positions'!$C435="","",'asset_&amp;_open_positions'!$E435)</f>
        <v>DOGE</v>
      </c>
      <c r="O435" s="43">
        <f>IF('asset_&amp;_open_positions'!$C435="","",'asset_&amp;_open_positions'!$H435)</f>
        <v>8.8514392712015305E-2</v>
      </c>
      <c r="P435" s="84" t="str">
        <f>IF(OR('asset_&amp;_open_positions'!$C435="",'asset_&amp;_open_positions'!$J435="SWAP",'asset_&amp;_open_positions'!$J435="FUTURE",'asset_&amp;_open_positions'!$J435="CME FUTURE"),"",'asset_&amp;_open_positions'!$M435)</f>
        <v>DOGE</v>
      </c>
      <c r="Q435" s="43">
        <f>IF(OR('asset_&amp;_open_positions'!$C435="",'asset_&amp;_open_positions'!$J435="SWAP",'asset_&amp;_open_positions'!$J435="FUTURE",'asset_&amp;_open_positions'!$J435="CME FUTURE"),"",'asset_&amp;_open_positions'!$H435)</f>
        <v>8.8514392712015305E-2</v>
      </c>
    </row>
    <row r="436" spans="14:17" x14ac:dyDescent="0.25">
      <c r="N436" s="84" t="str">
        <f>IF('asset_&amp;_open_positions'!$C436="","",'asset_&amp;_open_positions'!$E436)</f>
        <v>DOT</v>
      </c>
      <c r="O436" s="43">
        <f>IF('asset_&amp;_open_positions'!$C436="","",'asset_&amp;_open_positions'!$H436)</f>
        <v>5.21520975096543</v>
      </c>
      <c r="P436" s="84" t="str">
        <f>IF(OR('asset_&amp;_open_positions'!$C436="",'asset_&amp;_open_positions'!$J436="SWAP",'asset_&amp;_open_positions'!$J436="FUTURE",'asset_&amp;_open_positions'!$J436="CME FUTURE"),"",'asset_&amp;_open_positions'!$M436)</f>
        <v>DOT</v>
      </c>
      <c r="Q436" s="43">
        <f>IF(OR('asset_&amp;_open_positions'!$C436="",'asset_&amp;_open_positions'!$J436="SWAP",'asset_&amp;_open_positions'!$J436="FUTURE",'asset_&amp;_open_positions'!$J436="CME FUTURE"),"",'asset_&amp;_open_positions'!$H436)</f>
        <v>5.21520975096543</v>
      </c>
    </row>
    <row r="437" spans="14:17" x14ac:dyDescent="0.25">
      <c r="N437" s="84" t="str">
        <f>IF('asset_&amp;_open_positions'!$C437="","",'asset_&amp;_open_positions'!$E437)</f>
        <v>ENJ</v>
      </c>
      <c r="O437" s="43">
        <f>IF('asset_&amp;_open_positions'!$C437="","",'asset_&amp;_open_positions'!$H437)</f>
        <v>0.30026402054434098</v>
      </c>
      <c r="P437" s="84" t="str">
        <f>IF(OR('asset_&amp;_open_positions'!$C437="",'asset_&amp;_open_positions'!$J437="SWAP",'asset_&amp;_open_positions'!$J437="FUTURE",'asset_&amp;_open_positions'!$J437="CME FUTURE"),"",'asset_&amp;_open_positions'!$M437)</f>
        <v>ENJ</v>
      </c>
      <c r="Q437" s="43">
        <f>IF(OR('asset_&amp;_open_positions'!$C437="",'asset_&amp;_open_positions'!$J437="SWAP",'asset_&amp;_open_positions'!$J437="FUTURE",'asset_&amp;_open_positions'!$J437="CME FUTURE"),"",'asset_&amp;_open_positions'!$H437)</f>
        <v>0.30026402054434098</v>
      </c>
    </row>
    <row r="438" spans="14:17" x14ac:dyDescent="0.25">
      <c r="N438" s="84" t="str">
        <f>IF('asset_&amp;_open_positions'!$C438="","",'asset_&amp;_open_positions'!$E438)</f>
        <v>FTM</v>
      </c>
      <c r="O438" s="43">
        <f>IF('asset_&amp;_open_positions'!$C438="","",'asset_&amp;_open_positions'!$H438)</f>
        <v>0.24061937177408299</v>
      </c>
      <c r="P438" s="84" t="str">
        <f>IF(OR('asset_&amp;_open_positions'!$C438="",'asset_&amp;_open_positions'!$J438="SWAP",'asset_&amp;_open_positions'!$J438="FUTURE",'asset_&amp;_open_positions'!$J438="CME FUTURE"),"",'asset_&amp;_open_positions'!$M438)</f>
        <v>FTM</v>
      </c>
      <c r="Q438" s="43">
        <f>IF(OR('asset_&amp;_open_positions'!$C438="",'asset_&amp;_open_positions'!$J438="SWAP",'asset_&amp;_open_positions'!$J438="FUTURE",'asset_&amp;_open_positions'!$J438="CME FUTURE"),"",'asset_&amp;_open_positions'!$H438)</f>
        <v>0.24061937177408299</v>
      </c>
    </row>
    <row r="439" spans="14:17" x14ac:dyDescent="0.25">
      <c r="N439" s="84" t="str">
        <f>IF('asset_&amp;_open_positions'!$C439="","",'asset_&amp;_open_positions'!$E439)</f>
        <v>GRT</v>
      </c>
      <c r="O439" s="43">
        <f>IF('asset_&amp;_open_positions'!$C439="","",'asset_&amp;_open_positions'!$H439)</f>
        <v>6.5711922900504302E-2</v>
      </c>
      <c r="P439" s="84" t="str">
        <f>IF(OR('asset_&amp;_open_positions'!$C439="",'asset_&amp;_open_positions'!$J439="SWAP",'asset_&amp;_open_positions'!$J439="FUTURE",'asset_&amp;_open_positions'!$J439="CME FUTURE"),"",'asset_&amp;_open_positions'!$M439)</f>
        <v>GRT</v>
      </c>
      <c r="Q439" s="43">
        <f>IF(OR('asset_&amp;_open_positions'!$C439="",'asset_&amp;_open_positions'!$J439="SWAP",'asset_&amp;_open_positions'!$J439="FUTURE",'asset_&amp;_open_positions'!$J439="CME FUTURE"),"",'asset_&amp;_open_positions'!$H439)</f>
        <v>6.5711922900504302E-2</v>
      </c>
    </row>
    <row r="440" spans="14:17" x14ac:dyDescent="0.25">
      <c r="N440" s="84" t="str">
        <f>IF('asset_&amp;_open_positions'!$C440="","",'asset_&amp;_open_positions'!$E440)</f>
        <v>HBAR</v>
      </c>
      <c r="O440" s="43">
        <f>IF('asset_&amp;_open_positions'!$C440="","",'asset_&amp;_open_positions'!$H440)</f>
        <v>4.6678870005249097E-2</v>
      </c>
      <c r="P440" s="84" t="str">
        <f>IF(OR('asset_&amp;_open_positions'!$C440="",'asset_&amp;_open_positions'!$J440="SWAP",'asset_&amp;_open_positions'!$J440="FUTURE",'asset_&amp;_open_positions'!$J440="CME FUTURE"),"",'asset_&amp;_open_positions'!$M440)</f>
        <v>HBAR</v>
      </c>
      <c r="Q440" s="43">
        <f>IF(OR('asset_&amp;_open_positions'!$C440="",'asset_&amp;_open_positions'!$J440="SWAP",'asset_&amp;_open_positions'!$J440="FUTURE",'asset_&amp;_open_positions'!$J440="CME FUTURE"),"",'asset_&amp;_open_positions'!$H440)</f>
        <v>4.6678870005249097E-2</v>
      </c>
    </row>
    <row r="441" spans="14:17" x14ac:dyDescent="0.25">
      <c r="N441" s="84" t="str">
        <f>IF('asset_&amp;_open_positions'!$C441="","",'asset_&amp;_open_positions'!$E441)</f>
        <v>LINK</v>
      </c>
      <c r="O441" s="43">
        <f>IF('asset_&amp;_open_positions'!$C441="","",'asset_&amp;_open_positions'!$H441)</f>
        <v>6.72882805759214</v>
      </c>
      <c r="P441" s="84" t="str">
        <f>IF(OR('asset_&amp;_open_positions'!$C441="",'asset_&amp;_open_positions'!$J441="SWAP",'asset_&amp;_open_positions'!$J441="FUTURE",'asset_&amp;_open_positions'!$J441="CME FUTURE"),"",'asset_&amp;_open_positions'!$M441)</f>
        <v>LINK</v>
      </c>
      <c r="Q441" s="43">
        <f>IF(OR('asset_&amp;_open_positions'!$C441="",'asset_&amp;_open_positions'!$J441="SWAP",'asset_&amp;_open_positions'!$J441="FUTURE",'asset_&amp;_open_positions'!$J441="CME FUTURE"),"",'asset_&amp;_open_positions'!$H441)</f>
        <v>6.72882805759214</v>
      </c>
    </row>
    <row r="442" spans="14:17" x14ac:dyDescent="0.25">
      <c r="N442" s="84" t="str">
        <f>IF('asset_&amp;_open_positions'!$C442="","",'asset_&amp;_open_positions'!$E442)</f>
        <v>LTC</v>
      </c>
      <c r="O442" s="43">
        <f>IF('asset_&amp;_open_positions'!$C442="","",'asset_&amp;_open_positions'!$H442)</f>
        <v>75.475863646134997</v>
      </c>
      <c r="P442" s="84" t="str">
        <f>IF(OR('asset_&amp;_open_positions'!$C442="",'asset_&amp;_open_positions'!$J442="SWAP",'asset_&amp;_open_positions'!$J442="FUTURE",'asset_&amp;_open_positions'!$J442="CME FUTURE"),"",'asset_&amp;_open_positions'!$M442)</f>
        <v>LTC</v>
      </c>
      <c r="Q442" s="43">
        <f>IF(OR('asset_&amp;_open_positions'!$C442="",'asset_&amp;_open_positions'!$J442="SWAP",'asset_&amp;_open_positions'!$J442="FUTURE",'asset_&amp;_open_positions'!$J442="CME FUTURE"),"",'asset_&amp;_open_positions'!$H442)</f>
        <v>75.475863646134997</v>
      </c>
    </row>
    <row r="443" spans="14:17" x14ac:dyDescent="0.25">
      <c r="N443" s="84" t="str">
        <f>IF('asset_&amp;_open_positions'!$C443="","",'asset_&amp;_open_positions'!$E443)</f>
        <v>MANA</v>
      </c>
      <c r="O443" s="43">
        <f>IF('asset_&amp;_open_positions'!$C443="","",'asset_&amp;_open_positions'!$H443)</f>
        <v>0.38186039560085799</v>
      </c>
      <c r="P443" s="84" t="str">
        <f>IF(OR('asset_&amp;_open_positions'!$C443="",'asset_&amp;_open_positions'!$J443="SWAP",'asset_&amp;_open_positions'!$J443="FUTURE",'asset_&amp;_open_positions'!$J443="CME FUTURE"),"",'asset_&amp;_open_positions'!$M443)</f>
        <v>MANA</v>
      </c>
      <c r="Q443" s="43">
        <f>IF(OR('asset_&amp;_open_positions'!$C443="",'asset_&amp;_open_positions'!$J443="SWAP",'asset_&amp;_open_positions'!$J443="FUTURE",'asset_&amp;_open_positions'!$J443="CME FUTURE"),"",'asset_&amp;_open_positions'!$H443)</f>
        <v>0.38186039560085799</v>
      </c>
    </row>
    <row r="444" spans="14:17" x14ac:dyDescent="0.25">
      <c r="N444" s="84" t="str">
        <f>IF('asset_&amp;_open_positions'!$C444="","",'asset_&amp;_open_positions'!$E444)</f>
        <v>MATIC</v>
      </c>
      <c r="O444" s="43">
        <f>IF('asset_&amp;_open_positions'!$C444="","",'asset_&amp;_open_positions'!$H444)</f>
        <v>0.90334735375244002</v>
      </c>
      <c r="P444" s="84" t="str">
        <f>IF(OR('asset_&amp;_open_positions'!$C444="",'asset_&amp;_open_positions'!$J444="SWAP",'asset_&amp;_open_positions'!$J444="FUTURE",'asset_&amp;_open_positions'!$J444="CME FUTURE"),"",'asset_&amp;_open_positions'!$M444)</f>
        <v>MATIC</v>
      </c>
      <c r="Q444" s="43">
        <f>IF(OR('asset_&amp;_open_positions'!$C444="",'asset_&amp;_open_positions'!$J444="SWAP",'asset_&amp;_open_positions'!$J444="FUTURE",'asset_&amp;_open_positions'!$J444="CME FUTURE"),"",'asset_&amp;_open_positions'!$H444)</f>
        <v>0.90334735375244002</v>
      </c>
    </row>
    <row r="445" spans="14:17" x14ac:dyDescent="0.25">
      <c r="N445" s="84" t="str">
        <f>IF('asset_&amp;_open_positions'!$C445="","",'asset_&amp;_open_positions'!$E445)</f>
        <v>MKR</v>
      </c>
      <c r="O445" s="43">
        <f>IF('asset_&amp;_open_positions'!$C445="","",'asset_&amp;_open_positions'!$H445)</f>
        <v>606.15766908594901</v>
      </c>
      <c r="P445" s="84" t="str">
        <f>IF(OR('asset_&amp;_open_positions'!$C445="",'asset_&amp;_open_positions'!$J445="SWAP",'asset_&amp;_open_positions'!$J445="FUTURE",'asset_&amp;_open_positions'!$J445="CME FUTURE"),"",'asset_&amp;_open_positions'!$M445)</f>
        <v>MKR</v>
      </c>
      <c r="Q445" s="43">
        <f>IF(OR('asset_&amp;_open_positions'!$C445="",'asset_&amp;_open_positions'!$J445="SWAP",'asset_&amp;_open_positions'!$J445="FUTURE",'asset_&amp;_open_positions'!$J445="CME FUTURE"),"",'asset_&amp;_open_positions'!$H445)</f>
        <v>606.15766908594901</v>
      </c>
    </row>
    <row r="446" spans="14:17" x14ac:dyDescent="0.25">
      <c r="N446" s="84" t="str">
        <f>IF('asset_&amp;_open_positions'!$C446="","",'asset_&amp;_open_positions'!$E446)</f>
        <v>OMG</v>
      </c>
      <c r="O446" s="43">
        <f>IF('asset_&amp;_open_positions'!$C446="","",'asset_&amp;_open_positions'!$H446)</f>
        <v>1.1778225277242</v>
      </c>
      <c r="P446" s="84" t="str">
        <f>IF(OR('asset_&amp;_open_positions'!$C446="",'asset_&amp;_open_positions'!$J446="SWAP",'asset_&amp;_open_positions'!$J446="FUTURE",'asset_&amp;_open_positions'!$J446="CME FUTURE"),"",'asset_&amp;_open_positions'!$M446)</f>
        <v>OMG</v>
      </c>
      <c r="Q446" s="43">
        <f>IF(OR('asset_&amp;_open_positions'!$C446="",'asset_&amp;_open_positions'!$J446="SWAP",'asset_&amp;_open_positions'!$J446="FUTURE",'asset_&amp;_open_positions'!$J446="CME FUTURE"),"",'asset_&amp;_open_positions'!$H446)</f>
        <v>1.1778225277242</v>
      </c>
    </row>
    <row r="447" spans="14:17" x14ac:dyDescent="0.25">
      <c r="N447" s="84" t="str">
        <f>IF('asset_&amp;_open_positions'!$C447="","",'asset_&amp;_open_positions'!$E447)</f>
        <v>SHIB</v>
      </c>
      <c r="O447" s="43">
        <f>IF('asset_&amp;_open_positions'!$C447="","",'asset_&amp;_open_positions'!$H447)</f>
        <v>8.9727561705582505E-6</v>
      </c>
      <c r="P447" s="84" t="str">
        <f>IF(OR('asset_&amp;_open_positions'!$C447="",'asset_&amp;_open_positions'!$J447="SWAP",'asset_&amp;_open_positions'!$J447="FUTURE",'asset_&amp;_open_positions'!$J447="CME FUTURE"),"",'asset_&amp;_open_positions'!$M447)</f>
        <v>SHIB</v>
      </c>
      <c r="Q447" s="43">
        <f>IF(OR('asset_&amp;_open_positions'!$C447="",'asset_&amp;_open_positions'!$J447="SWAP",'asset_&amp;_open_positions'!$J447="FUTURE",'asset_&amp;_open_positions'!$J447="CME FUTURE"),"",'asset_&amp;_open_positions'!$H447)</f>
        <v>8.9727561705582505E-6</v>
      </c>
    </row>
    <row r="448" spans="14:17" x14ac:dyDescent="0.25">
      <c r="N448" s="84" t="str">
        <f>IF('asset_&amp;_open_positions'!$C448="","",'asset_&amp;_open_positions'!$E448)</f>
        <v>SOL</v>
      </c>
      <c r="O448" s="43">
        <f>IF('asset_&amp;_open_positions'!$C448="","",'asset_&amp;_open_positions'!$H448)</f>
        <v>14.1405261987448</v>
      </c>
      <c r="P448" s="84" t="str">
        <f>IF(OR('asset_&amp;_open_positions'!$C448="",'asset_&amp;_open_positions'!$J448="SWAP",'asset_&amp;_open_positions'!$J448="FUTURE",'asset_&amp;_open_positions'!$J448="CME FUTURE"),"",'asset_&amp;_open_positions'!$M448)</f>
        <v>SOL</v>
      </c>
      <c r="Q448" s="43">
        <f>IF(OR('asset_&amp;_open_positions'!$C448="",'asset_&amp;_open_positions'!$J448="SWAP",'asset_&amp;_open_positions'!$J448="FUTURE",'asset_&amp;_open_positions'!$J448="CME FUTURE"),"",'asset_&amp;_open_positions'!$H448)</f>
        <v>14.1405261987448</v>
      </c>
    </row>
    <row r="449" spans="14:17" x14ac:dyDescent="0.25">
      <c r="N449" s="84" t="str">
        <f>IF('asset_&amp;_open_positions'!$C449="","",'asset_&amp;_open_positions'!$E449)</f>
        <v>SUSHI</v>
      </c>
      <c r="O449" s="43">
        <f>IF('asset_&amp;_open_positions'!$C449="","",'asset_&amp;_open_positions'!$H449)</f>
        <v>1.1196546929645199</v>
      </c>
      <c r="P449" s="84" t="str">
        <f>IF(OR('asset_&amp;_open_positions'!$C449="",'asset_&amp;_open_positions'!$J449="SWAP",'asset_&amp;_open_positions'!$J449="FUTURE",'asset_&amp;_open_positions'!$J449="CME FUTURE"),"",'asset_&amp;_open_positions'!$M449)</f>
        <v>SUSHI</v>
      </c>
      <c r="Q449" s="43">
        <f>IF(OR('asset_&amp;_open_positions'!$C449="",'asset_&amp;_open_positions'!$J449="SWAP",'asset_&amp;_open_positions'!$J449="FUTURE",'asset_&amp;_open_positions'!$J449="CME FUTURE"),"",'asset_&amp;_open_positions'!$H449)</f>
        <v>1.1196546929645199</v>
      </c>
    </row>
    <row r="450" spans="14:17" x14ac:dyDescent="0.25">
      <c r="N450" s="84" t="str">
        <f>IF('asset_&amp;_open_positions'!$C450="","",'asset_&amp;_open_positions'!$E450)</f>
        <v>UNI</v>
      </c>
      <c r="O450" s="43">
        <f>IF('asset_&amp;_open_positions'!$C450="","",'asset_&amp;_open_positions'!$H450)</f>
        <v>5.9196374391119297</v>
      </c>
      <c r="P450" s="84" t="str">
        <f>IF(OR('asset_&amp;_open_positions'!$C450="",'asset_&amp;_open_positions'!$J450="SWAP",'asset_&amp;_open_positions'!$J450="FUTURE",'asset_&amp;_open_positions'!$J450="CME FUTURE"),"",'asset_&amp;_open_positions'!$M450)</f>
        <v>UNI</v>
      </c>
      <c r="Q450" s="43">
        <f>IF(OR('asset_&amp;_open_positions'!$C450="",'asset_&amp;_open_positions'!$J450="SWAP",'asset_&amp;_open_positions'!$J450="FUTURE",'asset_&amp;_open_positions'!$J450="CME FUTURE"),"",'asset_&amp;_open_positions'!$H450)</f>
        <v>5.9196374391119297</v>
      </c>
    </row>
    <row r="451" spans="14:17" x14ac:dyDescent="0.25">
      <c r="N451" s="84" t="str">
        <f>IF('asset_&amp;_open_positions'!$C451="","",'asset_&amp;_open_positions'!$E451)</f>
        <v>USDT</v>
      </c>
      <c r="O451" s="43">
        <f>IF('asset_&amp;_open_positions'!$C451="","",'asset_&amp;_open_positions'!$H451)</f>
        <v>1.0001054103245299</v>
      </c>
      <c r="P451" s="84" t="str">
        <f>IF(OR('asset_&amp;_open_positions'!$C451="",'asset_&amp;_open_positions'!$J451="SWAP",'asset_&amp;_open_positions'!$J451="FUTURE",'asset_&amp;_open_positions'!$J451="CME FUTURE"),"",'asset_&amp;_open_positions'!$M451)</f>
        <v>USDT</v>
      </c>
      <c r="Q451" s="43">
        <f>IF(OR('asset_&amp;_open_positions'!$C451="",'asset_&amp;_open_positions'!$J451="SWAP",'asset_&amp;_open_positions'!$J451="FUTURE",'asset_&amp;_open_positions'!$J451="CME FUTURE"),"",'asset_&amp;_open_positions'!$H451)</f>
        <v>1.0001054103245299</v>
      </c>
    </row>
    <row r="452" spans="14:17" x14ac:dyDescent="0.25">
      <c r="N452" s="84" t="str">
        <f>IF('asset_&amp;_open_positions'!$C452="","",'asset_&amp;_open_positions'!$E452)</f>
        <v>VET</v>
      </c>
      <c r="O452" s="43">
        <f>IF('asset_&amp;_open_positions'!$C452="","",'asset_&amp;_open_positions'!$H452)</f>
        <v>1.8744578141587899E-2</v>
      </c>
      <c r="P452" s="84" t="str">
        <f>IF(OR('asset_&amp;_open_positions'!$C452="",'asset_&amp;_open_positions'!$J452="SWAP",'asset_&amp;_open_positions'!$J452="FUTURE",'asset_&amp;_open_positions'!$J452="CME FUTURE"),"",'asset_&amp;_open_positions'!$M452)</f>
        <v>VET</v>
      </c>
      <c r="Q452" s="43">
        <f>IF(OR('asset_&amp;_open_positions'!$C452="",'asset_&amp;_open_positions'!$J452="SWAP",'asset_&amp;_open_positions'!$J452="FUTURE",'asset_&amp;_open_positions'!$J452="CME FUTURE"),"",'asset_&amp;_open_positions'!$H452)</f>
        <v>1.8744578141587899E-2</v>
      </c>
    </row>
    <row r="453" spans="14:17" x14ac:dyDescent="0.25">
      <c r="N453" s="84" t="str">
        <f>IF('asset_&amp;_open_positions'!$C453="","",'asset_&amp;_open_positions'!$E453)</f>
        <v>XLM</v>
      </c>
      <c r="O453" s="43">
        <f>IF('asset_&amp;_open_positions'!$C453="","",'asset_&amp;_open_positions'!$H453)</f>
        <v>8.3013789241186201E-2</v>
      </c>
      <c r="P453" s="84" t="str">
        <f>IF(OR('asset_&amp;_open_positions'!$C453="",'asset_&amp;_open_positions'!$J453="SWAP",'asset_&amp;_open_positions'!$J453="FUTURE",'asset_&amp;_open_positions'!$J453="CME FUTURE"),"",'asset_&amp;_open_positions'!$M453)</f>
        <v>XLM</v>
      </c>
      <c r="Q453" s="43">
        <f>IF(OR('asset_&amp;_open_positions'!$C453="",'asset_&amp;_open_positions'!$J453="SWAP",'asset_&amp;_open_positions'!$J453="FUTURE",'asset_&amp;_open_positions'!$J453="CME FUTURE"),"",'asset_&amp;_open_positions'!$H453)</f>
        <v>8.3013789241186201E-2</v>
      </c>
    </row>
    <row r="454" spans="14:17" x14ac:dyDescent="0.25">
      <c r="N454" s="84" t="str">
        <f>IF('asset_&amp;_open_positions'!$C454="","",'asset_&amp;_open_positions'!$E454)</f>
        <v>XTZ</v>
      </c>
      <c r="O454" s="43">
        <f>IF('asset_&amp;_open_positions'!$C454="","",'asset_&amp;_open_positions'!$H454)</f>
        <v>0.95145134341780602</v>
      </c>
      <c r="P454" s="84" t="str">
        <f>IF(OR('asset_&amp;_open_positions'!$C454="",'asset_&amp;_open_positions'!$J454="SWAP",'asset_&amp;_open_positions'!$J454="FUTURE",'asset_&amp;_open_positions'!$J454="CME FUTURE"),"",'asset_&amp;_open_positions'!$M454)</f>
        <v>XTZ</v>
      </c>
      <c r="Q454" s="43">
        <f>IF(OR('asset_&amp;_open_positions'!$C454="",'asset_&amp;_open_positions'!$J454="SWAP",'asset_&amp;_open_positions'!$J454="FUTURE",'asset_&amp;_open_positions'!$J454="CME FUTURE"),"",'asset_&amp;_open_positions'!$H454)</f>
        <v>0.95145134341780602</v>
      </c>
    </row>
    <row r="455" spans="14:17" x14ac:dyDescent="0.25">
      <c r="N455" s="84" t="str">
        <f>IF('asset_&amp;_open_positions'!$C455="","",'asset_&amp;_open_positions'!$E455)</f>
        <v>EOS</v>
      </c>
      <c r="O455" s="43">
        <f>IF('asset_&amp;_open_positions'!$C455="","",'asset_&amp;_open_positions'!$H455)</f>
        <v>0.97802133669101299</v>
      </c>
      <c r="P455" s="84" t="str">
        <f>IF(OR('asset_&amp;_open_positions'!$C455="",'asset_&amp;_open_positions'!$J455="SWAP",'asset_&amp;_open_positions'!$J455="FUTURE",'asset_&amp;_open_positions'!$J455="CME FUTURE"),"",'asset_&amp;_open_positions'!$M455)</f>
        <v>EOS</v>
      </c>
      <c r="Q455" s="43">
        <f>IF(OR('asset_&amp;_open_positions'!$C455="",'asset_&amp;_open_positions'!$J455="SWAP",'asset_&amp;_open_positions'!$J455="FUTURE",'asset_&amp;_open_positions'!$J455="CME FUTURE"),"",'asset_&amp;_open_positions'!$H455)</f>
        <v>0.97802133669101299</v>
      </c>
    </row>
    <row r="456" spans="14:17" x14ac:dyDescent="0.25">
      <c r="N456" s="84" t="str">
        <f>IF('asset_&amp;_open_positions'!$C456="","",'asset_&amp;_open_positions'!$E456)</f>
        <v>LINK</v>
      </c>
      <c r="O456" s="43">
        <f>IF('asset_&amp;_open_positions'!$C456="","",'asset_&amp;_open_positions'!$H456)</f>
        <v>6.72882805759214</v>
      </c>
      <c r="P456" s="84" t="str">
        <f>IF(OR('asset_&amp;_open_positions'!$C456="",'asset_&amp;_open_positions'!$J456="SWAP",'asset_&amp;_open_positions'!$J456="FUTURE",'asset_&amp;_open_positions'!$J456="CME FUTURE"),"",'asset_&amp;_open_positions'!$M456)</f>
        <v>LINK</v>
      </c>
      <c r="Q456" s="43">
        <f>IF(OR('asset_&amp;_open_positions'!$C456="",'asset_&amp;_open_positions'!$J456="SWAP",'asset_&amp;_open_positions'!$J456="FUTURE",'asset_&amp;_open_positions'!$J456="CME FUTURE"),"",'asset_&amp;_open_positions'!$H456)</f>
        <v>6.72882805759214</v>
      </c>
    </row>
    <row r="457" spans="14:17" x14ac:dyDescent="0.25">
      <c r="N457" s="84" t="str">
        <f>IF('asset_&amp;_open_positions'!$C457="","",'asset_&amp;_open_positions'!$E457)</f>
        <v>LTC</v>
      </c>
      <c r="O457" s="43">
        <f>IF('asset_&amp;_open_positions'!$C457="","",'asset_&amp;_open_positions'!$H457)</f>
        <v>75.475863646134997</v>
      </c>
      <c r="P457" s="84" t="str">
        <f>IF(OR('asset_&amp;_open_positions'!$C457="",'asset_&amp;_open_positions'!$J457="SWAP",'asset_&amp;_open_positions'!$J457="FUTURE",'asset_&amp;_open_positions'!$J457="CME FUTURE"),"",'asset_&amp;_open_positions'!$M457)</f>
        <v>LTC</v>
      </c>
      <c r="Q457" s="43">
        <f>IF(OR('asset_&amp;_open_positions'!$C457="",'asset_&amp;_open_positions'!$J457="SWAP",'asset_&amp;_open_positions'!$J457="FUTURE",'asset_&amp;_open_positions'!$J457="CME FUTURE"),"",'asset_&amp;_open_positions'!$H457)</f>
        <v>75.475863646134997</v>
      </c>
    </row>
    <row r="458" spans="14:17" x14ac:dyDescent="0.25">
      <c r="N458" s="84" t="str">
        <f>IF('asset_&amp;_open_positions'!$C458="","",'asset_&amp;_open_positions'!$E458)</f>
        <v>USDT</v>
      </c>
      <c r="O458" s="43">
        <f>IF('asset_&amp;_open_positions'!$C458="","",'asset_&amp;_open_positions'!$H458)</f>
        <v>1.0001054103245299</v>
      </c>
      <c r="P458" s="84" t="str">
        <f>IF(OR('asset_&amp;_open_positions'!$C458="",'asset_&amp;_open_positions'!$J458="SWAP",'asset_&amp;_open_positions'!$J458="FUTURE",'asset_&amp;_open_positions'!$J458="CME FUTURE"),"",'asset_&amp;_open_positions'!$M458)</f>
        <v>USDT</v>
      </c>
      <c r="Q458" s="43">
        <f>IF(OR('asset_&amp;_open_positions'!$C458="",'asset_&amp;_open_positions'!$J458="SWAP",'asset_&amp;_open_positions'!$J458="FUTURE",'asset_&amp;_open_positions'!$J458="CME FUTURE"),"",'asset_&amp;_open_positions'!$H458)</f>
        <v>1.0001054103245299</v>
      </c>
    </row>
    <row r="459" spans="14:17" x14ac:dyDescent="0.25">
      <c r="N459" s="84" t="str">
        <f>IF('asset_&amp;_open_positions'!$C459="","",'asset_&amp;_open_positions'!$E459)</f>
        <v>BTC</v>
      </c>
      <c r="O459" s="43">
        <f>IF('asset_&amp;_open_positions'!$C459="","",'asset_&amp;_open_positions'!$H459)</f>
        <v>17815.649854650899</v>
      </c>
      <c r="P459" s="84" t="str">
        <f>IF(OR('asset_&amp;_open_positions'!$C459="",'asset_&amp;_open_positions'!$J459="SWAP",'asset_&amp;_open_positions'!$J459="FUTURE",'asset_&amp;_open_positions'!$J459="CME FUTURE"),"",'asset_&amp;_open_positions'!$M459)</f>
        <v>BTC</v>
      </c>
      <c r="Q459" s="43">
        <f>IF(OR('asset_&amp;_open_positions'!$C459="",'asset_&amp;_open_positions'!$J459="SWAP",'asset_&amp;_open_positions'!$J459="FUTURE",'asset_&amp;_open_positions'!$J459="CME FUTURE"),"",'asset_&amp;_open_positions'!$H459)</f>
        <v>17815.649854650899</v>
      </c>
    </row>
    <row r="460" spans="14:17" x14ac:dyDescent="0.25">
      <c r="N460" s="84" t="str">
        <f>IF('asset_&amp;_open_positions'!$C460="","",'asset_&amp;_open_positions'!$E460)</f>
        <v>EOS</v>
      </c>
      <c r="O460" s="43">
        <f>IF('asset_&amp;_open_positions'!$C460="","",'asset_&amp;_open_positions'!$H460)</f>
        <v>0.97802133669101299</v>
      </c>
      <c r="P460" s="84" t="str">
        <f>IF(OR('asset_&amp;_open_positions'!$C460="",'asset_&amp;_open_positions'!$J460="SWAP",'asset_&amp;_open_positions'!$J460="FUTURE",'asset_&amp;_open_positions'!$J460="CME FUTURE"),"",'asset_&amp;_open_positions'!$M460)</f>
        <v>EOS</v>
      </c>
      <c r="Q460" s="43">
        <f>IF(OR('asset_&amp;_open_positions'!$C460="",'asset_&amp;_open_positions'!$J460="SWAP",'asset_&amp;_open_positions'!$J460="FUTURE",'asset_&amp;_open_positions'!$J460="CME FUTURE"),"",'asset_&amp;_open_positions'!$H460)</f>
        <v>0.97802133669101299</v>
      </c>
    </row>
    <row r="461" spans="14:17" x14ac:dyDescent="0.25">
      <c r="N461" s="84" t="str">
        <f>IF('asset_&amp;_open_positions'!$C461="","",'asset_&amp;_open_positions'!$E461)</f>
        <v>ETH</v>
      </c>
      <c r="O461" s="43">
        <f>IF('asset_&amp;_open_positions'!$C461="","",'asset_&amp;_open_positions'!$H461)</f>
        <v>1309.32867693296</v>
      </c>
      <c r="P461" s="84" t="str">
        <f>IF(OR('asset_&amp;_open_positions'!$C461="",'asset_&amp;_open_positions'!$J461="SWAP",'asset_&amp;_open_positions'!$J461="FUTURE",'asset_&amp;_open_positions'!$J461="CME FUTURE"),"",'asset_&amp;_open_positions'!$M461)</f>
        <v>ETH</v>
      </c>
      <c r="Q461" s="43">
        <f>IF(OR('asset_&amp;_open_positions'!$C461="",'asset_&amp;_open_positions'!$J461="SWAP",'asset_&amp;_open_positions'!$J461="FUTURE",'asset_&amp;_open_positions'!$J461="CME FUTURE"),"",'asset_&amp;_open_positions'!$H461)</f>
        <v>1309.32867693296</v>
      </c>
    </row>
    <row r="462" spans="14:17" x14ac:dyDescent="0.25">
      <c r="N462" s="84" t="str">
        <f>IF('asset_&amp;_open_positions'!$C462="","",'asset_&amp;_open_positions'!$E462)</f>
        <v>BTC</v>
      </c>
      <c r="O462" s="43">
        <f>IF('asset_&amp;_open_positions'!$C462="","",'asset_&amp;_open_positions'!$H462)</f>
        <v>17815.649854650899</v>
      </c>
      <c r="P462" s="84" t="str">
        <f>IF(OR('asset_&amp;_open_positions'!$C462="",'asset_&amp;_open_positions'!$J462="SWAP",'asset_&amp;_open_positions'!$J462="FUTURE",'asset_&amp;_open_positions'!$J462="CME FUTURE"),"",'asset_&amp;_open_positions'!$M462)</f>
        <v>BTC</v>
      </c>
      <c r="Q462" s="43">
        <f>IF(OR('asset_&amp;_open_positions'!$C462="",'asset_&amp;_open_positions'!$J462="SWAP",'asset_&amp;_open_positions'!$J462="FUTURE",'asset_&amp;_open_positions'!$J462="CME FUTURE"),"",'asset_&amp;_open_positions'!$H462)</f>
        <v>17815.649854650899</v>
      </c>
    </row>
    <row r="463" spans="14:17" x14ac:dyDescent="0.25">
      <c r="N463" s="84" t="str">
        <f>IF('asset_&amp;_open_positions'!$C463="","",'asset_&amp;_open_positions'!$E463)</f>
        <v>ETH</v>
      </c>
      <c r="O463" s="43">
        <f>IF('asset_&amp;_open_positions'!$C463="","",'asset_&amp;_open_positions'!$H463)</f>
        <v>1309.32867693296</v>
      </c>
      <c r="P463" s="84" t="str">
        <f>IF(OR('asset_&amp;_open_positions'!$C463="",'asset_&amp;_open_positions'!$J463="SWAP",'asset_&amp;_open_positions'!$J463="FUTURE",'asset_&amp;_open_positions'!$J463="CME FUTURE"),"",'asset_&amp;_open_positions'!$M463)</f>
        <v>ETH</v>
      </c>
      <c r="Q463" s="43">
        <f>IF(OR('asset_&amp;_open_positions'!$C463="",'asset_&amp;_open_positions'!$J463="SWAP",'asset_&amp;_open_positions'!$J463="FUTURE",'asset_&amp;_open_positions'!$J463="CME FUTURE"),"",'asset_&amp;_open_positions'!$H463)</f>
        <v>1309.32867693296</v>
      </c>
    </row>
    <row r="464" spans="14:17" x14ac:dyDescent="0.25">
      <c r="N464" s="84" t="str">
        <f>IF('asset_&amp;_open_positions'!$C464="","",'asset_&amp;_open_positions'!$E464)</f>
        <v>EUR</v>
      </c>
      <c r="O464" s="43">
        <f>IF('asset_&amp;_open_positions'!$C464="","",'asset_&amp;_open_positions'!$H464)</f>
        <v>1.0682700000000001</v>
      </c>
      <c r="P464" s="84" t="str">
        <f>IF(OR('asset_&amp;_open_positions'!$C464="",'asset_&amp;_open_positions'!$J464="SWAP",'asset_&amp;_open_positions'!$J464="FUTURE",'asset_&amp;_open_positions'!$J464="CME FUTURE"),"",'asset_&amp;_open_positions'!$M464)</f>
        <v>EUR</v>
      </c>
      <c r="Q464" s="43">
        <f>IF(OR('asset_&amp;_open_positions'!$C464="",'asset_&amp;_open_positions'!$J464="SWAP",'asset_&amp;_open_positions'!$J464="FUTURE",'asset_&amp;_open_positions'!$J464="CME FUTURE"),"",'asset_&amp;_open_positions'!$H464)</f>
        <v>1.0682700000000001</v>
      </c>
    </row>
    <row r="465" spans="14:17" x14ac:dyDescent="0.25">
      <c r="N465" s="84" t="str">
        <f>IF('asset_&amp;_open_positions'!$C465="","",'asset_&amp;_open_positions'!$E465)</f>
        <v>EUROC</v>
      </c>
      <c r="O465" s="43">
        <f>IF('asset_&amp;_open_positions'!$C465="","",'asset_&amp;_open_positions'!$H465)</f>
        <v>1.0683314432701201</v>
      </c>
      <c r="P465" s="84" t="str">
        <f>IF(OR('asset_&amp;_open_positions'!$C465="",'asset_&amp;_open_positions'!$J465="SWAP",'asset_&amp;_open_positions'!$J465="FUTURE",'asset_&amp;_open_positions'!$J465="CME FUTURE"),"",'asset_&amp;_open_positions'!$M465)</f>
        <v>EUROC</v>
      </c>
      <c r="Q465" s="43">
        <f>IF(OR('asset_&amp;_open_positions'!$C465="",'asset_&amp;_open_positions'!$J465="SWAP",'asset_&amp;_open_positions'!$J465="FUTURE",'asset_&amp;_open_positions'!$J465="CME FUTURE"),"",'asset_&amp;_open_positions'!$H465)</f>
        <v>1.0683314432701201</v>
      </c>
    </row>
    <row r="466" spans="14:17" x14ac:dyDescent="0.25">
      <c r="N466" s="84" t="str">
        <f>IF('asset_&amp;_open_positions'!$C466="","",'asset_&amp;_open_positions'!$E466)</f>
        <v>USD</v>
      </c>
      <c r="O466" s="43">
        <f>IF('asset_&amp;_open_positions'!$C466="","",'asset_&amp;_open_positions'!$H466)</f>
        <v>1</v>
      </c>
      <c r="P466" s="84" t="str">
        <f>IF(OR('asset_&amp;_open_positions'!$C466="",'asset_&amp;_open_positions'!$J466="SWAP",'asset_&amp;_open_positions'!$J466="FUTURE",'asset_&amp;_open_positions'!$J466="CME FUTURE"),"",'asset_&amp;_open_positions'!$M466)</f>
        <v>USD</v>
      </c>
      <c r="Q466" s="43">
        <f>IF(OR('asset_&amp;_open_positions'!$C466="",'asset_&amp;_open_positions'!$J466="SWAP",'asset_&amp;_open_positions'!$J466="FUTURE",'asset_&amp;_open_positions'!$J466="CME FUTURE"),"",'asset_&amp;_open_positions'!$H466)</f>
        <v>1</v>
      </c>
    </row>
    <row r="467" spans="14:17" x14ac:dyDescent="0.25">
      <c r="N467" s="84" t="str">
        <f>IF('asset_&amp;_open_positions'!$C467="","",'asset_&amp;_open_positions'!$E467)</f>
        <v>USDC</v>
      </c>
      <c r="O467" s="43">
        <f>IF('asset_&amp;_open_positions'!$C467="","",'asset_&amp;_open_positions'!$H467)</f>
        <v>0.99997952530443501</v>
      </c>
      <c r="P467" s="84" t="str">
        <f>IF(OR('asset_&amp;_open_positions'!$C467="",'asset_&amp;_open_positions'!$J467="SWAP",'asset_&amp;_open_positions'!$J467="FUTURE",'asset_&amp;_open_positions'!$J467="CME FUTURE"),"",'asset_&amp;_open_positions'!$M467)</f>
        <v>USDC</v>
      </c>
      <c r="Q467" s="43">
        <f>IF(OR('asset_&amp;_open_positions'!$C467="",'asset_&amp;_open_positions'!$J467="SWAP",'asset_&amp;_open_positions'!$J467="FUTURE",'asset_&amp;_open_positions'!$J467="CME FUTURE"),"",'asset_&amp;_open_positions'!$H467)</f>
        <v>0.99997952530443501</v>
      </c>
    </row>
    <row r="468" spans="14:17" x14ac:dyDescent="0.25">
      <c r="N468" s="84" t="str">
        <f>IF('asset_&amp;_open_positions'!$C468="","",'asset_&amp;_open_positions'!$E468)</f>
        <v>ZIL</v>
      </c>
      <c r="O468" s="43">
        <f>IF('asset_&amp;_open_positions'!$C468="","",'asset_&amp;_open_positions'!$H468)</f>
        <v>2.1790372914806299E-2</v>
      </c>
      <c r="P468" s="84" t="str">
        <f>IF(OR('asset_&amp;_open_positions'!$C468="",'asset_&amp;_open_positions'!$J468="SWAP",'asset_&amp;_open_positions'!$J468="FUTURE",'asset_&amp;_open_positions'!$J468="CME FUTURE"),"",'asset_&amp;_open_positions'!$M468)</f>
        <v>ZIL</v>
      </c>
      <c r="Q468" s="43">
        <f>IF(OR('asset_&amp;_open_positions'!$C468="",'asset_&amp;_open_positions'!$J468="SWAP",'asset_&amp;_open_positions'!$J468="FUTURE",'asset_&amp;_open_positions'!$J468="CME FUTURE"),"",'asset_&amp;_open_positions'!$H468)</f>
        <v>2.1790372914806299E-2</v>
      </c>
    </row>
    <row r="469" spans="14:17" x14ac:dyDescent="0.25">
      <c r="N469" s="84" t="str">
        <f>IF('asset_&amp;_open_positions'!$C469="","",'asset_&amp;_open_positions'!$E469)</f>
        <v>BCH</v>
      </c>
      <c r="O469" s="43">
        <f>IF('asset_&amp;_open_positions'!$C469="","",'asset_&amp;_open_positions'!$H469)</f>
        <v>109.10849595307199</v>
      </c>
      <c r="P469" s="84" t="str">
        <f>IF(OR('asset_&amp;_open_positions'!$C469="",'asset_&amp;_open_positions'!$J469="SWAP",'asset_&amp;_open_positions'!$J469="FUTURE",'asset_&amp;_open_positions'!$J469="CME FUTURE"),"",'asset_&amp;_open_positions'!$M469)</f>
        <v>BCH</v>
      </c>
      <c r="Q469" s="43">
        <f>IF(OR('asset_&amp;_open_positions'!$C469="",'asset_&amp;_open_positions'!$J469="SWAP",'asset_&amp;_open_positions'!$J469="FUTURE",'asset_&amp;_open_positions'!$J469="CME FUTURE"),"",'asset_&amp;_open_positions'!$H469)</f>
        <v>109.10849595307199</v>
      </c>
    </row>
    <row r="470" spans="14:17" x14ac:dyDescent="0.25">
      <c r="N470" s="84" t="str">
        <f>IF('asset_&amp;_open_positions'!$C470="","",'asset_&amp;_open_positions'!$E470)</f>
        <v>DOT</v>
      </c>
      <c r="O470" s="43">
        <f>IF('asset_&amp;_open_positions'!$C470="","",'asset_&amp;_open_positions'!$H470)</f>
        <v>5.21520975096543</v>
      </c>
      <c r="P470" s="84" t="str">
        <f>IF(OR('asset_&amp;_open_positions'!$C470="",'asset_&amp;_open_positions'!$J470="SWAP",'asset_&amp;_open_positions'!$J470="FUTURE",'asset_&amp;_open_positions'!$J470="CME FUTURE"),"",'asset_&amp;_open_positions'!$M470)</f>
        <v>DOT</v>
      </c>
      <c r="Q470" s="43">
        <f>IF(OR('asset_&amp;_open_positions'!$C470="",'asset_&amp;_open_positions'!$J470="SWAP",'asset_&amp;_open_positions'!$J470="FUTURE",'asset_&amp;_open_positions'!$J470="CME FUTURE"),"",'asset_&amp;_open_positions'!$H470)</f>
        <v>5.21520975096543</v>
      </c>
    </row>
    <row r="471" spans="14:17" x14ac:dyDescent="0.25">
      <c r="N471" s="84" t="str">
        <f>IF('asset_&amp;_open_positions'!$C471="","",'asset_&amp;_open_positions'!$E471)</f>
        <v>EOS</v>
      </c>
      <c r="O471" s="43">
        <f>IF('asset_&amp;_open_positions'!$C471="","",'asset_&amp;_open_positions'!$H471)</f>
        <v>0.97802133669101299</v>
      </c>
      <c r="P471" s="84" t="str">
        <f>IF(OR('asset_&amp;_open_positions'!$C471="",'asset_&amp;_open_positions'!$J471="SWAP",'asset_&amp;_open_positions'!$J471="FUTURE",'asset_&amp;_open_positions'!$J471="CME FUTURE"),"",'asset_&amp;_open_positions'!$M471)</f>
        <v>EOS</v>
      </c>
      <c r="Q471" s="43">
        <f>IF(OR('asset_&amp;_open_positions'!$C471="",'asset_&amp;_open_positions'!$J471="SWAP",'asset_&amp;_open_positions'!$J471="FUTURE",'asset_&amp;_open_positions'!$J471="CME FUTURE"),"",'asset_&amp;_open_positions'!$H471)</f>
        <v>0.97802133669101299</v>
      </c>
    </row>
    <row r="472" spans="14:17" x14ac:dyDescent="0.25">
      <c r="N472" s="84" t="str">
        <f>IF('asset_&amp;_open_positions'!$C472="","",'asset_&amp;_open_positions'!$E472)</f>
        <v>ETC</v>
      </c>
      <c r="O472" s="43">
        <f>IF('asset_&amp;_open_positions'!$C472="","",'asset_&amp;_open_positions'!$H472)</f>
        <v>18.787687228417099</v>
      </c>
      <c r="P472" s="84" t="str">
        <f>IF(OR('asset_&amp;_open_positions'!$C472="",'asset_&amp;_open_positions'!$J472="SWAP",'asset_&amp;_open_positions'!$J472="FUTURE",'asset_&amp;_open_positions'!$J472="CME FUTURE"),"",'asset_&amp;_open_positions'!$M472)</f>
        <v>ETC</v>
      </c>
      <c r="Q472" s="43">
        <f>IF(OR('asset_&amp;_open_positions'!$C472="",'asset_&amp;_open_positions'!$J472="SWAP",'asset_&amp;_open_positions'!$J472="FUTURE",'asset_&amp;_open_positions'!$J472="CME FUTURE"),"",'asset_&amp;_open_positions'!$H472)</f>
        <v>18.787687228417099</v>
      </c>
    </row>
    <row r="473" spans="14:17" x14ac:dyDescent="0.25">
      <c r="N473" s="84" t="str">
        <f>IF('asset_&amp;_open_positions'!$C473="","",'asset_&amp;_open_positions'!$E473)</f>
        <v>ETH</v>
      </c>
      <c r="O473" s="43">
        <f>IF('asset_&amp;_open_positions'!$C473="","",'asset_&amp;_open_positions'!$H473)</f>
        <v>1309.32867693296</v>
      </c>
      <c r="P473" s="84" t="str">
        <f>IF(OR('asset_&amp;_open_positions'!$C473="",'asset_&amp;_open_positions'!$J473="SWAP",'asset_&amp;_open_positions'!$J473="FUTURE",'asset_&amp;_open_positions'!$J473="CME FUTURE"),"",'asset_&amp;_open_positions'!$M473)</f>
        <v>ETH</v>
      </c>
      <c r="Q473" s="43">
        <f>IF(OR('asset_&amp;_open_positions'!$C473="",'asset_&amp;_open_positions'!$J473="SWAP",'asset_&amp;_open_positions'!$J473="FUTURE",'asset_&amp;_open_positions'!$J473="CME FUTURE"),"",'asset_&amp;_open_positions'!$H473)</f>
        <v>1309.32867693296</v>
      </c>
    </row>
    <row r="474" spans="14:17" x14ac:dyDescent="0.25">
      <c r="N474" s="84" t="str">
        <f>IF('asset_&amp;_open_positions'!$C474="","",'asset_&amp;_open_positions'!$E474)</f>
        <v>LINK</v>
      </c>
      <c r="O474" s="43">
        <f>IF('asset_&amp;_open_positions'!$C474="","",'asset_&amp;_open_positions'!$H474)</f>
        <v>6.72882805759214</v>
      </c>
      <c r="P474" s="84" t="str">
        <f>IF(OR('asset_&amp;_open_positions'!$C474="",'asset_&amp;_open_positions'!$J474="SWAP",'asset_&amp;_open_positions'!$J474="FUTURE",'asset_&amp;_open_positions'!$J474="CME FUTURE"),"",'asset_&amp;_open_positions'!$M474)</f>
        <v>LINK</v>
      </c>
      <c r="Q474" s="43">
        <f>IF(OR('asset_&amp;_open_positions'!$C474="",'asset_&amp;_open_positions'!$J474="SWAP",'asset_&amp;_open_positions'!$J474="FUTURE",'asset_&amp;_open_positions'!$J474="CME FUTURE"),"",'asset_&amp;_open_positions'!$H474)</f>
        <v>6.72882805759214</v>
      </c>
    </row>
    <row r="475" spans="14:17" x14ac:dyDescent="0.25">
      <c r="N475" s="84" t="str">
        <f>IF('asset_&amp;_open_positions'!$C475="","",'asset_&amp;_open_positions'!$E475)</f>
        <v>LTC</v>
      </c>
      <c r="O475" s="43">
        <f>IF('asset_&amp;_open_positions'!$C475="","",'asset_&amp;_open_positions'!$H475)</f>
        <v>75.475863646134997</v>
      </c>
      <c r="P475" s="84" t="str">
        <f>IF(OR('asset_&amp;_open_positions'!$C475="",'asset_&amp;_open_positions'!$J475="SWAP",'asset_&amp;_open_positions'!$J475="FUTURE",'asset_&amp;_open_positions'!$J475="CME FUTURE"),"",'asset_&amp;_open_positions'!$M475)</f>
        <v>LTC</v>
      </c>
      <c r="Q475" s="43">
        <f>IF(OR('asset_&amp;_open_positions'!$C475="",'asset_&amp;_open_positions'!$J475="SWAP",'asset_&amp;_open_positions'!$J475="FUTURE",'asset_&amp;_open_positions'!$J475="CME FUTURE"),"",'asset_&amp;_open_positions'!$H475)</f>
        <v>75.475863646134997</v>
      </c>
    </row>
    <row r="476" spans="14:17" x14ac:dyDescent="0.25">
      <c r="N476" s="84" t="str">
        <f>IF('asset_&amp;_open_positions'!$C476="","",'asset_&amp;_open_positions'!$E476)</f>
        <v>OXT</v>
      </c>
      <c r="O476" s="43">
        <f>IF('asset_&amp;_open_positions'!$C476="","",'asset_&amp;_open_positions'!$H476)</f>
        <v>8.1177871372945895E-2</v>
      </c>
      <c r="P476" s="84" t="str">
        <f>IF(OR('asset_&amp;_open_positions'!$C476="",'asset_&amp;_open_positions'!$J476="SWAP",'asset_&amp;_open_positions'!$J476="FUTURE",'asset_&amp;_open_positions'!$J476="CME FUTURE"),"",'asset_&amp;_open_positions'!$M476)</f>
        <v>OXT</v>
      </c>
      <c r="Q476" s="43">
        <f>IF(OR('asset_&amp;_open_positions'!$C476="",'asset_&amp;_open_positions'!$J476="SWAP",'asset_&amp;_open_positions'!$J476="FUTURE",'asset_&amp;_open_positions'!$J476="CME FUTURE"),"",'asset_&amp;_open_positions'!$H476)</f>
        <v>8.1177871372945895E-2</v>
      </c>
    </row>
    <row r="477" spans="14:17" x14ac:dyDescent="0.25">
      <c r="N477" s="84" t="str">
        <f>IF('asset_&amp;_open_positions'!$C477="","",'asset_&amp;_open_positions'!$E477)</f>
        <v>USDC</v>
      </c>
      <c r="O477" s="43">
        <f>IF('asset_&amp;_open_positions'!$C477="","",'asset_&amp;_open_positions'!$H477)</f>
        <v>0.99997952530443501</v>
      </c>
      <c r="P477" s="84" t="str">
        <f>IF(OR('asset_&amp;_open_positions'!$C477="",'asset_&amp;_open_positions'!$J477="SWAP",'asset_&amp;_open_positions'!$J477="FUTURE",'asset_&amp;_open_positions'!$J477="CME FUTURE"),"",'asset_&amp;_open_positions'!$M477)</f>
        <v>USDC</v>
      </c>
      <c r="Q477" s="43">
        <f>IF(OR('asset_&amp;_open_positions'!$C477="",'asset_&amp;_open_positions'!$J477="SWAP",'asset_&amp;_open_positions'!$J477="FUTURE",'asset_&amp;_open_positions'!$J477="CME FUTURE"),"",'asset_&amp;_open_positions'!$H477)</f>
        <v>0.99997952530443501</v>
      </c>
    </row>
    <row r="478" spans="14:17" x14ac:dyDescent="0.25">
      <c r="N478" s="84" t="str">
        <f>IF('asset_&amp;_open_positions'!$C478="","",'asset_&amp;_open_positions'!$E478)</f>
        <v>XRP</v>
      </c>
      <c r="O478" s="43">
        <f>IF('asset_&amp;_open_positions'!$C478="","",'asset_&amp;_open_positions'!$H478)</f>
        <v>0.38641371777866901</v>
      </c>
      <c r="P478" s="84" t="str">
        <f>IF(OR('asset_&amp;_open_positions'!$C478="",'asset_&amp;_open_positions'!$J478="SWAP",'asset_&amp;_open_positions'!$J478="FUTURE",'asset_&amp;_open_positions'!$J478="CME FUTURE"),"",'asset_&amp;_open_positions'!$M478)</f>
        <v>XRP</v>
      </c>
      <c r="Q478" s="43">
        <f>IF(OR('asset_&amp;_open_positions'!$C478="",'asset_&amp;_open_positions'!$J478="SWAP",'asset_&amp;_open_positions'!$J478="FUTURE",'asset_&amp;_open_positions'!$J478="CME FUTURE"),"",'asset_&amp;_open_positions'!$H478)</f>
        <v>0.38641371777866901</v>
      </c>
    </row>
    <row r="479" spans="14:17" x14ac:dyDescent="0.25">
      <c r="N479" s="84" t="str">
        <f>IF('asset_&amp;_open_positions'!$C479="","",'asset_&amp;_open_positions'!$E479)</f>
        <v>USDT</v>
      </c>
      <c r="O479" s="43">
        <f>IF('asset_&amp;_open_positions'!$C479="","",'asset_&amp;_open_positions'!$H479)</f>
        <v>1.0001054103245299</v>
      </c>
      <c r="P479" s="84" t="str">
        <f>IF(OR('asset_&amp;_open_positions'!$C479="",'asset_&amp;_open_positions'!$J479="SWAP",'asset_&amp;_open_positions'!$J479="FUTURE",'asset_&amp;_open_positions'!$J479="CME FUTURE"),"",'asset_&amp;_open_positions'!$M479)</f>
        <v>USDT</v>
      </c>
      <c r="Q479" s="43">
        <f>IF(OR('asset_&amp;_open_positions'!$C479="",'asset_&amp;_open_positions'!$J479="SWAP",'asset_&amp;_open_positions'!$J479="FUTURE",'asset_&amp;_open_positions'!$J479="CME FUTURE"),"",'asset_&amp;_open_positions'!$H479)</f>
        <v>1.0001054103245299</v>
      </c>
    </row>
    <row r="480" spans="14:17" x14ac:dyDescent="0.25">
      <c r="N480" s="84" t="str">
        <f>IF('asset_&amp;_open_positions'!$C480="","",'asset_&amp;_open_positions'!$E480)</f>
        <v>BCH</v>
      </c>
      <c r="O480" s="43">
        <f>IF('asset_&amp;_open_positions'!$C480="","",'asset_&amp;_open_positions'!$H480)</f>
        <v>109.10849595307199</v>
      </c>
      <c r="P480" s="84" t="str">
        <f>IF(OR('asset_&amp;_open_positions'!$C480="",'asset_&amp;_open_positions'!$J480="SWAP",'asset_&amp;_open_positions'!$J480="FUTURE",'asset_&amp;_open_positions'!$J480="CME FUTURE"),"",'asset_&amp;_open_positions'!$M480)</f>
        <v>BCH</v>
      </c>
      <c r="Q480" s="43">
        <f>IF(OR('asset_&amp;_open_positions'!$C480="",'asset_&amp;_open_positions'!$J480="SWAP",'asset_&amp;_open_positions'!$J480="FUTURE",'asset_&amp;_open_positions'!$J480="CME FUTURE"),"",'asset_&amp;_open_positions'!$H480)</f>
        <v>109.10849595307199</v>
      </c>
    </row>
    <row r="481" spans="14:17" x14ac:dyDescent="0.25">
      <c r="N481" s="84" t="str">
        <f>IF('asset_&amp;_open_positions'!$C481="","",'asset_&amp;_open_positions'!$E481)</f>
        <v>DOT</v>
      </c>
      <c r="O481" s="43">
        <f>IF('asset_&amp;_open_positions'!$C481="","",'asset_&amp;_open_positions'!$H481)</f>
        <v>5.21520975096543</v>
      </c>
      <c r="P481" s="84" t="str">
        <f>IF(OR('asset_&amp;_open_positions'!$C481="",'asset_&amp;_open_positions'!$J481="SWAP",'asset_&amp;_open_positions'!$J481="FUTURE",'asset_&amp;_open_positions'!$J481="CME FUTURE"),"",'asset_&amp;_open_positions'!$M481)</f>
        <v>DOT</v>
      </c>
      <c r="Q481" s="43">
        <f>IF(OR('asset_&amp;_open_positions'!$C481="",'asset_&amp;_open_positions'!$J481="SWAP",'asset_&amp;_open_positions'!$J481="FUTURE",'asset_&amp;_open_positions'!$J481="CME FUTURE"),"",'asset_&amp;_open_positions'!$H481)</f>
        <v>5.21520975096543</v>
      </c>
    </row>
    <row r="482" spans="14:17" x14ac:dyDescent="0.25">
      <c r="N482" s="84" t="str">
        <f>IF('asset_&amp;_open_positions'!$C482="","",'asset_&amp;_open_positions'!$E482)</f>
        <v>ETC</v>
      </c>
      <c r="O482" s="43">
        <f>IF('asset_&amp;_open_positions'!$C482="","",'asset_&amp;_open_positions'!$H482)</f>
        <v>18.787687228417099</v>
      </c>
      <c r="P482" s="84" t="str">
        <f>IF(OR('asset_&amp;_open_positions'!$C482="",'asset_&amp;_open_positions'!$J482="SWAP",'asset_&amp;_open_positions'!$J482="FUTURE",'asset_&amp;_open_positions'!$J482="CME FUTURE"),"",'asset_&amp;_open_positions'!$M482)</f>
        <v>ETC</v>
      </c>
      <c r="Q482" s="43">
        <f>IF(OR('asset_&amp;_open_positions'!$C482="",'asset_&amp;_open_positions'!$J482="SWAP",'asset_&amp;_open_positions'!$J482="FUTURE",'asset_&amp;_open_positions'!$J482="CME FUTURE"),"",'asset_&amp;_open_positions'!$H482)</f>
        <v>18.787687228417099</v>
      </c>
    </row>
    <row r="483" spans="14:17" x14ac:dyDescent="0.25">
      <c r="N483" s="84" t="str">
        <f>IF('asset_&amp;_open_positions'!$C483="","",'asset_&amp;_open_positions'!$E483)</f>
        <v>FIL</v>
      </c>
      <c r="O483" s="43">
        <f>IF('asset_&amp;_open_positions'!$C483="","",'asset_&amp;_open_positions'!$H483)</f>
        <v>4.2300897094453704</v>
      </c>
      <c r="P483" s="84" t="str">
        <f>IF(OR('asset_&amp;_open_positions'!$C483="",'asset_&amp;_open_positions'!$J483="SWAP",'asset_&amp;_open_positions'!$J483="FUTURE",'asset_&amp;_open_positions'!$J483="CME FUTURE"),"",'asset_&amp;_open_positions'!$M483)</f>
        <v>FIL</v>
      </c>
      <c r="Q483" s="43">
        <f>IF(OR('asset_&amp;_open_positions'!$C483="",'asset_&amp;_open_positions'!$J483="SWAP",'asset_&amp;_open_positions'!$J483="FUTURE",'asset_&amp;_open_positions'!$J483="CME FUTURE"),"",'asset_&amp;_open_positions'!$H483)</f>
        <v>4.2300897094453704</v>
      </c>
    </row>
    <row r="484" spans="14:17" x14ac:dyDescent="0.25">
      <c r="N484" s="84" t="str">
        <f>IF('asset_&amp;_open_positions'!$C484="","",'asset_&amp;_open_positions'!$E484)</f>
        <v>SHIB</v>
      </c>
      <c r="O484" s="43">
        <f>IF('asset_&amp;_open_positions'!$C484="","",'asset_&amp;_open_positions'!$H484)</f>
        <v>8.9727561705582505E-6</v>
      </c>
      <c r="P484" s="84" t="str">
        <f>IF(OR('asset_&amp;_open_positions'!$C484="",'asset_&amp;_open_positions'!$J484="SWAP",'asset_&amp;_open_positions'!$J484="FUTURE",'asset_&amp;_open_positions'!$J484="CME FUTURE"),"",'asset_&amp;_open_positions'!$M484)</f>
        <v>SHIB</v>
      </c>
      <c r="Q484" s="43">
        <f>IF(OR('asset_&amp;_open_positions'!$C484="",'asset_&amp;_open_positions'!$J484="SWAP",'asset_&amp;_open_positions'!$J484="FUTURE",'asset_&amp;_open_positions'!$J484="CME FUTURE"),"",'asset_&amp;_open_positions'!$H484)</f>
        <v>8.9727561705582505E-6</v>
      </c>
    </row>
    <row r="485" spans="14:17" x14ac:dyDescent="0.25">
      <c r="N485" s="84" t="str">
        <f>IF('asset_&amp;_open_positions'!$C485="","",'asset_&amp;_open_positions'!$E485)</f>
        <v>USDC</v>
      </c>
      <c r="O485" s="43">
        <f>IF('asset_&amp;_open_positions'!$C485="","",'asset_&amp;_open_positions'!$H485)</f>
        <v>0.99997952530443501</v>
      </c>
      <c r="P485" s="84" t="str">
        <f>IF(OR('asset_&amp;_open_positions'!$C485="",'asset_&amp;_open_positions'!$J485="SWAP",'asset_&amp;_open_positions'!$J485="FUTURE",'asset_&amp;_open_positions'!$J485="CME FUTURE"),"",'asset_&amp;_open_positions'!$M485)</f>
        <v>USDC</v>
      </c>
      <c r="Q485" s="43">
        <f>IF(OR('asset_&amp;_open_positions'!$C485="",'asset_&amp;_open_positions'!$J485="SWAP",'asset_&amp;_open_positions'!$J485="FUTURE",'asset_&amp;_open_positions'!$J485="CME FUTURE"),"",'asset_&amp;_open_positions'!$H485)</f>
        <v>0.99997952530443501</v>
      </c>
    </row>
    <row r="486" spans="14:17" x14ac:dyDescent="0.25">
      <c r="N486" s="84" t="str">
        <f>IF('asset_&amp;_open_positions'!$C486="","",'asset_&amp;_open_positions'!$E486)</f>
        <v>USDT</v>
      </c>
      <c r="O486" s="43">
        <f>IF('asset_&amp;_open_positions'!$C486="","",'asset_&amp;_open_positions'!$H486)</f>
        <v>1.0001054103245299</v>
      </c>
      <c r="P486" s="84" t="str">
        <f>IF(OR('asset_&amp;_open_positions'!$C486="",'asset_&amp;_open_positions'!$J486="SWAP",'asset_&amp;_open_positions'!$J486="FUTURE",'asset_&amp;_open_positions'!$J486="CME FUTURE"),"",'asset_&amp;_open_positions'!$M486)</f>
        <v>USDT</v>
      </c>
      <c r="Q486" s="43">
        <f>IF(OR('asset_&amp;_open_positions'!$C486="",'asset_&amp;_open_positions'!$J486="SWAP",'asset_&amp;_open_positions'!$J486="FUTURE",'asset_&amp;_open_positions'!$J486="CME FUTURE"),"",'asset_&amp;_open_positions'!$H486)</f>
        <v>1.0001054103245299</v>
      </c>
    </row>
    <row r="487" spans="14:17" x14ac:dyDescent="0.25">
      <c r="N487" s="84" t="str">
        <f>IF('asset_&amp;_open_positions'!$C487="","",'asset_&amp;_open_positions'!$E487)</f>
        <v>USDT</v>
      </c>
      <c r="O487" s="43">
        <f>IF('asset_&amp;_open_positions'!$C487="","",'asset_&amp;_open_positions'!$H487)</f>
        <v>1.0001054103245299</v>
      </c>
      <c r="P487" s="84" t="str">
        <f>IF(OR('asset_&amp;_open_positions'!$C487="",'asset_&amp;_open_positions'!$J487="SWAP",'asset_&amp;_open_positions'!$J487="FUTURE",'asset_&amp;_open_positions'!$J487="CME FUTURE"),"",'asset_&amp;_open_positions'!$M487)</f>
        <v>USDT</v>
      </c>
      <c r="Q487" s="43">
        <f>IF(OR('asset_&amp;_open_positions'!$C487="",'asset_&amp;_open_positions'!$J487="SWAP",'asset_&amp;_open_positions'!$J487="FUTURE",'asset_&amp;_open_positions'!$J487="CME FUTURE"),"",'asset_&amp;_open_positions'!$H487)</f>
        <v>1.0001054103245299</v>
      </c>
    </row>
    <row r="488" spans="14:17" x14ac:dyDescent="0.25">
      <c r="N488" s="84" t="str">
        <f>IF('asset_&amp;_open_positions'!$C488="","",'asset_&amp;_open_positions'!$E488)</f>
        <v>USD</v>
      </c>
      <c r="O488" s="43">
        <f>IF('asset_&amp;_open_positions'!$C488="","",'asset_&amp;_open_positions'!$H488)</f>
        <v>1</v>
      </c>
      <c r="P488" s="84" t="str">
        <f>IF(OR('asset_&amp;_open_positions'!$C488="",'asset_&amp;_open_positions'!$J488="SWAP",'asset_&amp;_open_positions'!$J488="FUTURE",'asset_&amp;_open_positions'!$J488="CME FUTURE"),"",'asset_&amp;_open_positions'!$M488)</f>
        <v>USD</v>
      </c>
      <c r="Q488" s="43">
        <f>IF(OR('asset_&amp;_open_positions'!$C488="",'asset_&amp;_open_positions'!$J488="SWAP",'asset_&amp;_open_positions'!$J488="FUTURE",'asset_&amp;_open_positions'!$J488="CME FUTURE"),"",'asset_&amp;_open_positions'!$H488)</f>
        <v>1</v>
      </c>
    </row>
    <row r="489" spans="14:17" x14ac:dyDescent="0.25">
      <c r="N489" s="84" t="str">
        <f>IF('asset_&amp;_open_positions'!$C489="","",'asset_&amp;_open_positions'!$E489)</f>
        <v>USD</v>
      </c>
      <c r="O489" s="43">
        <f>IF('asset_&amp;_open_positions'!$C489="","",'asset_&amp;_open_positions'!$H489)</f>
        <v>1</v>
      </c>
      <c r="P489" s="84" t="str">
        <f>IF(OR('asset_&amp;_open_positions'!$C489="",'asset_&amp;_open_positions'!$J489="SWAP",'asset_&amp;_open_positions'!$J489="FUTURE",'asset_&amp;_open_positions'!$J489="CME FUTURE"),"",'asset_&amp;_open_positions'!$M489)</f>
        <v>USD</v>
      </c>
      <c r="Q489" s="43">
        <f>IF(OR('asset_&amp;_open_positions'!$C489="",'asset_&amp;_open_positions'!$J489="SWAP",'asset_&amp;_open_positions'!$J489="FUTURE",'asset_&amp;_open_positions'!$J489="CME FUTURE"),"",'asset_&amp;_open_positions'!$H489)</f>
        <v>1</v>
      </c>
    </row>
    <row r="490" spans="14:17" x14ac:dyDescent="0.25">
      <c r="N490" s="84" t="str">
        <f>IF('asset_&amp;_open_positions'!$C490="","",'asset_&amp;_open_positions'!$E490)</f>
        <v>USD</v>
      </c>
      <c r="O490" s="43">
        <f>IF('asset_&amp;_open_positions'!$C490="","",'asset_&amp;_open_positions'!$H490)</f>
        <v>1</v>
      </c>
      <c r="P490" s="84" t="str">
        <f>IF(OR('asset_&amp;_open_positions'!$C490="",'asset_&amp;_open_positions'!$J490="SWAP",'asset_&amp;_open_positions'!$J490="FUTURE",'asset_&amp;_open_positions'!$J490="CME FUTURE"),"",'asset_&amp;_open_positions'!$M490)</f>
        <v>USD</v>
      </c>
      <c r="Q490" s="43">
        <f>IF(OR('asset_&amp;_open_positions'!$C490="",'asset_&amp;_open_positions'!$J490="SWAP",'asset_&amp;_open_positions'!$J490="FUTURE",'asset_&amp;_open_positions'!$J490="CME FUTURE"),"",'asset_&amp;_open_positions'!$H490)</f>
        <v>1</v>
      </c>
    </row>
    <row r="491" spans="14:17" x14ac:dyDescent="0.25">
      <c r="N491" s="84" t="str">
        <f>IF('asset_&amp;_open_positions'!$C491="","",'asset_&amp;_open_positions'!$E491)</f>
        <v/>
      </c>
      <c r="O491" s="43" t="str">
        <f>IF('asset_&amp;_open_positions'!$C491="","",'asset_&amp;_open_positions'!$H491)</f>
        <v/>
      </c>
      <c r="P491" s="84" t="str">
        <f>IF(OR('asset_&amp;_open_positions'!$C491="",'asset_&amp;_open_positions'!$J491="SWAP",'asset_&amp;_open_positions'!$J491="FUTURE",'asset_&amp;_open_positions'!$J491="CME FUTURE"),"",'asset_&amp;_open_positions'!$M491)</f>
        <v/>
      </c>
      <c r="Q491" s="43" t="str">
        <f>IF(OR('asset_&amp;_open_positions'!$C491="",'asset_&amp;_open_positions'!$J491="SWAP",'asset_&amp;_open_positions'!$J491="FUTURE",'asset_&amp;_open_positions'!$J491="CME FUTURE"),"",'asset_&amp;_open_positions'!$H491)</f>
        <v/>
      </c>
    </row>
    <row r="492" spans="14:17" x14ac:dyDescent="0.25">
      <c r="N492" s="84" t="str">
        <f>IF('asset_&amp;_open_positions'!$C492="","",'asset_&amp;_open_positions'!$E492)</f>
        <v/>
      </c>
      <c r="O492" s="43" t="str">
        <f>IF('asset_&amp;_open_positions'!$C492="","",'asset_&amp;_open_positions'!$H492)</f>
        <v/>
      </c>
      <c r="P492" s="84" t="str">
        <f>IF(OR('asset_&amp;_open_positions'!$C492="",'asset_&amp;_open_positions'!$J492="SWAP",'asset_&amp;_open_positions'!$J492="FUTURE",'asset_&amp;_open_positions'!$J492="CME FUTURE"),"",'asset_&amp;_open_positions'!$M492)</f>
        <v/>
      </c>
      <c r="Q492" s="43" t="str">
        <f>IF(OR('asset_&amp;_open_positions'!$C492="",'asset_&amp;_open_positions'!$J492="SWAP",'asset_&amp;_open_positions'!$J492="FUTURE",'asset_&amp;_open_positions'!$J492="CME FUTURE"),"",'asset_&amp;_open_positions'!$H492)</f>
        <v/>
      </c>
    </row>
    <row r="493" spans="14:17" x14ac:dyDescent="0.25">
      <c r="N493" s="84" t="str">
        <f>IF('asset_&amp;_open_positions'!$C493="","",'asset_&amp;_open_positions'!$E493)</f>
        <v/>
      </c>
      <c r="O493" s="43" t="str">
        <f>IF('asset_&amp;_open_positions'!$C493="","",'asset_&amp;_open_positions'!$H493)</f>
        <v/>
      </c>
      <c r="P493" s="84" t="str">
        <f>IF(OR('asset_&amp;_open_positions'!$C493="",'asset_&amp;_open_positions'!$J493="SWAP",'asset_&amp;_open_positions'!$J493="FUTURE",'asset_&amp;_open_positions'!$J493="CME FUTURE"),"",'asset_&amp;_open_positions'!$M493)</f>
        <v/>
      </c>
      <c r="Q493" s="43" t="str">
        <f>IF(OR('asset_&amp;_open_positions'!$C493="",'asset_&amp;_open_positions'!$J493="SWAP",'asset_&amp;_open_positions'!$J493="FUTURE",'asset_&amp;_open_positions'!$J493="CME FUTURE"),"",'asset_&amp;_open_positions'!$H493)</f>
        <v/>
      </c>
    </row>
    <row r="494" spans="14:17" x14ac:dyDescent="0.25">
      <c r="N494" s="84" t="str">
        <f>IF('asset_&amp;_open_positions'!$C494="","",'asset_&amp;_open_positions'!$E494)</f>
        <v/>
      </c>
      <c r="O494" s="43" t="str">
        <f>IF('asset_&amp;_open_positions'!$C494="","",'asset_&amp;_open_positions'!$H494)</f>
        <v/>
      </c>
      <c r="P494" s="84" t="str">
        <f>IF(OR('asset_&amp;_open_positions'!$C494="",'asset_&amp;_open_positions'!$J494="SWAP",'asset_&amp;_open_positions'!$J494="FUTURE",'asset_&amp;_open_positions'!$J494="CME FUTURE"),"",'asset_&amp;_open_positions'!$M494)</f>
        <v/>
      </c>
      <c r="Q494" s="43" t="str">
        <f>IF(OR('asset_&amp;_open_positions'!$C494="",'asset_&amp;_open_positions'!$J494="SWAP",'asset_&amp;_open_positions'!$J494="FUTURE",'asset_&amp;_open_positions'!$J494="CME FUTURE"),"",'asset_&amp;_open_positions'!$H494)</f>
        <v/>
      </c>
    </row>
    <row r="495" spans="14:17" x14ac:dyDescent="0.25">
      <c r="N495" s="84" t="str">
        <f>IF('asset_&amp;_open_positions'!$C495="","",'asset_&amp;_open_positions'!$E495)</f>
        <v/>
      </c>
      <c r="O495" s="43" t="str">
        <f>IF('asset_&amp;_open_positions'!$C495="","",'asset_&amp;_open_positions'!$H495)</f>
        <v/>
      </c>
      <c r="P495" s="84" t="str">
        <f>IF(OR('asset_&amp;_open_positions'!$C495="",'asset_&amp;_open_positions'!$J495="SWAP",'asset_&amp;_open_positions'!$J495="FUTURE",'asset_&amp;_open_positions'!$J495="CME FUTURE"),"",'asset_&amp;_open_positions'!$M495)</f>
        <v/>
      </c>
      <c r="Q495" s="43" t="str">
        <f>IF(OR('asset_&amp;_open_positions'!$C495="",'asset_&amp;_open_positions'!$J495="SWAP",'asset_&amp;_open_positions'!$J495="FUTURE",'asset_&amp;_open_positions'!$J495="CME FUTURE"),"",'asset_&amp;_open_positions'!$H495)</f>
        <v/>
      </c>
    </row>
    <row r="496" spans="14:17" x14ac:dyDescent="0.25">
      <c r="N496" s="84" t="str">
        <f>IF('asset_&amp;_open_positions'!$C496="","",'asset_&amp;_open_positions'!$E496)</f>
        <v/>
      </c>
      <c r="O496" s="43" t="str">
        <f>IF('asset_&amp;_open_positions'!$C496="","",'asset_&amp;_open_positions'!$H496)</f>
        <v/>
      </c>
      <c r="P496" s="84" t="str">
        <f>IF(OR('asset_&amp;_open_positions'!$C496="",'asset_&amp;_open_positions'!$J496="SWAP",'asset_&amp;_open_positions'!$J496="FUTURE",'asset_&amp;_open_positions'!$J496="CME FUTURE"),"",'asset_&amp;_open_positions'!$M496)</f>
        <v/>
      </c>
      <c r="Q496" s="43" t="str">
        <f>IF(OR('asset_&amp;_open_positions'!$C496="",'asset_&amp;_open_positions'!$J496="SWAP",'asset_&amp;_open_positions'!$J496="FUTURE",'asset_&amp;_open_positions'!$J496="CME FUTURE"),"",'asset_&amp;_open_positions'!$H496)</f>
        <v/>
      </c>
    </row>
    <row r="497" spans="14:17" x14ac:dyDescent="0.25">
      <c r="N497" s="84" t="str">
        <f>IF('asset_&amp;_open_positions'!$C497="","",'asset_&amp;_open_positions'!$E497)</f>
        <v/>
      </c>
      <c r="O497" s="43" t="str">
        <f>IF('asset_&amp;_open_positions'!$C497="","",'asset_&amp;_open_positions'!$H497)</f>
        <v/>
      </c>
      <c r="P497" s="84" t="str">
        <f>IF(OR('asset_&amp;_open_positions'!$C497="",'asset_&amp;_open_positions'!$J497="SWAP",'asset_&amp;_open_positions'!$J497="FUTURE",'asset_&amp;_open_positions'!$J497="CME FUTURE"),"",'asset_&amp;_open_positions'!$M497)</f>
        <v/>
      </c>
      <c r="Q497" s="43" t="str">
        <f>IF(OR('asset_&amp;_open_positions'!$C497="",'asset_&amp;_open_positions'!$J497="SWAP",'asset_&amp;_open_positions'!$J497="FUTURE",'asset_&amp;_open_positions'!$J497="CME FUTURE"),"",'asset_&amp;_open_positions'!$H497)</f>
        <v/>
      </c>
    </row>
    <row r="498" spans="14:17" x14ac:dyDescent="0.25">
      <c r="N498" s="84" t="str">
        <f>IF('asset_&amp;_open_positions'!$C498="","",'asset_&amp;_open_positions'!$E498)</f>
        <v/>
      </c>
      <c r="O498" s="43" t="str">
        <f>IF('asset_&amp;_open_positions'!$C498="","",'asset_&amp;_open_positions'!$H498)</f>
        <v/>
      </c>
      <c r="P498" s="84" t="str">
        <f>IF(OR('asset_&amp;_open_positions'!$C498="",'asset_&amp;_open_positions'!$J498="SWAP",'asset_&amp;_open_positions'!$J498="FUTURE",'asset_&amp;_open_positions'!$J498="CME FUTURE"),"",'asset_&amp;_open_positions'!$M498)</f>
        <v/>
      </c>
      <c r="Q498" s="43" t="str">
        <f>IF(OR('asset_&amp;_open_positions'!$C498="",'asset_&amp;_open_positions'!$J498="SWAP",'asset_&amp;_open_positions'!$J498="FUTURE",'asset_&amp;_open_positions'!$J498="CME FUTURE"),"",'asset_&amp;_open_positions'!$H498)</f>
        <v/>
      </c>
    </row>
    <row r="499" spans="14:17" x14ac:dyDescent="0.25">
      <c r="N499" s="84" t="str">
        <f>IF('asset_&amp;_open_positions'!$C499="","",'asset_&amp;_open_positions'!$E499)</f>
        <v/>
      </c>
      <c r="O499" s="43" t="str">
        <f>IF('asset_&amp;_open_positions'!$C499="","",'asset_&amp;_open_positions'!$H499)</f>
        <v/>
      </c>
      <c r="P499" s="84" t="str">
        <f>IF(OR('asset_&amp;_open_positions'!$C499="",'asset_&amp;_open_positions'!$J499="SWAP",'asset_&amp;_open_positions'!$J499="FUTURE",'asset_&amp;_open_positions'!$J499="CME FUTURE"),"",'asset_&amp;_open_positions'!$M499)</f>
        <v/>
      </c>
      <c r="Q499" s="43" t="str">
        <f>IF(OR('asset_&amp;_open_positions'!$C499="",'asset_&amp;_open_positions'!$J499="SWAP",'asset_&amp;_open_positions'!$J499="FUTURE",'asset_&amp;_open_positions'!$J499="CME FUTURE"),"",'asset_&amp;_open_positions'!$H499)</f>
        <v/>
      </c>
    </row>
    <row r="500" spans="14:17" x14ac:dyDescent="0.25">
      <c r="N500" s="84" t="str">
        <f>IF('asset_&amp;_open_positions'!$C500="","",'asset_&amp;_open_positions'!$E500)</f>
        <v/>
      </c>
      <c r="O500" s="43" t="str">
        <f>IF('asset_&amp;_open_positions'!$C500="","",'asset_&amp;_open_positions'!$H500)</f>
        <v/>
      </c>
      <c r="P500" s="84" t="str">
        <f>IF(OR('asset_&amp;_open_positions'!$C500="",'asset_&amp;_open_positions'!$J500="SWAP",'asset_&amp;_open_positions'!$J500="FUTURE",'asset_&amp;_open_positions'!$J500="CME FUTURE"),"",'asset_&amp;_open_positions'!$M500)</f>
        <v/>
      </c>
      <c r="Q500" s="43" t="str">
        <f>IF(OR('asset_&amp;_open_positions'!$C500="",'asset_&amp;_open_positions'!$J500="SWAP",'asset_&amp;_open_positions'!$J500="FUTURE",'asset_&amp;_open_positions'!$J500="CME FUTURE"),"",'asset_&amp;_open_positions'!$H500)</f>
        <v/>
      </c>
    </row>
    <row r="501" spans="14:17" x14ac:dyDescent="0.25">
      <c r="N501" s="84" t="str">
        <f>IF('asset_&amp;_open_positions'!$C501="","",'asset_&amp;_open_positions'!$E501)</f>
        <v/>
      </c>
      <c r="O501" s="43" t="str">
        <f>IF('asset_&amp;_open_positions'!$C501="","",'asset_&amp;_open_positions'!$H501)</f>
        <v/>
      </c>
      <c r="P501" s="84" t="str">
        <f>IF(OR('asset_&amp;_open_positions'!$C501="",'asset_&amp;_open_positions'!$J501="SWAP",'asset_&amp;_open_positions'!$J501="FUTURE",'asset_&amp;_open_positions'!$J501="CME FUTURE"),"",'asset_&amp;_open_positions'!$M501)</f>
        <v/>
      </c>
      <c r="Q501" s="43" t="str">
        <f>IF(OR('asset_&amp;_open_positions'!$C501="",'asset_&amp;_open_positions'!$J501="SWAP",'asset_&amp;_open_positions'!$J501="FUTURE",'asset_&amp;_open_positions'!$J501="CME FUTURE"),"",'asset_&amp;_open_positions'!$H501)</f>
        <v/>
      </c>
    </row>
    <row r="502" spans="14:17" x14ac:dyDescent="0.25">
      <c r="N502" s="84" t="str">
        <f>IF('asset_&amp;_open_positions'!$C502="","",'asset_&amp;_open_positions'!$E502)</f>
        <v/>
      </c>
      <c r="O502" s="43" t="str">
        <f>IF('asset_&amp;_open_positions'!$C502="","",'asset_&amp;_open_positions'!$H502)</f>
        <v/>
      </c>
      <c r="P502" s="84" t="str">
        <f>IF(OR('asset_&amp;_open_positions'!$C502="",'asset_&amp;_open_positions'!$J502="SWAP",'asset_&amp;_open_positions'!$J502="FUTURE",'asset_&amp;_open_positions'!$J502="CME FUTURE"),"",'asset_&amp;_open_positions'!$M502)</f>
        <v/>
      </c>
      <c r="Q502" s="43" t="str">
        <f>IF(OR('asset_&amp;_open_positions'!$C502="",'asset_&amp;_open_positions'!$J502="SWAP",'asset_&amp;_open_positions'!$J502="FUTURE",'asset_&amp;_open_positions'!$J502="CME FUTURE"),"",'asset_&amp;_open_positions'!$H502)</f>
        <v/>
      </c>
    </row>
    <row r="503" spans="14:17" x14ac:dyDescent="0.25">
      <c r="N503" s="84" t="str">
        <f>IF('asset_&amp;_open_positions'!$C503="","",'asset_&amp;_open_positions'!$E503)</f>
        <v/>
      </c>
      <c r="O503" s="43" t="str">
        <f>IF('asset_&amp;_open_positions'!$C503="","",'asset_&amp;_open_positions'!$H503)</f>
        <v/>
      </c>
      <c r="P503" s="84" t="str">
        <f>IF(OR('asset_&amp;_open_positions'!$C503="",'asset_&amp;_open_positions'!$J503="SWAP",'asset_&amp;_open_positions'!$J503="FUTURE",'asset_&amp;_open_positions'!$J503="CME FUTURE"),"",'asset_&amp;_open_positions'!$M503)</f>
        <v/>
      </c>
      <c r="Q503" s="43" t="str">
        <f>IF(OR('asset_&amp;_open_positions'!$C503="",'asset_&amp;_open_positions'!$J503="SWAP",'asset_&amp;_open_positions'!$J503="FUTURE",'asset_&amp;_open_positions'!$J503="CME FUTURE"),"",'asset_&amp;_open_positions'!$H503)</f>
        <v/>
      </c>
    </row>
    <row r="504" spans="14:17" x14ac:dyDescent="0.25">
      <c r="N504" s="84" t="str">
        <f>IF('asset_&amp;_open_positions'!$C504="","",'asset_&amp;_open_positions'!$E504)</f>
        <v/>
      </c>
      <c r="O504" s="43" t="str">
        <f>IF('asset_&amp;_open_positions'!$C504="","",'asset_&amp;_open_positions'!$H504)</f>
        <v/>
      </c>
      <c r="P504" s="84" t="str">
        <f>IF(OR('asset_&amp;_open_positions'!$C504="",'asset_&amp;_open_positions'!$J504="SWAP",'asset_&amp;_open_positions'!$J504="FUTURE",'asset_&amp;_open_positions'!$J504="CME FUTURE"),"",'asset_&amp;_open_positions'!$M504)</f>
        <v/>
      </c>
      <c r="Q504" s="43" t="str">
        <f>IF(OR('asset_&amp;_open_positions'!$C504="",'asset_&amp;_open_positions'!$J504="SWAP",'asset_&amp;_open_positions'!$J504="FUTURE",'asset_&amp;_open_positions'!$J504="CME FUTURE"),"",'asset_&amp;_open_positions'!$H504)</f>
        <v/>
      </c>
    </row>
    <row r="505" spans="14:17" x14ac:dyDescent="0.25">
      <c r="N505" s="84" t="str">
        <f>IF('asset_&amp;_open_positions'!$C505="","",'asset_&amp;_open_positions'!$E505)</f>
        <v/>
      </c>
      <c r="O505" s="43" t="str">
        <f>IF('asset_&amp;_open_positions'!$C505="","",'asset_&amp;_open_positions'!$H505)</f>
        <v/>
      </c>
      <c r="P505" s="84" t="str">
        <f>IF(OR('asset_&amp;_open_positions'!$C505="",'asset_&amp;_open_positions'!$J505="SWAP",'asset_&amp;_open_positions'!$J505="FUTURE",'asset_&amp;_open_positions'!$J505="CME FUTURE"),"",'asset_&amp;_open_positions'!$M505)</f>
        <v/>
      </c>
      <c r="Q505" s="43" t="str">
        <f>IF(OR('asset_&amp;_open_positions'!$C505="",'asset_&amp;_open_positions'!$J505="SWAP",'asset_&amp;_open_positions'!$J505="FUTURE",'asset_&amp;_open_positions'!$J505="CME FUTURE"),"",'asset_&amp;_open_positions'!$H505)</f>
        <v/>
      </c>
    </row>
    <row r="506" spans="14:17" x14ac:dyDescent="0.25">
      <c r="N506" s="84" t="str">
        <f>IF('asset_&amp;_open_positions'!$C506="","",'asset_&amp;_open_positions'!$E506)</f>
        <v/>
      </c>
      <c r="O506" s="43" t="str">
        <f>IF('asset_&amp;_open_positions'!$C506="","",'asset_&amp;_open_positions'!$H506)</f>
        <v/>
      </c>
      <c r="P506" s="84" t="str">
        <f>IF(OR('asset_&amp;_open_positions'!$C506="",'asset_&amp;_open_positions'!$J506="SWAP",'asset_&amp;_open_positions'!$J506="FUTURE",'asset_&amp;_open_positions'!$J506="CME FUTURE"),"",'asset_&amp;_open_positions'!$M506)</f>
        <v/>
      </c>
      <c r="Q506" s="43" t="str">
        <f>IF(OR('asset_&amp;_open_positions'!$C506="",'asset_&amp;_open_positions'!$J506="SWAP",'asset_&amp;_open_positions'!$J506="FUTURE",'asset_&amp;_open_positions'!$J506="CME FUTURE"),"",'asset_&amp;_open_positions'!$H506)</f>
        <v/>
      </c>
    </row>
    <row r="507" spans="14:17" x14ac:dyDescent="0.25">
      <c r="N507" s="84" t="str">
        <f>IF('asset_&amp;_open_positions'!$C507="","",'asset_&amp;_open_positions'!$E507)</f>
        <v/>
      </c>
      <c r="O507" s="43" t="str">
        <f>IF('asset_&amp;_open_positions'!$C507="","",'asset_&amp;_open_positions'!$H507)</f>
        <v/>
      </c>
      <c r="P507" s="84" t="str">
        <f>IF(OR('asset_&amp;_open_positions'!$C507="",'asset_&amp;_open_positions'!$J507="SWAP",'asset_&amp;_open_positions'!$J507="FUTURE",'asset_&amp;_open_positions'!$J507="CME FUTURE"),"",'asset_&amp;_open_positions'!$M507)</f>
        <v/>
      </c>
      <c r="Q507" s="43" t="str">
        <f>IF(OR('asset_&amp;_open_positions'!$C507="",'asset_&amp;_open_positions'!$J507="SWAP",'asset_&amp;_open_positions'!$J507="FUTURE",'asset_&amp;_open_positions'!$J507="CME FUTURE"),"",'asset_&amp;_open_positions'!$H507)</f>
        <v/>
      </c>
    </row>
    <row r="508" spans="14:17" x14ac:dyDescent="0.25">
      <c r="N508" s="84" t="str">
        <f>IF('asset_&amp;_open_positions'!$C508="","",'asset_&amp;_open_positions'!$E508)</f>
        <v/>
      </c>
      <c r="O508" s="43" t="str">
        <f>IF('asset_&amp;_open_positions'!$C508="","",'asset_&amp;_open_positions'!$H508)</f>
        <v/>
      </c>
      <c r="P508" s="84" t="str">
        <f>IF(OR('asset_&amp;_open_positions'!$C508="",'asset_&amp;_open_positions'!$J508="SWAP",'asset_&amp;_open_positions'!$J508="FUTURE",'asset_&amp;_open_positions'!$J508="CME FUTURE"),"",'asset_&amp;_open_positions'!$M508)</f>
        <v/>
      </c>
      <c r="Q508" s="43" t="str">
        <f>IF(OR('asset_&amp;_open_positions'!$C508="",'asset_&amp;_open_positions'!$J508="SWAP",'asset_&amp;_open_positions'!$J508="FUTURE",'asset_&amp;_open_positions'!$J508="CME FUTURE"),"",'asset_&amp;_open_positions'!$H508)</f>
        <v/>
      </c>
    </row>
    <row r="509" spans="14:17" x14ac:dyDescent="0.25">
      <c r="N509" s="84" t="str">
        <f>IF('asset_&amp;_open_positions'!$C509="","",'asset_&amp;_open_positions'!$E509)</f>
        <v/>
      </c>
      <c r="O509" s="43" t="str">
        <f>IF('asset_&amp;_open_positions'!$C509="","",'asset_&amp;_open_positions'!$H509)</f>
        <v/>
      </c>
      <c r="P509" s="84" t="str">
        <f>IF(OR('asset_&amp;_open_positions'!$C509="",'asset_&amp;_open_positions'!$J509="SWAP",'asset_&amp;_open_positions'!$J509="FUTURE",'asset_&amp;_open_positions'!$J509="CME FUTURE"),"",'asset_&amp;_open_positions'!$M509)</f>
        <v/>
      </c>
      <c r="Q509" s="43" t="str">
        <f>IF(OR('asset_&amp;_open_positions'!$C509="",'asset_&amp;_open_positions'!$J509="SWAP",'asset_&amp;_open_positions'!$J509="FUTURE",'asset_&amp;_open_positions'!$J509="CME FUTURE"),"",'asset_&amp;_open_positions'!$H509)</f>
        <v/>
      </c>
    </row>
    <row r="510" spans="14:17" x14ac:dyDescent="0.25">
      <c r="N510" s="84" t="str">
        <f>IF('asset_&amp;_open_positions'!$C510="","",'asset_&amp;_open_positions'!$E510)</f>
        <v/>
      </c>
      <c r="O510" s="43" t="str">
        <f>IF('asset_&amp;_open_positions'!$C510="","",'asset_&amp;_open_positions'!$H510)</f>
        <v/>
      </c>
      <c r="P510" s="84" t="str">
        <f>IF(OR('asset_&amp;_open_positions'!$C510="",'asset_&amp;_open_positions'!$J510="SWAP",'asset_&amp;_open_positions'!$J510="FUTURE",'asset_&amp;_open_positions'!$J510="CME FUTURE"),"",'asset_&amp;_open_positions'!$M510)</f>
        <v/>
      </c>
      <c r="Q510" s="43" t="str">
        <f>IF(OR('asset_&amp;_open_positions'!$C510="",'asset_&amp;_open_positions'!$J510="SWAP",'asset_&amp;_open_positions'!$J510="FUTURE",'asset_&amp;_open_positions'!$J510="CME FUTURE"),"",'asset_&amp;_open_positions'!$H510)</f>
        <v/>
      </c>
    </row>
    <row r="511" spans="14:17" x14ac:dyDescent="0.25">
      <c r="N511" s="84" t="str">
        <f>IF('asset_&amp;_open_positions'!$C511="","",'asset_&amp;_open_positions'!$E511)</f>
        <v/>
      </c>
      <c r="O511" s="43" t="str">
        <f>IF('asset_&amp;_open_positions'!$C511="","",'asset_&amp;_open_positions'!$H511)</f>
        <v/>
      </c>
      <c r="P511" s="84" t="str">
        <f>IF(OR('asset_&amp;_open_positions'!$C511="",'asset_&amp;_open_positions'!$J511="SWAP",'asset_&amp;_open_positions'!$J511="FUTURE",'asset_&amp;_open_positions'!$J511="CME FUTURE"),"",'asset_&amp;_open_positions'!$M511)</f>
        <v/>
      </c>
      <c r="Q511" s="43" t="str">
        <f>IF(OR('asset_&amp;_open_positions'!$C511="",'asset_&amp;_open_positions'!$J511="SWAP",'asset_&amp;_open_positions'!$J511="FUTURE",'asset_&amp;_open_positions'!$J511="CME FUTURE"),"",'asset_&amp;_open_positions'!$H511)</f>
        <v/>
      </c>
    </row>
    <row r="512" spans="14:17" x14ac:dyDescent="0.25">
      <c r="N512" s="84" t="str">
        <f>IF('asset_&amp;_open_positions'!$C512="","",'asset_&amp;_open_positions'!$E512)</f>
        <v/>
      </c>
      <c r="O512" s="43" t="str">
        <f>IF('asset_&amp;_open_positions'!$C512="","",'asset_&amp;_open_positions'!$H512)</f>
        <v/>
      </c>
      <c r="P512" s="84" t="str">
        <f>IF(OR('asset_&amp;_open_positions'!$C512="",'asset_&amp;_open_positions'!$J512="SWAP",'asset_&amp;_open_positions'!$J512="FUTURE",'asset_&amp;_open_positions'!$J512="CME FUTURE"),"",'asset_&amp;_open_positions'!$M512)</f>
        <v/>
      </c>
      <c r="Q512" s="43" t="str">
        <f>IF(OR('asset_&amp;_open_positions'!$C512="",'asset_&amp;_open_positions'!$J512="SWAP",'asset_&amp;_open_positions'!$J512="FUTURE",'asset_&amp;_open_positions'!$J512="CME FUTURE"),"",'asset_&amp;_open_positions'!$H512)</f>
        <v/>
      </c>
    </row>
    <row r="513" spans="14:17" x14ac:dyDescent="0.25">
      <c r="N513" s="84" t="str">
        <f>IF('asset_&amp;_open_positions'!$C513="","",'asset_&amp;_open_positions'!$E513)</f>
        <v/>
      </c>
      <c r="O513" s="43" t="str">
        <f>IF('asset_&amp;_open_positions'!$C513="","",'asset_&amp;_open_positions'!$H513)</f>
        <v/>
      </c>
      <c r="P513" s="84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Q513" s="43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4:17" x14ac:dyDescent="0.25">
      <c r="N514" s="84" t="str">
        <f>IF('asset_&amp;_open_positions'!$C514="","",'asset_&amp;_open_positions'!$E514)</f>
        <v/>
      </c>
      <c r="O514" s="43" t="str">
        <f>IF('asset_&amp;_open_positions'!$C514="","",'asset_&amp;_open_positions'!$H514)</f>
        <v/>
      </c>
      <c r="P514" s="84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Q514" s="43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4:17" x14ac:dyDescent="0.25">
      <c r="N515" s="84" t="str">
        <f>IF('asset_&amp;_open_positions'!$C515="","",'asset_&amp;_open_positions'!$E515)</f>
        <v/>
      </c>
      <c r="O515" s="43" t="str">
        <f>IF('asset_&amp;_open_positions'!$C515="","",'asset_&amp;_open_positions'!$H515)</f>
        <v/>
      </c>
      <c r="P515" s="84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Q515" s="43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4:17" x14ac:dyDescent="0.25">
      <c r="N516" s="84" t="str">
        <f>IF('asset_&amp;_open_positions'!$C516="","",'asset_&amp;_open_positions'!$E516)</f>
        <v/>
      </c>
      <c r="O516" s="43" t="str">
        <f>IF('asset_&amp;_open_positions'!$C516="","",'asset_&amp;_open_positions'!$H516)</f>
        <v/>
      </c>
      <c r="P516" s="84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Q516" s="43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4:17" x14ac:dyDescent="0.25">
      <c r="N517" s="84" t="str">
        <f>IF('asset_&amp;_open_positions'!$C517="","",'asset_&amp;_open_positions'!$E517)</f>
        <v/>
      </c>
      <c r="O517" s="43" t="str">
        <f>IF('asset_&amp;_open_positions'!$C517="","",'asset_&amp;_open_positions'!$H517)</f>
        <v/>
      </c>
      <c r="P517" s="84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Q517" s="43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4:17" x14ac:dyDescent="0.25">
      <c r="N518" s="84" t="str">
        <f>IF('asset_&amp;_open_positions'!$C518="","",'asset_&amp;_open_positions'!$E518)</f>
        <v/>
      </c>
      <c r="O518" s="43" t="str">
        <f>IF('asset_&amp;_open_positions'!$C518="","",'asset_&amp;_open_positions'!$H518)</f>
        <v/>
      </c>
      <c r="P518" s="84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Q518" s="43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4:17" x14ac:dyDescent="0.25">
      <c r="N519" s="84" t="str">
        <f>IF('asset_&amp;_open_positions'!$C519="","",'asset_&amp;_open_positions'!$E519)</f>
        <v/>
      </c>
      <c r="O519" s="43" t="str">
        <f>IF('asset_&amp;_open_positions'!$C519="","",'asset_&amp;_open_positions'!$H519)</f>
        <v/>
      </c>
      <c r="P519" s="84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Q519" s="43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4:17" x14ac:dyDescent="0.25">
      <c r="N520" s="84" t="str">
        <f>IF('asset_&amp;_open_positions'!$C520="","",'asset_&amp;_open_positions'!$E520)</f>
        <v/>
      </c>
      <c r="O520" s="43" t="str">
        <f>IF('asset_&amp;_open_positions'!$C520="","",'asset_&amp;_open_positions'!$H520)</f>
        <v/>
      </c>
      <c r="P520" s="84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Q520" s="43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4:17" x14ac:dyDescent="0.25">
      <c r="N521" s="84" t="str">
        <f>IF('asset_&amp;_open_positions'!$C521="","",'asset_&amp;_open_positions'!$E521)</f>
        <v/>
      </c>
      <c r="O521" s="43" t="str">
        <f>IF('asset_&amp;_open_positions'!$C521="","",'asset_&amp;_open_positions'!$H521)</f>
        <v/>
      </c>
      <c r="P521" s="84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Q521" s="43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4:17" x14ac:dyDescent="0.25">
      <c r="N522" s="84" t="str">
        <f>IF('asset_&amp;_open_positions'!$C522="","",'asset_&amp;_open_positions'!$E522)</f>
        <v/>
      </c>
      <c r="O522" s="43" t="str">
        <f>IF('asset_&amp;_open_positions'!$C522="","",'asset_&amp;_open_positions'!$H522)</f>
        <v/>
      </c>
      <c r="P522" s="84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Q522" s="43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4:17" x14ac:dyDescent="0.25">
      <c r="N523" s="84" t="str">
        <f>IF('asset_&amp;_open_positions'!$C523="","",'asset_&amp;_open_positions'!$E523)</f>
        <v/>
      </c>
      <c r="O523" s="43" t="str">
        <f>IF('asset_&amp;_open_positions'!$C523="","",'asset_&amp;_open_positions'!$H523)</f>
        <v/>
      </c>
      <c r="P523" s="84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Q523" s="43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4:17" x14ac:dyDescent="0.25">
      <c r="N524" s="84" t="str">
        <f>IF('asset_&amp;_open_positions'!$C524="","",'asset_&amp;_open_positions'!$E524)</f>
        <v/>
      </c>
      <c r="O524" s="43" t="str">
        <f>IF('asset_&amp;_open_positions'!$C524="","",'asset_&amp;_open_positions'!$H524)</f>
        <v/>
      </c>
      <c r="P524" s="84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Q524" s="43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4:17" x14ac:dyDescent="0.25">
      <c r="N525" s="84" t="str">
        <f>IF('asset_&amp;_open_positions'!$C525="","",'asset_&amp;_open_positions'!$E525)</f>
        <v/>
      </c>
      <c r="O525" s="43" t="str">
        <f>IF('asset_&amp;_open_positions'!$C525="","",'asset_&amp;_open_positions'!$H525)</f>
        <v/>
      </c>
      <c r="P525" s="84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Q525" s="43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4:17" x14ac:dyDescent="0.25">
      <c r="N526" s="84" t="str">
        <f>IF('asset_&amp;_open_positions'!$C526="","",'asset_&amp;_open_positions'!$E526)</f>
        <v/>
      </c>
      <c r="O526" s="43" t="str">
        <f>IF('asset_&amp;_open_positions'!$C526="","",'asset_&amp;_open_positions'!$H526)</f>
        <v/>
      </c>
      <c r="P526" s="84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Q526" s="43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4:17" x14ac:dyDescent="0.25">
      <c r="N527" s="84" t="str">
        <f>IF('asset_&amp;_open_positions'!$C527="","",'asset_&amp;_open_positions'!$E527)</f>
        <v/>
      </c>
      <c r="O527" s="43" t="str">
        <f>IF('asset_&amp;_open_positions'!$C527="","",'asset_&amp;_open_positions'!$H527)</f>
        <v/>
      </c>
      <c r="P527" s="84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Q527" s="43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4:17" x14ac:dyDescent="0.25">
      <c r="N528" s="84" t="str">
        <f>IF('asset_&amp;_open_positions'!$C528="","",'asset_&amp;_open_positions'!$E528)</f>
        <v/>
      </c>
      <c r="O528" s="43" t="str">
        <f>IF('asset_&amp;_open_positions'!$C528="","",'asset_&amp;_open_positions'!$H528)</f>
        <v/>
      </c>
      <c r="P528" s="84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Q528" s="43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4:17" x14ac:dyDescent="0.25">
      <c r="N529" s="84" t="str">
        <f>IF('asset_&amp;_open_positions'!$C529="","",'asset_&amp;_open_positions'!$E529)</f>
        <v/>
      </c>
      <c r="O529" s="43" t="str">
        <f>IF('asset_&amp;_open_positions'!$C529="","",'asset_&amp;_open_positions'!$H529)</f>
        <v/>
      </c>
      <c r="P529" s="84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Q529" s="43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4:17" x14ac:dyDescent="0.25">
      <c r="N530" s="84" t="str">
        <f>IF('asset_&amp;_open_positions'!$C530="","",'asset_&amp;_open_positions'!$E530)</f>
        <v/>
      </c>
      <c r="O530" s="43" t="str">
        <f>IF('asset_&amp;_open_positions'!$C530="","",'asset_&amp;_open_positions'!$H530)</f>
        <v/>
      </c>
      <c r="P530" s="84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Q530" s="43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4:17" x14ac:dyDescent="0.25">
      <c r="N531" s="84" t="str">
        <f>IF('asset_&amp;_open_positions'!$C531="","",'asset_&amp;_open_positions'!$E531)</f>
        <v/>
      </c>
      <c r="O531" s="43" t="str">
        <f>IF('asset_&amp;_open_positions'!$C531="","",'asset_&amp;_open_positions'!$H531)</f>
        <v/>
      </c>
      <c r="P531" s="84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Q531" s="43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4:17" x14ac:dyDescent="0.25">
      <c r="N532" s="84" t="str">
        <f>IF('asset_&amp;_open_positions'!$C532="","",'asset_&amp;_open_positions'!$E532)</f>
        <v/>
      </c>
      <c r="O532" s="43" t="str">
        <f>IF('asset_&amp;_open_positions'!$C532="","",'asset_&amp;_open_positions'!$H532)</f>
        <v/>
      </c>
      <c r="P532" s="84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Q532" s="43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4:17" x14ac:dyDescent="0.25">
      <c r="N533" s="84" t="str">
        <f>IF('asset_&amp;_open_positions'!$C533="","",'asset_&amp;_open_positions'!$E533)</f>
        <v/>
      </c>
      <c r="O533" s="43" t="str">
        <f>IF('asset_&amp;_open_positions'!$C533="","",'asset_&amp;_open_positions'!$H533)</f>
        <v/>
      </c>
      <c r="P533" s="84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Q533" s="43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4:17" x14ac:dyDescent="0.25">
      <c r="N534" s="84" t="str">
        <f>IF('asset_&amp;_open_positions'!$C534="","",'asset_&amp;_open_positions'!$E534)</f>
        <v/>
      </c>
      <c r="O534" s="43" t="str">
        <f>IF('asset_&amp;_open_positions'!$C534="","",'asset_&amp;_open_positions'!$H534)</f>
        <v/>
      </c>
      <c r="P534" s="84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Q534" s="43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4:17" x14ac:dyDescent="0.25">
      <c r="N535" s="84" t="str">
        <f>IF('asset_&amp;_open_positions'!$C535="","",'asset_&amp;_open_positions'!$E535)</f>
        <v/>
      </c>
      <c r="O535" s="43" t="str">
        <f>IF('asset_&amp;_open_positions'!$C535="","",'asset_&amp;_open_positions'!$H535)</f>
        <v/>
      </c>
      <c r="P535" s="84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Q535" s="43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4:17" x14ac:dyDescent="0.25">
      <c r="N536" s="84" t="str">
        <f>IF('asset_&amp;_open_positions'!$C536="","",'asset_&amp;_open_positions'!$E536)</f>
        <v/>
      </c>
      <c r="O536" s="43" t="str">
        <f>IF('asset_&amp;_open_positions'!$C536="","",'asset_&amp;_open_positions'!$H536)</f>
        <v/>
      </c>
      <c r="P536" s="84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Q536" s="43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4:17" x14ac:dyDescent="0.25">
      <c r="N537" s="84" t="str">
        <f>IF('asset_&amp;_open_positions'!$C537="","",'asset_&amp;_open_positions'!$E537)</f>
        <v/>
      </c>
      <c r="O537" s="43" t="str">
        <f>IF('asset_&amp;_open_positions'!$C537="","",'asset_&amp;_open_positions'!$H537)</f>
        <v/>
      </c>
      <c r="P537" s="84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Q537" s="43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4:17" x14ac:dyDescent="0.25">
      <c r="N538" s="84" t="str">
        <f>IF('asset_&amp;_open_positions'!$C538="","",'asset_&amp;_open_positions'!$E538)</f>
        <v/>
      </c>
      <c r="O538" s="43" t="str">
        <f>IF('asset_&amp;_open_positions'!$C538="","",'asset_&amp;_open_positions'!$H538)</f>
        <v/>
      </c>
      <c r="P538" s="84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Q538" s="43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4:17" x14ac:dyDescent="0.25">
      <c r="N539" s="84" t="str">
        <f>IF('asset_&amp;_open_positions'!$C539="","",'asset_&amp;_open_positions'!$E539)</f>
        <v/>
      </c>
      <c r="O539" s="43" t="str">
        <f>IF('asset_&amp;_open_positions'!$C539="","",'asset_&amp;_open_positions'!$H539)</f>
        <v/>
      </c>
      <c r="P539" s="84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Q539" s="43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4:17" x14ac:dyDescent="0.25">
      <c r="N540" s="84" t="str">
        <f>IF('asset_&amp;_open_positions'!$C540="","",'asset_&amp;_open_positions'!$E540)</f>
        <v/>
      </c>
      <c r="O540" s="43" t="str">
        <f>IF('asset_&amp;_open_positions'!$C540="","",'asset_&amp;_open_positions'!$H540)</f>
        <v/>
      </c>
      <c r="P540" s="84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Q540" s="43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Basis</vt:lpstr>
      <vt:lpstr>Trading Positions</vt:lpstr>
      <vt:lpstr>NetAssets</vt:lpstr>
      <vt:lpstr>Futures &amp; Perps Summary</vt:lpstr>
      <vt:lpstr>Exchange-Positions Day-On-Day</vt:lpstr>
      <vt:lpstr>Exchange-Positions</vt:lpstr>
      <vt:lpstr>Futures &amp; Perps Shifted</vt:lpstr>
      <vt:lpstr>asset_&amp;_open_positions</vt:lpstr>
      <vt:lpstr>net_open_positions</vt:lpstr>
      <vt:lpstr>Databricks NAVX Recon</vt:lpstr>
      <vt:lpstr>Summary_Exchange_Balances_00UTC</vt:lpstr>
      <vt:lpstr>Mappings</vt:lpstr>
      <vt:lpstr>Default_Exchange</vt:lpstr>
      <vt:lpstr>DefaultScenario</vt:lpstr>
      <vt:lpstr>LatestGrandTotal</vt:lpstr>
      <vt:lpstr>LGD</vt:lpstr>
      <vt:lpstr>RunningTotalHeader</vt:lpstr>
      <vt:lpstr>SpotUSDRateTable</vt:lpstr>
      <vt:lpstr>TodaysExchangePosition</vt:lpstr>
      <vt:lpstr>TodaysReportDate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2022-12-15T14:59:54Z</dcterms:modified>
</cp:coreProperties>
</file>